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oldengatetradeservice-my.sharepoint.com/personal/huong_ht1_ggg_com_vn/Documents/2. Work/Corporate Finance/NSO/Tracking NSO tiến độ/"/>
    </mc:Choice>
  </mc:AlternateContent>
  <xr:revisionPtr revIDLastSave="58" documentId="8_{E99140A7-78FB-4F73-9ADB-30C8EF281F81}" xr6:coauthVersionLast="47" xr6:coauthVersionMax="47" xr10:uidLastSave="{BC8AF76B-FC43-417A-9EFF-B219056C4D4E}"/>
  <bookViews>
    <workbookView xWindow="-110" yWindow="-110" windowWidth="19420" windowHeight="10420" activeTab="1" xr2:uid="{9F2191A6-8CA9-4054-ADA9-759E3B9E0D66}"/>
  </bookViews>
  <sheets>
    <sheet name="Master" sheetId="1" r:id="rId1"/>
    <sheet name="Master MoM" sheetId="16" r:id="rId2"/>
    <sheet name="Sheet1" sheetId="17" r:id="rId3"/>
    <sheet name="Lọc code mới" sheetId="15" r:id="rId4"/>
    <sheet name="TCH (append)" sheetId="14" r:id="rId5"/>
    <sheet name="Sheet3" sheetId="7" r:id="rId6"/>
    <sheet name="Plan 2026" sheetId="3" r:id="rId7"/>
    <sheet name="For consider" sheetId="6" r:id="rId8"/>
    <sheet name="Detail Capex 2026_Sumibi" sheetId="5" r:id="rId9"/>
    <sheet name="Detail Capex 2026" sheetId="4" r:id="rId10"/>
    <sheet name="Others" sheetId="13" r:id="rId11"/>
    <sheet name="Manwah" sheetId="12" r:id="rId12"/>
    <sheet name="Kichi" sheetId="11" r:id="rId13"/>
    <sheet name="Isushi" sheetId="10" r:id="rId14"/>
    <sheet name="Gogi" sheetId="9" r:id="rId15"/>
    <sheet name="DNG" sheetId="8" r:id="rId16"/>
    <sheet name="Sheet2" sheetId="2" r:id="rId17"/>
  </sheets>
  <definedNames>
    <definedName name="_xlnm._FilterDatabase" localSheetId="3" hidden="1">'Lọc code mới'!$A$1:$B$637</definedName>
    <definedName name="_xlnm._FilterDatabase" localSheetId="0" hidden="1">Master!$A$5:$Y$1408</definedName>
    <definedName name="_xlnm._FilterDatabase" localSheetId="1" hidden="1">'Master MoM'!$B$2:$Q$639</definedName>
    <definedName name="ExternalData_1" localSheetId="9" hidden="1">'Detail Capex 2026'!$A$1:$AE$153</definedName>
    <definedName name="ExternalData_1" localSheetId="15" hidden="1">DNG!$A$1:$P$32</definedName>
    <definedName name="ExternalData_1" localSheetId="6" hidden="1">'Plan 2026'!$A$1:$AV$402</definedName>
    <definedName name="ExternalData_2" localSheetId="8" hidden="1">'Detail Capex 2026_Sumibi'!$A$1:$AD$2</definedName>
    <definedName name="ExternalData_2" localSheetId="14" hidden="1">Gogi!$A$1:$P$88</definedName>
    <definedName name="ExternalData_3" localSheetId="7" hidden="1">'For consider'!$A$1:$AH$209</definedName>
    <definedName name="ExternalData_3" localSheetId="13" hidden="1">Isushi!$A$1:$P$9</definedName>
    <definedName name="ExternalData_4" localSheetId="12" hidden="1">Kichi!$A$1:$P$53</definedName>
    <definedName name="ExternalData_5" localSheetId="11" hidden="1">Manwah!$A$1:$P$14</definedName>
    <definedName name="ExternalData_6" localSheetId="10" hidden="1">Others!$A$1:$P$69</definedName>
    <definedName name="ExternalData_7" localSheetId="4" hidden="1">'TCH (append)'!$A$1:$P$354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639" i="16" l="1"/>
  <c r="P639" i="16"/>
  <c r="O639" i="16"/>
  <c r="N639" i="16"/>
  <c r="M639" i="16"/>
  <c r="L639" i="16"/>
  <c r="K639" i="16"/>
  <c r="J639" i="16"/>
  <c r="I639" i="16"/>
  <c r="H639" i="16"/>
  <c r="G639" i="16"/>
  <c r="F639" i="16"/>
  <c r="Q638" i="16"/>
  <c r="P638" i="16"/>
  <c r="O638" i="16"/>
  <c r="N638" i="16"/>
  <c r="M638" i="16"/>
  <c r="L638" i="16"/>
  <c r="K638" i="16"/>
  <c r="J638" i="16"/>
  <c r="I638" i="16"/>
  <c r="H638" i="16"/>
  <c r="G638" i="16"/>
  <c r="F638" i="16"/>
  <c r="Q637" i="16"/>
  <c r="P637" i="16"/>
  <c r="O637" i="16"/>
  <c r="N637" i="16"/>
  <c r="M637" i="16"/>
  <c r="L637" i="16"/>
  <c r="K637" i="16"/>
  <c r="J637" i="16"/>
  <c r="I637" i="16"/>
  <c r="H637" i="16"/>
  <c r="G637" i="16"/>
  <c r="F637" i="16"/>
  <c r="Q636" i="16"/>
  <c r="P636" i="16"/>
  <c r="O636" i="16"/>
  <c r="N636" i="16"/>
  <c r="M636" i="16"/>
  <c r="L636" i="16"/>
  <c r="K636" i="16"/>
  <c r="J636" i="16"/>
  <c r="I636" i="16"/>
  <c r="H636" i="16"/>
  <c r="G636" i="16"/>
  <c r="F636" i="16"/>
  <c r="Q635" i="16"/>
  <c r="P635" i="16"/>
  <c r="O635" i="16"/>
  <c r="N635" i="16"/>
  <c r="M635" i="16"/>
  <c r="L635" i="16"/>
  <c r="K635" i="16"/>
  <c r="J635" i="16"/>
  <c r="I635" i="16"/>
  <c r="H635" i="16"/>
  <c r="G635" i="16"/>
  <c r="F635" i="16"/>
  <c r="Q634" i="16"/>
  <c r="P634" i="16"/>
  <c r="O634" i="16"/>
  <c r="N634" i="16"/>
  <c r="M634" i="16"/>
  <c r="L634" i="16"/>
  <c r="K634" i="16"/>
  <c r="J634" i="16"/>
  <c r="I634" i="16"/>
  <c r="H634" i="16"/>
  <c r="G634" i="16"/>
  <c r="F634" i="16"/>
  <c r="Q633" i="16"/>
  <c r="P633" i="16"/>
  <c r="O633" i="16"/>
  <c r="N633" i="16"/>
  <c r="M633" i="16"/>
  <c r="L633" i="16"/>
  <c r="K633" i="16"/>
  <c r="J633" i="16"/>
  <c r="I633" i="16"/>
  <c r="H633" i="16"/>
  <c r="G633" i="16"/>
  <c r="F633" i="16"/>
  <c r="Q632" i="16"/>
  <c r="P632" i="16"/>
  <c r="O632" i="16"/>
  <c r="N632" i="16"/>
  <c r="M632" i="16"/>
  <c r="L632" i="16"/>
  <c r="K632" i="16"/>
  <c r="J632" i="16"/>
  <c r="I632" i="16"/>
  <c r="H632" i="16"/>
  <c r="G632" i="16"/>
  <c r="F632" i="16"/>
  <c r="Q631" i="16"/>
  <c r="P631" i="16"/>
  <c r="O631" i="16"/>
  <c r="N631" i="16"/>
  <c r="M631" i="16"/>
  <c r="L631" i="16"/>
  <c r="K631" i="16"/>
  <c r="J631" i="16"/>
  <c r="I631" i="16"/>
  <c r="H631" i="16"/>
  <c r="G631" i="16"/>
  <c r="F631" i="16"/>
  <c r="Q630" i="16"/>
  <c r="P630" i="16"/>
  <c r="O630" i="16"/>
  <c r="N630" i="16"/>
  <c r="M630" i="16"/>
  <c r="L630" i="16"/>
  <c r="K630" i="16"/>
  <c r="J630" i="16"/>
  <c r="I630" i="16"/>
  <c r="H630" i="16"/>
  <c r="G630" i="16"/>
  <c r="F630" i="16"/>
  <c r="Q629" i="16"/>
  <c r="P629" i="16"/>
  <c r="O629" i="16"/>
  <c r="N629" i="16"/>
  <c r="M629" i="16"/>
  <c r="L629" i="16"/>
  <c r="K629" i="16"/>
  <c r="J629" i="16"/>
  <c r="I629" i="16"/>
  <c r="H629" i="16"/>
  <c r="G629" i="16"/>
  <c r="F629" i="16"/>
  <c r="Q628" i="16"/>
  <c r="P628" i="16"/>
  <c r="O628" i="16"/>
  <c r="N628" i="16"/>
  <c r="M628" i="16"/>
  <c r="L628" i="16"/>
  <c r="K628" i="16"/>
  <c r="J628" i="16"/>
  <c r="I628" i="16"/>
  <c r="H628" i="16"/>
  <c r="G628" i="16"/>
  <c r="F628" i="16"/>
  <c r="Q627" i="16"/>
  <c r="P627" i="16"/>
  <c r="O627" i="16"/>
  <c r="N627" i="16"/>
  <c r="M627" i="16"/>
  <c r="L627" i="16"/>
  <c r="K627" i="16"/>
  <c r="J627" i="16"/>
  <c r="I627" i="16"/>
  <c r="H627" i="16"/>
  <c r="G627" i="16"/>
  <c r="F627" i="16"/>
  <c r="Q626" i="16"/>
  <c r="P626" i="16"/>
  <c r="O626" i="16"/>
  <c r="N626" i="16"/>
  <c r="M626" i="16"/>
  <c r="L626" i="16"/>
  <c r="K626" i="16"/>
  <c r="J626" i="16"/>
  <c r="I626" i="16"/>
  <c r="H626" i="16"/>
  <c r="G626" i="16"/>
  <c r="F626" i="16"/>
  <c r="Q625" i="16"/>
  <c r="P625" i="16"/>
  <c r="O625" i="16"/>
  <c r="N625" i="16"/>
  <c r="M625" i="16"/>
  <c r="L625" i="16"/>
  <c r="K625" i="16"/>
  <c r="J625" i="16"/>
  <c r="I625" i="16"/>
  <c r="H625" i="16"/>
  <c r="G625" i="16"/>
  <c r="F625" i="16"/>
  <c r="Q624" i="16"/>
  <c r="P624" i="16"/>
  <c r="O624" i="16"/>
  <c r="N624" i="16"/>
  <c r="M624" i="16"/>
  <c r="L624" i="16"/>
  <c r="K624" i="16"/>
  <c r="J624" i="16"/>
  <c r="I624" i="16"/>
  <c r="H624" i="16"/>
  <c r="G624" i="16"/>
  <c r="F624" i="16"/>
  <c r="Q623" i="16"/>
  <c r="P623" i="16"/>
  <c r="O623" i="16"/>
  <c r="N623" i="16"/>
  <c r="M623" i="16"/>
  <c r="L623" i="16"/>
  <c r="K623" i="16"/>
  <c r="J623" i="16"/>
  <c r="I623" i="16"/>
  <c r="H623" i="16"/>
  <c r="G623" i="16"/>
  <c r="F623" i="16"/>
  <c r="Q622" i="16"/>
  <c r="P622" i="16"/>
  <c r="O622" i="16"/>
  <c r="N622" i="16"/>
  <c r="M622" i="16"/>
  <c r="L622" i="16"/>
  <c r="K622" i="16"/>
  <c r="J622" i="16"/>
  <c r="I622" i="16"/>
  <c r="H622" i="16"/>
  <c r="G622" i="16"/>
  <c r="F622" i="16"/>
  <c r="Q621" i="16"/>
  <c r="P621" i="16"/>
  <c r="O621" i="16"/>
  <c r="N621" i="16"/>
  <c r="M621" i="16"/>
  <c r="L621" i="16"/>
  <c r="K621" i="16"/>
  <c r="J621" i="16"/>
  <c r="I621" i="16"/>
  <c r="H621" i="16"/>
  <c r="G621" i="16"/>
  <c r="F621" i="16"/>
  <c r="Q620" i="16"/>
  <c r="P620" i="16"/>
  <c r="O620" i="16"/>
  <c r="N620" i="16"/>
  <c r="M620" i="16"/>
  <c r="L620" i="16"/>
  <c r="K620" i="16"/>
  <c r="J620" i="16"/>
  <c r="I620" i="16"/>
  <c r="H620" i="16"/>
  <c r="G620" i="16"/>
  <c r="F620" i="16"/>
  <c r="Q619" i="16"/>
  <c r="P619" i="16"/>
  <c r="O619" i="16"/>
  <c r="N619" i="16"/>
  <c r="M619" i="16"/>
  <c r="L619" i="16"/>
  <c r="K619" i="16"/>
  <c r="J619" i="16"/>
  <c r="I619" i="16"/>
  <c r="H619" i="16"/>
  <c r="G619" i="16"/>
  <c r="F619" i="16"/>
  <c r="Q618" i="16"/>
  <c r="P618" i="16"/>
  <c r="O618" i="16"/>
  <c r="N618" i="16"/>
  <c r="M618" i="16"/>
  <c r="L618" i="16"/>
  <c r="K618" i="16"/>
  <c r="J618" i="16"/>
  <c r="I618" i="16"/>
  <c r="H618" i="16"/>
  <c r="G618" i="16"/>
  <c r="F618" i="16"/>
  <c r="Q617" i="16"/>
  <c r="P617" i="16"/>
  <c r="O617" i="16"/>
  <c r="N617" i="16"/>
  <c r="M617" i="16"/>
  <c r="L617" i="16"/>
  <c r="K617" i="16"/>
  <c r="J617" i="16"/>
  <c r="I617" i="16"/>
  <c r="H617" i="16"/>
  <c r="G617" i="16"/>
  <c r="F617" i="16"/>
  <c r="Q616" i="16"/>
  <c r="P616" i="16"/>
  <c r="O616" i="16"/>
  <c r="N616" i="16"/>
  <c r="M616" i="16"/>
  <c r="L616" i="16"/>
  <c r="K616" i="16"/>
  <c r="J616" i="16"/>
  <c r="I616" i="16"/>
  <c r="H616" i="16"/>
  <c r="G616" i="16"/>
  <c r="F616" i="16"/>
  <c r="Q615" i="16"/>
  <c r="P615" i="16"/>
  <c r="O615" i="16"/>
  <c r="N615" i="16"/>
  <c r="M615" i="16"/>
  <c r="L615" i="16"/>
  <c r="K615" i="16"/>
  <c r="J615" i="16"/>
  <c r="I615" i="16"/>
  <c r="H615" i="16"/>
  <c r="G615" i="16"/>
  <c r="F615" i="16"/>
  <c r="Q614" i="16"/>
  <c r="P614" i="16"/>
  <c r="O614" i="16"/>
  <c r="N614" i="16"/>
  <c r="M614" i="16"/>
  <c r="L614" i="16"/>
  <c r="K614" i="16"/>
  <c r="J614" i="16"/>
  <c r="I614" i="16"/>
  <c r="H614" i="16"/>
  <c r="G614" i="16"/>
  <c r="F614" i="16"/>
  <c r="Q613" i="16"/>
  <c r="P613" i="16"/>
  <c r="O613" i="16"/>
  <c r="N613" i="16"/>
  <c r="M613" i="16"/>
  <c r="L613" i="16"/>
  <c r="K613" i="16"/>
  <c r="J613" i="16"/>
  <c r="I613" i="16"/>
  <c r="H613" i="16"/>
  <c r="G613" i="16"/>
  <c r="F613" i="16"/>
  <c r="Q612" i="16"/>
  <c r="P612" i="16"/>
  <c r="O612" i="16"/>
  <c r="N612" i="16"/>
  <c r="M612" i="16"/>
  <c r="L612" i="16"/>
  <c r="K612" i="16"/>
  <c r="J612" i="16"/>
  <c r="I612" i="16"/>
  <c r="H612" i="16"/>
  <c r="G612" i="16"/>
  <c r="F612" i="16"/>
  <c r="Q611" i="16"/>
  <c r="P611" i="16"/>
  <c r="O611" i="16"/>
  <c r="N611" i="16"/>
  <c r="M611" i="16"/>
  <c r="L611" i="16"/>
  <c r="K611" i="16"/>
  <c r="J611" i="16"/>
  <c r="I611" i="16"/>
  <c r="H611" i="16"/>
  <c r="G611" i="16"/>
  <c r="F611" i="16"/>
  <c r="Q610" i="16"/>
  <c r="P610" i="16"/>
  <c r="O610" i="16"/>
  <c r="N610" i="16"/>
  <c r="M610" i="16"/>
  <c r="L610" i="16"/>
  <c r="K610" i="16"/>
  <c r="J610" i="16"/>
  <c r="I610" i="16"/>
  <c r="H610" i="16"/>
  <c r="G610" i="16"/>
  <c r="F610" i="16"/>
  <c r="Q609" i="16"/>
  <c r="P609" i="16"/>
  <c r="O609" i="16"/>
  <c r="N609" i="16"/>
  <c r="M609" i="16"/>
  <c r="L609" i="16"/>
  <c r="K609" i="16"/>
  <c r="J609" i="16"/>
  <c r="I609" i="16"/>
  <c r="H609" i="16"/>
  <c r="G609" i="16"/>
  <c r="F609" i="16"/>
  <c r="Q608" i="16"/>
  <c r="P608" i="16"/>
  <c r="O608" i="16"/>
  <c r="N608" i="16"/>
  <c r="M608" i="16"/>
  <c r="L608" i="16"/>
  <c r="K608" i="16"/>
  <c r="J608" i="16"/>
  <c r="I608" i="16"/>
  <c r="H608" i="16"/>
  <c r="G608" i="16"/>
  <c r="F608" i="16"/>
  <c r="Q607" i="16"/>
  <c r="P607" i="16"/>
  <c r="O607" i="16"/>
  <c r="N607" i="16"/>
  <c r="M607" i="16"/>
  <c r="L607" i="16"/>
  <c r="K607" i="16"/>
  <c r="J607" i="16"/>
  <c r="I607" i="16"/>
  <c r="H607" i="16"/>
  <c r="G607" i="16"/>
  <c r="F607" i="16"/>
  <c r="Q606" i="16"/>
  <c r="P606" i="16"/>
  <c r="O606" i="16"/>
  <c r="N606" i="16"/>
  <c r="M606" i="16"/>
  <c r="L606" i="16"/>
  <c r="K606" i="16"/>
  <c r="J606" i="16"/>
  <c r="I606" i="16"/>
  <c r="H606" i="16"/>
  <c r="G606" i="16"/>
  <c r="F606" i="16"/>
  <c r="Q605" i="16"/>
  <c r="P605" i="16"/>
  <c r="O605" i="16"/>
  <c r="N605" i="16"/>
  <c r="M605" i="16"/>
  <c r="L605" i="16"/>
  <c r="K605" i="16"/>
  <c r="J605" i="16"/>
  <c r="I605" i="16"/>
  <c r="H605" i="16"/>
  <c r="G605" i="16"/>
  <c r="F605" i="16"/>
  <c r="Q604" i="16"/>
  <c r="P604" i="16"/>
  <c r="O604" i="16"/>
  <c r="N604" i="16"/>
  <c r="M604" i="16"/>
  <c r="L604" i="16"/>
  <c r="K604" i="16"/>
  <c r="J604" i="16"/>
  <c r="I604" i="16"/>
  <c r="H604" i="16"/>
  <c r="G604" i="16"/>
  <c r="F604" i="16"/>
  <c r="Q603" i="16"/>
  <c r="P603" i="16"/>
  <c r="O603" i="16"/>
  <c r="N603" i="16"/>
  <c r="M603" i="16"/>
  <c r="L603" i="16"/>
  <c r="K603" i="16"/>
  <c r="J603" i="16"/>
  <c r="I603" i="16"/>
  <c r="H603" i="16"/>
  <c r="G603" i="16"/>
  <c r="F603" i="16"/>
  <c r="Q602" i="16"/>
  <c r="P602" i="16"/>
  <c r="O602" i="16"/>
  <c r="N602" i="16"/>
  <c r="M602" i="16"/>
  <c r="L602" i="16"/>
  <c r="K602" i="16"/>
  <c r="J602" i="16"/>
  <c r="I602" i="16"/>
  <c r="H602" i="16"/>
  <c r="G602" i="16"/>
  <c r="F602" i="16"/>
  <c r="Q601" i="16"/>
  <c r="P601" i="16"/>
  <c r="O601" i="16"/>
  <c r="N601" i="16"/>
  <c r="M601" i="16"/>
  <c r="L601" i="16"/>
  <c r="K601" i="16"/>
  <c r="J601" i="16"/>
  <c r="I601" i="16"/>
  <c r="H601" i="16"/>
  <c r="G601" i="16"/>
  <c r="F601" i="16"/>
  <c r="Q600" i="16"/>
  <c r="P600" i="16"/>
  <c r="O600" i="16"/>
  <c r="N600" i="16"/>
  <c r="M600" i="16"/>
  <c r="L600" i="16"/>
  <c r="K600" i="16"/>
  <c r="J600" i="16"/>
  <c r="I600" i="16"/>
  <c r="H600" i="16"/>
  <c r="G600" i="16"/>
  <c r="F600" i="16"/>
  <c r="Q599" i="16"/>
  <c r="P599" i="16"/>
  <c r="O599" i="16"/>
  <c r="N599" i="16"/>
  <c r="M599" i="16"/>
  <c r="L599" i="16"/>
  <c r="K599" i="16"/>
  <c r="J599" i="16"/>
  <c r="I599" i="16"/>
  <c r="H599" i="16"/>
  <c r="G599" i="16"/>
  <c r="F599" i="16"/>
  <c r="Q598" i="16"/>
  <c r="P598" i="16"/>
  <c r="O598" i="16"/>
  <c r="N598" i="16"/>
  <c r="M598" i="16"/>
  <c r="L598" i="16"/>
  <c r="K598" i="16"/>
  <c r="J598" i="16"/>
  <c r="I598" i="16"/>
  <c r="H598" i="16"/>
  <c r="G598" i="16"/>
  <c r="F598" i="16"/>
  <c r="Q597" i="16"/>
  <c r="P597" i="16"/>
  <c r="O597" i="16"/>
  <c r="N597" i="16"/>
  <c r="M597" i="16"/>
  <c r="L597" i="16"/>
  <c r="K597" i="16"/>
  <c r="J597" i="16"/>
  <c r="I597" i="16"/>
  <c r="H597" i="16"/>
  <c r="G597" i="16"/>
  <c r="F597" i="16"/>
  <c r="Q596" i="16"/>
  <c r="P596" i="16"/>
  <c r="O596" i="16"/>
  <c r="N596" i="16"/>
  <c r="M596" i="16"/>
  <c r="L596" i="16"/>
  <c r="K596" i="16"/>
  <c r="J596" i="16"/>
  <c r="I596" i="16"/>
  <c r="H596" i="16"/>
  <c r="G596" i="16"/>
  <c r="F596" i="16"/>
  <c r="Q595" i="16"/>
  <c r="P595" i="16"/>
  <c r="O595" i="16"/>
  <c r="N595" i="16"/>
  <c r="M595" i="16"/>
  <c r="L595" i="16"/>
  <c r="K595" i="16"/>
  <c r="J595" i="16"/>
  <c r="I595" i="16"/>
  <c r="H595" i="16"/>
  <c r="G595" i="16"/>
  <c r="F595" i="16"/>
  <c r="Q594" i="16"/>
  <c r="P594" i="16"/>
  <c r="O594" i="16"/>
  <c r="N594" i="16"/>
  <c r="M594" i="16"/>
  <c r="L594" i="16"/>
  <c r="K594" i="16"/>
  <c r="J594" i="16"/>
  <c r="I594" i="16"/>
  <c r="H594" i="16"/>
  <c r="G594" i="16"/>
  <c r="F594" i="16"/>
  <c r="Q593" i="16"/>
  <c r="P593" i="16"/>
  <c r="O593" i="16"/>
  <c r="N593" i="16"/>
  <c r="M593" i="16"/>
  <c r="L593" i="16"/>
  <c r="K593" i="16"/>
  <c r="J593" i="16"/>
  <c r="I593" i="16"/>
  <c r="H593" i="16"/>
  <c r="G593" i="16"/>
  <c r="F593" i="16"/>
  <c r="Q592" i="16"/>
  <c r="P592" i="16"/>
  <c r="O592" i="16"/>
  <c r="N592" i="16"/>
  <c r="M592" i="16"/>
  <c r="L592" i="16"/>
  <c r="K592" i="16"/>
  <c r="J592" i="16"/>
  <c r="I592" i="16"/>
  <c r="H592" i="16"/>
  <c r="G592" i="16"/>
  <c r="F592" i="16"/>
  <c r="Q591" i="16"/>
  <c r="P591" i="16"/>
  <c r="O591" i="16"/>
  <c r="N591" i="16"/>
  <c r="M591" i="16"/>
  <c r="L591" i="16"/>
  <c r="K591" i="16"/>
  <c r="J591" i="16"/>
  <c r="I591" i="16"/>
  <c r="H591" i="16"/>
  <c r="G591" i="16"/>
  <c r="F591" i="16"/>
  <c r="Q590" i="16"/>
  <c r="P590" i="16"/>
  <c r="O590" i="16"/>
  <c r="N590" i="16"/>
  <c r="M590" i="16"/>
  <c r="L590" i="16"/>
  <c r="K590" i="16"/>
  <c r="J590" i="16"/>
  <c r="I590" i="16"/>
  <c r="H590" i="16"/>
  <c r="G590" i="16"/>
  <c r="F590" i="16"/>
  <c r="Q589" i="16"/>
  <c r="P589" i="16"/>
  <c r="O589" i="16"/>
  <c r="N589" i="16"/>
  <c r="M589" i="16"/>
  <c r="L589" i="16"/>
  <c r="K589" i="16"/>
  <c r="J589" i="16"/>
  <c r="I589" i="16"/>
  <c r="H589" i="16"/>
  <c r="G589" i="16"/>
  <c r="F589" i="16"/>
  <c r="Q588" i="16"/>
  <c r="P588" i="16"/>
  <c r="O588" i="16"/>
  <c r="N588" i="16"/>
  <c r="M588" i="16"/>
  <c r="L588" i="16"/>
  <c r="K588" i="16"/>
  <c r="J588" i="16"/>
  <c r="I588" i="16"/>
  <c r="H588" i="16"/>
  <c r="G588" i="16"/>
  <c r="F588" i="16"/>
  <c r="Q587" i="16"/>
  <c r="P587" i="16"/>
  <c r="O587" i="16"/>
  <c r="N587" i="16"/>
  <c r="M587" i="16"/>
  <c r="L587" i="16"/>
  <c r="K587" i="16"/>
  <c r="J587" i="16"/>
  <c r="I587" i="16"/>
  <c r="H587" i="16"/>
  <c r="G587" i="16"/>
  <c r="F587" i="16"/>
  <c r="Q586" i="16"/>
  <c r="P586" i="16"/>
  <c r="O586" i="16"/>
  <c r="N586" i="16"/>
  <c r="M586" i="16"/>
  <c r="L586" i="16"/>
  <c r="K586" i="16"/>
  <c r="J586" i="16"/>
  <c r="I586" i="16"/>
  <c r="H586" i="16"/>
  <c r="G586" i="16"/>
  <c r="F586" i="16"/>
  <c r="Q585" i="16"/>
  <c r="P585" i="16"/>
  <c r="O585" i="16"/>
  <c r="N585" i="16"/>
  <c r="M585" i="16"/>
  <c r="L585" i="16"/>
  <c r="K585" i="16"/>
  <c r="J585" i="16"/>
  <c r="I585" i="16"/>
  <c r="H585" i="16"/>
  <c r="G585" i="16"/>
  <c r="F585" i="16"/>
  <c r="Q584" i="16"/>
  <c r="P584" i="16"/>
  <c r="O584" i="16"/>
  <c r="N584" i="16"/>
  <c r="M584" i="16"/>
  <c r="L584" i="16"/>
  <c r="K584" i="16"/>
  <c r="J584" i="16"/>
  <c r="I584" i="16"/>
  <c r="H584" i="16"/>
  <c r="G584" i="16"/>
  <c r="F584" i="16"/>
  <c r="Q583" i="16"/>
  <c r="P583" i="16"/>
  <c r="O583" i="16"/>
  <c r="N583" i="16"/>
  <c r="M583" i="16"/>
  <c r="L583" i="16"/>
  <c r="K583" i="16"/>
  <c r="J583" i="16"/>
  <c r="I583" i="16"/>
  <c r="H583" i="16"/>
  <c r="G583" i="16"/>
  <c r="F583" i="16"/>
  <c r="Q582" i="16"/>
  <c r="P582" i="16"/>
  <c r="O582" i="16"/>
  <c r="N582" i="16"/>
  <c r="M582" i="16"/>
  <c r="L582" i="16"/>
  <c r="K582" i="16"/>
  <c r="J582" i="16"/>
  <c r="I582" i="16"/>
  <c r="H582" i="16"/>
  <c r="G582" i="16"/>
  <c r="F582" i="16"/>
  <c r="Q581" i="16"/>
  <c r="P581" i="16"/>
  <c r="O581" i="16"/>
  <c r="N581" i="16"/>
  <c r="M581" i="16"/>
  <c r="L581" i="16"/>
  <c r="K581" i="16"/>
  <c r="J581" i="16"/>
  <c r="I581" i="16"/>
  <c r="H581" i="16"/>
  <c r="G581" i="16"/>
  <c r="F581" i="16"/>
  <c r="Q580" i="16"/>
  <c r="P580" i="16"/>
  <c r="O580" i="16"/>
  <c r="N580" i="16"/>
  <c r="M580" i="16"/>
  <c r="L580" i="16"/>
  <c r="K580" i="16"/>
  <c r="J580" i="16"/>
  <c r="I580" i="16"/>
  <c r="H580" i="16"/>
  <c r="G580" i="16"/>
  <c r="F580" i="16"/>
  <c r="Q579" i="16"/>
  <c r="P579" i="16"/>
  <c r="O579" i="16"/>
  <c r="N579" i="16"/>
  <c r="M579" i="16"/>
  <c r="L579" i="16"/>
  <c r="K579" i="16"/>
  <c r="J579" i="16"/>
  <c r="I579" i="16"/>
  <c r="H579" i="16"/>
  <c r="G579" i="16"/>
  <c r="F579" i="16"/>
  <c r="Q578" i="16"/>
  <c r="P578" i="16"/>
  <c r="O578" i="16"/>
  <c r="N578" i="16"/>
  <c r="M578" i="16"/>
  <c r="L578" i="16"/>
  <c r="K578" i="16"/>
  <c r="J578" i="16"/>
  <c r="I578" i="16"/>
  <c r="H578" i="16"/>
  <c r="G578" i="16"/>
  <c r="F578" i="16"/>
  <c r="Q577" i="16"/>
  <c r="P577" i="16"/>
  <c r="O577" i="16"/>
  <c r="N577" i="16"/>
  <c r="M577" i="16"/>
  <c r="L577" i="16"/>
  <c r="K577" i="16"/>
  <c r="J577" i="16"/>
  <c r="I577" i="16"/>
  <c r="H577" i="16"/>
  <c r="G577" i="16"/>
  <c r="F577" i="16"/>
  <c r="Q576" i="16"/>
  <c r="P576" i="16"/>
  <c r="O576" i="16"/>
  <c r="N576" i="16"/>
  <c r="M576" i="16"/>
  <c r="L576" i="16"/>
  <c r="K576" i="16"/>
  <c r="J576" i="16"/>
  <c r="I576" i="16"/>
  <c r="H576" i="16"/>
  <c r="G576" i="16"/>
  <c r="F576" i="16"/>
  <c r="Q575" i="16"/>
  <c r="P575" i="16"/>
  <c r="O575" i="16"/>
  <c r="N575" i="16"/>
  <c r="M575" i="16"/>
  <c r="L575" i="16"/>
  <c r="K575" i="16"/>
  <c r="J575" i="16"/>
  <c r="I575" i="16"/>
  <c r="H575" i="16"/>
  <c r="G575" i="16"/>
  <c r="F575" i="16"/>
  <c r="Q574" i="16"/>
  <c r="P574" i="16"/>
  <c r="O574" i="16"/>
  <c r="N574" i="16"/>
  <c r="M574" i="16"/>
  <c r="L574" i="16"/>
  <c r="K574" i="16"/>
  <c r="J574" i="16"/>
  <c r="I574" i="16"/>
  <c r="H574" i="16"/>
  <c r="G574" i="16"/>
  <c r="F574" i="16"/>
  <c r="Q573" i="16"/>
  <c r="P573" i="16"/>
  <c r="O573" i="16"/>
  <c r="N573" i="16"/>
  <c r="M573" i="16"/>
  <c r="L573" i="16"/>
  <c r="K573" i="16"/>
  <c r="J573" i="16"/>
  <c r="I573" i="16"/>
  <c r="H573" i="16"/>
  <c r="G573" i="16"/>
  <c r="F573" i="16"/>
  <c r="Q572" i="16"/>
  <c r="P572" i="16"/>
  <c r="O572" i="16"/>
  <c r="N572" i="16"/>
  <c r="M572" i="16"/>
  <c r="L572" i="16"/>
  <c r="K572" i="16"/>
  <c r="J572" i="16"/>
  <c r="I572" i="16"/>
  <c r="H572" i="16"/>
  <c r="G572" i="16"/>
  <c r="F572" i="16"/>
  <c r="Q571" i="16"/>
  <c r="P571" i="16"/>
  <c r="O571" i="16"/>
  <c r="N571" i="16"/>
  <c r="M571" i="16"/>
  <c r="L571" i="16"/>
  <c r="K571" i="16"/>
  <c r="J571" i="16"/>
  <c r="I571" i="16"/>
  <c r="H571" i="16"/>
  <c r="G571" i="16"/>
  <c r="F571" i="16"/>
  <c r="Q570" i="16"/>
  <c r="P570" i="16"/>
  <c r="O570" i="16"/>
  <c r="N570" i="16"/>
  <c r="M570" i="16"/>
  <c r="L570" i="16"/>
  <c r="K570" i="16"/>
  <c r="J570" i="16"/>
  <c r="I570" i="16"/>
  <c r="H570" i="16"/>
  <c r="G570" i="16"/>
  <c r="F570" i="16"/>
  <c r="Q569" i="16"/>
  <c r="P569" i="16"/>
  <c r="O569" i="16"/>
  <c r="N569" i="16"/>
  <c r="M569" i="16"/>
  <c r="L569" i="16"/>
  <c r="K569" i="16"/>
  <c r="J569" i="16"/>
  <c r="I569" i="16"/>
  <c r="H569" i="16"/>
  <c r="G569" i="16"/>
  <c r="F569" i="16"/>
  <c r="Q568" i="16"/>
  <c r="P568" i="16"/>
  <c r="O568" i="16"/>
  <c r="N568" i="16"/>
  <c r="M568" i="16"/>
  <c r="L568" i="16"/>
  <c r="K568" i="16"/>
  <c r="J568" i="16"/>
  <c r="I568" i="16"/>
  <c r="H568" i="16"/>
  <c r="G568" i="16"/>
  <c r="F568" i="16"/>
  <c r="Q567" i="16"/>
  <c r="P567" i="16"/>
  <c r="O567" i="16"/>
  <c r="N567" i="16"/>
  <c r="M567" i="16"/>
  <c r="L567" i="16"/>
  <c r="K567" i="16"/>
  <c r="J567" i="16"/>
  <c r="I567" i="16"/>
  <c r="H567" i="16"/>
  <c r="G567" i="16"/>
  <c r="F567" i="16"/>
  <c r="Q566" i="16"/>
  <c r="P566" i="16"/>
  <c r="O566" i="16"/>
  <c r="N566" i="16"/>
  <c r="M566" i="16"/>
  <c r="L566" i="16"/>
  <c r="K566" i="16"/>
  <c r="J566" i="16"/>
  <c r="I566" i="16"/>
  <c r="H566" i="16"/>
  <c r="G566" i="16"/>
  <c r="F566" i="16"/>
  <c r="Q565" i="16"/>
  <c r="P565" i="16"/>
  <c r="O565" i="16"/>
  <c r="N565" i="16"/>
  <c r="M565" i="16"/>
  <c r="L565" i="16"/>
  <c r="K565" i="16"/>
  <c r="J565" i="16"/>
  <c r="I565" i="16"/>
  <c r="H565" i="16"/>
  <c r="G565" i="16"/>
  <c r="F565" i="16"/>
  <c r="Q564" i="16"/>
  <c r="P564" i="16"/>
  <c r="O564" i="16"/>
  <c r="N564" i="16"/>
  <c r="M564" i="16"/>
  <c r="L564" i="16"/>
  <c r="K564" i="16"/>
  <c r="J564" i="16"/>
  <c r="I564" i="16"/>
  <c r="H564" i="16"/>
  <c r="G564" i="16"/>
  <c r="F564" i="16"/>
  <c r="Q563" i="16"/>
  <c r="P563" i="16"/>
  <c r="O563" i="16"/>
  <c r="N563" i="16"/>
  <c r="M563" i="16"/>
  <c r="L563" i="16"/>
  <c r="K563" i="16"/>
  <c r="J563" i="16"/>
  <c r="I563" i="16"/>
  <c r="H563" i="16"/>
  <c r="G563" i="16"/>
  <c r="F563" i="16"/>
  <c r="Q562" i="16"/>
  <c r="P562" i="16"/>
  <c r="O562" i="16"/>
  <c r="N562" i="16"/>
  <c r="M562" i="16"/>
  <c r="L562" i="16"/>
  <c r="K562" i="16"/>
  <c r="J562" i="16"/>
  <c r="I562" i="16"/>
  <c r="H562" i="16"/>
  <c r="G562" i="16"/>
  <c r="F562" i="16"/>
  <c r="Q561" i="16"/>
  <c r="P561" i="16"/>
  <c r="O561" i="16"/>
  <c r="N561" i="16"/>
  <c r="M561" i="16"/>
  <c r="L561" i="16"/>
  <c r="K561" i="16"/>
  <c r="J561" i="16"/>
  <c r="I561" i="16"/>
  <c r="H561" i="16"/>
  <c r="G561" i="16"/>
  <c r="F561" i="16"/>
  <c r="Q560" i="16"/>
  <c r="P560" i="16"/>
  <c r="O560" i="16"/>
  <c r="N560" i="16"/>
  <c r="M560" i="16"/>
  <c r="L560" i="16"/>
  <c r="K560" i="16"/>
  <c r="J560" i="16"/>
  <c r="I560" i="16"/>
  <c r="H560" i="16"/>
  <c r="G560" i="16"/>
  <c r="F560" i="16"/>
  <c r="Q559" i="16"/>
  <c r="P559" i="16"/>
  <c r="O559" i="16"/>
  <c r="N559" i="16"/>
  <c r="M559" i="16"/>
  <c r="L559" i="16"/>
  <c r="K559" i="16"/>
  <c r="J559" i="16"/>
  <c r="I559" i="16"/>
  <c r="H559" i="16"/>
  <c r="G559" i="16"/>
  <c r="F559" i="16"/>
  <c r="Q558" i="16"/>
  <c r="P558" i="16"/>
  <c r="O558" i="16"/>
  <c r="N558" i="16"/>
  <c r="M558" i="16"/>
  <c r="L558" i="16"/>
  <c r="K558" i="16"/>
  <c r="J558" i="16"/>
  <c r="I558" i="16"/>
  <c r="H558" i="16"/>
  <c r="G558" i="16"/>
  <c r="F558" i="16"/>
  <c r="Q557" i="16"/>
  <c r="P557" i="16"/>
  <c r="O557" i="16"/>
  <c r="N557" i="16"/>
  <c r="M557" i="16"/>
  <c r="L557" i="16"/>
  <c r="K557" i="16"/>
  <c r="J557" i="16"/>
  <c r="I557" i="16"/>
  <c r="H557" i="16"/>
  <c r="G557" i="16"/>
  <c r="F557" i="16"/>
  <c r="Q556" i="16"/>
  <c r="P556" i="16"/>
  <c r="O556" i="16"/>
  <c r="N556" i="16"/>
  <c r="M556" i="16"/>
  <c r="L556" i="16"/>
  <c r="K556" i="16"/>
  <c r="J556" i="16"/>
  <c r="I556" i="16"/>
  <c r="H556" i="16"/>
  <c r="G556" i="16"/>
  <c r="F556" i="16"/>
  <c r="Q555" i="16"/>
  <c r="P555" i="16"/>
  <c r="O555" i="16"/>
  <c r="N555" i="16"/>
  <c r="M555" i="16"/>
  <c r="L555" i="16"/>
  <c r="K555" i="16"/>
  <c r="J555" i="16"/>
  <c r="I555" i="16"/>
  <c r="H555" i="16"/>
  <c r="G555" i="16"/>
  <c r="F555" i="16"/>
  <c r="Q554" i="16"/>
  <c r="P554" i="16"/>
  <c r="O554" i="16"/>
  <c r="N554" i="16"/>
  <c r="M554" i="16"/>
  <c r="L554" i="16"/>
  <c r="K554" i="16"/>
  <c r="J554" i="16"/>
  <c r="I554" i="16"/>
  <c r="H554" i="16"/>
  <c r="G554" i="16"/>
  <c r="F554" i="16"/>
  <c r="Q553" i="16"/>
  <c r="P553" i="16"/>
  <c r="O553" i="16"/>
  <c r="N553" i="16"/>
  <c r="M553" i="16"/>
  <c r="L553" i="16"/>
  <c r="K553" i="16"/>
  <c r="J553" i="16"/>
  <c r="I553" i="16"/>
  <c r="H553" i="16"/>
  <c r="G553" i="16"/>
  <c r="F553" i="16"/>
  <c r="Q552" i="16"/>
  <c r="P552" i="16"/>
  <c r="O552" i="16"/>
  <c r="N552" i="16"/>
  <c r="M552" i="16"/>
  <c r="L552" i="16"/>
  <c r="K552" i="16"/>
  <c r="J552" i="16"/>
  <c r="I552" i="16"/>
  <c r="H552" i="16"/>
  <c r="G552" i="16"/>
  <c r="F552" i="16"/>
  <c r="Q551" i="16"/>
  <c r="P551" i="16"/>
  <c r="O551" i="16"/>
  <c r="N551" i="16"/>
  <c r="M551" i="16"/>
  <c r="L551" i="16"/>
  <c r="K551" i="16"/>
  <c r="J551" i="16"/>
  <c r="I551" i="16"/>
  <c r="H551" i="16"/>
  <c r="G551" i="16"/>
  <c r="F551" i="16"/>
  <c r="Q550" i="16"/>
  <c r="P550" i="16"/>
  <c r="O550" i="16"/>
  <c r="N550" i="16"/>
  <c r="M550" i="16"/>
  <c r="L550" i="16"/>
  <c r="K550" i="16"/>
  <c r="J550" i="16"/>
  <c r="I550" i="16"/>
  <c r="H550" i="16"/>
  <c r="G550" i="16"/>
  <c r="F550" i="16"/>
  <c r="Q549" i="16"/>
  <c r="P549" i="16"/>
  <c r="O549" i="16"/>
  <c r="N549" i="16"/>
  <c r="M549" i="16"/>
  <c r="L549" i="16"/>
  <c r="K549" i="16"/>
  <c r="J549" i="16"/>
  <c r="I549" i="16"/>
  <c r="H549" i="16"/>
  <c r="G549" i="16"/>
  <c r="F549" i="16"/>
  <c r="Q548" i="16"/>
  <c r="P548" i="16"/>
  <c r="O548" i="16"/>
  <c r="N548" i="16"/>
  <c r="M548" i="16"/>
  <c r="L548" i="16"/>
  <c r="K548" i="16"/>
  <c r="J548" i="16"/>
  <c r="I548" i="16"/>
  <c r="H548" i="16"/>
  <c r="G548" i="16"/>
  <c r="F548" i="16"/>
  <c r="Q547" i="16"/>
  <c r="P547" i="16"/>
  <c r="O547" i="16"/>
  <c r="N547" i="16"/>
  <c r="M547" i="16"/>
  <c r="L547" i="16"/>
  <c r="K547" i="16"/>
  <c r="J547" i="16"/>
  <c r="I547" i="16"/>
  <c r="H547" i="16"/>
  <c r="G547" i="16"/>
  <c r="F547" i="16"/>
  <c r="Q546" i="16"/>
  <c r="P546" i="16"/>
  <c r="O546" i="16"/>
  <c r="N546" i="16"/>
  <c r="M546" i="16"/>
  <c r="L546" i="16"/>
  <c r="K546" i="16"/>
  <c r="J546" i="16"/>
  <c r="I546" i="16"/>
  <c r="H546" i="16"/>
  <c r="G546" i="16"/>
  <c r="F546" i="16"/>
  <c r="Q545" i="16"/>
  <c r="P545" i="16"/>
  <c r="O545" i="16"/>
  <c r="N545" i="16"/>
  <c r="M545" i="16"/>
  <c r="L545" i="16"/>
  <c r="K545" i="16"/>
  <c r="J545" i="16"/>
  <c r="I545" i="16"/>
  <c r="H545" i="16"/>
  <c r="G545" i="16"/>
  <c r="F545" i="16"/>
  <c r="Q544" i="16"/>
  <c r="P544" i="16"/>
  <c r="O544" i="16"/>
  <c r="N544" i="16"/>
  <c r="M544" i="16"/>
  <c r="L544" i="16"/>
  <c r="K544" i="16"/>
  <c r="J544" i="16"/>
  <c r="I544" i="16"/>
  <c r="H544" i="16"/>
  <c r="G544" i="16"/>
  <c r="F544" i="16"/>
  <c r="Q543" i="16"/>
  <c r="P543" i="16"/>
  <c r="O543" i="16"/>
  <c r="N543" i="16"/>
  <c r="M543" i="16"/>
  <c r="L543" i="16"/>
  <c r="K543" i="16"/>
  <c r="J543" i="16"/>
  <c r="I543" i="16"/>
  <c r="H543" i="16"/>
  <c r="G543" i="16"/>
  <c r="F543" i="16"/>
  <c r="Q542" i="16"/>
  <c r="P542" i="16"/>
  <c r="O542" i="16"/>
  <c r="N542" i="16"/>
  <c r="M542" i="16"/>
  <c r="L542" i="16"/>
  <c r="K542" i="16"/>
  <c r="J542" i="16"/>
  <c r="I542" i="16"/>
  <c r="H542" i="16"/>
  <c r="G542" i="16"/>
  <c r="F542" i="16"/>
  <c r="Q541" i="16"/>
  <c r="P541" i="16"/>
  <c r="O541" i="16"/>
  <c r="N541" i="16"/>
  <c r="M541" i="16"/>
  <c r="L541" i="16"/>
  <c r="K541" i="16"/>
  <c r="J541" i="16"/>
  <c r="I541" i="16"/>
  <c r="H541" i="16"/>
  <c r="G541" i="16"/>
  <c r="F541" i="16"/>
  <c r="Q540" i="16"/>
  <c r="P540" i="16"/>
  <c r="O540" i="16"/>
  <c r="N540" i="16"/>
  <c r="M540" i="16"/>
  <c r="L540" i="16"/>
  <c r="K540" i="16"/>
  <c r="J540" i="16"/>
  <c r="I540" i="16"/>
  <c r="H540" i="16"/>
  <c r="G540" i="16"/>
  <c r="F540" i="16"/>
  <c r="Q539" i="16"/>
  <c r="P539" i="16"/>
  <c r="O539" i="16"/>
  <c r="N539" i="16"/>
  <c r="M539" i="16"/>
  <c r="L539" i="16"/>
  <c r="K539" i="16"/>
  <c r="J539" i="16"/>
  <c r="I539" i="16"/>
  <c r="H539" i="16"/>
  <c r="G539" i="16"/>
  <c r="F539" i="16"/>
  <c r="Q538" i="16"/>
  <c r="P538" i="16"/>
  <c r="O538" i="16"/>
  <c r="N538" i="16"/>
  <c r="M538" i="16"/>
  <c r="L538" i="16"/>
  <c r="K538" i="16"/>
  <c r="J538" i="16"/>
  <c r="I538" i="16"/>
  <c r="H538" i="16"/>
  <c r="G538" i="16"/>
  <c r="F538" i="16"/>
  <c r="Q537" i="16"/>
  <c r="P537" i="16"/>
  <c r="O537" i="16"/>
  <c r="N537" i="16"/>
  <c r="M537" i="16"/>
  <c r="L537" i="16"/>
  <c r="K537" i="16"/>
  <c r="J537" i="16"/>
  <c r="I537" i="16"/>
  <c r="H537" i="16"/>
  <c r="G537" i="16"/>
  <c r="F537" i="16"/>
  <c r="Q536" i="16"/>
  <c r="P536" i="16"/>
  <c r="O536" i="16"/>
  <c r="N536" i="16"/>
  <c r="M536" i="16"/>
  <c r="L536" i="16"/>
  <c r="K536" i="16"/>
  <c r="J536" i="16"/>
  <c r="I536" i="16"/>
  <c r="H536" i="16"/>
  <c r="G536" i="16"/>
  <c r="F536" i="16"/>
  <c r="Q535" i="16"/>
  <c r="P535" i="16"/>
  <c r="O535" i="16"/>
  <c r="N535" i="16"/>
  <c r="M535" i="16"/>
  <c r="L535" i="16"/>
  <c r="K535" i="16"/>
  <c r="J535" i="16"/>
  <c r="I535" i="16"/>
  <c r="H535" i="16"/>
  <c r="G535" i="16"/>
  <c r="F535" i="16"/>
  <c r="Q534" i="16"/>
  <c r="P534" i="16"/>
  <c r="O534" i="16"/>
  <c r="N534" i="16"/>
  <c r="M534" i="16"/>
  <c r="L534" i="16"/>
  <c r="K534" i="16"/>
  <c r="J534" i="16"/>
  <c r="I534" i="16"/>
  <c r="H534" i="16"/>
  <c r="G534" i="16"/>
  <c r="F534" i="16"/>
  <c r="Q533" i="16"/>
  <c r="P533" i="16"/>
  <c r="O533" i="16"/>
  <c r="N533" i="16"/>
  <c r="M533" i="16"/>
  <c r="L533" i="16"/>
  <c r="K533" i="16"/>
  <c r="J533" i="16"/>
  <c r="I533" i="16"/>
  <c r="H533" i="16"/>
  <c r="G533" i="16"/>
  <c r="F533" i="16"/>
  <c r="Q532" i="16"/>
  <c r="P532" i="16"/>
  <c r="O532" i="16"/>
  <c r="N532" i="16"/>
  <c r="M532" i="16"/>
  <c r="L532" i="16"/>
  <c r="K532" i="16"/>
  <c r="J532" i="16"/>
  <c r="I532" i="16"/>
  <c r="H532" i="16"/>
  <c r="G532" i="16"/>
  <c r="F532" i="16"/>
  <c r="Q531" i="16"/>
  <c r="P531" i="16"/>
  <c r="O531" i="16"/>
  <c r="N531" i="16"/>
  <c r="M531" i="16"/>
  <c r="L531" i="16"/>
  <c r="K531" i="16"/>
  <c r="J531" i="16"/>
  <c r="I531" i="16"/>
  <c r="H531" i="16"/>
  <c r="G531" i="16"/>
  <c r="F531" i="16"/>
  <c r="Q530" i="16"/>
  <c r="P530" i="16"/>
  <c r="O530" i="16"/>
  <c r="N530" i="16"/>
  <c r="M530" i="16"/>
  <c r="L530" i="16"/>
  <c r="K530" i="16"/>
  <c r="J530" i="16"/>
  <c r="I530" i="16"/>
  <c r="H530" i="16"/>
  <c r="G530" i="16"/>
  <c r="F530" i="16"/>
  <c r="Q529" i="16"/>
  <c r="P529" i="16"/>
  <c r="O529" i="16"/>
  <c r="N529" i="16"/>
  <c r="M529" i="16"/>
  <c r="L529" i="16"/>
  <c r="K529" i="16"/>
  <c r="J529" i="16"/>
  <c r="I529" i="16"/>
  <c r="H529" i="16"/>
  <c r="G529" i="16"/>
  <c r="F529" i="16"/>
  <c r="Q528" i="16"/>
  <c r="P528" i="16"/>
  <c r="O528" i="16"/>
  <c r="N528" i="16"/>
  <c r="M528" i="16"/>
  <c r="L528" i="16"/>
  <c r="K528" i="16"/>
  <c r="J528" i="16"/>
  <c r="I528" i="16"/>
  <c r="H528" i="16"/>
  <c r="G528" i="16"/>
  <c r="F528" i="16"/>
  <c r="Q527" i="16"/>
  <c r="P527" i="16"/>
  <c r="O527" i="16"/>
  <c r="N527" i="16"/>
  <c r="M527" i="16"/>
  <c r="L527" i="16"/>
  <c r="K527" i="16"/>
  <c r="J527" i="16"/>
  <c r="I527" i="16"/>
  <c r="H527" i="16"/>
  <c r="G527" i="16"/>
  <c r="F527" i="16"/>
  <c r="Q526" i="16"/>
  <c r="P526" i="16"/>
  <c r="O526" i="16"/>
  <c r="N526" i="16"/>
  <c r="M526" i="16"/>
  <c r="L526" i="16"/>
  <c r="K526" i="16"/>
  <c r="J526" i="16"/>
  <c r="I526" i="16"/>
  <c r="H526" i="16"/>
  <c r="G526" i="16"/>
  <c r="F526" i="16"/>
  <c r="Q525" i="16"/>
  <c r="P525" i="16"/>
  <c r="O525" i="16"/>
  <c r="N525" i="16"/>
  <c r="M525" i="16"/>
  <c r="L525" i="16"/>
  <c r="K525" i="16"/>
  <c r="J525" i="16"/>
  <c r="I525" i="16"/>
  <c r="H525" i="16"/>
  <c r="G525" i="16"/>
  <c r="F525" i="16"/>
  <c r="Q524" i="16"/>
  <c r="P524" i="16"/>
  <c r="O524" i="16"/>
  <c r="N524" i="16"/>
  <c r="M524" i="16"/>
  <c r="L524" i="16"/>
  <c r="K524" i="16"/>
  <c r="J524" i="16"/>
  <c r="I524" i="16"/>
  <c r="H524" i="16"/>
  <c r="G524" i="16"/>
  <c r="F524" i="16"/>
  <c r="Q523" i="16"/>
  <c r="P523" i="16"/>
  <c r="O523" i="16"/>
  <c r="N523" i="16"/>
  <c r="M523" i="16"/>
  <c r="L523" i="16"/>
  <c r="K523" i="16"/>
  <c r="J523" i="16"/>
  <c r="I523" i="16"/>
  <c r="H523" i="16"/>
  <c r="G523" i="16"/>
  <c r="F523" i="16"/>
  <c r="Q522" i="16"/>
  <c r="P522" i="16"/>
  <c r="O522" i="16"/>
  <c r="N522" i="16"/>
  <c r="M522" i="16"/>
  <c r="L522" i="16"/>
  <c r="K522" i="16"/>
  <c r="J522" i="16"/>
  <c r="I522" i="16"/>
  <c r="H522" i="16"/>
  <c r="G522" i="16"/>
  <c r="F522" i="16"/>
  <c r="Q521" i="16"/>
  <c r="P521" i="16"/>
  <c r="O521" i="16"/>
  <c r="N521" i="16"/>
  <c r="M521" i="16"/>
  <c r="L521" i="16"/>
  <c r="K521" i="16"/>
  <c r="J521" i="16"/>
  <c r="I521" i="16"/>
  <c r="H521" i="16"/>
  <c r="G521" i="16"/>
  <c r="F521" i="16"/>
  <c r="Q520" i="16"/>
  <c r="P520" i="16"/>
  <c r="O520" i="16"/>
  <c r="N520" i="16"/>
  <c r="M520" i="16"/>
  <c r="L520" i="16"/>
  <c r="K520" i="16"/>
  <c r="J520" i="16"/>
  <c r="I520" i="16"/>
  <c r="H520" i="16"/>
  <c r="G520" i="16"/>
  <c r="F520" i="16"/>
  <c r="Q519" i="16"/>
  <c r="P519" i="16"/>
  <c r="O519" i="16"/>
  <c r="N519" i="16"/>
  <c r="M519" i="16"/>
  <c r="L519" i="16"/>
  <c r="K519" i="16"/>
  <c r="J519" i="16"/>
  <c r="I519" i="16"/>
  <c r="H519" i="16"/>
  <c r="G519" i="16"/>
  <c r="F519" i="16"/>
  <c r="Q518" i="16"/>
  <c r="P518" i="16"/>
  <c r="O518" i="16"/>
  <c r="N518" i="16"/>
  <c r="M518" i="16"/>
  <c r="L518" i="16"/>
  <c r="K518" i="16"/>
  <c r="J518" i="16"/>
  <c r="I518" i="16"/>
  <c r="H518" i="16"/>
  <c r="G518" i="16"/>
  <c r="F518" i="16"/>
  <c r="Q517" i="16"/>
  <c r="P517" i="16"/>
  <c r="O517" i="16"/>
  <c r="N517" i="16"/>
  <c r="M517" i="16"/>
  <c r="L517" i="16"/>
  <c r="K517" i="16"/>
  <c r="J517" i="16"/>
  <c r="I517" i="16"/>
  <c r="H517" i="16"/>
  <c r="G517" i="16"/>
  <c r="F517" i="16"/>
  <c r="Q516" i="16"/>
  <c r="P516" i="16"/>
  <c r="O516" i="16"/>
  <c r="N516" i="16"/>
  <c r="M516" i="16"/>
  <c r="L516" i="16"/>
  <c r="K516" i="16"/>
  <c r="J516" i="16"/>
  <c r="I516" i="16"/>
  <c r="H516" i="16"/>
  <c r="G516" i="16"/>
  <c r="F516" i="16"/>
  <c r="Q515" i="16"/>
  <c r="P515" i="16"/>
  <c r="O515" i="16"/>
  <c r="N515" i="16"/>
  <c r="M515" i="16"/>
  <c r="L515" i="16"/>
  <c r="K515" i="16"/>
  <c r="J515" i="16"/>
  <c r="I515" i="16"/>
  <c r="H515" i="16"/>
  <c r="G515" i="16"/>
  <c r="F515" i="16"/>
  <c r="Q514" i="16"/>
  <c r="P514" i="16"/>
  <c r="O514" i="16"/>
  <c r="N514" i="16"/>
  <c r="M514" i="16"/>
  <c r="L514" i="16"/>
  <c r="K514" i="16"/>
  <c r="J514" i="16"/>
  <c r="I514" i="16"/>
  <c r="H514" i="16"/>
  <c r="G514" i="16"/>
  <c r="F514" i="16"/>
  <c r="Q513" i="16"/>
  <c r="P513" i="16"/>
  <c r="O513" i="16"/>
  <c r="N513" i="16"/>
  <c r="M513" i="16"/>
  <c r="L513" i="16"/>
  <c r="K513" i="16"/>
  <c r="J513" i="16"/>
  <c r="I513" i="16"/>
  <c r="H513" i="16"/>
  <c r="G513" i="16"/>
  <c r="F513" i="16"/>
  <c r="Q512" i="16"/>
  <c r="P512" i="16"/>
  <c r="O512" i="16"/>
  <c r="N512" i="16"/>
  <c r="M512" i="16"/>
  <c r="L512" i="16"/>
  <c r="K512" i="16"/>
  <c r="J512" i="16"/>
  <c r="I512" i="16"/>
  <c r="H512" i="16"/>
  <c r="G512" i="16"/>
  <c r="F512" i="16"/>
  <c r="Q511" i="16"/>
  <c r="P511" i="16"/>
  <c r="O511" i="16"/>
  <c r="N511" i="16"/>
  <c r="M511" i="16"/>
  <c r="L511" i="16"/>
  <c r="K511" i="16"/>
  <c r="J511" i="16"/>
  <c r="I511" i="16"/>
  <c r="H511" i="16"/>
  <c r="G511" i="16"/>
  <c r="F511" i="16"/>
  <c r="Q510" i="16"/>
  <c r="P510" i="16"/>
  <c r="O510" i="16"/>
  <c r="N510" i="16"/>
  <c r="M510" i="16"/>
  <c r="L510" i="16"/>
  <c r="K510" i="16"/>
  <c r="J510" i="16"/>
  <c r="I510" i="16"/>
  <c r="H510" i="16"/>
  <c r="G510" i="16"/>
  <c r="F510" i="16"/>
  <c r="Q509" i="16"/>
  <c r="P509" i="16"/>
  <c r="O509" i="16"/>
  <c r="N509" i="16"/>
  <c r="M509" i="16"/>
  <c r="L509" i="16"/>
  <c r="K509" i="16"/>
  <c r="J509" i="16"/>
  <c r="I509" i="16"/>
  <c r="H509" i="16"/>
  <c r="G509" i="16"/>
  <c r="F509" i="16"/>
  <c r="Q508" i="16"/>
  <c r="P508" i="16"/>
  <c r="O508" i="16"/>
  <c r="N508" i="16"/>
  <c r="M508" i="16"/>
  <c r="L508" i="16"/>
  <c r="K508" i="16"/>
  <c r="J508" i="16"/>
  <c r="I508" i="16"/>
  <c r="H508" i="16"/>
  <c r="G508" i="16"/>
  <c r="F508" i="16"/>
  <c r="Q507" i="16"/>
  <c r="P507" i="16"/>
  <c r="O507" i="16"/>
  <c r="N507" i="16"/>
  <c r="M507" i="16"/>
  <c r="L507" i="16"/>
  <c r="K507" i="16"/>
  <c r="J507" i="16"/>
  <c r="I507" i="16"/>
  <c r="H507" i="16"/>
  <c r="G507" i="16"/>
  <c r="F507" i="16"/>
  <c r="Q506" i="16"/>
  <c r="P506" i="16"/>
  <c r="O506" i="16"/>
  <c r="N506" i="16"/>
  <c r="M506" i="16"/>
  <c r="L506" i="16"/>
  <c r="K506" i="16"/>
  <c r="J506" i="16"/>
  <c r="I506" i="16"/>
  <c r="H506" i="16"/>
  <c r="G506" i="16"/>
  <c r="F506" i="16"/>
  <c r="Q505" i="16"/>
  <c r="P505" i="16"/>
  <c r="O505" i="16"/>
  <c r="N505" i="16"/>
  <c r="M505" i="16"/>
  <c r="L505" i="16"/>
  <c r="K505" i="16"/>
  <c r="J505" i="16"/>
  <c r="I505" i="16"/>
  <c r="H505" i="16"/>
  <c r="G505" i="16"/>
  <c r="F505" i="16"/>
  <c r="Q504" i="16"/>
  <c r="P504" i="16"/>
  <c r="O504" i="16"/>
  <c r="N504" i="16"/>
  <c r="M504" i="16"/>
  <c r="L504" i="16"/>
  <c r="K504" i="16"/>
  <c r="J504" i="16"/>
  <c r="I504" i="16"/>
  <c r="H504" i="16"/>
  <c r="G504" i="16"/>
  <c r="F504" i="16"/>
  <c r="Q503" i="16"/>
  <c r="P503" i="16"/>
  <c r="O503" i="16"/>
  <c r="N503" i="16"/>
  <c r="M503" i="16"/>
  <c r="L503" i="16"/>
  <c r="K503" i="16"/>
  <c r="J503" i="16"/>
  <c r="I503" i="16"/>
  <c r="H503" i="16"/>
  <c r="G503" i="16"/>
  <c r="F503" i="16"/>
  <c r="Q502" i="16"/>
  <c r="P502" i="16"/>
  <c r="O502" i="16"/>
  <c r="N502" i="16"/>
  <c r="M502" i="16"/>
  <c r="L502" i="16"/>
  <c r="K502" i="16"/>
  <c r="J502" i="16"/>
  <c r="I502" i="16"/>
  <c r="H502" i="16"/>
  <c r="G502" i="16"/>
  <c r="F502" i="16"/>
  <c r="Q501" i="16"/>
  <c r="P501" i="16"/>
  <c r="O501" i="16"/>
  <c r="N501" i="16"/>
  <c r="M501" i="16"/>
  <c r="L501" i="16"/>
  <c r="K501" i="16"/>
  <c r="J501" i="16"/>
  <c r="I501" i="16"/>
  <c r="H501" i="16"/>
  <c r="G501" i="16"/>
  <c r="F501" i="16"/>
  <c r="Q500" i="16"/>
  <c r="P500" i="16"/>
  <c r="O500" i="16"/>
  <c r="N500" i="16"/>
  <c r="M500" i="16"/>
  <c r="L500" i="16"/>
  <c r="K500" i="16"/>
  <c r="J500" i="16"/>
  <c r="I500" i="16"/>
  <c r="H500" i="16"/>
  <c r="G500" i="16"/>
  <c r="F500" i="16"/>
  <c r="Q499" i="16"/>
  <c r="P499" i="16"/>
  <c r="O499" i="16"/>
  <c r="N499" i="16"/>
  <c r="M499" i="16"/>
  <c r="L499" i="16"/>
  <c r="K499" i="16"/>
  <c r="J499" i="16"/>
  <c r="I499" i="16"/>
  <c r="H499" i="16"/>
  <c r="G499" i="16"/>
  <c r="F499" i="16"/>
  <c r="Q498" i="16"/>
  <c r="P498" i="16"/>
  <c r="O498" i="16"/>
  <c r="N498" i="16"/>
  <c r="M498" i="16"/>
  <c r="L498" i="16"/>
  <c r="K498" i="16"/>
  <c r="J498" i="16"/>
  <c r="I498" i="16"/>
  <c r="H498" i="16"/>
  <c r="G498" i="16"/>
  <c r="F498" i="16"/>
  <c r="Q497" i="16"/>
  <c r="P497" i="16"/>
  <c r="O497" i="16"/>
  <c r="N497" i="16"/>
  <c r="M497" i="16"/>
  <c r="L497" i="16"/>
  <c r="K497" i="16"/>
  <c r="J497" i="16"/>
  <c r="I497" i="16"/>
  <c r="H497" i="16"/>
  <c r="G497" i="16"/>
  <c r="F497" i="16"/>
  <c r="Q496" i="16"/>
  <c r="P496" i="16"/>
  <c r="O496" i="16"/>
  <c r="N496" i="16"/>
  <c r="M496" i="16"/>
  <c r="L496" i="16"/>
  <c r="K496" i="16"/>
  <c r="J496" i="16"/>
  <c r="I496" i="16"/>
  <c r="H496" i="16"/>
  <c r="G496" i="16"/>
  <c r="F496" i="16"/>
  <c r="Q495" i="16"/>
  <c r="P495" i="16"/>
  <c r="O495" i="16"/>
  <c r="N495" i="16"/>
  <c r="M495" i="16"/>
  <c r="L495" i="16"/>
  <c r="K495" i="16"/>
  <c r="J495" i="16"/>
  <c r="I495" i="16"/>
  <c r="H495" i="16"/>
  <c r="G495" i="16"/>
  <c r="F495" i="16"/>
  <c r="Q494" i="16"/>
  <c r="P494" i="16"/>
  <c r="O494" i="16"/>
  <c r="N494" i="16"/>
  <c r="M494" i="16"/>
  <c r="L494" i="16"/>
  <c r="K494" i="16"/>
  <c r="J494" i="16"/>
  <c r="I494" i="16"/>
  <c r="H494" i="16"/>
  <c r="G494" i="16"/>
  <c r="F494" i="16"/>
  <c r="Q493" i="16"/>
  <c r="P493" i="16"/>
  <c r="O493" i="16"/>
  <c r="N493" i="16"/>
  <c r="M493" i="16"/>
  <c r="L493" i="16"/>
  <c r="K493" i="16"/>
  <c r="J493" i="16"/>
  <c r="I493" i="16"/>
  <c r="H493" i="16"/>
  <c r="G493" i="16"/>
  <c r="F493" i="16"/>
  <c r="Q492" i="16"/>
  <c r="P492" i="16"/>
  <c r="O492" i="16"/>
  <c r="N492" i="16"/>
  <c r="M492" i="16"/>
  <c r="L492" i="16"/>
  <c r="K492" i="16"/>
  <c r="J492" i="16"/>
  <c r="I492" i="16"/>
  <c r="H492" i="16"/>
  <c r="G492" i="16"/>
  <c r="F492" i="16"/>
  <c r="Q491" i="16"/>
  <c r="P491" i="16"/>
  <c r="O491" i="16"/>
  <c r="N491" i="16"/>
  <c r="M491" i="16"/>
  <c r="L491" i="16"/>
  <c r="K491" i="16"/>
  <c r="J491" i="16"/>
  <c r="I491" i="16"/>
  <c r="H491" i="16"/>
  <c r="G491" i="16"/>
  <c r="F491" i="16"/>
  <c r="Q490" i="16"/>
  <c r="P490" i="16"/>
  <c r="O490" i="16"/>
  <c r="N490" i="16"/>
  <c r="M490" i="16"/>
  <c r="L490" i="16"/>
  <c r="K490" i="16"/>
  <c r="J490" i="16"/>
  <c r="I490" i="16"/>
  <c r="H490" i="16"/>
  <c r="G490" i="16"/>
  <c r="F490" i="16"/>
  <c r="Q489" i="16"/>
  <c r="P489" i="16"/>
  <c r="O489" i="16"/>
  <c r="N489" i="16"/>
  <c r="M489" i="16"/>
  <c r="L489" i="16"/>
  <c r="K489" i="16"/>
  <c r="J489" i="16"/>
  <c r="I489" i="16"/>
  <c r="H489" i="16"/>
  <c r="G489" i="16"/>
  <c r="F489" i="16"/>
  <c r="Q488" i="16"/>
  <c r="P488" i="16"/>
  <c r="O488" i="16"/>
  <c r="N488" i="16"/>
  <c r="M488" i="16"/>
  <c r="L488" i="16"/>
  <c r="K488" i="16"/>
  <c r="J488" i="16"/>
  <c r="I488" i="16"/>
  <c r="H488" i="16"/>
  <c r="G488" i="16"/>
  <c r="F488" i="16"/>
  <c r="Q487" i="16"/>
  <c r="P487" i="16"/>
  <c r="O487" i="16"/>
  <c r="N487" i="16"/>
  <c r="M487" i="16"/>
  <c r="L487" i="16"/>
  <c r="K487" i="16"/>
  <c r="J487" i="16"/>
  <c r="I487" i="16"/>
  <c r="H487" i="16"/>
  <c r="G487" i="16"/>
  <c r="F487" i="16"/>
  <c r="Q486" i="16"/>
  <c r="P486" i="16"/>
  <c r="O486" i="16"/>
  <c r="N486" i="16"/>
  <c r="M486" i="16"/>
  <c r="L486" i="16"/>
  <c r="K486" i="16"/>
  <c r="J486" i="16"/>
  <c r="I486" i="16"/>
  <c r="H486" i="16"/>
  <c r="G486" i="16"/>
  <c r="F486" i="16"/>
  <c r="Q485" i="16"/>
  <c r="P485" i="16"/>
  <c r="O485" i="16"/>
  <c r="N485" i="16"/>
  <c r="M485" i="16"/>
  <c r="L485" i="16"/>
  <c r="K485" i="16"/>
  <c r="J485" i="16"/>
  <c r="I485" i="16"/>
  <c r="H485" i="16"/>
  <c r="G485" i="16"/>
  <c r="F485" i="16"/>
  <c r="Q484" i="16"/>
  <c r="P484" i="16"/>
  <c r="O484" i="16"/>
  <c r="N484" i="16"/>
  <c r="M484" i="16"/>
  <c r="L484" i="16"/>
  <c r="K484" i="16"/>
  <c r="J484" i="16"/>
  <c r="I484" i="16"/>
  <c r="H484" i="16"/>
  <c r="G484" i="16"/>
  <c r="F484" i="16"/>
  <c r="Q483" i="16"/>
  <c r="P483" i="16"/>
  <c r="O483" i="16"/>
  <c r="N483" i="16"/>
  <c r="M483" i="16"/>
  <c r="L483" i="16"/>
  <c r="K483" i="16"/>
  <c r="J483" i="16"/>
  <c r="I483" i="16"/>
  <c r="H483" i="16"/>
  <c r="G483" i="16"/>
  <c r="F483" i="16"/>
  <c r="Q482" i="16"/>
  <c r="P482" i="16"/>
  <c r="O482" i="16"/>
  <c r="N482" i="16"/>
  <c r="M482" i="16"/>
  <c r="L482" i="16"/>
  <c r="K482" i="16"/>
  <c r="J482" i="16"/>
  <c r="I482" i="16"/>
  <c r="H482" i="16"/>
  <c r="G482" i="16"/>
  <c r="F482" i="16"/>
  <c r="Q481" i="16"/>
  <c r="P481" i="16"/>
  <c r="O481" i="16"/>
  <c r="N481" i="16"/>
  <c r="M481" i="16"/>
  <c r="L481" i="16"/>
  <c r="K481" i="16"/>
  <c r="J481" i="16"/>
  <c r="I481" i="16"/>
  <c r="H481" i="16"/>
  <c r="G481" i="16"/>
  <c r="F481" i="16"/>
  <c r="Q480" i="16"/>
  <c r="P480" i="16"/>
  <c r="O480" i="16"/>
  <c r="N480" i="16"/>
  <c r="M480" i="16"/>
  <c r="L480" i="16"/>
  <c r="K480" i="16"/>
  <c r="J480" i="16"/>
  <c r="I480" i="16"/>
  <c r="H480" i="16"/>
  <c r="G480" i="16"/>
  <c r="F480" i="16"/>
  <c r="Q479" i="16"/>
  <c r="P479" i="16"/>
  <c r="O479" i="16"/>
  <c r="N479" i="16"/>
  <c r="M479" i="16"/>
  <c r="L479" i="16"/>
  <c r="K479" i="16"/>
  <c r="J479" i="16"/>
  <c r="I479" i="16"/>
  <c r="H479" i="16"/>
  <c r="G479" i="16"/>
  <c r="F479" i="16"/>
  <c r="Q478" i="16"/>
  <c r="P478" i="16"/>
  <c r="O478" i="16"/>
  <c r="N478" i="16"/>
  <c r="M478" i="16"/>
  <c r="L478" i="16"/>
  <c r="K478" i="16"/>
  <c r="J478" i="16"/>
  <c r="I478" i="16"/>
  <c r="H478" i="16"/>
  <c r="G478" i="16"/>
  <c r="F478" i="16"/>
  <c r="Q477" i="16"/>
  <c r="P477" i="16"/>
  <c r="O477" i="16"/>
  <c r="N477" i="16"/>
  <c r="M477" i="16"/>
  <c r="L477" i="16"/>
  <c r="K477" i="16"/>
  <c r="J477" i="16"/>
  <c r="I477" i="16"/>
  <c r="H477" i="16"/>
  <c r="G477" i="16"/>
  <c r="F477" i="16"/>
  <c r="Q476" i="16"/>
  <c r="P476" i="16"/>
  <c r="O476" i="16"/>
  <c r="N476" i="16"/>
  <c r="M476" i="16"/>
  <c r="L476" i="16"/>
  <c r="K476" i="16"/>
  <c r="J476" i="16"/>
  <c r="I476" i="16"/>
  <c r="H476" i="16"/>
  <c r="G476" i="16"/>
  <c r="F476" i="16"/>
  <c r="Q475" i="16"/>
  <c r="P475" i="16"/>
  <c r="O475" i="16"/>
  <c r="N475" i="16"/>
  <c r="M475" i="16"/>
  <c r="L475" i="16"/>
  <c r="K475" i="16"/>
  <c r="J475" i="16"/>
  <c r="I475" i="16"/>
  <c r="H475" i="16"/>
  <c r="G475" i="16"/>
  <c r="F475" i="16"/>
  <c r="Q474" i="16"/>
  <c r="P474" i="16"/>
  <c r="O474" i="16"/>
  <c r="N474" i="16"/>
  <c r="M474" i="16"/>
  <c r="L474" i="16"/>
  <c r="K474" i="16"/>
  <c r="J474" i="16"/>
  <c r="I474" i="16"/>
  <c r="H474" i="16"/>
  <c r="G474" i="16"/>
  <c r="F474" i="16"/>
  <c r="Q473" i="16"/>
  <c r="P473" i="16"/>
  <c r="O473" i="16"/>
  <c r="N473" i="16"/>
  <c r="M473" i="16"/>
  <c r="L473" i="16"/>
  <c r="K473" i="16"/>
  <c r="J473" i="16"/>
  <c r="I473" i="16"/>
  <c r="H473" i="16"/>
  <c r="G473" i="16"/>
  <c r="F473" i="16"/>
  <c r="Q472" i="16"/>
  <c r="P472" i="16"/>
  <c r="O472" i="16"/>
  <c r="N472" i="16"/>
  <c r="M472" i="16"/>
  <c r="L472" i="16"/>
  <c r="K472" i="16"/>
  <c r="J472" i="16"/>
  <c r="I472" i="16"/>
  <c r="H472" i="16"/>
  <c r="G472" i="16"/>
  <c r="F472" i="16"/>
  <c r="Q471" i="16"/>
  <c r="P471" i="16"/>
  <c r="O471" i="16"/>
  <c r="N471" i="16"/>
  <c r="M471" i="16"/>
  <c r="L471" i="16"/>
  <c r="K471" i="16"/>
  <c r="J471" i="16"/>
  <c r="I471" i="16"/>
  <c r="H471" i="16"/>
  <c r="G471" i="16"/>
  <c r="F471" i="16"/>
  <c r="Q470" i="16"/>
  <c r="P470" i="16"/>
  <c r="O470" i="16"/>
  <c r="N470" i="16"/>
  <c r="M470" i="16"/>
  <c r="L470" i="16"/>
  <c r="K470" i="16"/>
  <c r="J470" i="16"/>
  <c r="I470" i="16"/>
  <c r="H470" i="16"/>
  <c r="G470" i="16"/>
  <c r="F470" i="16"/>
  <c r="Q469" i="16"/>
  <c r="P469" i="16"/>
  <c r="O469" i="16"/>
  <c r="N469" i="16"/>
  <c r="M469" i="16"/>
  <c r="L469" i="16"/>
  <c r="K469" i="16"/>
  <c r="J469" i="16"/>
  <c r="I469" i="16"/>
  <c r="H469" i="16"/>
  <c r="G469" i="16"/>
  <c r="F469" i="16"/>
  <c r="Q468" i="16"/>
  <c r="P468" i="16"/>
  <c r="O468" i="16"/>
  <c r="N468" i="16"/>
  <c r="M468" i="16"/>
  <c r="L468" i="16"/>
  <c r="K468" i="16"/>
  <c r="J468" i="16"/>
  <c r="I468" i="16"/>
  <c r="H468" i="16"/>
  <c r="G468" i="16"/>
  <c r="F468" i="16"/>
  <c r="Q467" i="16"/>
  <c r="P467" i="16"/>
  <c r="O467" i="16"/>
  <c r="N467" i="16"/>
  <c r="M467" i="16"/>
  <c r="L467" i="16"/>
  <c r="K467" i="16"/>
  <c r="J467" i="16"/>
  <c r="I467" i="16"/>
  <c r="H467" i="16"/>
  <c r="G467" i="16"/>
  <c r="F467" i="16"/>
  <c r="Q466" i="16"/>
  <c r="P466" i="16"/>
  <c r="O466" i="16"/>
  <c r="N466" i="16"/>
  <c r="M466" i="16"/>
  <c r="L466" i="16"/>
  <c r="K466" i="16"/>
  <c r="J466" i="16"/>
  <c r="I466" i="16"/>
  <c r="H466" i="16"/>
  <c r="G466" i="16"/>
  <c r="F466" i="16"/>
  <c r="Q465" i="16"/>
  <c r="P465" i="16"/>
  <c r="O465" i="16"/>
  <c r="N465" i="16"/>
  <c r="M465" i="16"/>
  <c r="L465" i="16"/>
  <c r="K465" i="16"/>
  <c r="J465" i="16"/>
  <c r="I465" i="16"/>
  <c r="H465" i="16"/>
  <c r="G465" i="16"/>
  <c r="F465" i="16"/>
  <c r="Q464" i="16"/>
  <c r="P464" i="16"/>
  <c r="O464" i="16"/>
  <c r="N464" i="16"/>
  <c r="M464" i="16"/>
  <c r="L464" i="16"/>
  <c r="K464" i="16"/>
  <c r="J464" i="16"/>
  <c r="I464" i="16"/>
  <c r="H464" i="16"/>
  <c r="G464" i="16"/>
  <c r="F464" i="16"/>
  <c r="Q463" i="16"/>
  <c r="P463" i="16"/>
  <c r="O463" i="16"/>
  <c r="N463" i="16"/>
  <c r="M463" i="16"/>
  <c r="L463" i="16"/>
  <c r="K463" i="16"/>
  <c r="J463" i="16"/>
  <c r="I463" i="16"/>
  <c r="H463" i="16"/>
  <c r="G463" i="16"/>
  <c r="F463" i="16"/>
  <c r="Q462" i="16"/>
  <c r="P462" i="16"/>
  <c r="O462" i="16"/>
  <c r="N462" i="16"/>
  <c r="M462" i="16"/>
  <c r="L462" i="16"/>
  <c r="K462" i="16"/>
  <c r="J462" i="16"/>
  <c r="I462" i="16"/>
  <c r="H462" i="16"/>
  <c r="G462" i="16"/>
  <c r="F462" i="16"/>
  <c r="Q461" i="16"/>
  <c r="P461" i="16"/>
  <c r="O461" i="16"/>
  <c r="N461" i="16"/>
  <c r="M461" i="16"/>
  <c r="L461" i="16"/>
  <c r="K461" i="16"/>
  <c r="J461" i="16"/>
  <c r="I461" i="16"/>
  <c r="H461" i="16"/>
  <c r="G461" i="16"/>
  <c r="F461" i="16"/>
  <c r="Q460" i="16"/>
  <c r="P460" i="16"/>
  <c r="O460" i="16"/>
  <c r="N460" i="16"/>
  <c r="M460" i="16"/>
  <c r="L460" i="16"/>
  <c r="K460" i="16"/>
  <c r="J460" i="16"/>
  <c r="I460" i="16"/>
  <c r="H460" i="16"/>
  <c r="G460" i="16"/>
  <c r="F460" i="16"/>
  <c r="Q459" i="16"/>
  <c r="P459" i="16"/>
  <c r="O459" i="16"/>
  <c r="N459" i="16"/>
  <c r="M459" i="16"/>
  <c r="L459" i="16"/>
  <c r="K459" i="16"/>
  <c r="J459" i="16"/>
  <c r="I459" i="16"/>
  <c r="H459" i="16"/>
  <c r="G459" i="16"/>
  <c r="F459" i="16"/>
  <c r="Q458" i="16"/>
  <c r="P458" i="16"/>
  <c r="O458" i="16"/>
  <c r="N458" i="16"/>
  <c r="M458" i="16"/>
  <c r="L458" i="16"/>
  <c r="K458" i="16"/>
  <c r="J458" i="16"/>
  <c r="I458" i="16"/>
  <c r="H458" i="16"/>
  <c r="G458" i="16"/>
  <c r="F458" i="16"/>
  <c r="Q457" i="16"/>
  <c r="P457" i="16"/>
  <c r="O457" i="16"/>
  <c r="N457" i="16"/>
  <c r="M457" i="16"/>
  <c r="L457" i="16"/>
  <c r="K457" i="16"/>
  <c r="J457" i="16"/>
  <c r="I457" i="16"/>
  <c r="H457" i="16"/>
  <c r="G457" i="16"/>
  <c r="F457" i="16"/>
  <c r="Q456" i="16"/>
  <c r="P456" i="16"/>
  <c r="O456" i="16"/>
  <c r="N456" i="16"/>
  <c r="M456" i="16"/>
  <c r="L456" i="16"/>
  <c r="K456" i="16"/>
  <c r="J456" i="16"/>
  <c r="I456" i="16"/>
  <c r="H456" i="16"/>
  <c r="G456" i="16"/>
  <c r="F456" i="16"/>
  <c r="Q455" i="16"/>
  <c r="P455" i="16"/>
  <c r="O455" i="16"/>
  <c r="N455" i="16"/>
  <c r="M455" i="16"/>
  <c r="L455" i="16"/>
  <c r="K455" i="16"/>
  <c r="J455" i="16"/>
  <c r="I455" i="16"/>
  <c r="H455" i="16"/>
  <c r="G455" i="16"/>
  <c r="F455" i="16"/>
  <c r="Q454" i="16"/>
  <c r="P454" i="16"/>
  <c r="O454" i="16"/>
  <c r="N454" i="16"/>
  <c r="M454" i="16"/>
  <c r="L454" i="16"/>
  <c r="K454" i="16"/>
  <c r="J454" i="16"/>
  <c r="I454" i="16"/>
  <c r="H454" i="16"/>
  <c r="G454" i="16"/>
  <c r="F454" i="16"/>
  <c r="Q453" i="16"/>
  <c r="P453" i="16"/>
  <c r="O453" i="16"/>
  <c r="N453" i="16"/>
  <c r="M453" i="16"/>
  <c r="L453" i="16"/>
  <c r="K453" i="16"/>
  <c r="J453" i="16"/>
  <c r="I453" i="16"/>
  <c r="H453" i="16"/>
  <c r="G453" i="16"/>
  <c r="F453" i="16"/>
  <c r="Q452" i="16"/>
  <c r="P452" i="16"/>
  <c r="O452" i="16"/>
  <c r="N452" i="16"/>
  <c r="M452" i="16"/>
  <c r="L452" i="16"/>
  <c r="K452" i="16"/>
  <c r="J452" i="16"/>
  <c r="I452" i="16"/>
  <c r="H452" i="16"/>
  <c r="G452" i="16"/>
  <c r="F452" i="16"/>
  <c r="Q451" i="16"/>
  <c r="P451" i="16"/>
  <c r="O451" i="16"/>
  <c r="N451" i="16"/>
  <c r="M451" i="16"/>
  <c r="L451" i="16"/>
  <c r="K451" i="16"/>
  <c r="J451" i="16"/>
  <c r="I451" i="16"/>
  <c r="H451" i="16"/>
  <c r="G451" i="16"/>
  <c r="F451" i="16"/>
  <c r="Q450" i="16"/>
  <c r="P450" i="16"/>
  <c r="O450" i="16"/>
  <c r="N450" i="16"/>
  <c r="M450" i="16"/>
  <c r="L450" i="16"/>
  <c r="K450" i="16"/>
  <c r="J450" i="16"/>
  <c r="I450" i="16"/>
  <c r="H450" i="16"/>
  <c r="G450" i="16"/>
  <c r="F450" i="16"/>
  <c r="Q449" i="16"/>
  <c r="P449" i="16"/>
  <c r="O449" i="16"/>
  <c r="N449" i="16"/>
  <c r="M449" i="16"/>
  <c r="L449" i="16"/>
  <c r="K449" i="16"/>
  <c r="J449" i="16"/>
  <c r="I449" i="16"/>
  <c r="H449" i="16"/>
  <c r="G449" i="16"/>
  <c r="F449" i="16"/>
  <c r="Q448" i="16"/>
  <c r="P448" i="16"/>
  <c r="O448" i="16"/>
  <c r="N448" i="16"/>
  <c r="M448" i="16"/>
  <c r="L448" i="16"/>
  <c r="K448" i="16"/>
  <c r="J448" i="16"/>
  <c r="I448" i="16"/>
  <c r="H448" i="16"/>
  <c r="G448" i="16"/>
  <c r="F448" i="16"/>
  <c r="Q447" i="16"/>
  <c r="P447" i="16"/>
  <c r="O447" i="16"/>
  <c r="N447" i="16"/>
  <c r="M447" i="16"/>
  <c r="L447" i="16"/>
  <c r="K447" i="16"/>
  <c r="J447" i="16"/>
  <c r="I447" i="16"/>
  <c r="H447" i="16"/>
  <c r="G447" i="16"/>
  <c r="F447" i="16"/>
  <c r="Q446" i="16"/>
  <c r="P446" i="16"/>
  <c r="O446" i="16"/>
  <c r="N446" i="16"/>
  <c r="M446" i="16"/>
  <c r="L446" i="16"/>
  <c r="K446" i="16"/>
  <c r="J446" i="16"/>
  <c r="I446" i="16"/>
  <c r="H446" i="16"/>
  <c r="G446" i="16"/>
  <c r="F446" i="16"/>
  <c r="Q445" i="16"/>
  <c r="P445" i="16"/>
  <c r="O445" i="16"/>
  <c r="N445" i="16"/>
  <c r="M445" i="16"/>
  <c r="L445" i="16"/>
  <c r="K445" i="16"/>
  <c r="J445" i="16"/>
  <c r="I445" i="16"/>
  <c r="H445" i="16"/>
  <c r="G445" i="16"/>
  <c r="F445" i="16"/>
  <c r="Q444" i="16"/>
  <c r="P444" i="16"/>
  <c r="O444" i="16"/>
  <c r="N444" i="16"/>
  <c r="M444" i="16"/>
  <c r="L444" i="16"/>
  <c r="K444" i="16"/>
  <c r="J444" i="16"/>
  <c r="I444" i="16"/>
  <c r="H444" i="16"/>
  <c r="G444" i="16"/>
  <c r="F444" i="16"/>
  <c r="Q443" i="16"/>
  <c r="P443" i="16"/>
  <c r="O443" i="16"/>
  <c r="N443" i="16"/>
  <c r="M443" i="16"/>
  <c r="L443" i="16"/>
  <c r="K443" i="16"/>
  <c r="J443" i="16"/>
  <c r="I443" i="16"/>
  <c r="H443" i="16"/>
  <c r="G443" i="16"/>
  <c r="F443" i="16"/>
  <c r="Q442" i="16"/>
  <c r="P442" i="16"/>
  <c r="O442" i="16"/>
  <c r="N442" i="16"/>
  <c r="M442" i="16"/>
  <c r="L442" i="16"/>
  <c r="K442" i="16"/>
  <c r="J442" i="16"/>
  <c r="I442" i="16"/>
  <c r="H442" i="16"/>
  <c r="G442" i="16"/>
  <c r="F442" i="16"/>
  <c r="Q441" i="16"/>
  <c r="P441" i="16"/>
  <c r="O441" i="16"/>
  <c r="N441" i="16"/>
  <c r="M441" i="16"/>
  <c r="L441" i="16"/>
  <c r="K441" i="16"/>
  <c r="J441" i="16"/>
  <c r="I441" i="16"/>
  <c r="H441" i="16"/>
  <c r="G441" i="16"/>
  <c r="F441" i="16"/>
  <c r="Q440" i="16"/>
  <c r="P440" i="16"/>
  <c r="O440" i="16"/>
  <c r="N440" i="16"/>
  <c r="M440" i="16"/>
  <c r="L440" i="16"/>
  <c r="K440" i="16"/>
  <c r="J440" i="16"/>
  <c r="I440" i="16"/>
  <c r="H440" i="16"/>
  <c r="G440" i="16"/>
  <c r="F440" i="16"/>
  <c r="Q439" i="16"/>
  <c r="P439" i="16"/>
  <c r="O439" i="16"/>
  <c r="N439" i="16"/>
  <c r="M439" i="16"/>
  <c r="L439" i="16"/>
  <c r="K439" i="16"/>
  <c r="J439" i="16"/>
  <c r="I439" i="16"/>
  <c r="H439" i="16"/>
  <c r="G439" i="16"/>
  <c r="F439" i="16"/>
  <c r="Q438" i="16"/>
  <c r="P438" i="16"/>
  <c r="O438" i="16"/>
  <c r="N438" i="16"/>
  <c r="M438" i="16"/>
  <c r="L438" i="16"/>
  <c r="K438" i="16"/>
  <c r="J438" i="16"/>
  <c r="I438" i="16"/>
  <c r="H438" i="16"/>
  <c r="G438" i="16"/>
  <c r="F438" i="16"/>
  <c r="Q437" i="16"/>
  <c r="P437" i="16"/>
  <c r="O437" i="16"/>
  <c r="N437" i="16"/>
  <c r="M437" i="16"/>
  <c r="L437" i="16"/>
  <c r="K437" i="16"/>
  <c r="J437" i="16"/>
  <c r="I437" i="16"/>
  <c r="H437" i="16"/>
  <c r="G437" i="16"/>
  <c r="F437" i="16"/>
  <c r="Q436" i="16"/>
  <c r="P436" i="16"/>
  <c r="O436" i="16"/>
  <c r="N436" i="16"/>
  <c r="M436" i="16"/>
  <c r="L436" i="16"/>
  <c r="K436" i="16"/>
  <c r="J436" i="16"/>
  <c r="I436" i="16"/>
  <c r="H436" i="16"/>
  <c r="G436" i="16"/>
  <c r="F436" i="16"/>
  <c r="Q435" i="16"/>
  <c r="P435" i="16"/>
  <c r="O435" i="16"/>
  <c r="N435" i="16"/>
  <c r="M435" i="16"/>
  <c r="L435" i="16"/>
  <c r="K435" i="16"/>
  <c r="J435" i="16"/>
  <c r="I435" i="16"/>
  <c r="H435" i="16"/>
  <c r="G435" i="16"/>
  <c r="F435" i="16"/>
  <c r="Q434" i="16"/>
  <c r="P434" i="16"/>
  <c r="O434" i="16"/>
  <c r="N434" i="16"/>
  <c r="M434" i="16"/>
  <c r="L434" i="16"/>
  <c r="K434" i="16"/>
  <c r="J434" i="16"/>
  <c r="I434" i="16"/>
  <c r="H434" i="16"/>
  <c r="G434" i="16"/>
  <c r="F434" i="16"/>
  <c r="Q433" i="16"/>
  <c r="P433" i="16"/>
  <c r="O433" i="16"/>
  <c r="N433" i="16"/>
  <c r="M433" i="16"/>
  <c r="L433" i="16"/>
  <c r="K433" i="16"/>
  <c r="J433" i="16"/>
  <c r="I433" i="16"/>
  <c r="H433" i="16"/>
  <c r="G433" i="16"/>
  <c r="F433" i="16"/>
  <c r="Q432" i="16"/>
  <c r="P432" i="16"/>
  <c r="O432" i="16"/>
  <c r="N432" i="16"/>
  <c r="M432" i="16"/>
  <c r="L432" i="16"/>
  <c r="K432" i="16"/>
  <c r="J432" i="16"/>
  <c r="I432" i="16"/>
  <c r="H432" i="16"/>
  <c r="G432" i="16"/>
  <c r="F432" i="16"/>
  <c r="Q431" i="16"/>
  <c r="P431" i="16"/>
  <c r="O431" i="16"/>
  <c r="N431" i="16"/>
  <c r="M431" i="16"/>
  <c r="L431" i="16"/>
  <c r="K431" i="16"/>
  <c r="J431" i="16"/>
  <c r="I431" i="16"/>
  <c r="H431" i="16"/>
  <c r="G431" i="16"/>
  <c r="F431" i="16"/>
  <c r="Q430" i="16"/>
  <c r="P430" i="16"/>
  <c r="O430" i="16"/>
  <c r="N430" i="16"/>
  <c r="M430" i="16"/>
  <c r="L430" i="16"/>
  <c r="K430" i="16"/>
  <c r="J430" i="16"/>
  <c r="I430" i="16"/>
  <c r="H430" i="16"/>
  <c r="G430" i="16"/>
  <c r="F430" i="16"/>
  <c r="Q429" i="16"/>
  <c r="P429" i="16"/>
  <c r="O429" i="16"/>
  <c r="N429" i="16"/>
  <c r="M429" i="16"/>
  <c r="L429" i="16"/>
  <c r="K429" i="16"/>
  <c r="J429" i="16"/>
  <c r="I429" i="16"/>
  <c r="H429" i="16"/>
  <c r="G429" i="16"/>
  <c r="F429" i="16"/>
  <c r="Q428" i="16"/>
  <c r="P428" i="16"/>
  <c r="O428" i="16"/>
  <c r="N428" i="16"/>
  <c r="M428" i="16"/>
  <c r="L428" i="16"/>
  <c r="K428" i="16"/>
  <c r="J428" i="16"/>
  <c r="I428" i="16"/>
  <c r="H428" i="16"/>
  <c r="G428" i="16"/>
  <c r="F428" i="16"/>
  <c r="Q427" i="16"/>
  <c r="P427" i="16"/>
  <c r="O427" i="16"/>
  <c r="N427" i="16"/>
  <c r="M427" i="16"/>
  <c r="L427" i="16"/>
  <c r="K427" i="16"/>
  <c r="J427" i="16"/>
  <c r="I427" i="16"/>
  <c r="H427" i="16"/>
  <c r="G427" i="16"/>
  <c r="F427" i="16"/>
  <c r="Q426" i="16"/>
  <c r="P426" i="16"/>
  <c r="O426" i="16"/>
  <c r="N426" i="16"/>
  <c r="M426" i="16"/>
  <c r="L426" i="16"/>
  <c r="K426" i="16"/>
  <c r="J426" i="16"/>
  <c r="I426" i="16"/>
  <c r="H426" i="16"/>
  <c r="G426" i="16"/>
  <c r="F426" i="16"/>
  <c r="Q425" i="16"/>
  <c r="P425" i="16"/>
  <c r="O425" i="16"/>
  <c r="N425" i="16"/>
  <c r="M425" i="16"/>
  <c r="L425" i="16"/>
  <c r="K425" i="16"/>
  <c r="J425" i="16"/>
  <c r="I425" i="16"/>
  <c r="H425" i="16"/>
  <c r="G425" i="16"/>
  <c r="F425" i="16"/>
  <c r="Q424" i="16"/>
  <c r="P424" i="16"/>
  <c r="O424" i="16"/>
  <c r="N424" i="16"/>
  <c r="M424" i="16"/>
  <c r="L424" i="16"/>
  <c r="K424" i="16"/>
  <c r="J424" i="16"/>
  <c r="I424" i="16"/>
  <c r="H424" i="16"/>
  <c r="G424" i="16"/>
  <c r="F424" i="16"/>
  <c r="Q423" i="16"/>
  <c r="P423" i="16"/>
  <c r="O423" i="16"/>
  <c r="N423" i="16"/>
  <c r="M423" i="16"/>
  <c r="L423" i="16"/>
  <c r="K423" i="16"/>
  <c r="J423" i="16"/>
  <c r="I423" i="16"/>
  <c r="H423" i="16"/>
  <c r="G423" i="16"/>
  <c r="F423" i="16"/>
  <c r="Q422" i="16"/>
  <c r="P422" i="16"/>
  <c r="O422" i="16"/>
  <c r="N422" i="16"/>
  <c r="M422" i="16"/>
  <c r="L422" i="16"/>
  <c r="K422" i="16"/>
  <c r="J422" i="16"/>
  <c r="I422" i="16"/>
  <c r="H422" i="16"/>
  <c r="G422" i="16"/>
  <c r="F422" i="16"/>
  <c r="Q421" i="16"/>
  <c r="P421" i="16"/>
  <c r="O421" i="16"/>
  <c r="N421" i="16"/>
  <c r="M421" i="16"/>
  <c r="L421" i="16"/>
  <c r="K421" i="16"/>
  <c r="J421" i="16"/>
  <c r="I421" i="16"/>
  <c r="H421" i="16"/>
  <c r="G421" i="16"/>
  <c r="F421" i="16"/>
  <c r="Q420" i="16"/>
  <c r="P420" i="16"/>
  <c r="O420" i="16"/>
  <c r="N420" i="16"/>
  <c r="M420" i="16"/>
  <c r="L420" i="16"/>
  <c r="K420" i="16"/>
  <c r="J420" i="16"/>
  <c r="I420" i="16"/>
  <c r="H420" i="16"/>
  <c r="G420" i="16"/>
  <c r="F420" i="16"/>
  <c r="Q419" i="16"/>
  <c r="P419" i="16"/>
  <c r="O419" i="16"/>
  <c r="N419" i="16"/>
  <c r="M419" i="16"/>
  <c r="L419" i="16"/>
  <c r="K419" i="16"/>
  <c r="J419" i="16"/>
  <c r="I419" i="16"/>
  <c r="H419" i="16"/>
  <c r="G419" i="16"/>
  <c r="F419" i="16"/>
  <c r="Q418" i="16"/>
  <c r="P418" i="16"/>
  <c r="O418" i="16"/>
  <c r="N418" i="16"/>
  <c r="M418" i="16"/>
  <c r="L418" i="16"/>
  <c r="K418" i="16"/>
  <c r="J418" i="16"/>
  <c r="I418" i="16"/>
  <c r="H418" i="16"/>
  <c r="G418" i="16"/>
  <c r="F418" i="16"/>
  <c r="Q417" i="16"/>
  <c r="P417" i="16"/>
  <c r="O417" i="16"/>
  <c r="N417" i="16"/>
  <c r="M417" i="16"/>
  <c r="L417" i="16"/>
  <c r="K417" i="16"/>
  <c r="J417" i="16"/>
  <c r="I417" i="16"/>
  <c r="H417" i="16"/>
  <c r="G417" i="16"/>
  <c r="F417" i="16"/>
  <c r="Q416" i="16"/>
  <c r="P416" i="16"/>
  <c r="O416" i="16"/>
  <c r="N416" i="16"/>
  <c r="M416" i="16"/>
  <c r="L416" i="16"/>
  <c r="K416" i="16"/>
  <c r="J416" i="16"/>
  <c r="I416" i="16"/>
  <c r="H416" i="16"/>
  <c r="G416" i="16"/>
  <c r="F416" i="16"/>
  <c r="Q415" i="16"/>
  <c r="P415" i="16"/>
  <c r="O415" i="16"/>
  <c r="N415" i="16"/>
  <c r="M415" i="16"/>
  <c r="L415" i="16"/>
  <c r="K415" i="16"/>
  <c r="J415" i="16"/>
  <c r="I415" i="16"/>
  <c r="H415" i="16"/>
  <c r="G415" i="16"/>
  <c r="F415" i="16"/>
  <c r="Q414" i="16"/>
  <c r="P414" i="16"/>
  <c r="O414" i="16"/>
  <c r="N414" i="16"/>
  <c r="M414" i="16"/>
  <c r="L414" i="16"/>
  <c r="K414" i="16"/>
  <c r="J414" i="16"/>
  <c r="I414" i="16"/>
  <c r="H414" i="16"/>
  <c r="G414" i="16"/>
  <c r="F414" i="16"/>
  <c r="Q413" i="16"/>
  <c r="P413" i="16"/>
  <c r="O413" i="16"/>
  <c r="N413" i="16"/>
  <c r="M413" i="16"/>
  <c r="L413" i="16"/>
  <c r="K413" i="16"/>
  <c r="J413" i="16"/>
  <c r="I413" i="16"/>
  <c r="H413" i="16"/>
  <c r="G413" i="16"/>
  <c r="F413" i="16"/>
  <c r="Q412" i="16"/>
  <c r="P412" i="16"/>
  <c r="O412" i="16"/>
  <c r="N412" i="16"/>
  <c r="M412" i="16"/>
  <c r="L412" i="16"/>
  <c r="K412" i="16"/>
  <c r="J412" i="16"/>
  <c r="I412" i="16"/>
  <c r="H412" i="16"/>
  <c r="G412" i="16"/>
  <c r="F412" i="16"/>
  <c r="Q411" i="16"/>
  <c r="P411" i="16"/>
  <c r="O411" i="16"/>
  <c r="N411" i="16"/>
  <c r="M411" i="16"/>
  <c r="L411" i="16"/>
  <c r="K411" i="16"/>
  <c r="J411" i="16"/>
  <c r="I411" i="16"/>
  <c r="H411" i="16"/>
  <c r="G411" i="16"/>
  <c r="F411" i="16"/>
  <c r="Q410" i="16"/>
  <c r="P410" i="16"/>
  <c r="O410" i="16"/>
  <c r="N410" i="16"/>
  <c r="M410" i="16"/>
  <c r="L410" i="16"/>
  <c r="K410" i="16"/>
  <c r="J410" i="16"/>
  <c r="I410" i="16"/>
  <c r="H410" i="16"/>
  <c r="G410" i="16"/>
  <c r="F410" i="16"/>
  <c r="Q409" i="16"/>
  <c r="P409" i="16"/>
  <c r="O409" i="16"/>
  <c r="N409" i="16"/>
  <c r="M409" i="16"/>
  <c r="L409" i="16"/>
  <c r="K409" i="16"/>
  <c r="J409" i="16"/>
  <c r="I409" i="16"/>
  <c r="H409" i="16"/>
  <c r="G409" i="16"/>
  <c r="F409" i="16"/>
  <c r="Q408" i="16"/>
  <c r="P408" i="16"/>
  <c r="O408" i="16"/>
  <c r="N408" i="16"/>
  <c r="M408" i="16"/>
  <c r="L408" i="16"/>
  <c r="K408" i="16"/>
  <c r="J408" i="16"/>
  <c r="I408" i="16"/>
  <c r="H408" i="16"/>
  <c r="G408" i="16"/>
  <c r="F408" i="16"/>
  <c r="Q407" i="16"/>
  <c r="P407" i="16"/>
  <c r="O407" i="16"/>
  <c r="N407" i="16"/>
  <c r="M407" i="16"/>
  <c r="L407" i="16"/>
  <c r="K407" i="16"/>
  <c r="J407" i="16"/>
  <c r="I407" i="16"/>
  <c r="H407" i="16"/>
  <c r="G407" i="16"/>
  <c r="F407" i="16"/>
  <c r="Q406" i="16"/>
  <c r="P406" i="16"/>
  <c r="O406" i="16"/>
  <c r="N406" i="16"/>
  <c r="M406" i="16"/>
  <c r="L406" i="16"/>
  <c r="K406" i="16"/>
  <c r="J406" i="16"/>
  <c r="I406" i="16"/>
  <c r="H406" i="16"/>
  <c r="G406" i="16"/>
  <c r="F406" i="16"/>
  <c r="Q405" i="16"/>
  <c r="P405" i="16"/>
  <c r="O405" i="16"/>
  <c r="N405" i="16"/>
  <c r="M405" i="16"/>
  <c r="L405" i="16"/>
  <c r="K405" i="16"/>
  <c r="J405" i="16"/>
  <c r="I405" i="16"/>
  <c r="H405" i="16"/>
  <c r="G405" i="16"/>
  <c r="F405" i="16"/>
  <c r="Q404" i="16"/>
  <c r="P404" i="16"/>
  <c r="O404" i="16"/>
  <c r="N404" i="16"/>
  <c r="M404" i="16"/>
  <c r="L404" i="16"/>
  <c r="K404" i="16"/>
  <c r="J404" i="16"/>
  <c r="I404" i="16"/>
  <c r="H404" i="16"/>
  <c r="G404" i="16"/>
  <c r="F404" i="16"/>
  <c r="Q403" i="16"/>
  <c r="P403" i="16"/>
  <c r="O403" i="16"/>
  <c r="N403" i="16"/>
  <c r="M403" i="16"/>
  <c r="L403" i="16"/>
  <c r="K403" i="16"/>
  <c r="J403" i="16"/>
  <c r="I403" i="16"/>
  <c r="H403" i="16"/>
  <c r="G403" i="16"/>
  <c r="F403" i="16"/>
  <c r="Q402" i="16"/>
  <c r="P402" i="16"/>
  <c r="O402" i="16"/>
  <c r="N402" i="16"/>
  <c r="M402" i="16"/>
  <c r="L402" i="16"/>
  <c r="K402" i="16"/>
  <c r="J402" i="16"/>
  <c r="I402" i="16"/>
  <c r="H402" i="16"/>
  <c r="G402" i="16"/>
  <c r="F402" i="16"/>
  <c r="Q401" i="16"/>
  <c r="P401" i="16"/>
  <c r="O401" i="16"/>
  <c r="N401" i="16"/>
  <c r="M401" i="16"/>
  <c r="L401" i="16"/>
  <c r="K401" i="16"/>
  <c r="J401" i="16"/>
  <c r="I401" i="16"/>
  <c r="H401" i="16"/>
  <c r="G401" i="16"/>
  <c r="F401" i="16"/>
  <c r="Q400" i="16"/>
  <c r="P400" i="16"/>
  <c r="O400" i="16"/>
  <c r="N400" i="16"/>
  <c r="M400" i="16"/>
  <c r="L400" i="16"/>
  <c r="K400" i="16"/>
  <c r="J400" i="16"/>
  <c r="I400" i="16"/>
  <c r="H400" i="16"/>
  <c r="G400" i="16"/>
  <c r="F400" i="16"/>
  <c r="Q399" i="16"/>
  <c r="P399" i="16"/>
  <c r="O399" i="16"/>
  <c r="N399" i="16"/>
  <c r="M399" i="16"/>
  <c r="L399" i="16"/>
  <c r="K399" i="16"/>
  <c r="J399" i="16"/>
  <c r="I399" i="16"/>
  <c r="H399" i="16"/>
  <c r="G399" i="16"/>
  <c r="F399" i="16"/>
  <c r="Q398" i="16"/>
  <c r="P398" i="16"/>
  <c r="O398" i="16"/>
  <c r="N398" i="16"/>
  <c r="M398" i="16"/>
  <c r="L398" i="16"/>
  <c r="K398" i="16"/>
  <c r="J398" i="16"/>
  <c r="I398" i="16"/>
  <c r="H398" i="16"/>
  <c r="G398" i="16"/>
  <c r="F398" i="16"/>
  <c r="Q397" i="16"/>
  <c r="P397" i="16"/>
  <c r="O397" i="16"/>
  <c r="N397" i="16"/>
  <c r="M397" i="16"/>
  <c r="L397" i="16"/>
  <c r="K397" i="16"/>
  <c r="J397" i="16"/>
  <c r="I397" i="16"/>
  <c r="H397" i="16"/>
  <c r="G397" i="16"/>
  <c r="F397" i="16"/>
  <c r="Q396" i="16"/>
  <c r="P396" i="16"/>
  <c r="O396" i="16"/>
  <c r="N396" i="16"/>
  <c r="M396" i="16"/>
  <c r="L396" i="16"/>
  <c r="K396" i="16"/>
  <c r="J396" i="16"/>
  <c r="I396" i="16"/>
  <c r="H396" i="16"/>
  <c r="G396" i="16"/>
  <c r="F396" i="16"/>
  <c r="Q395" i="16"/>
  <c r="P395" i="16"/>
  <c r="O395" i="16"/>
  <c r="N395" i="16"/>
  <c r="M395" i="16"/>
  <c r="L395" i="16"/>
  <c r="K395" i="16"/>
  <c r="J395" i="16"/>
  <c r="I395" i="16"/>
  <c r="H395" i="16"/>
  <c r="G395" i="16"/>
  <c r="F395" i="16"/>
  <c r="Q394" i="16"/>
  <c r="P394" i="16"/>
  <c r="O394" i="16"/>
  <c r="N394" i="16"/>
  <c r="M394" i="16"/>
  <c r="L394" i="16"/>
  <c r="K394" i="16"/>
  <c r="J394" i="16"/>
  <c r="I394" i="16"/>
  <c r="H394" i="16"/>
  <c r="G394" i="16"/>
  <c r="F394" i="16"/>
  <c r="Q393" i="16"/>
  <c r="P393" i="16"/>
  <c r="O393" i="16"/>
  <c r="N393" i="16"/>
  <c r="M393" i="16"/>
  <c r="L393" i="16"/>
  <c r="K393" i="16"/>
  <c r="J393" i="16"/>
  <c r="I393" i="16"/>
  <c r="H393" i="16"/>
  <c r="G393" i="16"/>
  <c r="F393" i="16"/>
  <c r="Q392" i="16"/>
  <c r="P392" i="16"/>
  <c r="O392" i="16"/>
  <c r="N392" i="16"/>
  <c r="M392" i="16"/>
  <c r="L392" i="16"/>
  <c r="K392" i="16"/>
  <c r="J392" i="16"/>
  <c r="I392" i="16"/>
  <c r="H392" i="16"/>
  <c r="G392" i="16"/>
  <c r="F392" i="16"/>
  <c r="Q391" i="16"/>
  <c r="P391" i="16"/>
  <c r="O391" i="16"/>
  <c r="N391" i="16"/>
  <c r="M391" i="16"/>
  <c r="L391" i="16"/>
  <c r="K391" i="16"/>
  <c r="J391" i="16"/>
  <c r="I391" i="16"/>
  <c r="H391" i="16"/>
  <c r="G391" i="16"/>
  <c r="F391" i="16"/>
  <c r="Q390" i="16"/>
  <c r="P390" i="16"/>
  <c r="O390" i="16"/>
  <c r="N390" i="16"/>
  <c r="M390" i="16"/>
  <c r="L390" i="16"/>
  <c r="K390" i="16"/>
  <c r="J390" i="16"/>
  <c r="I390" i="16"/>
  <c r="H390" i="16"/>
  <c r="G390" i="16"/>
  <c r="F390" i="16"/>
  <c r="Q389" i="16"/>
  <c r="P389" i="16"/>
  <c r="O389" i="16"/>
  <c r="N389" i="16"/>
  <c r="M389" i="16"/>
  <c r="L389" i="16"/>
  <c r="K389" i="16"/>
  <c r="J389" i="16"/>
  <c r="I389" i="16"/>
  <c r="H389" i="16"/>
  <c r="G389" i="16"/>
  <c r="F389" i="16"/>
  <c r="Q388" i="16"/>
  <c r="P388" i="16"/>
  <c r="O388" i="16"/>
  <c r="N388" i="16"/>
  <c r="M388" i="16"/>
  <c r="L388" i="16"/>
  <c r="K388" i="16"/>
  <c r="J388" i="16"/>
  <c r="I388" i="16"/>
  <c r="H388" i="16"/>
  <c r="G388" i="16"/>
  <c r="F388" i="16"/>
  <c r="Q387" i="16"/>
  <c r="P387" i="16"/>
  <c r="O387" i="16"/>
  <c r="N387" i="16"/>
  <c r="M387" i="16"/>
  <c r="L387" i="16"/>
  <c r="K387" i="16"/>
  <c r="J387" i="16"/>
  <c r="I387" i="16"/>
  <c r="H387" i="16"/>
  <c r="G387" i="16"/>
  <c r="F387" i="16"/>
  <c r="Q386" i="16"/>
  <c r="P386" i="16"/>
  <c r="O386" i="16"/>
  <c r="N386" i="16"/>
  <c r="M386" i="16"/>
  <c r="L386" i="16"/>
  <c r="K386" i="16"/>
  <c r="J386" i="16"/>
  <c r="I386" i="16"/>
  <c r="H386" i="16"/>
  <c r="G386" i="16"/>
  <c r="F386" i="16"/>
  <c r="Q385" i="16"/>
  <c r="P385" i="16"/>
  <c r="O385" i="16"/>
  <c r="N385" i="16"/>
  <c r="M385" i="16"/>
  <c r="L385" i="16"/>
  <c r="K385" i="16"/>
  <c r="J385" i="16"/>
  <c r="I385" i="16"/>
  <c r="H385" i="16"/>
  <c r="G385" i="16"/>
  <c r="F385" i="16"/>
  <c r="Q384" i="16"/>
  <c r="P384" i="16"/>
  <c r="O384" i="16"/>
  <c r="N384" i="16"/>
  <c r="M384" i="16"/>
  <c r="L384" i="16"/>
  <c r="K384" i="16"/>
  <c r="J384" i="16"/>
  <c r="I384" i="16"/>
  <c r="H384" i="16"/>
  <c r="G384" i="16"/>
  <c r="F384" i="16"/>
  <c r="Q383" i="16"/>
  <c r="P383" i="16"/>
  <c r="O383" i="16"/>
  <c r="N383" i="16"/>
  <c r="M383" i="16"/>
  <c r="L383" i="16"/>
  <c r="K383" i="16"/>
  <c r="J383" i="16"/>
  <c r="I383" i="16"/>
  <c r="H383" i="16"/>
  <c r="G383" i="16"/>
  <c r="F383" i="16"/>
  <c r="Q382" i="16"/>
  <c r="P382" i="16"/>
  <c r="O382" i="16"/>
  <c r="N382" i="16"/>
  <c r="M382" i="16"/>
  <c r="L382" i="16"/>
  <c r="K382" i="16"/>
  <c r="J382" i="16"/>
  <c r="I382" i="16"/>
  <c r="H382" i="16"/>
  <c r="G382" i="16"/>
  <c r="F382" i="16"/>
  <c r="Q381" i="16"/>
  <c r="P381" i="16"/>
  <c r="O381" i="16"/>
  <c r="N381" i="16"/>
  <c r="M381" i="16"/>
  <c r="L381" i="16"/>
  <c r="K381" i="16"/>
  <c r="J381" i="16"/>
  <c r="I381" i="16"/>
  <c r="H381" i="16"/>
  <c r="G381" i="16"/>
  <c r="F381" i="16"/>
  <c r="Q380" i="16"/>
  <c r="P380" i="16"/>
  <c r="O380" i="16"/>
  <c r="N380" i="16"/>
  <c r="M380" i="16"/>
  <c r="L380" i="16"/>
  <c r="K380" i="16"/>
  <c r="J380" i="16"/>
  <c r="I380" i="16"/>
  <c r="H380" i="16"/>
  <c r="G380" i="16"/>
  <c r="F380" i="16"/>
  <c r="Q379" i="16"/>
  <c r="P379" i="16"/>
  <c r="O379" i="16"/>
  <c r="N379" i="16"/>
  <c r="M379" i="16"/>
  <c r="L379" i="16"/>
  <c r="K379" i="16"/>
  <c r="J379" i="16"/>
  <c r="I379" i="16"/>
  <c r="H379" i="16"/>
  <c r="G379" i="16"/>
  <c r="F379" i="16"/>
  <c r="Q378" i="16"/>
  <c r="P378" i="16"/>
  <c r="O378" i="16"/>
  <c r="N378" i="16"/>
  <c r="M378" i="16"/>
  <c r="L378" i="16"/>
  <c r="K378" i="16"/>
  <c r="J378" i="16"/>
  <c r="I378" i="16"/>
  <c r="H378" i="16"/>
  <c r="G378" i="16"/>
  <c r="F378" i="16"/>
  <c r="Q377" i="16"/>
  <c r="P377" i="16"/>
  <c r="O377" i="16"/>
  <c r="N377" i="16"/>
  <c r="M377" i="16"/>
  <c r="L377" i="16"/>
  <c r="K377" i="16"/>
  <c r="J377" i="16"/>
  <c r="I377" i="16"/>
  <c r="H377" i="16"/>
  <c r="G377" i="16"/>
  <c r="F377" i="16"/>
  <c r="Q376" i="16"/>
  <c r="P376" i="16"/>
  <c r="O376" i="16"/>
  <c r="N376" i="16"/>
  <c r="M376" i="16"/>
  <c r="L376" i="16"/>
  <c r="K376" i="16"/>
  <c r="J376" i="16"/>
  <c r="I376" i="16"/>
  <c r="H376" i="16"/>
  <c r="G376" i="16"/>
  <c r="F376" i="16"/>
  <c r="Q375" i="16"/>
  <c r="P375" i="16"/>
  <c r="O375" i="16"/>
  <c r="N375" i="16"/>
  <c r="M375" i="16"/>
  <c r="L375" i="16"/>
  <c r="K375" i="16"/>
  <c r="J375" i="16"/>
  <c r="I375" i="16"/>
  <c r="H375" i="16"/>
  <c r="G375" i="16"/>
  <c r="F375" i="16"/>
  <c r="Q374" i="16"/>
  <c r="P374" i="16"/>
  <c r="O374" i="16"/>
  <c r="N374" i="16"/>
  <c r="M374" i="16"/>
  <c r="L374" i="16"/>
  <c r="K374" i="16"/>
  <c r="J374" i="16"/>
  <c r="I374" i="16"/>
  <c r="H374" i="16"/>
  <c r="G374" i="16"/>
  <c r="F374" i="16"/>
  <c r="Q373" i="16"/>
  <c r="P373" i="16"/>
  <c r="O373" i="16"/>
  <c r="N373" i="16"/>
  <c r="M373" i="16"/>
  <c r="L373" i="16"/>
  <c r="K373" i="16"/>
  <c r="J373" i="16"/>
  <c r="I373" i="16"/>
  <c r="H373" i="16"/>
  <c r="G373" i="16"/>
  <c r="F373" i="16"/>
  <c r="Q372" i="16"/>
  <c r="P372" i="16"/>
  <c r="O372" i="16"/>
  <c r="N372" i="16"/>
  <c r="M372" i="16"/>
  <c r="L372" i="16"/>
  <c r="K372" i="16"/>
  <c r="J372" i="16"/>
  <c r="I372" i="16"/>
  <c r="H372" i="16"/>
  <c r="G372" i="16"/>
  <c r="F372" i="16"/>
  <c r="Q371" i="16"/>
  <c r="P371" i="16"/>
  <c r="O371" i="16"/>
  <c r="N371" i="16"/>
  <c r="M371" i="16"/>
  <c r="L371" i="16"/>
  <c r="K371" i="16"/>
  <c r="J371" i="16"/>
  <c r="I371" i="16"/>
  <c r="H371" i="16"/>
  <c r="G371" i="16"/>
  <c r="F371" i="16"/>
  <c r="Q370" i="16"/>
  <c r="P370" i="16"/>
  <c r="O370" i="16"/>
  <c r="N370" i="16"/>
  <c r="M370" i="16"/>
  <c r="L370" i="16"/>
  <c r="K370" i="16"/>
  <c r="J370" i="16"/>
  <c r="I370" i="16"/>
  <c r="H370" i="16"/>
  <c r="G370" i="16"/>
  <c r="F370" i="16"/>
  <c r="Q369" i="16"/>
  <c r="P369" i="16"/>
  <c r="O369" i="16"/>
  <c r="N369" i="16"/>
  <c r="M369" i="16"/>
  <c r="L369" i="16"/>
  <c r="K369" i="16"/>
  <c r="J369" i="16"/>
  <c r="I369" i="16"/>
  <c r="H369" i="16"/>
  <c r="G369" i="16"/>
  <c r="F369" i="16"/>
  <c r="Q368" i="16"/>
  <c r="P368" i="16"/>
  <c r="O368" i="16"/>
  <c r="N368" i="16"/>
  <c r="M368" i="16"/>
  <c r="L368" i="16"/>
  <c r="K368" i="16"/>
  <c r="J368" i="16"/>
  <c r="I368" i="16"/>
  <c r="H368" i="16"/>
  <c r="G368" i="16"/>
  <c r="F368" i="16"/>
  <c r="Q367" i="16"/>
  <c r="P367" i="16"/>
  <c r="O367" i="16"/>
  <c r="N367" i="16"/>
  <c r="M367" i="16"/>
  <c r="L367" i="16"/>
  <c r="K367" i="16"/>
  <c r="J367" i="16"/>
  <c r="I367" i="16"/>
  <c r="H367" i="16"/>
  <c r="G367" i="16"/>
  <c r="F367" i="16"/>
  <c r="Q366" i="16"/>
  <c r="P366" i="16"/>
  <c r="O366" i="16"/>
  <c r="N366" i="16"/>
  <c r="M366" i="16"/>
  <c r="L366" i="16"/>
  <c r="K366" i="16"/>
  <c r="J366" i="16"/>
  <c r="I366" i="16"/>
  <c r="H366" i="16"/>
  <c r="G366" i="16"/>
  <c r="F366" i="16"/>
  <c r="Q365" i="16"/>
  <c r="P365" i="16"/>
  <c r="O365" i="16"/>
  <c r="N365" i="16"/>
  <c r="M365" i="16"/>
  <c r="L365" i="16"/>
  <c r="K365" i="16"/>
  <c r="J365" i="16"/>
  <c r="I365" i="16"/>
  <c r="H365" i="16"/>
  <c r="G365" i="16"/>
  <c r="F365" i="16"/>
  <c r="Q364" i="16"/>
  <c r="P364" i="16"/>
  <c r="O364" i="16"/>
  <c r="N364" i="16"/>
  <c r="M364" i="16"/>
  <c r="L364" i="16"/>
  <c r="K364" i="16"/>
  <c r="J364" i="16"/>
  <c r="I364" i="16"/>
  <c r="H364" i="16"/>
  <c r="G364" i="16"/>
  <c r="F364" i="16"/>
  <c r="Q363" i="16"/>
  <c r="P363" i="16"/>
  <c r="O363" i="16"/>
  <c r="N363" i="16"/>
  <c r="M363" i="16"/>
  <c r="L363" i="16"/>
  <c r="K363" i="16"/>
  <c r="J363" i="16"/>
  <c r="I363" i="16"/>
  <c r="H363" i="16"/>
  <c r="G363" i="16"/>
  <c r="F363" i="16"/>
  <c r="Q362" i="16"/>
  <c r="P362" i="16"/>
  <c r="O362" i="16"/>
  <c r="N362" i="16"/>
  <c r="M362" i="16"/>
  <c r="L362" i="16"/>
  <c r="K362" i="16"/>
  <c r="J362" i="16"/>
  <c r="I362" i="16"/>
  <c r="H362" i="16"/>
  <c r="G362" i="16"/>
  <c r="F362" i="16"/>
  <c r="Q361" i="16"/>
  <c r="P361" i="16"/>
  <c r="O361" i="16"/>
  <c r="N361" i="16"/>
  <c r="M361" i="16"/>
  <c r="L361" i="16"/>
  <c r="K361" i="16"/>
  <c r="J361" i="16"/>
  <c r="I361" i="16"/>
  <c r="H361" i="16"/>
  <c r="G361" i="16"/>
  <c r="F361" i="16"/>
  <c r="Q360" i="16"/>
  <c r="P360" i="16"/>
  <c r="O360" i="16"/>
  <c r="N360" i="16"/>
  <c r="M360" i="16"/>
  <c r="L360" i="16"/>
  <c r="K360" i="16"/>
  <c r="J360" i="16"/>
  <c r="I360" i="16"/>
  <c r="H360" i="16"/>
  <c r="G360" i="16"/>
  <c r="F360" i="16"/>
  <c r="Q359" i="16"/>
  <c r="P359" i="16"/>
  <c r="O359" i="16"/>
  <c r="N359" i="16"/>
  <c r="M359" i="16"/>
  <c r="L359" i="16"/>
  <c r="K359" i="16"/>
  <c r="J359" i="16"/>
  <c r="I359" i="16"/>
  <c r="H359" i="16"/>
  <c r="G359" i="16"/>
  <c r="F359" i="16"/>
  <c r="Q358" i="16"/>
  <c r="P358" i="16"/>
  <c r="O358" i="16"/>
  <c r="N358" i="16"/>
  <c r="M358" i="16"/>
  <c r="L358" i="16"/>
  <c r="K358" i="16"/>
  <c r="J358" i="16"/>
  <c r="I358" i="16"/>
  <c r="H358" i="16"/>
  <c r="G358" i="16"/>
  <c r="F358" i="16"/>
  <c r="Q357" i="16"/>
  <c r="P357" i="16"/>
  <c r="O357" i="16"/>
  <c r="N357" i="16"/>
  <c r="M357" i="16"/>
  <c r="L357" i="16"/>
  <c r="K357" i="16"/>
  <c r="J357" i="16"/>
  <c r="I357" i="16"/>
  <c r="H357" i="16"/>
  <c r="G357" i="16"/>
  <c r="F357" i="16"/>
  <c r="Q356" i="16"/>
  <c r="P356" i="16"/>
  <c r="O356" i="16"/>
  <c r="N356" i="16"/>
  <c r="M356" i="16"/>
  <c r="L356" i="16"/>
  <c r="K356" i="16"/>
  <c r="J356" i="16"/>
  <c r="I356" i="16"/>
  <c r="H356" i="16"/>
  <c r="G356" i="16"/>
  <c r="F356" i="16"/>
  <c r="Q355" i="16"/>
  <c r="P355" i="16"/>
  <c r="O355" i="16"/>
  <c r="N355" i="16"/>
  <c r="M355" i="16"/>
  <c r="L355" i="16"/>
  <c r="K355" i="16"/>
  <c r="J355" i="16"/>
  <c r="I355" i="16"/>
  <c r="H355" i="16"/>
  <c r="G355" i="16"/>
  <c r="F355" i="16"/>
  <c r="Q354" i="16"/>
  <c r="P354" i="16"/>
  <c r="O354" i="16"/>
  <c r="N354" i="16"/>
  <c r="M354" i="16"/>
  <c r="L354" i="16"/>
  <c r="K354" i="16"/>
  <c r="J354" i="16"/>
  <c r="I354" i="16"/>
  <c r="H354" i="16"/>
  <c r="G354" i="16"/>
  <c r="F354" i="16"/>
  <c r="Q353" i="16"/>
  <c r="P353" i="16"/>
  <c r="O353" i="16"/>
  <c r="N353" i="16"/>
  <c r="M353" i="16"/>
  <c r="L353" i="16"/>
  <c r="K353" i="16"/>
  <c r="J353" i="16"/>
  <c r="I353" i="16"/>
  <c r="H353" i="16"/>
  <c r="G353" i="16"/>
  <c r="F353" i="16"/>
  <c r="Q352" i="16"/>
  <c r="P352" i="16"/>
  <c r="O352" i="16"/>
  <c r="N352" i="16"/>
  <c r="M352" i="16"/>
  <c r="L352" i="16"/>
  <c r="K352" i="16"/>
  <c r="J352" i="16"/>
  <c r="I352" i="16"/>
  <c r="H352" i="16"/>
  <c r="G352" i="16"/>
  <c r="F352" i="16"/>
  <c r="Q351" i="16"/>
  <c r="P351" i="16"/>
  <c r="O351" i="16"/>
  <c r="N351" i="16"/>
  <c r="M351" i="16"/>
  <c r="L351" i="16"/>
  <c r="K351" i="16"/>
  <c r="J351" i="16"/>
  <c r="I351" i="16"/>
  <c r="H351" i="16"/>
  <c r="G351" i="16"/>
  <c r="F351" i="16"/>
  <c r="Q350" i="16"/>
  <c r="P350" i="16"/>
  <c r="O350" i="16"/>
  <c r="N350" i="16"/>
  <c r="M350" i="16"/>
  <c r="L350" i="16"/>
  <c r="K350" i="16"/>
  <c r="J350" i="16"/>
  <c r="I350" i="16"/>
  <c r="H350" i="16"/>
  <c r="G350" i="16"/>
  <c r="F350" i="16"/>
  <c r="Q349" i="16"/>
  <c r="P349" i="16"/>
  <c r="O349" i="16"/>
  <c r="N349" i="16"/>
  <c r="M349" i="16"/>
  <c r="L349" i="16"/>
  <c r="K349" i="16"/>
  <c r="J349" i="16"/>
  <c r="I349" i="16"/>
  <c r="H349" i="16"/>
  <c r="G349" i="16"/>
  <c r="F349" i="16"/>
  <c r="Q348" i="16"/>
  <c r="P348" i="16"/>
  <c r="O348" i="16"/>
  <c r="N348" i="16"/>
  <c r="M348" i="16"/>
  <c r="L348" i="16"/>
  <c r="K348" i="16"/>
  <c r="J348" i="16"/>
  <c r="I348" i="16"/>
  <c r="H348" i="16"/>
  <c r="G348" i="16"/>
  <c r="F348" i="16"/>
  <c r="Q347" i="16"/>
  <c r="P347" i="16"/>
  <c r="O347" i="16"/>
  <c r="N347" i="16"/>
  <c r="M347" i="16"/>
  <c r="L347" i="16"/>
  <c r="K347" i="16"/>
  <c r="J347" i="16"/>
  <c r="I347" i="16"/>
  <c r="H347" i="16"/>
  <c r="G347" i="16"/>
  <c r="F347" i="16"/>
  <c r="Q346" i="16"/>
  <c r="P346" i="16"/>
  <c r="O346" i="16"/>
  <c r="N346" i="16"/>
  <c r="M346" i="16"/>
  <c r="L346" i="16"/>
  <c r="K346" i="16"/>
  <c r="J346" i="16"/>
  <c r="I346" i="16"/>
  <c r="H346" i="16"/>
  <c r="G346" i="16"/>
  <c r="F346" i="16"/>
  <c r="Q345" i="16"/>
  <c r="P345" i="16"/>
  <c r="O345" i="16"/>
  <c r="N345" i="16"/>
  <c r="M345" i="16"/>
  <c r="L345" i="16"/>
  <c r="K345" i="16"/>
  <c r="J345" i="16"/>
  <c r="I345" i="16"/>
  <c r="H345" i="16"/>
  <c r="G345" i="16"/>
  <c r="F345" i="16"/>
  <c r="Q344" i="16"/>
  <c r="P344" i="16"/>
  <c r="O344" i="16"/>
  <c r="N344" i="16"/>
  <c r="M344" i="16"/>
  <c r="L344" i="16"/>
  <c r="K344" i="16"/>
  <c r="J344" i="16"/>
  <c r="I344" i="16"/>
  <c r="H344" i="16"/>
  <c r="G344" i="16"/>
  <c r="F344" i="16"/>
  <c r="Q343" i="16"/>
  <c r="P343" i="16"/>
  <c r="O343" i="16"/>
  <c r="N343" i="16"/>
  <c r="M343" i="16"/>
  <c r="L343" i="16"/>
  <c r="K343" i="16"/>
  <c r="J343" i="16"/>
  <c r="I343" i="16"/>
  <c r="H343" i="16"/>
  <c r="G343" i="16"/>
  <c r="F343" i="16"/>
  <c r="Q342" i="16"/>
  <c r="P342" i="16"/>
  <c r="O342" i="16"/>
  <c r="N342" i="16"/>
  <c r="M342" i="16"/>
  <c r="L342" i="16"/>
  <c r="K342" i="16"/>
  <c r="J342" i="16"/>
  <c r="I342" i="16"/>
  <c r="H342" i="16"/>
  <c r="G342" i="16"/>
  <c r="F342" i="16"/>
  <c r="Q341" i="16"/>
  <c r="P341" i="16"/>
  <c r="O341" i="16"/>
  <c r="N341" i="16"/>
  <c r="M341" i="16"/>
  <c r="L341" i="16"/>
  <c r="K341" i="16"/>
  <c r="J341" i="16"/>
  <c r="I341" i="16"/>
  <c r="H341" i="16"/>
  <c r="G341" i="16"/>
  <c r="F341" i="16"/>
  <c r="Q340" i="16"/>
  <c r="P340" i="16"/>
  <c r="O340" i="16"/>
  <c r="N340" i="16"/>
  <c r="M340" i="16"/>
  <c r="L340" i="16"/>
  <c r="K340" i="16"/>
  <c r="J340" i="16"/>
  <c r="I340" i="16"/>
  <c r="H340" i="16"/>
  <c r="G340" i="16"/>
  <c r="F340" i="16"/>
  <c r="Q339" i="16"/>
  <c r="P339" i="16"/>
  <c r="O339" i="16"/>
  <c r="N339" i="16"/>
  <c r="M339" i="16"/>
  <c r="L339" i="16"/>
  <c r="K339" i="16"/>
  <c r="J339" i="16"/>
  <c r="I339" i="16"/>
  <c r="H339" i="16"/>
  <c r="G339" i="16"/>
  <c r="F339" i="16"/>
  <c r="Q338" i="16"/>
  <c r="P338" i="16"/>
  <c r="O338" i="16"/>
  <c r="N338" i="16"/>
  <c r="M338" i="16"/>
  <c r="L338" i="16"/>
  <c r="K338" i="16"/>
  <c r="J338" i="16"/>
  <c r="I338" i="16"/>
  <c r="H338" i="16"/>
  <c r="G338" i="16"/>
  <c r="F338" i="16"/>
  <c r="Q337" i="16"/>
  <c r="P337" i="16"/>
  <c r="O337" i="16"/>
  <c r="N337" i="16"/>
  <c r="M337" i="16"/>
  <c r="L337" i="16"/>
  <c r="K337" i="16"/>
  <c r="J337" i="16"/>
  <c r="I337" i="16"/>
  <c r="H337" i="16"/>
  <c r="G337" i="16"/>
  <c r="F337" i="16"/>
  <c r="Q336" i="16"/>
  <c r="P336" i="16"/>
  <c r="O336" i="16"/>
  <c r="N336" i="16"/>
  <c r="M336" i="16"/>
  <c r="L336" i="16"/>
  <c r="K336" i="16"/>
  <c r="J336" i="16"/>
  <c r="I336" i="16"/>
  <c r="H336" i="16"/>
  <c r="G336" i="16"/>
  <c r="F336" i="16"/>
  <c r="Q335" i="16"/>
  <c r="P335" i="16"/>
  <c r="O335" i="16"/>
  <c r="N335" i="16"/>
  <c r="M335" i="16"/>
  <c r="L335" i="16"/>
  <c r="K335" i="16"/>
  <c r="J335" i="16"/>
  <c r="I335" i="16"/>
  <c r="H335" i="16"/>
  <c r="G335" i="16"/>
  <c r="F335" i="16"/>
  <c r="Q334" i="16"/>
  <c r="P334" i="16"/>
  <c r="O334" i="16"/>
  <c r="N334" i="16"/>
  <c r="M334" i="16"/>
  <c r="L334" i="16"/>
  <c r="K334" i="16"/>
  <c r="J334" i="16"/>
  <c r="I334" i="16"/>
  <c r="H334" i="16"/>
  <c r="G334" i="16"/>
  <c r="F334" i="16"/>
  <c r="Q333" i="16"/>
  <c r="P333" i="16"/>
  <c r="O333" i="16"/>
  <c r="N333" i="16"/>
  <c r="M333" i="16"/>
  <c r="L333" i="16"/>
  <c r="K333" i="16"/>
  <c r="J333" i="16"/>
  <c r="I333" i="16"/>
  <c r="H333" i="16"/>
  <c r="G333" i="16"/>
  <c r="F333" i="16"/>
  <c r="Q332" i="16"/>
  <c r="P332" i="16"/>
  <c r="O332" i="16"/>
  <c r="N332" i="16"/>
  <c r="M332" i="16"/>
  <c r="L332" i="16"/>
  <c r="K332" i="16"/>
  <c r="J332" i="16"/>
  <c r="I332" i="16"/>
  <c r="H332" i="16"/>
  <c r="G332" i="16"/>
  <c r="F332" i="16"/>
  <c r="Q331" i="16"/>
  <c r="P331" i="16"/>
  <c r="O331" i="16"/>
  <c r="N331" i="16"/>
  <c r="M331" i="16"/>
  <c r="L331" i="16"/>
  <c r="K331" i="16"/>
  <c r="J331" i="16"/>
  <c r="I331" i="16"/>
  <c r="H331" i="16"/>
  <c r="G331" i="16"/>
  <c r="F331" i="16"/>
  <c r="Q330" i="16"/>
  <c r="P330" i="16"/>
  <c r="O330" i="16"/>
  <c r="N330" i="16"/>
  <c r="M330" i="16"/>
  <c r="L330" i="16"/>
  <c r="K330" i="16"/>
  <c r="J330" i="16"/>
  <c r="I330" i="16"/>
  <c r="H330" i="16"/>
  <c r="G330" i="16"/>
  <c r="F330" i="16"/>
  <c r="Q329" i="16"/>
  <c r="P329" i="16"/>
  <c r="O329" i="16"/>
  <c r="N329" i="16"/>
  <c r="M329" i="16"/>
  <c r="L329" i="16"/>
  <c r="K329" i="16"/>
  <c r="J329" i="16"/>
  <c r="I329" i="16"/>
  <c r="H329" i="16"/>
  <c r="G329" i="16"/>
  <c r="F329" i="16"/>
  <c r="Q328" i="16"/>
  <c r="P328" i="16"/>
  <c r="O328" i="16"/>
  <c r="N328" i="16"/>
  <c r="M328" i="16"/>
  <c r="L328" i="16"/>
  <c r="K328" i="16"/>
  <c r="J328" i="16"/>
  <c r="I328" i="16"/>
  <c r="H328" i="16"/>
  <c r="G328" i="16"/>
  <c r="F328" i="16"/>
  <c r="Q327" i="16"/>
  <c r="P327" i="16"/>
  <c r="O327" i="16"/>
  <c r="N327" i="16"/>
  <c r="M327" i="16"/>
  <c r="L327" i="16"/>
  <c r="K327" i="16"/>
  <c r="J327" i="16"/>
  <c r="I327" i="16"/>
  <c r="H327" i="16"/>
  <c r="G327" i="16"/>
  <c r="F327" i="16"/>
  <c r="Q326" i="16"/>
  <c r="P326" i="16"/>
  <c r="O326" i="16"/>
  <c r="N326" i="16"/>
  <c r="M326" i="16"/>
  <c r="L326" i="16"/>
  <c r="K326" i="16"/>
  <c r="J326" i="16"/>
  <c r="I326" i="16"/>
  <c r="H326" i="16"/>
  <c r="G326" i="16"/>
  <c r="F326" i="16"/>
  <c r="Q325" i="16"/>
  <c r="P325" i="16"/>
  <c r="O325" i="16"/>
  <c r="N325" i="16"/>
  <c r="M325" i="16"/>
  <c r="L325" i="16"/>
  <c r="K325" i="16"/>
  <c r="J325" i="16"/>
  <c r="I325" i="16"/>
  <c r="H325" i="16"/>
  <c r="G325" i="16"/>
  <c r="F325" i="16"/>
  <c r="Q324" i="16"/>
  <c r="P324" i="16"/>
  <c r="O324" i="16"/>
  <c r="N324" i="16"/>
  <c r="M324" i="16"/>
  <c r="L324" i="16"/>
  <c r="K324" i="16"/>
  <c r="J324" i="16"/>
  <c r="I324" i="16"/>
  <c r="H324" i="16"/>
  <c r="G324" i="16"/>
  <c r="F324" i="16"/>
  <c r="Q323" i="16"/>
  <c r="P323" i="16"/>
  <c r="O323" i="16"/>
  <c r="N323" i="16"/>
  <c r="M323" i="16"/>
  <c r="L323" i="16"/>
  <c r="K323" i="16"/>
  <c r="J323" i="16"/>
  <c r="I323" i="16"/>
  <c r="H323" i="16"/>
  <c r="G323" i="16"/>
  <c r="F323" i="16"/>
  <c r="Q322" i="16"/>
  <c r="P322" i="16"/>
  <c r="O322" i="16"/>
  <c r="N322" i="16"/>
  <c r="M322" i="16"/>
  <c r="L322" i="16"/>
  <c r="K322" i="16"/>
  <c r="J322" i="16"/>
  <c r="I322" i="16"/>
  <c r="H322" i="16"/>
  <c r="G322" i="16"/>
  <c r="F322" i="16"/>
  <c r="Q321" i="16"/>
  <c r="P321" i="16"/>
  <c r="O321" i="16"/>
  <c r="N321" i="16"/>
  <c r="M321" i="16"/>
  <c r="L321" i="16"/>
  <c r="K321" i="16"/>
  <c r="J321" i="16"/>
  <c r="I321" i="16"/>
  <c r="H321" i="16"/>
  <c r="G321" i="16"/>
  <c r="F321" i="16"/>
  <c r="Q320" i="16"/>
  <c r="P320" i="16"/>
  <c r="O320" i="16"/>
  <c r="N320" i="16"/>
  <c r="M320" i="16"/>
  <c r="L320" i="16"/>
  <c r="K320" i="16"/>
  <c r="J320" i="16"/>
  <c r="I320" i="16"/>
  <c r="H320" i="16"/>
  <c r="G320" i="16"/>
  <c r="F320" i="16"/>
  <c r="Q319" i="16"/>
  <c r="P319" i="16"/>
  <c r="O319" i="16"/>
  <c r="N319" i="16"/>
  <c r="M319" i="16"/>
  <c r="L319" i="16"/>
  <c r="K319" i="16"/>
  <c r="J319" i="16"/>
  <c r="I319" i="16"/>
  <c r="H319" i="16"/>
  <c r="G319" i="16"/>
  <c r="F319" i="16"/>
  <c r="Q318" i="16"/>
  <c r="P318" i="16"/>
  <c r="O318" i="16"/>
  <c r="N318" i="16"/>
  <c r="M318" i="16"/>
  <c r="L318" i="16"/>
  <c r="K318" i="16"/>
  <c r="J318" i="16"/>
  <c r="I318" i="16"/>
  <c r="H318" i="16"/>
  <c r="G318" i="16"/>
  <c r="F318" i="16"/>
  <c r="Q317" i="16"/>
  <c r="P317" i="16"/>
  <c r="O317" i="16"/>
  <c r="N317" i="16"/>
  <c r="M317" i="16"/>
  <c r="L317" i="16"/>
  <c r="K317" i="16"/>
  <c r="J317" i="16"/>
  <c r="I317" i="16"/>
  <c r="H317" i="16"/>
  <c r="G317" i="16"/>
  <c r="F317" i="16"/>
  <c r="Q316" i="16"/>
  <c r="P316" i="16"/>
  <c r="O316" i="16"/>
  <c r="N316" i="16"/>
  <c r="M316" i="16"/>
  <c r="L316" i="16"/>
  <c r="K316" i="16"/>
  <c r="J316" i="16"/>
  <c r="I316" i="16"/>
  <c r="H316" i="16"/>
  <c r="G316" i="16"/>
  <c r="F316" i="16"/>
  <c r="Q315" i="16"/>
  <c r="P315" i="16"/>
  <c r="O315" i="16"/>
  <c r="N315" i="16"/>
  <c r="M315" i="16"/>
  <c r="L315" i="16"/>
  <c r="K315" i="16"/>
  <c r="J315" i="16"/>
  <c r="I315" i="16"/>
  <c r="H315" i="16"/>
  <c r="G315" i="16"/>
  <c r="F315" i="16"/>
  <c r="Q314" i="16"/>
  <c r="P314" i="16"/>
  <c r="O314" i="16"/>
  <c r="N314" i="16"/>
  <c r="M314" i="16"/>
  <c r="L314" i="16"/>
  <c r="K314" i="16"/>
  <c r="J314" i="16"/>
  <c r="I314" i="16"/>
  <c r="H314" i="16"/>
  <c r="G314" i="16"/>
  <c r="F314" i="16"/>
  <c r="Q313" i="16"/>
  <c r="P313" i="16"/>
  <c r="O313" i="16"/>
  <c r="N313" i="16"/>
  <c r="M313" i="16"/>
  <c r="L313" i="16"/>
  <c r="K313" i="16"/>
  <c r="J313" i="16"/>
  <c r="I313" i="16"/>
  <c r="H313" i="16"/>
  <c r="G313" i="16"/>
  <c r="F313" i="16"/>
  <c r="Q312" i="16"/>
  <c r="P312" i="16"/>
  <c r="O312" i="16"/>
  <c r="N312" i="16"/>
  <c r="M312" i="16"/>
  <c r="L312" i="16"/>
  <c r="K312" i="16"/>
  <c r="J312" i="16"/>
  <c r="I312" i="16"/>
  <c r="H312" i="16"/>
  <c r="G312" i="16"/>
  <c r="F312" i="16"/>
  <c r="Q311" i="16"/>
  <c r="P311" i="16"/>
  <c r="O311" i="16"/>
  <c r="N311" i="16"/>
  <c r="M311" i="16"/>
  <c r="L311" i="16"/>
  <c r="K311" i="16"/>
  <c r="J311" i="16"/>
  <c r="I311" i="16"/>
  <c r="H311" i="16"/>
  <c r="G311" i="16"/>
  <c r="F311" i="16"/>
  <c r="Q310" i="16"/>
  <c r="P310" i="16"/>
  <c r="O310" i="16"/>
  <c r="N310" i="16"/>
  <c r="M310" i="16"/>
  <c r="L310" i="16"/>
  <c r="K310" i="16"/>
  <c r="J310" i="16"/>
  <c r="I310" i="16"/>
  <c r="H310" i="16"/>
  <c r="G310" i="16"/>
  <c r="F310" i="16"/>
  <c r="Q309" i="16"/>
  <c r="P309" i="16"/>
  <c r="O309" i="16"/>
  <c r="N309" i="16"/>
  <c r="M309" i="16"/>
  <c r="L309" i="16"/>
  <c r="K309" i="16"/>
  <c r="J309" i="16"/>
  <c r="I309" i="16"/>
  <c r="H309" i="16"/>
  <c r="G309" i="16"/>
  <c r="F309" i="16"/>
  <c r="Q308" i="16"/>
  <c r="P308" i="16"/>
  <c r="O308" i="16"/>
  <c r="N308" i="16"/>
  <c r="M308" i="16"/>
  <c r="L308" i="16"/>
  <c r="K308" i="16"/>
  <c r="J308" i="16"/>
  <c r="I308" i="16"/>
  <c r="H308" i="16"/>
  <c r="G308" i="16"/>
  <c r="F308" i="16"/>
  <c r="Q307" i="16"/>
  <c r="P307" i="16"/>
  <c r="O307" i="16"/>
  <c r="N307" i="16"/>
  <c r="M307" i="16"/>
  <c r="L307" i="16"/>
  <c r="K307" i="16"/>
  <c r="J307" i="16"/>
  <c r="I307" i="16"/>
  <c r="H307" i="16"/>
  <c r="G307" i="16"/>
  <c r="F307" i="16"/>
  <c r="Q306" i="16"/>
  <c r="P306" i="16"/>
  <c r="O306" i="16"/>
  <c r="N306" i="16"/>
  <c r="M306" i="16"/>
  <c r="L306" i="16"/>
  <c r="K306" i="16"/>
  <c r="J306" i="16"/>
  <c r="I306" i="16"/>
  <c r="H306" i="16"/>
  <c r="G306" i="16"/>
  <c r="F306" i="16"/>
  <c r="Q305" i="16"/>
  <c r="P305" i="16"/>
  <c r="O305" i="16"/>
  <c r="N305" i="16"/>
  <c r="M305" i="16"/>
  <c r="L305" i="16"/>
  <c r="K305" i="16"/>
  <c r="J305" i="16"/>
  <c r="I305" i="16"/>
  <c r="H305" i="16"/>
  <c r="G305" i="16"/>
  <c r="F305" i="16"/>
  <c r="Q304" i="16"/>
  <c r="P304" i="16"/>
  <c r="O304" i="16"/>
  <c r="N304" i="16"/>
  <c r="M304" i="16"/>
  <c r="L304" i="16"/>
  <c r="K304" i="16"/>
  <c r="J304" i="16"/>
  <c r="I304" i="16"/>
  <c r="H304" i="16"/>
  <c r="G304" i="16"/>
  <c r="F304" i="16"/>
  <c r="Q303" i="16"/>
  <c r="P303" i="16"/>
  <c r="O303" i="16"/>
  <c r="N303" i="16"/>
  <c r="M303" i="16"/>
  <c r="L303" i="16"/>
  <c r="K303" i="16"/>
  <c r="J303" i="16"/>
  <c r="I303" i="16"/>
  <c r="H303" i="16"/>
  <c r="G303" i="16"/>
  <c r="F303" i="16"/>
  <c r="Q302" i="16"/>
  <c r="P302" i="16"/>
  <c r="O302" i="16"/>
  <c r="N302" i="16"/>
  <c r="M302" i="16"/>
  <c r="L302" i="16"/>
  <c r="K302" i="16"/>
  <c r="J302" i="16"/>
  <c r="I302" i="16"/>
  <c r="H302" i="16"/>
  <c r="G302" i="16"/>
  <c r="F302" i="16"/>
  <c r="Q301" i="16"/>
  <c r="P301" i="16"/>
  <c r="O301" i="16"/>
  <c r="N301" i="16"/>
  <c r="M301" i="16"/>
  <c r="L301" i="16"/>
  <c r="K301" i="16"/>
  <c r="J301" i="16"/>
  <c r="I301" i="16"/>
  <c r="H301" i="16"/>
  <c r="G301" i="16"/>
  <c r="F301" i="16"/>
  <c r="Q300" i="16"/>
  <c r="P300" i="16"/>
  <c r="O300" i="16"/>
  <c r="N300" i="16"/>
  <c r="M300" i="16"/>
  <c r="L300" i="16"/>
  <c r="K300" i="16"/>
  <c r="J300" i="16"/>
  <c r="I300" i="16"/>
  <c r="H300" i="16"/>
  <c r="G300" i="16"/>
  <c r="F300" i="16"/>
  <c r="Q299" i="16"/>
  <c r="P299" i="16"/>
  <c r="O299" i="16"/>
  <c r="N299" i="16"/>
  <c r="M299" i="16"/>
  <c r="L299" i="16"/>
  <c r="K299" i="16"/>
  <c r="J299" i="16"/>
  <c r="I299" i="16"/>
  <c r="H299" i="16"/>
  <c r="G299" i="16"/>
  <c r="F299" i="16"/>
  <c r="Q298" i="16"/>
  <c r="P298" i="16"/>
  <c r="O298" i="16"/>
  <c r="N298" i="16"/>
  <c r="M298" i="16"/>
  <c r="L298" i="16"/>
  <c r="K298" i="16"/>
  <c r="J298" i="16"/>
  <c r="I298" i="16"/>
  <c r="H298" i="16"/>
  <c r="G298" i="16"/>
  <c r="F298" i="16"/>
  <c r="Q297" i="16"/>
  <c r="P297" i="16"/>
  <c r="O297" i="16"/>
  <c r="N297" i="16"/>
  <c r="M297" i="16"/>
  <c r="L297" i="16"/>
  <c r="K297" i="16"/>
  <c r="J297" i="16"/>
  <c r="I297" i="16"/>
  <c r="H297" i="16"/>
  <c r="G297" i="16"/>
  <c r="F297" i="16"/>
  <c r="Q296" i="16"/>
  <c r="P296" i="16"/>
  <c r="O296" i="16"/>
  <c r="N296" i="16"/>
  <c r="M296" i="16"/>
  <c r="L296" i="16"/>
  <c r="K296" i="16"/>
  <c r="J296" i="16"/>
  <c r="I296" i="16"/>
  <c r="H296" i="16"/>
  <c r="G296" i="16"/>
  <c r="F296" i="16"/>
  <c r="Q295" i="16"/>
  <c r="P295" i="16"/>
  <c r="O295" i="16"/>
  <c r="N295" i="16"/>
  <c r="M295" i="16"/>
  <c r="L295" i="16"/>
  <c r="K295" i="16"/>
  <c r="J295" i="16"/>
  <c r="I295" i="16"/>
  <c r="H295" i="16"/>
  <c r="G295" i="16"/>
  <c r="F295" i="16"/>
  <c r="Q294" i="16"/>
  <c r="P294" i="16"/>
  <c r="O294" i="16"/>
  <c r="N294" i="16"/>
  <c r="M294" i="16"/>
  <c r="L294" i="16"/>
  <c r="K294" i="16"/>
  <c r="J294" i="16"/>
  <c r="I294" i="16"/>
  <c r="H294" i="16"/>
  <c r="G294" i="16"/>
  <c r="F294" i="16"/>
  <c r="Q293" i="16"/>
  <c r="P293" i="16"/>
  <c r="O293" i="16"/>
  <c r="N293" i="16"/>
  <c r="M293" i="16"/>
  <c r="L293" i="16"/>
  <c r="K293" i="16"/>
  <c r="J293" i="16"/>
  <c r="I293" i="16"/>
  <c r="H293" i="16"/>
  <c r="G293" i="16"/>
  <c r="F293" i="16"/>
  <c r="Q292" i="16"/>
  <c r="P292" i="16"/>
  <c r="O292" i="16"/>
  <c r="N292" i="16"/>
  <c r="M292" i="16"/>
  <c r="L292" i="16"/>
  <c r="K292" i="16"/>
  <c r="J292" i="16"/>
  <c r="I292" i="16"/>
  <c r="H292" i="16"/>
  <c r="G292" i="16"/>
  <c r="F292" i="16"/>
  <c r="Q291" i="16"/>
  <c r="P291" i="16"/>
  <c r="O291" i="16"/>
  <c r="N291" i="16"/>
  <c r="M291" i="16"/>
  <c r="L291" i="16"/>
  <c r="K291" i="16"/>
  <c r="J291" i="16"/>
  <c r="I291" i="16"/>
  <c r="H291" i="16"/>
  <c r="G291" i="16"/>
  <c r="F291" i="16"/>
  <c r="Q290" i="16"/>
  <c r="P290" i="16"/>
  <c r="O290" i="16"/>
  <c r="N290" i="16"/>
  <c r="M290" i="16"/>
  <c r="L290" i="16"/>
  <c r="K290" i="16"/>
  <c r="J290" i="16"/>
  <c r="I290" i="16"/>
  <c r="H290" i="16"/>
  <c r="G290" i="16"/>
  <c r="F290" i="16"/>
  <c r="Q289" i="16"/>
  <c r="P289" i="16"/>
  <c r="O289" i="16"/>
  <c r="N289" i="16"/>
  <c r="M289" i="16"/>
  <c r="L289" i="16"/>
  <c r="K289" i="16"/>
  <c r="J289" i="16"/>
  <c r="I289" i="16"/>
  <c r="H289" i="16"/>
  <c r="G289" i="16"/>
  <c r="F289" i="16"/>
  <c r="Q288" i="16"/>
  <c r="P288" i="16"/>
  <c r="O288" i="16"/>
  <c r="N288" i="16"/>
  <c r="M288" i="16"/>
  <c r="L288" i="16"/>
  <c r="K288" i="16"/>
  <c r="J288" i="16"/>
  <c r="I288" i="16"/>
  <c r="H288" i="16"/>
  <c r="G288" i="16"/>
  <c r="F288" i="16"/>
  <c r="Q287" i="16"/>
  <c r="P287" i="16"/>
  <c r="O287" i="16"/>
  <c r="N287" i="16"/>
  <c r="M287" i="16"/>
  <c r="L287" i="16"/>
  <c r="K287" i="16"/>
  <c r="J287" i="16"/>
  <c r="I287" i="16"/>
  <c r="H287" i="16"/>
  <c r="G287" i="16"/>
  <c r="F287" i="16"/>
  <c r="Q286" i="16"/>
  <c r="P286" i="16"/>
  <c r="O286" i="16"/>
  <c r="N286" i="16"/>
  <c r="M286" i="16"/>
  <c r="L286" i="16"/>
  <c r="K286" i="16"/>
  <c r="J286" i="16"/>
  <c r="I286" i="16"/>
  <c r="H286" i="16"/>
  <c r="G286" i="16"/>
  <c r="F286" i="16"/>
  <c r="Q285" i="16"/>
  <c r="P285" i="16"/>
  <c r="O285" i="16"/>
  <c r="N285" i="16"/>
  <c r="M285" i="16"/>
  <c r="L285" i="16"/>
  <c r="K285" i="16"/>
  <c r="J285" i="16"/>
  <c r="I285" i="16"/>
  <c r="H285" i="16"/>
  <c r="G285" i="16"/>
  <c r="F285" i="16"/>
  <c r="Q284" i="16"/>
  <c r="P284" i="16"/>
  <c r="O284" i="16"/>
  <c r="N284" i="16"/>
  <c r="M284" i="16"/>
  <c r="L284" i="16"/>
  <c r="K284" i="16"/>
  <c r="J284" i="16"/>
  <c r="I284" i="16"/>
  <c r="H284" i="16"/>
  <c r="G284" i="16"/>
  <c r="F284" i="16"/>
  <c r="Q283" i="16"/>
  <c r="P283" i="16"/>
  <c r="O283" i="16"/>
  <c r="N283" i="16"/>
  <c r="M283" i="16"/>
  <c r="L283" i="16"/>
  <c r="K283" i="16"/>
  <c r="J283" i="16"/>
  <c r="I283" i="16"/>
  <c r="H283" i="16"/>
  <c r="G283" i="16"/>
  <c r="F283" i="16"/>
  <c r="Q282" i="16"/>
  <c r="P282" i="16"/>
  <c r="O282" i="16"/>
  <c r="N282" i="16"/>
  <c r="M282" i="16"/>
  <c r="L282" i="16"/>
  <c r="K282" i="16"/>
  <c r="J282" i="16"/>
  <c r="I282" i="16"/>
  <c r="H282" i="16"/>
  <c r="G282" i="16"/>
  <c r="F282" i="16"/>
  <c r="Q281" i="16"/>
  <c r="P281" i="16"/>
  <c r="O281" i="16"/>
  <c r="N281" i="16"/>
  <c r="M281" i="16"/>
  <c r="L281" i="16"/>
  <c r="K281" i="16"/>
  <c r="J281" i="16"/>
  <c r="I281" i="16"/>
  <c r="H281" i="16"/>
  <c r="G281" i="16"/>
  <c r="F281" i="16"/>
  <c r="Q280" i="16"/>
  <c r="P280" i="16"/>
  <c r="O280" i="16"/>
  <c r="N280" i="16"/>
  <c r="M280" i="16"/>
  <c r="L280" i="16"/>
  <c r="K280" i="16"/>
  <c r="J280" i="16"/>
  <c r="I280" i="16"/>
  <c r="H280" i="16"/>
  <c r="G280" i="16"/>
  <c r="F280" i="16"/>
  <c r="Q279" i="16"/>
  <c r="P279" i="16"/>
  <c r="O279" i="16"/>
  <c r="N279" i="16"/>
  <c r="M279" i="16"/>
  <c r="L279" i="16"/>
  <c r="K279" i="16"/>
  <c r="J279" i="16"/>
  <c r="I279" i="16"/>
  <c r="H279" i="16"/>
  <c r="G279" i="16"/>
  <c r="F279" i="16"/>
  <c r="Q278" i="16"/>
  <c r="P278" i="16"/>
  <c r="O278" i="16"/>
  <c r="N278" i="16"/>
  <c r="M278" i="16"/>
  <c r="L278" i="16"/>
  <c r="K278" i="16"/>
  <c r="J278" i="16"/>
  <c r="I278" i="16"/>
  <c r="H278" i="16"/>
  <c r="G278" i="16"/>
  <c r="F278" i="16"/>
  <c r="Q277" i="16"/>
  <c r="P277" i="16"/>
  <c r="O277" i="16"/>
  <c r="N277" i="16"/>
  <c r="M277" i="16"/>
  <c r="L277" i="16"/>
  <c r="K277" i="16"/>
  <c r="J277" i="16"/>
  <c r="I277" i="16"/>
  <c r="H277" i="16"/>
  <c r="G277" i="16"/>
  <c r="F277" i="16"/>
  <c r="Q276" i="16"/>
  <c r="P276" i="16"/>
  <c r="O276" i="16"/>
  <c r="N276" i="16"/>
  <c r="M276" i="16"/>
  <c r="L276" i="16"/>
  <c r="K276" i="16"/>
  <c r="J276" i="16"/>
  <c r="I276" i="16"/>
  <c r="H276" i="16"/>
  <c r="G276" i="16"/>
  <c r="F276" i="16"/>
  <c r="Q275" i="16"/>
  <c r="P275" i="16"/>
  <c r="O275" i="16"/>
  <c r="N275" i="16"/>
  <c r="M275" i="16"/>
  <c r="L275" i="16"/>
  <c r="K275" i="16"/>
  <c r="J275" i="16"/>
  <c r="I275" i="16"/>
  <c r="H275" i="16"/>
  <c r="G275" i="16"/>
  <c r="F275" i="16"/>
  <c r="Q274" i="16"/>
  <c r="P274" i="16"/>
  <c r="O274" i="16"/>
  <c r="N274" i="16"/>
  <c r="M274" i="16"/>
  <c r="L274" i="16"/>
  <c r="K274" i="16"/>
  <c r="J274" i="16"/>
  <c r="I274" i="16"/>
  <c r="H274" i="16"/>
  <c r="G274" i="16"/>
  <c r="F274" i="16"/>
  <c r="Q273" i="16"/>
  <c r="P273" i="16"/>
  <c r="O273" i="16"/>
  <c r="N273" i="16"/>
  <c r="M273" i="16"/>
  <c r="L273" i="16"/>
  <c r="K273" i="16"/>
  <c r="J273" i="16"/>
  <c r="I273" i="16"/>
  <c r="H273" i="16"/>
  <c r="G273" i="16"/>
  <c r="F273" i="16"/>
  <c r="Q272" i="16"/>
  <c r="P272" i="16"/>
  <c r="O272" i="16"/>
  <c r="N272" i="16"/>
  <c r="M272" i="16"/>
  <c r="L272" i="16"/>
  <c r="K272" i="16"/>
  <c r="J272" i="16"/>
  <c r="I272" i="16"/>
  <c r="H272" i="16"/>
  <c r="G272" i="16"/>
  <c r="F272" i="16"/>
  <c r="Q271" i="16"/>
  <c r="P271" i="16"/>
  <c r="O271" i="16"/>
  <c r="N271" i="16"/>
  <c r="M271" i="16"/>
  <c r="L271" i="16"/>
  <c r="K271" i="16"/>
  <c r="J271" i="16"/>
  <c r="I271" i="16"/>
  <c r="H271" i="16"/>
  <c r="G271" i="16"/>
  <c r="F271" i="16"/>
  <c r="Q270" i="16"/>
  <c r="P270" i="16"/>
  <c r="O270" i="16"/>
  <c r="N270" i="16"/>
  <c r="M270" i="16"/>
  <c r="L270" i="16"/>
  <c r="K270" i="16"/>
  <c r="J270" i="16"/>
  <c r="I270" i="16"/>
  <c r="H270" i="16"/>
  <c r="G270" i="16"/>
  <c r="F270" i="16"/>
  <c r="Q269" i="16"/>
  <c r="P269" i="16"/>
  <c r="O269" i="16"/>
  <c r="N269" i="16"/>
  <c r="M269" i="16"/>
  <c r="L269" i="16"/>
  <c r="K269" i="16"/>
  <c r="J269" i="16"/>
  <c r="I269" i="16"/>
  <c r="H269" i="16"/>
  <c r="G269" i="16"/>
  <c r="F269" i="16"/>
  <c r="Q268" i="16"/>
  <c r="P268" i="16"/>
  <c r="O268" i="16"/>
  <c r="N268" i="16"/>
  <c r="M268" i="16"/>
  <c r="L268" i="16"/>
  <c r="K268" i="16"/>
  <c r="J268" i="16"/>
  <c r="I268" i="16"/>
  <c r="H268" i="16"/>
  <c r="G268" i="16"/>
  <c r="F268" i="16"/>
  <c r="Q267" i="16"/>
  <c r="P267" i="16"/>
  <c r="O267" i="16"/>
  <c r="N267" i="16"/>
  <c r="M267" i="16"/>
  <c r="L267" i="16"/>
  <c r="K267" i="16"/>
  <c r="J267" i="16"/>
  <c r="I267" i="16"/>
  <c r="H267" i="16"/>
  <c r="G267" i="16"/>
  <c r="F267" i="16"/>
  <c r="Q266" i="16"/>
  <c r="P266" i="16"/>
  <c r="O266" i="16"/>
  <c r="N266" i="16"/>
  <c r="M266" i="16"/>
  <c r="L266" i="16"/>
  <c r="K266" i="16"/>
  <c r="J266" i="16"/>
  <c r="I266" i="16"/>
  <c r="H266" i="16"/>
  <c r="G266" i="16"/>
  <c r="F266" i="16"/>
  <c r="Q265" i="16"/>
  <c r="P265" i="16"/>
  <c r="O265" i="16"/>
  <c r="N265" i="16"/>
  <c r="M265" i="16"/>
  <c r="L265" i="16"/>
  <c r="K265" i="16"/>
  <c r="J265" i="16"/>
  <c r="I265" i="16"/>
  <c r="H265" i="16"/>
  <c r="G265" i="16"/>
  <c r="F265" i="16"/>
  <c r="Q264" i="16"/>
  <c r="P264" i="16"/>
  <c r="O264" i="16"/>
  <c r="N264" i="16"/>
  <c r="M264" i="16"/>
  <c r="L264" i="16"/>
  <c r="K264" i="16"/>
  <c r="J264" i="16"/>
  <c r="I264" i="16"/>
  <c r="H264" i="16"/>
  <c r="G264" i="16"/>
  <c r="F264" i="16"/>
  <c r="Q263" i="16"/>
  <c r="P263" i="16"/>
  <c r="O263" i="16"/>
  <c r="N263" i="16"/>
  <c r="M263" i="16"/>
  <c r="L263" i="16"/>
  <c r="K263" i="16"/>
  <c r="J263" i="16"/>
  <c r="I263" i="16"/>
  <c r="H263" i="16"/>
  <c r="G263" i="16"/>
  <c r="F263" i="16"/>
  <c r="Q262" i="16"/>
  <c r="P262" i="16"/>
  <c r="O262" i="16"/>
  <c r="N262" i="16"/>
  <c r="M262" i="16"/>
  <c r="L262" i="16"/>
  <c r="K262" i="16"/>
  <c r="J262" i="16"/>
  <c r="I262" i="16"/>
  <c r="H262" i="16"/>
  <c r="G262" i="16"/>
  <c r="F262" i="16"/>
  <c r="Q261" i="16"/>
  <c r="P261" i="16"/>
  <c r="O261" i="16"/>
  <c r="N261" i="16"/>
  <c r="M261" i="16"/>
  <c r="L261" i="16"/>
  <c r="K261" i="16"/>
  <c r="J261" i="16"/>
  <c r="I261" i="16"/>
  <c r="H261" i="16"/>
  <c r="G261" i="16"/>
  <c r="F261" i="16"/>
  <c r="Q260" i="16"/>
  <c r="P260" i="16"/>
  <c r="O260" i="16"/>
  <c r="N260" i="16"/>
  <c r="M260" i="16"/>
  <c r="L260" i="16"/>
  <c r="K260" i="16"/>
  <c r="J260" i="16"/>
  <c r="I260" i="16"/>
  <c r="H260" i="16"/>
  <c r="G260" i="16"/>
  <c r="F260" i="16"/>
  <c r="Q259" i="16"/>
  <c r="P259" i="16"/>
  <c r="O259" i="16"/>
  <c r="N259" i="16"/>
  <c r="M259" i="16"/>
  <c r="L259" i="16"/>
  <c r="K259" i="16"/>
  <c r="J259" i="16"/>
  <c r="I259" i="16"/>
  <c r="H259" i="16"/>
  <c r="G259" i="16"/>
  <c r="F259" i="16"/>
  <c r="Q258" i="16"/>
  <c r="P258" i="16"/>
  <c r="O258" i="16"/>
  <c r="N258" i="16"/>
  <c r="M258" i="16"/>
  <c r="L258" i="16"/>
  <c r="K258" i="16"/>
  <c r="J258" i="16"/>
  <c r="I258" i="16"/>
  <c r="H258" i="16"/>
  <c r="G258" i="16"/>
  <c r="F258" i="16"/>
  <c r="Q257" i="16"/>
  <c r="P257" i="16"/>
  <c r="O257" i="16"/>
  <c r="N257" i="16"/>
  <c r="M257" i="16"/>
  <c r="L257" i="16"/>
  <c r="K257" i="16"/>
  <c r="J257" i="16"/>
  <c r="I257" i="16"/>
  <c r="H257" i="16"/>
  <c r="G257" i="16"/>
  <c r="F257" i="16"/>
  <c r="Q256" i="16"/>
  <c r="P256" i="16"/>
  <c r="O256" i="16"/>
  <c r="N256" i="16"/>
  <c r="M256" i="16"/>
  <c r="L256" i="16"/>
  <c r="K256" i="16"/>
  <c r="J256" i="16"/>
  <c r="I256" i="16"/>
  <c r="H256" i="16"/>
  <c r="G256" i="16"/>
  <c r="F256" i="16"/>
  <c r="Q255" i="16"/>
  <c r="P255" i="16"/>
  <c r="O255" i="16"/>
  <c r="N255" i="16"/>
  <c r="M255" i="16"/>
  <c r="L255" i="16"/>
  <c r="K255" i="16"/>
  <c r="J255" i="16"/>
  <c r="I255" i="16"/>
  <c r="H255" i="16"/>
  <c r="G255" i="16"/>
  <c r="F255" i="16"/>
  <c r="Q254" i="16"/>
  <c r="P254" i="16"/>
  <c r="O254" i="16"/>
  <c r="N254" i="16"/>
  <c r="M254" i="16"/>
  <c r="L254" i="16"/>
  <c r="K254" i="16"/>
  <c r="J254" i="16"/>
  <c r="I254" i="16"/>
  <c r="H254" i="16"/>
  <c r="G254" i="16"/>
  <c r="F254" i="16"/>
  <c r="Q253" i="16"/>
  <c r="P253" i="16"/>
  <c r="O253" i="16"/>
  <c r="N253" i="16"/>
  <c r="M253" i="16"/>
  <c r="L253" i="16"/>
  <c r="K253" i="16"/>
  <c r="J253" i="16"/>
  <c r="I253" i="16"/>
  <c r="H253" i="16"/>
  <c r="G253" i="16"/>
  <c r="F253" i="16"/>
  <c r="Q252" i="16"/>
  <c r="P252" i="16"/>
  <c r="O252" i="16"/>
  <c r="N252" i="16"/>
  <c r="M252" i="16"/>
  <c r="L252" i="16"/>
  <c r="K252" i="16"/>
  <c r="J252" i="16"/>
  <c r="I252" i="16"/>
  <c r="H252" i="16"/>
  <c r="G252" i="16"/>
  <c r="F252" i="16"/>
  <c r="Q251" i="16"/>
  <c r="P251" i="16"/>
  <c r="O251" i="16"/>
  <c r="N251" i="16"/>
  <c r="M251" i="16"/>
  <c r="L251" i="16"/>
  <c r="K251" i="16"/>
  <c r="J251" i="16"/>
  <c r="I251" i="16"/>
  <c r="H251" i="16"/>
  <c r="G251" i="16"/>
  <c r="F251" i="16"/>
  <c r="Q250" i="16"/>
  <c r="P250" i="16"/>
  <c r="O250" i="16"/>
  <c r="N250" i="16"/>
  <c r="M250" i="16"/>
  <c r="L250" i="16"/>
  <c r="K250" i="16"/>
  <c r="J250" i="16"/>
  <c r="I250" i="16"/>
  <c r="H250" i="16"/>
  <c r="G250" i="16"/>
  <c r="F250" i="16"/>
  <c r="Q249" i="16"/>
  <c r="P249" i="16"/>
  <c r="O249" i="16"/>
  <c r="N249" i="16"/>
  <c r="M249" i="16"/>
  <c r="L249" i="16"/>
  <c r="K249" i="16"/>
  <c r="J249" i="16"/>
  <c r="I249" i="16"/>
  <c r="H249" i="16"/>
  <c r="G249" i="16"/>
  <c r="F249" i="16"/>
  <c r="Q248" i="16"/>
  <c r="P248" i="16"/>
  <c r="O248" i="16"/>
  <c r="N248" i="16"/>
  <c r="M248" i="16"/>
  <c r="L248" i="16"/>
  <c r="K248" i="16"/>
  <c r="J248" i="16"/>
  <c r="I248" i="16"/>
  <c r="H248" i="16"/>
  <c r="G248" i="16"/>
  <c r="F248" i="16"/>
  <c r="Q247" i="16"/>
  <c r="P247" i="16"/>
  <c r="O247" i="16"/>
  <c r="N247" i="16"/>
  <c r="M247" i="16"/>
  <c r="L247" i="16"/>
  <c r="K247" i="16"/>
  <c r="J247" i="16"/>
  <c r="I247" i="16"/>
  <c r="H247" i="16"/>
  <c r="G247" i="16"/>
  <c r="F247" i="16"/>
  <c r="Q246" i="16"/>
  <c r="P246" i="16"/>
  <c r="O246" i="16"/>
  <c r="N246" i="16"/>
  <c r="M246" i="16"/>
  <c r="L246" i="16"/>
  <c r="K246" i="16"/>
  <c r="J246" i="16"/>
  <c r="I246" i="16"/>
  <c r="H246" i="16"/>
  <c r="G246" i="16"/>
  <c r="F246" i="16"/>
  <c r="Q245" i="16"/>
  <c r="P245" i="16"/>
  <c r="O245" i="16"/>
  <c r="N245" i="16"/>
  <c r="M245" i="16"/>
  <c r="L245" i="16"/>
  <c r="K245" i="16"/>
  <c r="J245" i="16"/>
  <c r="I245" i="16"/>
  <c r="H245" i="16"/>
  <c r="G245" i="16"/>
  <c r="F245" i="16"/>
  <c r="Q244" i="16"/>
  <c r="P244" i="16"/>
  <c r="O244" i="16"/>
  <c r="N244" i="16"/>
  <c r="M244" i="16"/>
  <c r="L244" i="16"/>
  <c r="K244" i="16"/>
  <c r="J244" i="16"/>
  <c r="I244" i="16"/>
  <c r="H244" i="16"/>
  <c r="G244" i="16"/>
  <c r="F244" i="16"/>
  <c r="Q243" i="16"/>
  <c r="P243" i="16"/>
  <c r="O243" i="16"/>
  <c r="N243" i="16"/>
  <c r="M243" i="16"/>
  <c r="L243" i="16"/>
  <c r="K243" i="16"/>
  <c r="J243" i="16"/>
  <c r="I243" i="16"/>
  <c r="H243" i="16"/>
  <c r="G243" i="16"/>
  <c r="F243" i="16"/>
  <c r="Q242" i="16"/>
  <c r="P242" i="16"/>
  <c r="O242" i="16"/>
  <c r="N242" i="16"/>
  <c r="M242" i="16"/>
  <c r="L242" i="16"/>
  <c r="K242" i="16"/>
  <c r="J242" i="16"/>
  <c r="I242" i="16"/>
  <c r="H242" i="16"/>
  <c r="G242" i="16"/>
  <c r="F242" i="16"/>
  <c r="Q241" i="16"/>
  <c r="P241" i="16"/>
  <c r="O241" i="16"/>
  <c r="N241" i="16"/>
  <c r="M241" i="16"/>
  <c r="L241" i="16"/>
  <c r="K241" i="16"/>
  <c r="J241" i="16"/>
  <c r="I241" i="16"/>
  <c r="H241" i="16"/>
  <c r="G241" i="16"/>
  <c r="F241" i="16"/>
  <c r="Q240" i="16"/>
  <c r="P240" i="16"/>
  <c r="O240" i="16"/>
  <c r="N240" i="16"/>
  <c r="M240" i="16"/>
  <c r="L240" i="16"/>
  <c r="K240" i="16"/>
  <c r="J240" i="16"/>
  <c r="I240" i="16"/>
  <c r="H240" i="16"/>
  <c r="G240" i="16"/>
  <c r="F240" i="16"/>
  <c r="Q239" i="16"/>
  <c r="P239" i="16"/>
  <c r="O239" i="16"/>
  <c r="N239" i="16"/>
  <c r="M239" i="16"/>
  <c r="L239" i="16"/>
  <c r="K239" i="16"/>
  <c r="J239" i="16"/>
  <c r="I239" i="16"/>
  <c r="H239" i="16"/>
  <c r="G239" i="16"/>
  <c r="F239" i="16"/>
  <c r="Q238" i="16"/>
  <c r="P238" i="16"/>
  <c r="O238" i="16"/>
  <c r="N238" i="16"/>
  <c r="M238" i="16"/>
  <c r="L238" i="16"/>
  <c r="K238" i="16"/>
  <c r="J238" i="16"/>
  <c r="I238" i="16"/>
  <c r="H238" i="16"/>
  <c r="G238" i="16"/>
  <c r="F238" i="16"/>
  <c r="Q237" i="16"/>
  <c r="P237" i="16"/>
  <c r="O237" i="16"/>
  <c r="N237" i="16"/>
  <c r="M237" i="16"/>
  <c r="L237" i="16"/>
  <c r="K237" i="16"/>
  <c r="J237" i="16"/>
  <c r="I237" i="16"/>
  <c r="H237" i="16"/>
  <c r="G237" i="16"/>
  <c r="F237" i="16"/>
  <c r="Q236" i="16"/>
  <c r="P236" i="16"/>
  <c r="O236" i="16"/>
  <c r="N236" i="16"/>
  <c r="M236" i="16"/>
  <c r="L236" i="16"/>
  <c r="K236" i="16"/>
  <c r="J236" i="16"/>
  <c r="I236" i="16"/>
  <c r="H236" i="16"/>
  <c r="G236" i="16"/>
  <c r="F236" i="16"/>
  <c r="Q235" i="16"/>
  <c r="P235" i="16"/>
  <c r="O235" i="16"/>
  <c r="N235" i="16"/>
  <c r="M235" i="16"/>
  <c r="L235" i="16"/>
  <c r="K235" i="16"/>
  <c r="J235" i="16"/>
  <c r="I235" i="16"/>
  <c r="H235" i="16"/>
  <c r="G235" i="16"/>
  <c r="F235" i="16"/>
  <c r="Q234" i="16"/>
  <c r="P234" i="16"/>
  <c r="O234" i="16"/>
  <c r="N234" i="16"/>
  <c r="M234" i="16"/>
  <c r="L234" i="16"/>
  <c r="K234" i="16"/>
  <c r="J234" i="16"/>
  <c r="I234" i="16"/>
  <c r="H234" i="16"/>
  <c r="G234" i="16"/>
  <c r="F234" i="16"/>
  <c r="Q233" i="16"/>
  <c r="P233" i="16"/>
  <c r="O233" i="16"/>
  <c r="N233" i="16"/>
  <c r="M233" i="16"/>
  <c r="L233" i="16"/>
  <c r="K233" i="16"/>
  <c r="J233" i="16"/>
  <c r="I233" i="16"/>
  <c r="H233" i="16"/>
  <c r="G233" i="16"/>
  <c r="F233" i="16"/>
  <c r="Q232" i="16"/>
  <c r="P232" i="16"/>
  <c r="O232" i="16"/>
  <c r="N232" i="16"/>
  <c r="M232" i="16"/>
  <c r="L232" i="16"/>
  <c r="K232" i="16"/>
  <c r="J232" i="16"/>
  <c r="I232" i="16"/>
  <c r="H232" i="16"/>
  <c r="G232" i="16"/>
  <c r="F232" i="16"/>
  <c r="Q231" i="16"/>
  <c r="P231" i="16"/>
  <c r="O231" i="16"/>
  <c r="N231" i="16"/>
  <c r="M231" i="16"/>
  <c r="L231" i="16"/>
  <c r="K231" i="16"/>
  <c r="J231" i="16"/>
  <c r="I231" i="16"/>
  <c r="H231" i="16"/>
  <c r="G231" i="16"/>
  <c r="F231" i="16"/>
  <c r="Q230" i="16"/>
  <c r="P230" i="16"/>
  <c r="O230" i="16"/>
  <c r="N230" i="16"/>
  <c r="M230" i="16"/>
  <c r="L230" i="16"/>
  <c r="K230" i="16"/>
  <c r="J230" i="16"/>
  <c r="I230" i="16"/>
  <c r="H230" i="16"/>
  <c r="G230" i="16"/>
  <c r="F230" i="16"/>
  <c r="Q229" i="16"/>
  <c r="P229" i="16"/>
  <c r="O229" i="16"/>
  <c r="N229" i="16"/>
  <c r="M229" i="16"/>
  <c r="L229" i="16"/>
  <c r="K229" i="16"/>
  <c r="J229" i="16"/>
  <c r="I229" i="16"/>
  <c r="H229" i="16"/>
  <c r="G229" i="16"/>
  <c r="F229" i="16"/>
  <c r="Q228" i="16"/>
  <c r="P228" i="16"/>
  <c r="O228" i="16"/>
  <c r="N228" i="16"/>
  <c r="M228" i="16"/>
  <c r="L228" i="16"/>
  <c r="K228" i="16"/>
  <c r="J228" i="16"/>
  <c r="I228" i="16"/>
  <c r="H228" i="16"/>
  <c r="G228" i="16"/>
  <c r="F228" i="16"/>
  <c r="Q227" i="16"/>
  <c r="P227" i="16"/>
  <c r="O227" i="16"/>
  <c r="N227" i="16"/>
  <c r="M227" i="16"/>
  <c r="L227" i="16"/>
  <c r="K227" i="16"/>
  <c r="J227" i="16"/>
  <c r="I227" i="16"/>
  <c r="H227" i="16"/>
  <c r="G227" i="16"/>
  <c r="F227" i="16"/>
  <c r="Q226" i="16"/>
  <c r="P226" i="16"/>
  <c r="O226" i="16"/>
  <c r="N226" i="16"/>
  <c r="M226" i="16"/>
  <c r="L226" i="16"/>
  <c r="K226" i="16"/>
  <c r="J226" i="16"/>
  <c r="I226" i="16"/>
  <c r="H226" i="16"/>
  <c r="G226" i="16"/>
  <c r="F226" i="16"/>
  <c r="Q225" i="16"/>
  <c r="P225" i="16"/>
  <c r="O225" i="16"/>
  <c r="N225" i="16"/>
  <c r="M225" i="16"/>
  <c r="L225" i="16"/>
  <c r="K225" i="16"/>
  <c r="J225" i="16"/>
  <c r="I225" i="16"/>
  <c r="H225" i="16"/>
  <c r="G225" i="16"/>
  <c r="F225" i="16"/>
  <c r="Q224" i="16"/>
  <c r="P224" i="16"/>
  <c r="O224" i="16"/>
  <c r="N224" i="16"/>
  <c r="M224" i="16"/>
  <c r="L224" i="16"/>
  <c r="K224" i="16"/>
  <c r="J224" i="16"/>
  <c r="I224" i="16"/>
  <c r="H224" i="16"/>
  <c r="G224" i="16"/>
  <c r="F224" i="16"/>
  <c r="Q223" i="16"/>
  <c r="P223" i="16"/>
  <c r="O223" i="16"/>
  <c r="N223" i="16"/>
  <c r="M223" i="16"/>
  <c r="L223" i="16"/>
  <c r="K223" i="16"/>
  <c r="J223" i="16"/>
  <c r="I223" i="16"/>
  <c r="H223" i="16"/>
  <c r="G223" i="16"/>
  <c r="F223" i="16"/>
  <c r="Q222" i="16"/>
  <c r="P222" i="16"/>
  <c r="O222" i="16"/>
  <c r="N222" i="16"/>
  <c r="M222" i="16"/>
  <c r="L222" i="16"/>
  <c r="K222" i="16"/>
  <c r="J222" i="16"/>
  <c r="I222" i="16"/>
  <c r="H222" i="16"/>
  <c r="G222" i="16"/>
  <c r="F222" i="16"/>
  <c r="Q221" i="16"/>
  <c r="P221" i="16"/>
  <c r="O221" i="16"/>
  <c r="N221" i="16"/>
  <c r="M221" i="16"/>
  <c r="L221" i="16"/>
  <c r="K221" i="16"/>
  <c r="J221" i="16"/>
  <c r="I221" i="16"/>
  <c r="H221" i="16"/>
  <c r="G221" i="16"/>
  <c r="F221" i="16"/>
  <c r="Q220" i="16"/>
  <c r="P220" i="16"/>
  <c r="O220" i="16"/>
  <c r="N220" i="16"/>
  <c r="M220" i="16"/>
  <c r="L220" i="16"/>
  <c r="K220" i="16"/>
  <c r="J220" i="16"/>
  <c r="I220" i="16"/>
  <c r="H220" i="16"/>
  <c r="G220" i="16"/>
  <c r="F220" i="16"/>
  <c r="Q219" i="16"/>
  <c r="P219" i="16"/>
  <c r="O219" i="16"/>
  <c r="N219" i="16"/>
  <c r="M219" i="16"/>
  <c r="L219" i="16"/>
  <c r="K219" i="16"/>
  <c r="J219" i="16"/>
  <c r="I219" i="16"/>
  <c r="H219" i="16"/>
  <c r="G219" i="16"/>
  <c r="F219" i="16"/>
  <c r="Q218" i="16"/>
  <c r="P218" i="16"/>
  <c r="O218" i="16"/>
  <c r="N218" i="16"/>
  <c r="M218" i="16"/>
  <c r="L218" i="16"/>
  <c r="K218" i="16"/>
  <c r="J218" i="16"/>
  <c r="I218" i="16"/>
  <c r="H218" i="16"/>
  <c r="G218" i="16"/>
  <c r="F218" i="16"/>
  <c r="Q217" i="16"/>
  <c r="P217" i="16"/>
  <c r="O217" i="16"/>
  <c r="N217" i="16"/>
  <c r="M217" i="16"/>
  <c r="L217" i="16"/>
  <c r="K217" i="16"/>
  <c r="J217" i="16"/>
  <c r="I217" i="16"/>
  <c r="H217" i="16"/>
  <c r="G217" i="16"/>
  <c r="F217" i="16"/>
  <c r="Q216" i="16"/>
  <c r="P216" i="16"/>
  <c r="O216" i="16"/>
  <c r="N216" i="16"/>
  <c r="M216" i="16"/>
  <c r="L216" i="16"/>
  <c r="K216" i="16"/>
  <c r="J216" i="16"/>
  <c r="I216" i="16"/>
  <c r="H216" i="16"/>
  <c r="G216" i="16"/>
  <c r="F216" i="16"/>
  <c r="Q215" i="16"/>
  <c r="P215" i="16"/>
  <c r="O215" i="16"/>
  <c r="N215" i="16"/>
  <c r="M215" i="16"/>
  <c r="L215" i="16"/>
  <c r="K215" i="16"/>
  <c r="J215" i="16"/>
  <c r="I215" i="16"/>
  <c r="H215" i="16"/>
  <c r="G215" i="16"/>
  <c r="F215" i="16"/>
  <c r="Q214" i="16"/>
  <c r="P214" i="16"/>
  <c r="O214" i="16"/>
  <c r="N214" i="16"/>
  <c r="M214" i="16"/>
  <c r="L214" i="16"/>
  <c r="K214" i="16"/>
  <c r="J214" i="16"/>
  <c r="I214" i="16"/>
  <c r="H214" i="16"/>
  <c r="G214" i="16"/>
  <c r="F214" i="16"/>
  <c r="Q213" i="16"/>
  <c r="P213" i="16"/>
  <c r="O213" i="16"/>
  <c r="N213" i="16"/>
  <c r="M213" i="16"/>
  <c r="L213" i="16"/>
  <c r="K213" i="16"/>
  <c r="J213" i="16"/>
  <c r="I213" i="16"/>
  <c r="H213" i="16"/>
  <c r="G213" i="16"/>
  <c r="F213" i="16"/>
  <c r="Q212" i="16"/>
  <c r="P212" i="16"/>
  <c r="O212" i="16"/>
  <c r="N212" i="16"/>
  <c r="M212" i="16"/>
  <c r="L212" i="16"/>
  <c r="K212" i="16"/>
  <c r="J212" i="16"/>
  <c r="I212" i="16"/>
  <c r="H212" i="16"/>
  <c r="G212" i="16"/>
  <c r="F212" i="16"/>
  <c r="Q211" i="16"/>
  <c r="P211" i="16"/>
  <c r="O211" i="16"/>
  <c r="N211" i="16"/>
  <c r="M211" i="16"/>
  <c r="L211" i="16"/>
  <c r="K211" i="16"/>
  <c r="J211" i="16"/>
  <c r="I211" i="16"/>
  <c r="H211" i="16"/>
  <c r="G211" i="16"/>
  <c r="F211" i="16"/>
  <c r="Q210" i="16"/>
  <c r="P210" i="16"/>
  <c r="O210" i="16"/>
  <c r="N210" i="16"/>
  <c r="M210" i="16"/>
  <c r="L210" i="16"/>
  <c r="K210" i="16"/>
  <c r="J210" i="16"/>
  <c r="I210" i="16"/>
  <c r="H210" i="16"/>
  <c r="G210" i="16"/>
  <c r="F210" i="16"/>
  <c r="Q209" i="16"/>
  <c r="P209" i="16"/>
  <c r="O209" i="16"/>
  <c r="N209" i="16"/>
  <c r="M209" i="16"/>
  <c r="L209" i="16"/>
  <c r="K209" i="16"/>
  <c r="J209" i="16"/>
  <c r="I209" i="16"/>
  <c r="H209" i="16"/>
  <c r="G209" i="16"/>
  <c r="F209" i="16"/>
  <c r="Q208" i="16"/>
  <c r="P208" i="16"/>
  <c r="O208" i="16"/>
  <c r="N208" i="16"/>
  <c r="M208" i="16"/>
  <c r="L208" i="16"/>
  <c r="K208" i="16"/>
  <c r="J208" i="16"/>
  <c r="I208" i="16"/>
  <c r="H208" i="16"/>
  <c r="G208" i="16"/>
  <c r="F208" i="16"/>
  <c r="Q207" i="16"/>
  <c r="P207" i="16"/>
  <c r="O207" i="16"/>
  <c r="N207" i="16"/>
  <c r="M207" i="16"/>
  <c r="L207" i="16"/>
  <c r="K207" i="16"/>
  <c r="J207" i="16"/>
  <c r="I207" i="16"/>
  <c r="H207" i="16"/>
  <c r="G207" i="16"/>
  <c r="F207" i="16"/>
  <c r="Q206" i="16"/>
  <c r="P206" i="16"/>
  <c r="O206" i="16"/>
  <c r="N206" i="16"/>
  <c r="M206" i="16"/>
  <c r="L206" i="16"/>
  <c r="K206" i="16"/>
  <c r="J206" i="16"/>
  <c r="I206" i="16"/>
  <c r="H206" i="16"/>
  <c r="G206" i="16"/>
  <c r="F206" i="16"/>
  <c r="Q205" i="16"/>
  <c r="P205" i="16"/>
  <c r="O205" i="16"/>
  <c r="N205" i="16"/>
  <c r="M205" i="16"/>
  <c r="L205" i="16"/>
  <c r="K205" i="16"/>
  <c r="J205" i="16"/>
  <c r="I205" i="16"/>
  <c r="H205" i="16"/>
  <c r="G205" i="16"/>
  <c r="F205" i="16"/>
  <c r="Q204" i="16"/>
  <c r="P204" i="16"/>
  <c r="O204" i="16"/>
  <c r="N204" i="16"/>
  <c r="M204" i="16"/>
  <c r="L204" i="16"/>
  <c r="K204" i="16"/>
  <c r="J204" i="16"/>
  <c r="I204" i="16"/>
  <c r="H204" i="16"/>
  <c r="G204" i="16"/>
  <c r="F204" i="16"/>
  <c r="Q203" i="16"/>
  <c r="P203" i="16"/>
  <c r="O203" i="16"/>
  <c r="N203" i="16"/>
  <c r="M203" i="16"/>
  <c r="L203" i="16"/>
  <c r="K203" i="16"/>
  <c r="J203" i="16"/>
  <c r="I203" i="16"/>
  <c r="H203" i="16"/>
  <c r="G203" i="16"/>
  <c r="F203" i="16"/>
  <c r="Q202" i="16"/>
  <c r="P202" i="16"/>
  <c r="O202" i="16"/>
  <c r="N202" i="16"/>
  <c r="M202" i="16"/>
  <c r="L202" i="16"/>
  <c r="K202" i="16"/>
  <c r="J202" i="16"/>
  <c r="I202" i="16"/>
  <c r="H202" i="16"/>
  <c r="G202" i="16"/>
  <c r="F202" i="16"/>
  <c r="Q201" i="16"/>
  <c r="P201" i="16"/>
  <c r="O201" i="16"/>
  <c r="N201" i="16"/>
  <c r="M201" i="16"/>
  <c r="L201" i="16"/>
  <c r="K201" i="16"/>
  <c r="J201" i="16"/>
  <c r="I201" i="16"/>
  <c r="H201" i="16"/>
  <c r="G201" i="16"/>
  <c r="F201" i="16"/>
  <c r="Q200" i="16"/>
  <c r="P200" i="16"/>
  <c r="O200" i="16"/>
  <c r="N200" i="16"/>
  <c r="M200" i="16"/>
  <c r="L200" i="16"/>
  <c r="K200" i="16"/>
  <c r="J200" i="16"/>
  <c r="I200" i="16"/>
  <c r="H200" i="16"/>
  <c r="G200" i="16"/>
  <c r="F200" i="16"/>
  <c r="Q199" i="16"/>
  <c r="P199" i="16"/>
  <c r="O199" i="16"/>
  <c r="N199" i="16"/>
  <c r="M199" i="16"/>
  <c r="L199" i="16"/>
  <c r="K199" i="16"/>
  <c r="J199" i="16"/>
  <c r="I199" i="16"/>
  <c r="H199" i="16"/>
  <c r="G199" i="16"/>
  <c r="F199" i="16"/>
  <c r="Q198" i="16"/>
  <c r="P198" i="16"/>
  <c r="O198" i="16"/>
  <c r="N198" i="16"/>
  <c r="M198" i="16"/>
  <c r="L198" i="16"/>
  <c r="K198" i="16"/>
  <c r="J198" i="16"/>
  <c r="I198" i="16"/>
  <c r="H198" i="16"/>
  <c r="G198" i="16"/>
  <c r="F198" i="16"/>
  <c r="Q197" i="16"/>
  <c r="P197" i="16"/>
  <c r="O197" i="16"/>
  <c r="N197" i="16"/>
  <c r="M197" i="16"/>
  <c r="L197" i="16"/>
  <c r="K197" i="16"/>
  <c r="J197" i="16"/>
  <c r="I197" i="16"/>
  <c r="H197" i="16"/>
  <c r="G197" i="16"/>
  <c r="F197" i="16"/>
  <c r="Q196" i="16"/>
  <c r="P196" i="16"/>
  <c r="O196" i="16"/>
  <c r="N196" i="16"/>
  <c r="M196" i="16"/>
  <c r="L196" i="16"/>
  <c r="K196" i="16"/>
  <c r="J196" i="16"/>
  <c r="I196" i="16"/>
  <c r="H196" i="16"/>
  <c r="G196" i="16"/>
  <c r="F196" i="16"/>
  <c r="Q195" i="16"/>
  <c r="P195" i="16"/>
  <c r="O195" i="16"/>
  <c r="N195" i="16"/>
  <c r="M195" i="16"/>
  <c r="L195" i="16"/>
  <c r="K195" i="16"/>
  <c r="J195" i="16"/>
  <c r="I195" i="16"/>
  <c r="H195" i="16"/>
  <c r="G195" i="16"/>
  <c r="F195" i="16"/>
  <c r="Q194" i="16"/>
  <c r="P194" i="16"/>
  <c r="O194" i="16"/>
  <c r="N194" i="16"/>
  <c r="M194" i="16"/>
  <c r="L194" i="16"/>
  <c r="K194" i="16"/>
  <c r="J194" i="16"/>
  <c r="I194" i="16"/>
  <c r="H194" i="16"/>
  <c r="G194" i="16"/>
  <c r="F194" i="16"/>
  <c r="Q193" i="16"/>
  <c r="P193" i="16"/>
  <c r="O193" i="16"/>
  <c r="N193" i="16"/>
  <c r="M193" i="16"/>
  <c r="L193" i="16"/>
  <c r="K193" i="16"/>
  <c r="J193" i="16"/>
  <c r="I193" i="16"/>
  <c r="H193" i="16"/>
  <c r="G193" i="16"/>
  <c r="F193" i="16"/>
  <c r="Q192" i="16"/>
  <c r="P192" i="16"/>
  <c r="O192" i="16"/>
  <c r="N192" i="16"/>
  <c r="M192" i="16"/>
  <c r="L192" i="16"/>
  <c r="K192" i="16"/>
  <c r="J192" i="16"/>
  <c r="I192" i="16"/>
  <c r="H192" i="16"/>
  <c r="G192" i="16"/>
  <c r="F192" i="16"/>
  <c r="Q191" i="16"/>
  <c r="P191" i="16"/>
  <c r="O191" i="16"/>
  <c r="N191" i="16"/>
  <c r="M191" i="16"/>
  <c r="L191" i="16"/>
  <c r="K191" i="16"/>
  <c r="J191" i="16"/>
  <c r="I191" i="16"/>
  <c r="H191" i="16"/>
  <c r="G191" i="16"/>
  <c r="F191" i="16"/>
  <c r="Q190" i="16"/>
  <c r="P190" i="16"/>
  <c r="O190" i="16"/>
  <c r="N190" i="16"/>
  <c r="M190" i="16"/>
  <c r="L190" i="16"/>
  <c r="K190" i="16"/>
  <c r="J190" i="16"/>
  <c r="I190" i="16"/>
  <c r="H190" i="16"/>
  <c r="G190" i="16"/>
  <c r="F190" i="16"/>
  <c r="Q189" i="16"/>
  <c r="P189" i="16"/>
  <c r="O189" i="16"/>
  <c r="N189" i="16"/>
  <c r="M189" i="16"/>
  <c r="L189" i="16"/>
  <c r="K189" i="16"/>
  <c r="J189" i="16"/>
  <c r="I189" i="16"/>
  <c r="H189" i="16"/>
  <c r="G189" i="16"/>
  <c r="F189" i="16"/>
  <c r="Q188" i="16"/>
  <c r="P188" i="16"/>
  <c r="O188" i="16"/>
  <c r="N188" i="16"/>
  <c r="M188" i="16"/>
  <c r="L188" i="16"/>
  <c r="K188" i="16"/>
  <c r="J188" i="16"/>
  <c r="I188" i="16"/>
  <c r="H188" i="16"/>
  <c r="G188" i="16"/>
  <c r="F188" i="16"/>
  <c r="Q187" i="16"/>
  <c r="P187" i="16"/>
  <c r="O187" i="16"/>
  <c r="N187" i="16"/>
  <c r="M187" i="16"/>
  <c r="L187" i="16"/>
  <c r="K187" i="16"/>
  <c r="J187" i="16"/>
  <c r="I187" i="16"/>
  <c r="H187" i="16"/>
  <c r="G187" i="16"/>
  <c r="F187" i="16"/>
  <c r="Q186" i="16"/>
  <c r="P186" i="16"/>
  <c r="O186" i="16"/>
  <c r="N186" i="16"/>
  <c r="M186" i="16"/>
  <c r="L186" i="16"/>
  <c r="K186" i="16"/>
  <c r="J186" i="16"/>
  <c r="I186" i="16"/>
  <c r="H186" i="16"/>
  <c r="G186" i="16"/>
  <c r="F186" i="16"/>
  <c r="Q185" i="16"/>
  <c r="P185" i="16"/>
  <c r="O185" i="16"/>
  <c r="N185" i="16"/>
  <c r="M185" i="16"/>
  <c r="L185" i="16"/>
  <c r="K185" i="16"/>
  <c r="J185" i="16"/>
  <c r="I185" i="16"/>
  <c r="H185" i="16"/>
  <c r="G185" i="16"/>
  <c r="F185" i="16"/>
  <c r="Q184" i="16"/>
  <c r="P184" i="16"/>
  <c r="O184" i="16"/>
  <c r="N184" i="16"/>
  <c r="M184" i="16"/>
  <c r="L184" i="16"/>
  <c r="K184" i="16"/>
  <c r="J184" i="16"/>
  <c r="I184" i="16"/>
  <c r="H184" i="16"/>
  <c r="G184" i="16"/>
  <c r="F184" i="16"/>
  <c r="Q183" i="16"/>
  <c r="P183" i="16"/>
  <c r="O183" i="16"/>
  <c r="N183" i="16"/>
  <c r="M183" i="16"/>
  <c r="L183" i="16"/>
  <c r="K183" i="16"/>
  <c r="J183" i="16"/>
  <c r="I183" i="16"/>
  <c r="H183" i="16"/>
  <c r="G183" i="16"/>
  <c r="F183" i="16"/>
  <c r="Q182" i="16"/>
  <c r="P182" i="16"/>
  <c r="O182" i="16"/>
  <c r="N182" i="16"/>
  <c r="M182" i="16"/>
  <c r="L182" i="16"/>
  <c r="K182" i="16"/>
  <c r="J182" i="16"/>
  <c r="I182" i="16"/>
  <c r="H182" i="16"/>
  <c r="G182" i="16"/>
  <c r="F182" i="16"/>
  <c r="Q181" i="16"/>
  <c r="P181" i="16"/>
  <c r="O181" i="16"/>
  <c r="N181" i="16"/>
  <c r="M181" i="16"/>
  <c r="L181" i="16"/>
  <c r="K181" i="16"/>
  <c r="J181" i="16"/>
  <c r="I181" i="16"/>
  <c r="H181" i="16"/>
  <c r="G181" i="16"/>
  <c r="F181" i="16"/>
  <c r="Q180" i="16"/>
  <c r="P180" i="16"/>
  <c r="O180" i="16"/>
  <c r="N180" i="16"/>
  <c r="M180" i="16"/>
  <c r="L180" i="16"/>
  <c r="K180" i="16"/>
  <c r="J180" i="16"/>
  <c r="I180" i="16"/>
  <c r="H180" i="16"/>
  <c r="G180" i="16"/>
  <c r="F180" i="16"/>
  <c r="Q179" i="16"/>
  <c r="P179" i="16"/>
  <c r="O179" i="16"/>
  <c r="N179" i="16"/>
  <c r="M179" i="16"/>
  <c r="L179" i="16"/>
  <c r="K179" i="16"/>
  <c r="J179" i="16"/>
  <c r="I179" i="16"/>
  <c r="H179" i="16"/>
  <c r="G179" i="16"/>
  <c r="F179" i="16"/>
  <c r="Q178" i="16"/>
  <c r="P178" i="16"/>
  <c r="O178" i="16"/>
  <c r="N178" i="16"/>
  <c r="M178" i="16"/>
  <c r="L178" i="16"/>
  <c r="K178" i="16"/>
  <c r="J178" i="16"/>
  <c r="I178" i="16"/>
  <c r="H178" i="16"/>
  <c r="G178" i="16"/>
  <c r="F178" i="16"/>
  <c r="Q177" i="16"/>
  <c r="P177" i="16"/>
  <c r="O177" i="16"/>
  <c r="N177" i="16"/>
  <c r="M177" i="16"/>
  <c r="L177" i="16"/>
  <c r="K177" i="16"/>
  <c r="J177" i="16"/>
  <c r="I177" i="16"/>
  <c r="H177" i="16"/>
  <c r="G177" i="16"/>
  <c r="F177" i="16"/>
  <c r="Q176" i="16"/>
  <c r="P176" i="16"/>
  <c r="O176" i="16"/>
  <c r="N176" i="16"/>
  <c r="M176" i="16"/>
  <c r="L176" i="16"/>
  <c r="K176" i="16"/>
  <c r="J176" i="16"/>
  <c r="I176" i="16"/>
  <c r="H176" i="16"/>
  <c r="G176" i="16"/>
  <c r="F176" i="16"/>
  <c r="Q175" i="16"/>
  <c r="P175" i="16"/>
  <c r="O175" i="16"/>
  <c r="N175" i="16"/>
  <c r="M175" i="16"/>
  <c r="L175" i="16"/>
  <c r="K175" i="16"/>
  <c r="J175" i="16"/>
  <c r="I175" i="16"/>
  <c r="H175" i="16"/>
  <c r="G175" i="16"/>
  <c r="F175" i="16"/>
  <c r="Q174" i="16"/>
  <c r="P174" i="16"/>
  <c r="O174" i="16"/>
  <c r="N174" i="16"/>
  <c r="M174" i="16"/>
  <c r="L174" i="16"/>
  <c r="K174" i="16"/>
  <c r="J174" i="16"/>
  <c r="I174" i="16"/>
  <c r="H174" i="16"/>
  <c r="G174" i="16"/>
  <c r="F174" i="16"/>
  <c r="Q173" i="16"/>
  <c r="P173" i="16"/>
  <c r="O173" i="16"/>
  <c r="N173" i="16"/>
  <c r="M173" i="16"/>
  <c r="L173" i="16"/>
  <c r="K173" i="16"/>
  <c r="J173" i="16"/>
  <c r="I173" i="16"/>
  <c r="H173" i="16"/>
  <c r="G173" i="16"/>
  <c r="F173" i="16"/>
  <c r="Q172" i="16"/>
  <c r="P172" i="16"/>
  <c r="O172" i="16"/>
  <c r="N172" i="16"/>
  <c r="M172" i="16"/>
  <c r="L172" i="16"/>
  <c r="K172" i="16"/>
  <c r="J172" i="16"/>
  <c r="I172" i="16"/>
  <c r="H172" i="16"/>
  <c r="G172" i="16"/>
  <c r="F172" i="16"/>
  <c r="Q171" i="16"/>
  <c r="P171" i="16"/>
  <c r="O171" i="16"/>
  <c r="N171" i="16"/>
  <c r="M171" i="16"/>
  <c r="L171" i="16"/>
  <c r="K171" i="16"/>
  <c r="J171" i="16"/>
  <c r="I171" i="16"/>
  <c r="H171" i="16"/>
  <c r="G171" i="16"/>
  <c r="F171" i="16"/>
  <c r="Q170" i="16"/>
  <c r="P170" i="16"/>
  <c r="O170" i="16"/>
  <c r="N170" i="16"/>
  <c r="M170" i="16"/>
  <c r="L170" i="16"/>
  <c r="K170" i="16"/>
  <c r="J170" i="16"/>
  <c r="I170" i="16"/>
  <c r="H170" i="16"/>
  <c r="G170" i="16"/>
  <c r="F170" i="16"/>
  <c r="Q169" i="16"/>
  <c r="P169" i="16"/>
  <c r="O169" i="16"/>
  <c r="N169" i="16"/>
  <c r="M169" i="16"/>
  <c r="L169" i="16"/>
  <c r="K169" i="16"/>
  <c r="J169" i="16"/>
  <c r="I169" i="16"/>
  <c r="H169" i="16"/>
  <c r="G169" i="16"/>
  <c r="F169" i="16"/>
  <c r="Q168" i="16"/>
  <c r="P168" i="16"/>
  <c r="O168" i="16"/>
  <c r="N168" i="16"/>
  <c r="M168" i="16"/>
  <c r="L168" i="16"/>
  <c r="K168" i="16"/>
  <c r="J168" i="16"/>
  <c r="I168" i="16"/>
  <c r="H168" i="16"/>
  <c r="G168" i="16"/>
  <c r="F168" i="16"/>
  <c r="Q167" i="16"/>
  <c r="P167" i="16"/>
  <c r="O167" i="16"/>
  <c r="N167" i="16"/>
  <c r="M167" i="16"/>
  <c r="L167" i="16"/>
  <c r="K167" i="16"/>
  <c r="J167" i="16"/>
  <c r="I167" i="16"/>
  <c r="H167" i="16"/>
  <c r="G167" i="16"/>
  <c r="F167" i="16"/>
  <c r="Q166" i="16"/>
  <c r="P166" i="16"/>
  <c r="O166" i="16"/>
  <c r="N166" i="16"/>
  <c r="M166" i="16"/>
  <c r="L166" i="16"/>
  <c r="K166" i="16"/>
  <c r="J166" i="16"/>
  <c r="I166" i="16"/>
  <c r="H166" i="16"/>
  <c r="G166" i="16"/>
  <c r="F166" i="16"/>
  <c r="Q165" i="16"/>
  <c r="P165" i="16"/>
  <c r="O165" i="16"/>
  <c r="N165" i="16"/>
  <c r="M165" i="16"/>
  <c r="L165" i="16"/>
  <c r="K165" i="16"/>
  <c r="J165" i="16"/>
  <c r="I165" i="16"/>
  <c r="H165" i="16"/>
  <c r="G165" i="16"/>
  <c r="F165" i="16"/>
  <c r="Q164" i="16"/>
  <c r="P164" i="16"/>
  <c r="O164" i="16"/>
  <c r="N164" i="16"/>
  <c r="M164" i="16"/>
  <c r="L164" i="16"/>
  <c r="K164" i="16"/>
  <c r="J164" i="16"/>
  <c r="I164" i="16"/>
  <c r="H164" i="16"/>
  <c r="G164" i="16"/>
  <c r="F164" i="16"/>
  <c r="Q163" i="16"/>
  <c r="P163" i="16"/>
  <c r="O163" i="16"/>
  <c r="N163" i="16"/>
  <c r="M163" i="16"/>
  <c r="L163" i="16"/>
  <c r="K163" i="16"/>
  <c r="J163" i="16"/>
  <c r="I163" i="16"/>
  <c r="H163" i="16"/>
  <c r="G163" i="16"/>
  <c r="F163" i="16"/>
  <c r="Q162" i="16"/>
  <c r="P162" i="16"/>
  <c r="O162" i="16"/>
  <c r="N162" i="16"/>
  <c r="M162" i="16"/>
  <c r="L162" i="16"/>
  <c r="K162" i="16"/>
  <c r="J162" i="16"/>
  <c r="I162" i="16"/>
  <c r="H162" i="16"/>
  <c r="G162" i="16"/>
  <c r="F162" i="16"/>
  <c r="Q161" i="16"/>
  <c r="P161" i="16"/>
  <c r="O161" i="16"/>
  <c r="N161" i="16"/>
  <c r="M161" i="16"/>
  <c r="L161" i="16"/>
  <c r="K161" i="16"/>
  <c r="J161" i="16"/>
  <c r="I161" i="16"/>
  <c r="H161" i="16"/>
  <c r="G161" i="16"/>
  <c r="F161" i="16"/>
  <c r="Q160" i="16"/>
  <c r="P160" i="16"/>
  <c r="O160" i="16"/>
  <c r="N160" i="16"/>
  <c r="M160" i="16"/>
  <c r="L160" i="16"/>
  <c r="K160" i="16"/>
  <c r="J160" i="16"/>
  <c r="I160" i="16"/>
  <c r="H160" i="16"/>
  <c r="G160" i="16"/>
  <c r="F160" i="16"/>
  <c r="Q159" i="16"/>
  <c r="P159" i="16"/>
  <c r="O159" i="16"/>
  <c r="N159" i="16"/>
  <c r="M159" i="16"/>
  <c r="L159" i="16"/>
  <c r="K159" i="16"/>
  <c r="J159" i="16"/>
  <c r="I159" i="16"/>
  <c r="H159" i="16"/>
  <c r="G159" i="16"/>
  <c r="F159" i="16"/>
  <c r="Q158" i="16"/>
  <c r="P158" i="16"/>
  <c r="O158" i="16"/>
  <c r="N158" i="16"/>
  <c r="M158" i="16"/>
  <c r="L158" i="16"/>
  <c r="K158" i="16"/>
  <c r="J158" i="16"/>
  <c r="I158" i="16"/>
  <c r="H158" i="16"/>
  <c r="G158" i="16"/>
  <c r="F158" i="16"/>
  <c r="Q157" i="16"/>
  <c r="P157" i="16"/>
  <c r="O157" i="16"/>
  <c r="N157" i="16"/>
  <c r="M157" i="16"/>
  <c r="L157" i="16"/>
  <c r="K157" i="16"/>
  <c r="J157" i="16"/>
  <c r="I157" i="16"/>
  <c r="H157" i="16"/>
  <c r="G157" i="16"/>
  <c r="F157" i="16"/>
  <c r="Q156" i="16"/>
  <c r="P156" i="16"/>
  <c r="O156" i="16"/>
  <c r="N156" i="16"/>
  <c r="M156" i="16"/>
  <c r="L156" i="16"/>
  <c r="K156" i="16"/>
  <c r="J156" i="16"/>
  <c r="I156" i="16"/>
  <c r="H156" i="16"/>
  <c r="G156" i="16"/>
  <c r="F156" i="16"/>
  <c r="Q155" i="16"/>
  <c r="P155" i="16"/>
  <c r="O155" i="16"/>
  <c r="N155" i="16"/>
  <c r="M155" i="16"/>
  <c r="L155" i="16"/>
  <c r="K155" i="16"/>
  <c r="J155" i="16"/>
  <c r="I155" i="16"/>
  <c r="H155" i="16"/>
  <c r="G155" i="16"/>
  <c r="F155" i="16"/>
  <c r="Q154" i="16"/>
  <c r="P154" i="16"/>
  <c r="O154" i="16"/>
  <c r="N154" i="16"/>
  <c r="M154" i="16"/>
  <c r="L154" i="16"/>
  <c r="K154" i="16"/>
  <c r="J154" i="16"/>
  <c r="I154" i="16"/>
  <c r="H154" i="16"/>
  <c r="G154" i="16"/>
  <c r="F154" i="16"/>
  <c r="Q153" i="16"/>
  <c r="P153" i="16"/>
  <c r="O153" i="16"/>
  <c r="N153" i="16"/>
  <c r="M153" i="16"/>
  <c r="L153" i="16"/>
  <c r="K153" i="16"/>
  <c r="J153" i="16"/>
  <c r="I153" i="16"/>
  <c r="H153" i="16"/>
  <c r="G153" i="16"/>
  <c r="F153" i="16"/>
  <c r="Q152" i="16"/>
  <c r="P152" i="16"/>
  <c r="O152" i="16"/>
  <c r="N152" i="16"/>
  <c r="M152" i="16"/>
  <c r="L152" i="16"/>
  <c r="K152" i="16"/>
  <c r="J152" i="16"/>
  <c r="I152" i="16"/>
  <c r="H152" i="16"/>
  <c r="G152" i="16"/>
  <c r="F152" i="16"/>
  <c r="Q151" i="16"/>
  <c r="P151" i="16"/>
  <c r="O151" i="16"/>
  <c r="N151" i="16"/>
  <c r="M151" i="16"/>
  <c r="L151" i="16"/>
  <c r="K151" i="16"/>
  <c r="J151" i="16"/>
  <c r="I151" i="16"/>
  <c r="H151" i="16"/>
  <c r="G151" i="16"/>
  <c r="F151" i="16"/>
  <c r="Q150" i="16"/>
  <c r="P150" i="16"/>
  <c r="O150" i="16"/>
  <c r="N150" i="16"/>
  <c r="M150" i="16"/>
  <c r="L150" i="16"/>
  <c r="K150" i="16"/>
  <c r="J150" i="16"/>
  <c r="I150" i="16"/>
  <c r="H150" i="16"/>
  <c r="G150" i="16"/>
  <c r="F150" i="16"/>
  <c r="Q149" i="16"/>
  <c r="P149" i="16"/>
  <c r="O149" i="16"/>
  <c r="N149" i="16"/>
  <c r="M149" i="16"/>
  <c r="L149" i="16"/>
  <c r="K149" i="16"/>
  <c r="J149" i="16"/>
  <c r="I149" i="16"/>
  <c r="H149" i="16"/>
  <c r="G149" i="16"/>
  <c r="F149" i="16"/>
  <c r="Q148" i="16"/>
  <c r="P148" i="16"/>
  <c r="O148" i="16"/>
  <c r="N148" i="16"/>
  <c r="M148" i="16"/>
  <c r="L148" i="16"/>
  <c r="K148" i="16"/>
  <c r="J148" i="16"/>
  <c r="I148" i="16"/>
  <c r="H148" i="16"/>
  <c r="G148" i="16"/>
  <c r="F148" i="16"/>
  <c r="Q147" i="16"/>
  <c r="P147" i="16"/>
  <c r="O147" i="16"/>
  <c r="N147" i="16"/>
  <c r="M147" i="16"/>
  <c r="L147" i="16"/>
  <c r="K147" i="16"/>
  <c r="J147" i="16"/>
  <c r="I147" i="16"/>
  <c r="H147" i="16"/>
  <c r="G147" i="16"/>
  <c r="F147" i="16"/>
  <c r="Q146" i="16"/>
  <c r="P146" i="16"/>
  <c r="O146" i="16"/>
  <c r="N146" i="16"/>
  <c r="M146" i="16"/>
  <c r="L146" i="16"/>
  <c r="K146" i="16"/>
  <c r="J146" i="16"/>
  <c r="I146" i="16"/>
  <c r="H146" i="16"/>
  <c r="G146" i="16"/>
  <c r="F146" i="16"/>
  <c r="Q145" i="16"/>
  <c r="P145" i="16"/>
  <c r="O145" i="16"/>
  <c r="N145" i="16"/>
  <c r="M145" i="16"/>
  <c r="L145" i="16"/>
  <c r="K145" i="16"/>
  <c r="J145" i="16"/>
  <c r="I145" i="16"/>
  <c r="H145" i="16"/>
  <c r="G145" i="16"/>
  <c r="F145" i="16"/>
  <c r="Q144" i="16"/>
  <c r="P144" i="16"/>
  <c r="O144" i="16"/>
  <c r="N144" i="16"/>
  <c r="M144" i="16"/>
  <c r="L144" i="16"/>
  <c r="K144" i="16"/>
  <c r="J144" i="16"/>
  <c r="I144" i="16"/>
  <c r="H144" i="16"/>
  <c r="G144" i="16"/>
  <c r="F144" i="16"/>
  <c r="Q143" i="16"/>
  <c r="P143" i="16"/>
  <c r="O143" i="16"/>
  <c r="N143" i="16"/>
  <c r="M143" i="16"/>
  <c r="L143" i="16"/>
  <c r="K143" i="16"/>
  <c r="J143" i="16"/>
  <c r="I143" i="16"/>
  <c r="H143" i="16"/>
  <c r="G143" i="16"/>
  <c r="F143" i="16"/>
  <c r="Q142" i="16"/>
  <c r="P142" i="16"/>
  <c r="O142" i="16"/>
  <c r="N142" i="16"/>
  <c r="M142" i="16"/>
  <c r="L142" i="16"/>
  <c r="K142" i="16"/>
  <c r="J142" i="16"/>
  <c r="I142" i="16"/>
  <c r="H142" i="16"/>
  <c r="G142" i="16"/>
  <c r="F142" i="16"/>
  <c r="Q141" i="16"/>
  <c r="P141" i="16"/>
  <c r="O141" i="16"/>
  <c r="N141" i="16"/>
  <c r="M141" i="16"/>
  <c r="L141" i="16"/>
  <c r="K141" i="16"/>
  <c r="J141" i="16"/>
  <c r="I141" i="16"/>
  <c r="H141" i="16"/>
  <c r="G141" i="16"/>
  <c r="F141" i="16"/>
  <c r="Q140" i="16"/>
  <c r="P140" i="16"/>
  <c r="O140" i="16"/>
  <c r="N140" i="16"/>
  <c r="M140" i="16"/>
  <c r="L140" i="16"/>
  <c r="K140" i="16"/>
  <c r="J140" i="16"/>
  <c r="I140" i="16"/>
  <c r="H140" i="16"/>
  <c r="G140" i="16"/>
  <c r="F140" i="16"/>
  <c r="Q139" i="16"/>
  <c r="P139" i="16"/>
  <c r="O139" i="16"/>
  <c r="N139" i="16"/>
  <c r="M139" i="16"/>
  <c r="L139" i="16"/>
  <c r="K139" i="16"/>
  <c r="J139" i="16"/>
  <c r="I139" i="16"/>
  <c r="H139" i="16"/>
  <c r="G139" i="16"/>
  <c r="F139" i="16"/>
  <c r="Q138" i="16"/>
  <c r="P138" i="16"/>
  <c r="O138" i="16"/>
  <c r="N138" i="16"/>
  <c r="M138" i="16"/>
  <c r="L138" i="16"/>
  <c r="K138" i="16"/>
  <c r="J138" i="16"/>
  <c r="I138" i="16"/>
  <c r="H138" i="16"/>
  <c r="G138" i="16"/>
  <c r="F138" i="16"/>
  <c r="Q137" i="16"/>
  <c r="P137" i="16"/>
  <c r="O137" i="16"/>
  <c r="N137" i="16"/>
  <c r="M137" i="16"/>
  <c r="L137" i="16"/>
  <c r="K137" i="16"/>
  <c r="J137" i="16"/>
  <c r="I137" i="16"/>
  <c r="H137" i="16"/>
  <c r="G137" i="16"/>
  <c r="F137" i="16"/>
  <c r="Q136" i="16"/>
  <c r="P136" i="16"/>
  <c r="O136" i="16"/>
  <c r="N136" i="16"/>
  <c r="M136" i="16"/>
  <c r="L136" i="16"/>
  <c r="K136" i="16"/>
  <c r="J136" i="16"/>
  <c r="I136" i="16"/>
  <c r="H136" i="16"/>
  <c r="G136" i="16"/>
  <c r="F136" i="16"/>
  <c r="Q135" i="16"/>
  <c r="P135" i="16"/>
  <c r="O135" i="16"/>
  <c r="N135" i="16"/>
  <c r="M135" i="16"/>
  <c r="L135" i="16"/>
  <c r="K135" i="16"/>
  <c r="J135" i="16"/>
  <c r="I135" i="16"/>
  <c r="H135" i="16"/>
  <c r="G135" i="16"/>
  <c r="F135" i="16"/>
  <c r="Q134" i="16"/>
  <c r="P134" i="16"/>
  <c r="O134" i="16"/>
  <c r="N134" i="16"/>
  <c r="M134" i="16"/>
  <c r="L134" i="16"/>
  <c r="K134" i="16"/>
  <c r="J134" i="16"/>
  <c r="I134" i="16"/>
  <c r="H134" i="16"/>
  <c r="G134" i="16"/>
  <c r="F134" i="16"/>
  <c r="Q133" i="16"/>
  <c r="P133" i="16"/>
  <c r="O133" i="16"/>
  <c r="N133" i="16"/>
  <c r="M133" i="16"/>
  <c r="L133" i="16"/>
  <c r="K133" i="16"/>
  <c r="J133" i="16"/>
  <c r="I133" i="16"/>
  <c r="H133" i="16"/>
  <c r="G133" i="16"/>
  <c r="F133" i="16"/>
  <c r="Q132" i="16"/>
  <c r="P132" i="16"/>
  <c r="O132" i="16"/>
  <c r="N132" i="16"/>
  <c r="M132" i="16"/>
  <c r="L132" i="16"/>
  <c r="K132" i="16"/>
  <c r="J132" i="16"/>
  <c r="I132" i="16"/>
  <c r="H132" i="16"/>
  <c r="G132" i="16"/>
  <c r="F132" i="16"/>
  <c r="Q131" i="16"/>
  <c r="P131" i="16"/>
  <c r="O131" i="16"/>
  <c r="N131" i="16"/>
  <c r="M131" i="16"/>
  <c r="L131" i="16"/>
  <c r="K131" i="16"/>
  <c r="J131" i="16"/>
  <c r="I131" i="16"/>
  <c r="H131" i="16"/>
  <c r="G131" i="16"/>
  <c r="F131" i="16"/>
  <c r="Q130" i="16"/>
  <c r="P130" i="16"/>
  <c r="O130" i="16"/>
  <c r="N130" i="16"/>
  <c r="M130" i="16"/>
  <c r="L130" i="16"/>
  <c r="K130" i="16"/>
  <c r="J130" i="16"/>
  <c r="I130" i="16"/>
  <c r="H130" i="16"/>
  <c r="G130" i="16"/>
  <c r="F130" i="16"/>
  <c r="Q129" i="16"/>
  <c r="P129" i="16"/>
  <c r="O129" i="16"/>
  <c r="N129" i="16"/>
  <c r="M129" i="16"/>
  <c r="L129" i="16"/>
  <c r="K129" i="16"/>
  <c r="J129" i="16"/>
  <c r="I129" i="16"/>
  <c r="H129" i="16"/>
  <c r="G129" i="16"/>
  <c r="F129" i="16"/>
  <c r="Q128" i="16"/>
  <c r="P128" i="16"/>
  <c r="O128" i="16"/>
  <c r="N128" i="16"/>
  <c r="M128" i="16"/>
  <c r="L128" i="16"/>
  <c r="K128" i="16"/>
  <c r="J128" i="16"/>
  <c r="I128" i="16"/>
  <c r="H128" i="16"/>
  <c r="G128" i="16"/>
  <c r="F128" i="16"/>
  <c r="Q127" i="16"/>
  <c r="P127" i="16"/>
  <c r="O127" i="16"/>
  <c r="N127" i="16"/>
  <c r="M127" i="16"/>
  <c r="L127" i="16"/>
  <c r="K127" i="16"/>
  <c r="J127" i="16"/>
  <c r="I127" i="16"/>
  <c r="H127" i="16"/>
  <c r="G127" i="16"/>
  <c r="F127" i="16"/>
  <c r="Q126" i="16"/>
  <c r="P126" i="16"/>
  <c r="O126" i="16"/>
  <c r="N126" i="16"/>
  <c r="M126" i="16"/>
  <c r="L126" i="16"/>
  <c r="K126" i="16"/>
  <c r="J126" i="16"/>
  <c r="I126" i="16"/>
  <c r="H126" i="16"/>
  <c r="G126" i="16"/>
  <c r="F126" i="16"/>
  <c r="Q125" i="16"/>
  <c r="P125" i="16"/>
  <c r="O125" i="16"/>
  <c r="N125" i="16"/>
  <c r="M125" i="16"/>
  <c r="L125" i="16"/>
  <c r="K125" i="16"/>
  <c r="J125" i="16"/>
  <c r="I125" i="16"/>
  <c r="H125" i="16"/>
  <c r="G125" i="16"/>
  <c r="F125" i="16"/>
  <c r="Q124" i="16"/>
  <c r="P124" i="16"/>
  <c r="O124" i="16"/>
  <c r="N124" i="16"/>
  <c r="M124" i="16"/>
  <c r="L124" i="16"/>
  <c r="K124" i="16"/>
  <c r="J124" i="16"/>
  <c r="I124" i="16"/>
  <c r="H124" i="16"/>
  <c r="G124" i="16"/>
  <c r="F124" i="16"/>
  <c r="Q123" i="16"/>
  <c r="P123" i="16"/>
  <c r="O123" i="16"/>
  <c r="N123" i="16"/>
  <c r="M123" i="16"/>
  <c r="L123" i="16"/>
  <c r="K123" i="16"/>
  <c r="J123" i="16"/>
  <c r="I123" i="16"/>
  <c r="H123" i="16"/>
  <c r="G123" i="16"/>
  <c r="F123" i="16"/>
  <c r="Q122" i="16"/>
  <c r="P122" i="16"/>
  <c r="O122" i="16"/>
  <c r="N122" i="16"/>
  <c r="M122" i="16"/>
  <c r="L122" i="16"/>
  <c r="K122" i="16"/>
  <c r="J122" i="16"/>
  <c r="I122" i="16"/>
  <c r="H122" i="16"/>
  <c r="G122" i="16"/>
  <c r="F122" i="16"/>
  <c r="Q121" i="16"/>
  <c r="P121" i="16"/>
  <c r="O121" i="16"/>
  <c r="N121" i="16"/>
  <c r="M121" i="16"/>
  <c r="L121" i="16"/>
  <c r="K121" i="16"/>
  <c r="J121" i="16"/>
  <c r="I121" i="16"/>
  <c r="H121" i="16"/>
  <c r="G121" i="16"/>
  <c r="F121" i="16"/>
  <c r="Q120" i="16"/>
  <c r="P120" i="16"/>
  <c r="O120" i="16"/>
  <c r="N120" i="16"/>
  <c r="M120" i="16"/>
  <c r="L120" i="16"/>
  <c r="K120" i="16"/>
  <c r="J120" i="16"/>
  <c r="I120" i="16"/>
  <c r="H120" i="16"/>
  <c r="G120" i="16"/>
  <c r="F120" i="16"/>
  <c r="Q119" i="16"/>
  <c r="P119" i="16"/>
  <c r="O119" i="16"/>
  <c r="N119" i="16"/>
  <c r="M119" i="16"/>
  <c r="L119" i="16"/>
  <c r="K119" i="16"/>
  <c r="J119" i="16"/>
  <c r="I119" i="16"/>
  <c r="H119" i="16"/>
  <c r="G119" i="16"/>
  <c r="F119" i="16"/>
  <c r="Q118" i="16"/>
  <c r="P118" i="16"/>
  <c r="O118" i="16"/>
  <c r="N118" i="16"/>
  <c r="M118" i="16"/>
  <c r="L118" i="16"/>
  <c r="K118" i="16"/>
  <c r="J118" i="16"/>
  <c r="I118" i="16"/>
  <c r="H118" i="16"/>
  <c r="G118" i="16"/>
  <c r="F118" i="16"/>
  <c r="Q117" i="16"/>
  <c r="P117" i="16"/>
  <c r="O117" i="16"/>
  <c r="N117" i="16"/>
  <c r="M117" i="16"/>
  <c r="L117" i="16"/>
  <c r="K117" i="16"/>
  <c r="J117" i="16"/>
  <c r="I117" i="16"/>
  <c r="H117" i="16"/>
  <c r="G117" i="16"/>
  <c r="F117" i="16"/>
  <c r="Q116" i="16"/>
  <c r="P116" i="16"/>
  <c r="O116" i="16"/>
  <c r="N116" i="16"/>
  <c r="M116" i="16"/>
  <c r="L116" i="16"/>
  <c r="K116" i="16"/>
  <c r="J116" i="16"/>
  <c r="I116" i="16"/>
  <c r="H116" i="16"/>
  <c r="G116" i="16"/>
  <c r="F116" i="16"/>
  <c r="Q115" i="16"/>
  <c r="P115" i="16"/>
  <c r="O115" i="16"/>
  <c r="N115" i="16"/>
  <c r="M115" i="16"/>
  <c r="L115" i="16"/>
  <c r="K115" i="16"/>
  <c r="J115" i="16"/>
  <c r="I115" i="16"/>
  <c r="H115" i="16"/>
  <c r="G115" i="16"/>
  <c r="F115" i="16"/>
  <c r="Q114" i="16"/>
  <c r="P114" i="16"/>
  <c r="O114" i="16"/>
  <c r="N114" i="16"/>
  <c r="M114" i="16"/>
  <c r="L114" i="16"/>
  <c r="K114" i="16"/>
  <c r="J114" i="16"/>
  <c r="I114" i="16"/>
  <c r="H114" i="16"/>
  <c r="G114" i="16"/>
  <c r="F114" i="16"/>
  <c r="Q113" i="16"/>
  <c r="P113" i="16"/>
  <c r="O113" i="16"/>
  <c r="N113" i="16"/>
  <c r="M113" i="16"/>
  <c r="L113" i="16"/>
  <c r="K113" i="16"/>
  <c r="J113" i="16"/>
  <c r="I113" i="16"/>
  <c r="H113" i="16"/>
  <c r="G113" i="16"/>
  <c r="F113" i="16"/>
  <c r="Q112" i="16"/>
  <c r="P112" i="16"/>
  <c r="O112" i="16"/>
  <c r="N112" i="16"/>
  <c r="M112" i="16"/>
  <c r="L112" i="16"/>
  <c r="K112" i="16"/>
  <c r="J112" i="16"/>
  <c r="I112" i="16"/>
  <c r="H112" i="16"/>
  <c r="G112" i="16"/>
  <c r="F112" i="16"/>
  <c r="Q111" i="16"/>
  <c r="P111" i="16"/>
  <c r="O111" i="16"/>
  <c r="N111" i="16"/>
  <c r="M111" i="16"/>
  <c r="L111" i="16"/>
  <c r="K111" i="16"/>
  <c r="J111" i="16"/>
  <c r="I111" i="16"/>
  <c r="H111" i="16"/>
  <c r="G111" i="16"/>
  <c r="F111" i="16"/>
  <c r="Q110" i="16"/>
  <c r="P110" i="16"/>
  <c r="O110" i="16"/>
  <c r="N110" i="16"/>
  <c r="M110" i="16"/>
  <c r="L110" i="16"/>
  <c r="K110" i="16"/>
  <c r="J110" i="16"/>
  <c r="I110" i="16"/>
  <c r="H110" i="16"/>
  <c r="G110" i="16"/>
  <c r="F110" i="16"/>
  <c r="Q109" i="16"/>
  <c r="P109" i="16"/>
  <c r="O109" i="16"/>
  <c r="N109" i="16"/>
  <c r="M109" i="16"/>
  <c r="L109" i="16"/>
  <c r="K109" i="16"/>
  <c r="J109" i="16"/>
  <c r="I109" i="16"/>
  <c r="H109" i="16"/>
  <c r="G109" i="16"/>
  <c r="F109" i="16"/>
  <c r="Q108" i="16"/>
  <c r="P108" i="16"/>
  <c r="O108" i="16"/>
  <c r="N108" i="16"/>
  <c r="M108" i="16"/>
  <c r="L108" i="16"/>
  <c r="K108" i="16"/>
  <c r="J108" i="16"/>
  <c r="I108" i="16"/>
  <c r="H108" i="16"/>
  <c r="G108" i="16"/>
  <c r="F108" i="16"/>
  <c r="Q107" i="16"/>
  <c r="P107" i="16"/>
  <c r="O107" i="16"/>
  <c r="N107" i="16"/>
  <c r="M107" i="16"/>
  <c r="L107" i="16"/>
  <c r="K107" i="16"/>
  <c r="J107" i="16"/>
  <c r="I107" i="16"/>
  <c r="H107" i="16"/>
  <c r="G107" i="16"/>
  <c r="F107" i="16"/>
  <c r="Q106" i="16"/>
  <c r="P106" i="16"/>
  <c r="O106" i="16"/>
  <c r="N106" i="16"/>
  <c r="M106" i="16"/>
  <c r="L106" i="16"/>
  <c r="K106" i="16"/>
  <c r="J106" i="16"/>
  <c r="I106" i="16"/>
  <c r="H106" i="16"/>
  <c r="G106" i="16"/>
  <c r="F106" i="16"/>
  <c r="Q105" i="16"/>
  <c r="P105" i="16"/>
  <c r="O105" i="16"/>
  <c r="N105" i="16"/>
  <c r="M105" i="16"/>
  <c r="L105" i="16"/>
  <c r="K105" i="16"/>
  <c r="J105" i="16"/>
  <c r="I105" i="16"/>
  <c r="H105" i="16"/>
  <c r="G105" i="16"/>
  <c r="F105" i="16"/>
  <c r="Q104" i="16"/>
  <c r="P104" i="16"/>
  <c r="O104" i="16"/>
  <c r="N104" i="16"/>
  <c r="M104" i="16"/>
  <c r="L104" i="16"/>
  <c r="K104" i="16"/>
  <c r="J104" i="16"/>
  <c r="I104" i="16"/>
  <c r="H104" i="16"/>
  <c r="G104" i="16"/>
  <c r="F104" i="16"/>
  <c r="Q103" i="16"/>
  <c r="P103" i="16"/>
  <c r="O103" i="16"/>
  <c r="N103" i="16"/>
  <c r="M103" i="16"/>
  <c r="L103" i="16"/>
  <c r="K103" i="16"/>
  <c r="J103" i="16"/>
  <c r="I103" i="16"/>
  <c r="H103" i="16"/>
  <c r="G103" i="16"/>
  <c r="F103" i="16"/>
  <c r="Q102" i="16"/>
  <c r="P102" i="16"/>
  <c r="O102" i="16"/>
  <c r="N102" i="16"/>
  <c r="M102" i="16"/>
  <c r="L102" i="16"/>
  <c r="K102" i="16"/>
  <c r="J102" i="16"/>
  <c r="I102" i="16"/>
  <c r="H102" i="16"/>
  <c r="G102" i="16"/>
  <c r="F102" i="16"/>
  <c r="Q101" i="16"/>
  <c r="P101" i="16"/>
  <c r="O101" i="16"/>
  <c r="N101" i="16"/>
  <c r="M101" i="16"/>
  <c r="L101" i="16"/>
  <c r="K101" i="16"/>
  <c r="J101" i="16"/>
  <c r="I101" i="16"/>
  <c r="H101" i="16"/>
  <c r="G101" i="16"/>
  <c r="F101" i="16"/>
  <c r="Q100" i="16"/>
  <c r="P100" i="16"/>
  <c r="O100" i="16"/>
  <c r="N100" i="16"/>
  <c r="M100" i="16"/>
  <c r="L100" i="16"/>
  <c r="K100" i="16"/>
  <c r="J100" i="16"/>
  <c r="I100" i="16"/>
  <c r="H100" i="16"/>
  <c r="G100" i="16"/>
  <c r="F100" i="16"/>
  <c r="Q99" i="16"/>
  <c r="P99" i="16"/>
  <c r="O99" i="16"/>
  <c r="N99" i="16"/>
  <c r="M99" i="16"/>
  <c r="L99" i="16"/>
  <c r="K99" i="16"/>
  <c r="J99" i="16"/>
  <c r="I99" i="16"/>
  <c r="H99" i="16"/>
  <c r="G99" i="16"/>
  <c r="F99" i="16"/>
  <c r="Q98" i="16"/>
  <c r="P98" i="16"/>
  <c r="O98" i="16"/>
  <c r="N98" i="16"/>
  <c r="M98" i="16"/>
  <c r="L98" i="16"/>
  <c r="K98" i="16"/>
  <c r="J98" i="16"/>
  <c r="I98" i="16"/>
  <c r="H98" i="16"/>
  <c r="G98" i="16"/>
  <c r="F98" i="16"/>
  <c r="Q97" i="16"/>
  <c r="P97" i="16"/>
  <c r="O97" i="16"/>
  <c r="N97" i="16"/>
  <c r="M97" i="16"/>
  <c r="L97" i="16"/>
  <c r="K97" i="16"/>
  <c r="J97" i="16"/>
  <c r="I97" i="16"/>
  <c r="H97" i="16"/>
  <c r="G97" i="16"/>
  <c r="F97" i="16"/>
  <c r="Q96" i="16"/>
  <c r="P96" i="16"/>
  <c r="O96" i="16"/>
  <c r="N96" i="16"/>
  <c r="M96" i="16"/>
  <c r="L96" i="16"/>
  <c r="K96" i="16"/>
  <c r="J96" i="16"/>
  <c r="I96" i="16"/>
  <c r="H96" i="16"/>
  <c r="G96" i="16"/>
  <c r="F96" i="16"/>
  <c r="Q95" i="16"/>
  <c r="P95" i="16"/>
  <c r="O95" i="16"/>
  <c r="N95" i="16"/>
  <c r="M95" i="16"/>
  <c r="L95" i="16"/>
  <c r="K95" i="16"/>
  <c r="J95" i="16"/>
  <c r="I95" i="16"/>
  <c r="H95" i="16"/>
  <c r="G95" i="16"/>
  <c r="F95" i="16"/>
  <c r="Q94" i="16"/>
  <c r="P94" i="16"/>
  <c r="O94" i="16"/>
  <c r="N94" i="16"/>
  <c r="M94" i="16"/>
  <c r="L94" i="16"/>
  <c r="K94" i="16"/>
  <c r="J94" i="16"/>
  <c r="I94" i="16"/>
  <c r="H94" i="16"/>
  <c r="G94" i="16"/>
  <c r="F94" i="16"/>
  <c r="Q93" i="16"/>
  <c r="P93" i="16"/>
  <c r="O93" i="16"/>
  <c r="N93" i="16"/>
  <c r="M93" i="16"/>
  <c r="L93" i="16"/>
  <c r="K93" i="16"/>
  <c r="J93" i="16"/>
  <c r="I93" i="16"/>
  <c r="H93" i="16"/>
  <c r="G93" i="16"/>
  <c r="F93" i="16"/>
  <c r="Q92" i="16"/>
  <c r="P92" i="16"/>
  <c r="O92" i="16"/>
  <c r="N92" i="16"/>
  <c r="M92" i="16"/>
  <c r="L92" i="16"/>
  <c r="K92" i="16"/>
  <c r="J92" i="16"/>
  <c r="I92" i="16"/>
  <c r="H92" i="16"/>
  <c r="G92" i="16"/>
  <c r="F92" i="16"/>
  <c r="Q91" i="16"/>
  <c r="P91" i="16"/>
  <c r="O91" i="16"/>
  <c r="N91" i="16"/>
  <c r="M91" i="16"/>
  <c r="L91" i="16"/>
  <c r="K91" i="16"/>
  <c r="J91" i="16"/>
  <c r="I91" i="16"/>
  <c r="H91" i="16"/>
  <c r="G91" i="16"/>
  <c r="F91" i="16"/>
  <c r="Q90" i="16"/>
  <c r="P90" i="16"/>
  <c r="O90" i="16"/>
  <c r="N90" i="16"/>
  <c r="M90" i="16"/>
  <c r="L90" i="16"/>
  <c r="K90" i="16"/>
  <c r="J90" i="16"/>
  <c r="I90" i="16"/>
  <c r="H90" i="16"/>
  <c r="G90" i="16"/>
  <c r="F90" i="16"/>
  <c r="Q89" i="16"/>
  <c r="P89" i="16"/>
  <c r="O89" i="16"/>
  <c r="N89" i="16"/>
  <c r="M89" i="16"/>
  <c r="L89" i="16"/>
  <c r="K89" i="16"/>
  <c r="J89" i="16"/>
  <c r="I89" i="16"/>
  <c r="H89" i="16"/>
  <c r="G89" i="16"/>
  <c r="F89" i="16"/>
  <c r="Q88" i="16"/>
  <c r="P88" i="16"/>
  <c r="O88" i="16"/>
  <c r="N88" i="16"/>
  <c r="M88" i="16"/>
  <c r="L88" i="16"/>
  <c r="K88" i="16"/>
  <c r="J88" i="16"/>
  <c r="I88" i="16"/>
  <c r="H88" i="16"/>
  <c r="G88" i="16"/>
  <c r="F88" i="16"/>
  <c r="Q87" i="16"/>
  <c r="P87" i="16"/>
  <c r="O87" i="16"/>
  <c r="N87" i="16"/>
  <c r="M87" i="16"/>
  <c r="L87" i="16"/>
  <c r="K87" i="16"/>
  <c r="J87" i="16"/>
  <c r="I87" i="16"/>
  <c r="H87" i="16"/>
  <c r="G87" i="16"/>
  <c r="F87" i="16"/>
  <c r="Q86" i="16"/>
  <c r="P86" i="16"/>
  <c r="O86" i="16"/>
  <c r="N86" i="16"/>
  <c r="M86" i="16"/>
  <c r="L86" i="16"/>
  <c r="K86" i="16"/>
  <c r="J86" i="16"/>
  <c r="I86" i="16"/>
  <c r="H86" i="16"/>
  <c r="G86" i="16"/>
  <c r="F86" i="16"/>
  <c r="Q85" i="16"/>
  <c r="P85" i="16"/>
  <c r="O85" i="16"/>
  <c r="N85" i="16"/>
  <c r="M85" i="16"/>
  <c r="L85" i="16"/>
  <c r="K85" i="16"/>
  <c r="J85" i="16"/>
  <c r="I85" i="16"/>
  <c r="H85" i="16"/>
  <c r="G85" i="16"/>
  <c r="F85" i="16"/>
  <c r="Q84" i="16"/>
  <c r="P84" i="16"/>
  <c r="O84" i="16"/>
  <c r="N84" i="16"/>
  <c r="M84" i="16"/>
  <c r="L84" i="16"/>
  <c r="K84" i="16"/>
  <c r="J84" i="16"/>
  <c r="I84" i="16"/>
  <c r="H84" i="16"/>
  <c r="G84" i="16"/>
  <c r="F84" i="16"/>
  <c r="Q83" i="16"/>
  <c r="P83" i="16"/>
  <c r="O83" i="16"/>
  <c r="N83" i="16"/>
  <c r="M83" i="16"/>
  <c r="L83" i="16"/>
  <c r="K83" i="16"/>
  <c r="J83" i="16"/>
  <c r="I83" i="16"/>
  <c r="H83" i="16"/>
  <c r="G83" i="16"/>
  <c r="F83" i="16"/>
  <c r="Q82" i="16"/>
  <c r="P82" i="16"/>
  <c r="O82" i="16"/>
  <c r="N82" i="16"/>
  <c r="M82" i="16"/>
  <c r="L82" i="16"/>
  <c r="K82" i="16"/>
  <c r="J82" i="16"/>
  <c r="I82" i="16"/>
  <c r="H82" i="16"/>
  <c r="G82" i="16"/>
  <c r="F82" i="16"/>
  <c r="Q81" i="16"/>
  <c r="P81" i="16"/>
  <c r="O81" i="16"/>
  <c r="N81" i="16"/>
  <c r="M81" i="16"/>
  <c r="L81" i="16"/>
  <c r="K81" i="16"/>
  <c r="J81" i="16"/>
  <c r="I81" i="16"/>
  <c r="H81" i="16"/>
  <c r="G81" i="16"/>
  <c r="F81" i="16"/>
  <c r="Q80" i="16"/>
  <c r="P80" i="16"/>
  <c r="O80" i="16"/>
  <c r="N80" i="16"/>
  <c r="M80" i="16"/>
  <c r="L80" i="16"/>
  <c r="K80" i="16"/>
  <c r="J80" i="16"/>
  <c r="I80" i="16"/>
  <c r="H80" i="16"/>
  <c r="G80" i="16"/>
  <c r="F80" i="16"/>
  <c r="Q79" i="16"/>
  <c r="P79" i="16"/>
  <c r="O79" i="16"/>
  <c r="N79" i="16"/>
  <c r="M79" i="16"/>
  <c r="L79" i="16"/>
  <c r="K79" i="16"/>
  <c r="J79" i="16"/>
  <c r="I79" i="16"/>
  <c r="H79" i="16"/>
  <c r="G79" i="16"/>
  <c r="F79" i="16"/>
  <c r="Q78" i="16"/>
  <c r="P78" i="16"/>
  <c r="O78" i="16"/>
  <c r="N78" i="16"/>
  <c r="M78" i="16"/>
  <c r="L78" i="16"/>
  <c r="K78" i="16"/>
  <c r="J78" i="16"/>
  <c r="I78" i="16"/>
  <c r="H78" i="16"/>
  <c r="G78" i="16"/>
  <c r="F78" i="16"/>
  <c r="Q77" i="16"/>
  <c r="P77" i="16"/>
  <c r="O77" i="16"/>
  <c r="N77" i="16"/>
  <c r="M77" i="16"/>
  <c r="L77" i="16"/>
  <c r="K77" i="16"/>
  <c r="J77" i="16"/>
  <c r="I77" i="16"/>
  <c r="H77" i="16"/>
  <c r="G77" i="16"/>
  <c r="F77" i="16"/>
  <c r="Q76" i="16"/>
  <c r="P76" i="16"/>
  <c r="O76" i="16"/>
  <c r="N76" i="16"/>
  <c r="M76" i="16"/>
  <c r="L76" i="16"/>
  <c r="K76" i="16"/>
  <c r="J76" i="16"/>
  <c r="I76" i="16"/>
  <c r="H76" i="16"/>
  <c r="G76" i="16"/>
  <c r="F76" i="16"/>
  <c r="Q75" i="16"/>
  <c r="P75" i="16"/>
  <c r="O75" i="16"/>
  <c r="N75" i="16"/>
  <c r="M75" i="16"/>
  <c r="L75" i="16"/>
  <c r="K75" i="16"/>
  <c r="J75" i="16"/>
  <c r="I75" i="16"/>
  <c r="H75" i="16"/>
  <c r="G75" i="16"/>
  <c r="F75" i="16"/>
  <c r="Q74" i="16"/>
  <c r="P74" i="16"/>
  <c r="O74" i="16"/>
  <c r="N74" i="16"/>
  <c r="M74" i="16"/>
  <c r="L74" i="16"/>
  <c r="K74" i="16"/>
  <c r="J74" i="16"/>
  <c r="I74" i="16"/>
  <c r="H74" i="16"/>
  <c r="G74" i="16"/>
  <c r="F74" i="16"/>
  <c r="Q73" i="16"/>
  <c r="P73" i="16"/>
  <c r="O73" i="16"/>
  <c r="N73" i="16"/>
  <c r="M73" i="16"/>
  <c r="L73" i="16"/>
  <c r="K73" i="16"/>
  <c r="J73" i="16"/>
  <c r="I73" i="16"/>
  <c r="H73" i="16"/>
  <c r="G73" i="16"/>
  <c r="F73" i="16"/>
  <c r="Q72" i="16"/>
  <c r="P72" i="16"/>
  <c r="O72" i="16"/>
  <c r="N72" i="16"/>
  <c r="M72" i="16"/>
  <c r="L72" i="16"/>
  <c r="K72" i="16"/>
  <c r="J72" i="16"/>
  <c r="I72" i="16"/>
  <c r="H72" i="16"/>
  <c r="G72" i="16"/>
  <c r="F72" i="16"/>
  <c r="Q71" i="16"/>
  <c r="P71" i="16"/>
  <c r="O71" i="16"/>
  <c r="N71" i="16"/>
  <c r="M71" i="16"/>
  <c r="L71" i="16"/>
  <c r="K71" i="16"/>
  <c r="J71" i="16"/>
  <c r="I71" i="16"/>
  <c r="H71" i="16"/>
  <c r="G71" i="16"/>
  <c r="F71" i="16"/>
  <c r="Q70" i="16"/>
  <c r="P70" i="16"/>
  <c r="O70" i="16"/>
  <c r="N70" i="16"/>
  <c r="M70" i="16"/>
  <c r="L70" i="16"/>
  <c r="K70" i="16"/>
  <c r="J70" i="16"/>
  <c r="I70" i="16"/>
  <c r="H70" i="16"/>
  <c r="G70" i="16"/>
  <c r="F70" i="16"/>
  <c r="Q69" i="16"/>
  <c r="P69" i="16"/>
  <c r="O69" i="16"/>
  <c r="N69" i="16"/>
  <c r="M69" i="16"/>
  <c r="L69" i="16"/>
  <c r="K69" i="16"/>
  <c r="J69" i="16"/>
  <c r="I69" i="16"/>
  <c r="H69" i="16"/>
  <c r="G69" i="16"/>
  <c r="F69" i="16"/>
  <c r="Q68" i="16"/>
  <c r="P68" i="16"/>
  <c r="O68" i="16"/>
  <c r="N68" i="16"/>
  <c r="M68" i="16"/>
  <c r="L68" i="16"/>
  <c r="K68" i="16"/>
  <c r="J68" i="16"/>
  <c r="I68" i="16"/>
  <c r="H68" i="16"/>
  <c r="G68" i="16"/>
  <c r="F68" i="16"/>
  <c r="Q67" i="16"/>
  <c r="P67" i="16"/>
  <c r="O67" i="16"/>
  <c r="N67" i="16"/>
  <c r="M67" i="16"/>
  <c r="L67" i="16"/>
  <c r="K67" i="16"/>
  <c r="J67" i="16"/>
  <c r="I67" i="16"/>
  <c r="H67" i="16"/>
  <c r="G67" i="16"/>
  <c r="F67" i="16"/>
  <c r="Q66" i="16"/>
  <c r="P66" i="16"/>
  <c r="O66" i="16"/>
  <c r="N66" i="16"/>
  <c r="M66" i="16"/>
  <c r="L66" i="16"/>
  <c r="K66" i="16"/>
  <c r="J66" i="16"/>
  <c r="I66" i="16"/>
  <c r="H66" i="16"/>
  <c r="G66" i="16"/>
  <c r="F66" i="16"/>
  <c r="Q65" i="16"/>
  <c r="P65" i="16"/>
  <c r="O65" i="16"/>
  <c r="N65" i="16"/>
  <c r="M65" i="16"/>
  <c r="L65" i="16"/>
  <c r="K65" i="16"/>
  <c r="J65" i="16"/>
  <c r="I65" i="16"/>
  <c r="H65" i="16"/>
  <c r="G65" i="16"/>
  <c r="F65" i="16"/>
  <c r="Q64" i="16"/>
  <c r="P64" i="16"/>
  <c r="O64" i="16"/>
  <c r="N64" i="16"/>
  <c r="M64" i="16"/>
  <c r="L64" i="16"/>
  <c r="K64" i="16"/>
  <c r="J64" i="16"/>
  <c r="I64" i="16"/>
  <c r="H64" i="16"/>
  <c r="G64" i="16"/>
  <c r="F64" i="16"/>
  <c r="Q63" i="16"/>
  <c r="P63" i="16"/>
  <c r="O63" i="16"/>
  <c r="N63" i="16"/>
  <c r="M63" i="16"/>
  <c r="L63" i="16"/>
  <c r="K63" i="16"/>
  <c r="J63" i="16"/>
  <c r="I63" i="16"/>
  <c r="H63" i="16"/>
  <c r="G63" i="16"/>
  <c r="F63" i="16"/>
  <c r="Q62" i="16"/>
  <c r="P62" i="16"/>
  <c r="O62" i="16"/>
  <c r="N62" i="16"/>
  <c r="M62" i="16"/>
  <c r="L62" i="16"/>
  <c r="K62" i="16"/>
  <c r="J62" i="16"/>
  <c r="I62" i="16"/>
  <c r="H62" i="16"/>
  <c r="G62" i="16"/>
  <c r="F62" i="16"/>
  <c r="Q61" i="16"/>
  <c r="P61" i="16"/>
  <c r="O61" i="16"/>
  <c r="N61" i="16"/>
  <c r="M61" i="16"/>
  <c r="L61" i="16"/>
  <c r="K61" i="16"/>
  <c r="J61" i="16"/>
  <c r="I61" i="16"/>
  <c r="H61" i="16"/>
  <c r="G61" i="16"/>
  <c r="F61" i="16"/>
  <c r="Q60" i="16"/>
  <c r="P60" i="16"/>
  <c r="O60" i="16"/>
  <c r="N60" i="16"/>
  <c r="M60" i="16"/>
  <c r="L60" i="16"/>
  <c r="K60" i="16"/>
  <c r="J60" i="16"/>
  <c r="I60" i="16"/>
  <c r="H60" i="16"/>
  <c r="G60" i="16"/>
  <c r="F60" i="16"/>
  <c r="Q59" i="16"/>
  <c r="P59" i="16"/>
  <c r="O59" i="16"/>
  <c r="N59" i="16"/>
  <c r="M59" i="16"/>
  <c r="L59" i="16"/>
  <c r="K59" i="16"/>
  <c r="J59" i="16"/>
  <c r="I59" i="16"/>
  <c r="H59" i="16"/>
  <c r="G59" i="16"/>
  <c r="F59" i="16"/>
  <c r="Q58" i="16"/>
  <c r="P58" i="16"/>
  <c r="O58" i="16"/>
  <c r="N58" i="16"/>
  <c r="M58" i="16"/>
  <c r="L58" i="16"/>
  <c r="K58" i="16"/>
  <c r="J58" i="16"/>
  <c r="I58" i="16"/>
  <c r="H58" i="16"/>
  <c r="G58" i="16"/>
  <c r="F58" i="16"/>
  <c r="Q57" i="16"/>
  <c r="P57" i="16"/>
  <c r="O57" i="16"/>
  <c r="N57" i="16"/>
  <c r="M57" i="16"/>
  <c r="L57" i="16"/>
  <c r="K57" i="16"/>
  <c r="J57" i="16"/>
  <c r="I57" i="16"/>
  <c r="H57" i="16"/>
  <c r="G57" i="16"/>
  <c r="F57" i="16"/>
  <c r="Q56" i="16"/>
  <c r="P56" i="16"/>
  <c r="O56" i="16"/>
  <c r="N56" i="16"/>
  <c r="M56" i="16"/>
  <c r="L56" i="16"/>
  <c r="K56" i="16"/>
  <c r="J56" i="16"/>
  <c r="I56" i="16"/>
  <c r="H56" i="16"/>
  <c r="G56" i="16"/>
  <c r="F56" i="16"/>
  <c r="Q55" i="16"/>
  <c r="P55" i="16"/>
  <c r="O55" i="16"/>
  <c r="N55" i="16"/>
  <c r="M55" i="16"/>
  <c r="L55" i="16"/>
  <c r="K55" i="16"/>
  <c r="J55" i="16"/>
  <c r="I55" i="16"/>
  <c r="H55" i="16"/>
  <c r="G55" i="16"/>
  <c r="F55" i="16"/>
  <c r="Q54" i="16"/>
  <c r="P54" i="16"/>
  <c r="O54" i="16"/>
  <c r="N54" i="16"/>
  <c r="M54" i="16"/>
  <c r="L54" i="16"/>
  <c r="K54" i="16"/>
  <c r="J54" i="16"/>
  <c r="I54" i="16"/>
  <c r="H54" i="16"/>
  <c r="G54" i="16"/>
  <c r="F54" i="16"/>
  <c r="Q53" i="16"/>
  <c r="P53" i="16"/>
  <c r="O53" i="16"/>
  <c r="N53" i="16"/>
  <c r="M53" i="16"/>
  <c r="L53" i="16"/>
  <c r="K53" i="16"/>
  <c r="J53" i="16"/>
  <c r="I53" i="16"/>
  <c r="H53" i="16"/>
  <c r="G53" i="16"/>
  <c r="F53" i="16"/>
  <c r="Q52" i="16"/>
  <c r="P52" i="16"/>
  <c r="O52" i="16"/>
  <c r="N52" i="16"/>
  <c r="M52" i="16"/>
  <c r="L52" i="16"/>
  <c r="K52" i="16"/>
  <c r="J52" i="16"/>
  <c r="I52" i="16"/>
  <c r="H52" i="16"/>
  <c r="G52" i="16"/>
  <c r="F52" i="16"/>
  <c r="Q51" i="16"/>
  <c r="P51" i="16"/>
  <c r="O51" i="16"/>
  <c r="N51" i="16"/>
  <c r="M51" i="16"/>
  <c r="L51" i="16"/>
  <c r="K51" i="16"/>
  <c r="J51" i="16"/>
  <c r="I51" i="16"/>
  <c r="H51" i="16"/>
  <c r="G51" i="16"/>
  <c r="F51" i="16"/>
  <c r="Q50" i="16"/>
  <c r="P50" i="16"/>
  <c r="O50" i="16"/>
  <c r="N50" i="16"/>
  <c r="M50" i="16"/>
  <c r="L50" i="16"/>
  <c r="K50" i="16"/>
  <c r="J50" i="16"/>
  <c r="I50" i="16"/>
  <c r="H50" i="16"/>
  <c r="G50" i="16"/>
  <c r="F50" i="16"/>
  <c r="Q49" i="16"/>
  <c r="P49" i="16"/>
  <c r="O49" i="16"/>
  <c r="N49" i="16"/>
  <c r="M49" i="16"/>
  <c r="L49" i="16"/>
  <c r="K49" i="16"/>
  <c r="J49" i="16"/>
  <c r="I49" i="16"/>
  <c r="H49" i="16"/>
  <c r="G49" i="16"/>
  <c r="F49" i="16"/>
  <c r="Q48" i="16"/>
  <c r="P48" i="16"/>
  <c r="O48" i="16"/>
  <c r="N48" i="16"/>
  <c r="M48" i="16"/>
  <c r="L48" i="16"/>
  <c r="K48" i="16"/>
  <c r="J48" i="16"/>
  <c r="I48" i="16"/>
  <c r="H48" i="16"/>
  <c r="G48" i="16"/>
  <c r="F48" i="16"/>
  <c r="Q47" i="16"/>
  <c r="P47" i="16"/>
  <c r="O47" i="16"/>
  <c r="N47" i="16"/>
  <c r="M47" i="16"/>
  <c r="L47" i="16"/>
  <c r="K47" i="16"/>
  <c r="J47" i="16"/>
  <c r="I47" i="16"/>
  <c r="H47" i="16"/>
  <c r="G47" i="16"/>
  <c r="F47" i="16"/>
  <c r="Q46" i="16"/>
  <c r="P46" i="16"/>
  <c r="O46" i="16"/>
  <c r="N46" i="16"/>
  <c r="M46" i="16"/>
  <c r="L46" i="16"/>
  <c r="K46" i="16"/>
  <c r="J46" i="16"/>
  <c r="I46" i="16"/>
  <c r="H46" i="16"/>
  <c r="G46" i="16"/>
  <c r="F46" i="16"/>
  <c r="Q45" i="16"/>
  <c r="P45" i="16"/>
  <c r="O45" i="16"/>
  <c r="N45" i="16"/>
  <c r="M45" i="16"/>
  <c r="L45" i="16"/>
  <c r="K45" i="16"/>
  <c r="J45" i="16"/>
  <c r="I45" i="16"/>
  <c r="H45" i="16"/>
  <c r="G45" i="16"/>
  <c r="F45" i="16"/>
  <c r="Q44" i="16"/>
  <c r="P44" i="16"/>
  <c r="O44" i="16"/>
  <c r="N44" i="16"/>
  <c r="M44" i="16"/>
  <c r="L44" i="16"/>
  <c r="K44" i="16"/>
  <c r="J44" i="16"/>
  <c r="I44" i="16"/>
  <c r="H44" i="16"/>
  <c r="G44" i="16"/>
  <c r="F44" i="16"/>
  <c r="Q43" i="16"/>
  <c r="P43" i="16"/>
  <c r="O43" i="16"/>
  <c r="N43" i="16"/>
  <c r="M43" i="16"/>
  <c r="L43" i="16"/>
  <c r="K43" i="16"/>
  <c r="J43" i="16"/>
  <c r="I43" i="16"/>
  <c r="H43" i="16"/>
  <c r="G43" i="16"/>
  <c r="F43" i="16"/>
  <c r="Q42" i="16"/>
  <c r="P42" i="16"/>
  <c r="O42" i="16"/>
  <c r="N42" i="16"/>
  <c r="M42" i="16"/>
  <c r="L42" i="16"/>
  <c r="K42" i="16"/>
  <c r="J42" i="16"/>
  <c r="I42" i="16"/>
  <c r="H42" i="16"/>
  <c r="G42" i="16"/>
  <c r="F42" i="16"/>
  <c r="Q41" i="16"/>
  <c r="P41" i="16"/>
  <c r="O41" i="16"/>
  <c r="N41" i="16"/>
  <c r="M41" i="16"/>
  <c r="L41" i="16"/>
  <c r="K41" i="16"/>
  <c r="J41" i="16"/>
  <c r="I41" i="16"/>
  <c r="H41" i="16"/>
  <c r="G41" i="16"/>
  <c r="F41" i="16"/>
  <c r="Q40" i="16"/>
  <c r="P40" i="16"/>
  <c r="O40" i="16"/>
  <c r="N40" i="16"/>
  <c r="M40" i="16"/>
  <c r="L40" i="16"/>
  <c r="K40" i="16"/>
  <c r="J40" i="16"/>
  <c r="I40" i="16"/>
  <c r="H40" i="16"/>
  <c r="G40" i="16"/>
  <c r="F40" i="16"/>
  <c r="Q39" i="16"/>
  <c r="P39" i="16"/>
  <c r="O39" i="16"/>
  <c r="N39" i="16"/>
  <c r="M39" i="16"/>
  <c r="L39" i="16"/>
  <c r="K39" i="16"/>
  <c r="J39" i="16"/>
  <c r="I39" i="16"/>
  <c r="H39" i="16"/>
  <c r="G39" i="16"/>
  <c r="F39" i="16"/>
  <c r="Q38" i="16"/>
  <c r="P38" i="16"/>
  <c r="O38" i="16"/>
  <c r="N38" i="16"/>
  <c r="M38" i="16"/>
  <c r="L38" i="16"/>
  <c r="K38" i="16"/>
  <c r="J38" i="16"/>
  <c r="I38" i="16"/>
  <c r="H38" i="16"/>
  <c r="G38" i="16"/>
  <c r="F38" i="16"/>
  <c r="Q37" i="16"/>
  <c r="P37" i="16"/>
  <c r="O37" i="16"/>
  <c r="N37" i="16"/>
  <c r="M37" i="16"/>
  <c r="L37" i="16"/>
  <c r="K37" i="16"/>
  <c r="J37" i="16"/>
  <c r="I37" i="16"/>
  <c r="H37" i="16"/>
  <c r="G37" i="16"/>
  <c r="F37" i="16"/>
  <c r="Q36" i="16"/>
  <c r="P36" i="16"/>
  <c r="O36" i="16"/>
  <c r="N36" i="16"/>
  <c r="M36" i="16"/>
  <c r="L36" i="16"/>
  <c r="K36" i="16"/>
  <c r="J36" i="16"/>
  <c r="I36" i="16"/>
  <c r="H36" i="16"/>
  <c r="G36" i="16"/>
  <c r="F36" i="16"/>
  <c r="Q35" i="16"/>
  <c r="P35" i="16"/>
  <c r="O35" i="16"/>
  <c r="N35" i="16"/>
  <c r="M35" i="16"/>
  <c r="L35" i="16"/>
  <c r="K35" i="16"/>
  <c r="J35" i="16"/>
  <c r="I35" i="16"/>
  <c r="H35" i="16"/>
  <c r="G35" i="16"/>
  <c r="F35" i="16"/>
  <c r="Q34" i="16"/>
  <c r="P34" i="16"/>
  <c r="O34" i="16"/>
  <c r="N34" i="16"/>
  <c r="M34" i="16"/>
  <c r="L34" i="16"/>
  <c r="K34" i="16"/>
  <c r="J34" i="16"/>
  <c r="I34" i="16"/>
  <c r="H34" i="16"/>
  <c r="G34" i="16"/>
  <c r="F34" i="16"/>
  <c r="Q33" i="16"/>
  <c r="P33" i="16"/>
  <c r="O33" i="16"/>
  <c r="N33" i="16"/>
  <c r="M33" i="16"/>
  <c r="L33" i="16"/>
  <c r="K33" i="16"/>
  <c r="J33" i="16"/>
  <c r="I33" i="16"/>
  <c r="H33" i="16"/>
  <c r="G33" i="16"/>
  <c r="F33" i="16"/>
  <c r="Q32" i="16"/>
  <c r="P32" i="16"/>
  <c r="O32" i="16"/>
  <c r="N32" i="16"/>
  <c r="M32" i="16"/>
  <c r="L32" i="16"/>
  <c r="K32" i="16"/>
  <c r="J32" i="16"/>
  <c r="I32" i="16"/>
  <c r="H32" i="16"/>
  <c r="G32" i="16"/>
  <c r="F32" i="16"/>
  <c r="Q31" i="16"/>
  <c r="P31" i="16"/>
  <c r="O31" i="16"/>
  <c r="N31" i="16"/>
  <c r="M31" i="16"/>
  <c r="L31" i="16"/>
  <c r="K31" i="16"/>
  <c r="J31" i="16"/>
  <c r="I31" i="16"/>
  <c r="H31" i="16"/>
  <c r="G31" i="16"/>
  <c r="F31" i="16"/>
  <c r="Q30" i="16"/>
  <c r="P30" i="16"/>
  <c r="O30" i="16"/>
  <c r="N30" i="16"/>
  <c r="M30" i="16"/>
  <c r="L30" i="16"/>
  <c r="K30" i="16"/>
  <c r="J30" i="16"/>
  <c r="I30" i="16"/>
  <c r="H30" i="16"/>
  <c r="G30" i="16"/>
  <c r="F30" i="16"/>
  <c r="Q29" i="16"/>
  <c r="P29" i="16"/>
  <c r="O29" i="16"/>
  <c r="N29" i="16"/>
  <c r="M29" i="16"/>
  <c r="L29" i="16"/>
  <c r="K29" i="16"/>
  <c r="J29" i="16"/>
  <c r="I29" i="16"/>
  <c r="H29" i="16"/>
  <c r="G29" i="16"/>
  <c r="F29" i="16"/>
  <c r="Q28" i="16"/>
  <c r="P28" i="16"/>
  <c r="O28" i="16"/>
  <c r="N28" i="16"/>
  <c r="M28" i="16"/>
  <c r="L28" i="16"/>
  <c r="K28" i="16"/>
  <c r="J28" i="16"/>
  <c r="I28" i="16"/>
  <c r="H28" i="16"/>
  <c r="G28" i="16"/>
  <c r="F28" i="16"/>
  <c r="Q27" i="16"/>
  <c r="P27" i="16"/>
  <c r="O27" i="16"/>
  <c r="N27" i="16"/>
  <c r="M27" i="16"/>
  <c r="L27" i="16"/>
  <c r="K27" i="16"/>
  <c r="J27" i="16"/>
  <c r="I27" i="16"/>
  <c r="H27" i="16"/>
  <c r="G27" i="16"/>
  <c r="F27" i="16"/>
  <c r="Q26" i="16"/>
  <c r="P26" i="16"/>
  <c r="O26" i="16"/>
  <c r="N26" i="16"/>
  <c r="M26" i="16"/>
  <c r="L26" i="16"/>
  <c r="K26" i="16"/>
  <c r="J26" i="16"/>
  <c r="I26" i="16"/>
  <c r="H26" i="16"/>
  <c r="G26" i="16"/>
  <c r="F26" i="16"/>
  <c r="Q25" i="16"/>
  <c r="P25" i="16"/>
  <c r="O25" i="16"/>
  <c r="N25" i="16"/>
  <c r="M25" i="16"/>
  <c r="L25" i="16"/>
  <c r="K25" i="16"/>
  <c r="J25" i="16"/>
  <c r="I25" i="16"/>
  <c r="H25" i="16"/>
  <c r="G25" i="16"/>
  <c r="F25" i="16"/>
  <c r="Q24" i="16"/>
  <c r="P24" i="16"/>
  <c r="O24" i="16"/>
  <c r="N24" i="16"/>
  <c r="M24" i="16"/>
  <c r="L24" i="16"/>
  <c r="K24" i="16"/>
  <c r="J24" i="16"/>
  <c r="I24" i="16"/>
  <c r="H24" i="16"/>
  <c r="G24" i="16"/>
  <c r="F24" i="16"/>
  <c r="Q23" i="16"/>
  <c r="P23" i="16"/>
  <c r="O23" i="16"/>
  <c r="N23" i="16"/>
  <c r="M23" i="16"/>
  <c r="L23" i="16"/>
  <c r="K23" i="16"/>
  <c r="J23" i="16"/>
  <c r="I23" i="16"/>
  <c r="H23" i="16"/>
  <c r="G23" i="16"/>
  <c r="F23" i="16"/>
  <c r="Q22" i="16"/>
  <c r="P22" i="16"/>
  <c r="O22" i="16"/>
  <c r="N22" i="16"/>
  <c r="M22" i="16"/>
  <c r="L22" i="16"/>
  <c r="K22" i="16"/>
  <c r="J22" i="16"/>
  <c r="I22" i="16"/>
  <c r="H22" i="16"/>
  <c r="G22" i="16"/>
  <c r="F22" i="16"/>
  <c r="Q21" i="16"/>
  <c r="P21" i="16"/>
  <c r="O21" i="16"/>
  <c r="N21" i="16"/>
  <c r="M21" i="16"/>
  <c r="L21" i="16"/>
  <c r="K21" i="16"/>
  <c r="J21" i="16"/>
  <c r="I21" i="16"/>
  <c r="H21" i="16"/>
  <c r="G21" i="16"/>
  <c r="F21" i="16"/>
  <c r="Q20" i="16"/>
  <c r="P20" i="16"/>
  <c r="O20" i="16"/>
  <c r="N20" i="16"/>
  <c r="M20" i="16"/>
  <c r="L20" i="16"/>
  <c r="K20" i="16"/>
  <c r="J20" i="16"/>
  <c r="I20" i="16"/>
  <c r="H20" i="16"/>
  <c r="G20" i="16"/>
  <c r="F20" i="16"/>
  <c r="Q19" i="16"/>
  <c r="P19" i="16"/>
  <c r="O19" i="16"/>
  <c r="N19" i="16"/>
  <c r="M19" i="16"/>
  <c r="L19" i="16"/>
  <c r="K19" i="16"/>
  <c r="J19" i="16"/>
  <c r="I19" i="16"/>
  <c r="H19" i="16"/>
  <c r="G19" i="16"/>
  <c r="F19" i="16"/>
  <c r="Q18" i="16"/>
  <c r="P18" i="16"/>
  <c r="O18" i="16"/>
  <c r="N18" i="16"/>
  <c r="M18" i="16"/>
  <c r="L18" i="16"/>
  <c r="K18" i="16"/>
  <c r="J18" i="16"/>
  <c r="I18" i="16"/>
  <c r="H18" i="16"/>
  <c r="G18" i="16"/>
  <c r="F18" i="16"/>
  <c r="Q17" i="16"/>
  <c r="P17" i="16"/>
  <c r="O17" i="16"/>
  <c r="N17" i="16"/>
  <c r="M17" i="16"/>
  <c r="L17" i="16"/>
  <c r="K17" i="16"/>
  <c r="J17" i="16"/>
  <c r="I17" i="16"/>
  <c r="H17" i="16"/>
  <c r="G17" i="16"/>
  <c r="F17" i="16"/>
  <c r="Q16" i="16"/>
  <c r="P16" i="16"/>
  <c r="O16" i="16"/>
  <c r="N16" i="16"/>
  <c r="M16" i="16"/>
  <c r="L16" i="16"/>
  <c r="K16" i="16"/>
  <c r="J16" i="16"/>
  <c r="I16" i="16"/>
  <c r="H16" i="16"/>
  <c r="G16" i="16"/>
  <c r="F16" i="16"/>
  <c r="Q15" i="16"/>
  <c r="P15" i="16"/>
  <c r="O15" i="16"/>
  <c r="N15" i="16"/>
  <c r="M15" i="16"/>
  <c r="L15" i="16"/>
  <c r="K15" i="16"/>
  <c r="J15" i="16"/>
  <c r="I15" i="16"/>
  <c r="H15" i="16"/>
  <c r="G15" i="16"/>
  <c r="F15" i="16"/>
  <c r="Q14" i="16"/>
  <c r="P14" i="16"/>
  <c r="O14" i="16"/>
  <c r="N14" i="16"/>
  <c r="M14" i="16"/>
  <c r="L14" i="16"/>
  <c r="K14" i="16"/>
  <c r="J14" i="16"/>
  <c r="I14" i="16"/>
  <c r="H14" i="16"/>
  <c r="G14" i="16"/>
  <c r="F14" i="16"/>
  <c r="Q13" i="16"/>
  <c r="P13" i="16"/>
  <c r="O13" i="16"/>
  <c r="N13" i="16"/>
  <c r="M13" i="16"/>
  <c r="L13" i="16"/>
  <c r="K13" i="16"/>
  <c r="J13" i="16"/>
  <c r="I13" i="16"/>
  <c r="H13" i="16"/>
  <c r="G13" i="16"/>
  <c r="F13" i="16"/>
  <c r="Q12" i="16"/>
  <c r="P12" i="16"/>
  <c r="O12" i="16"/>
  <c r="N12" i="16"/>
  <c r="M12" i="16"/>
  <c r="L12" i="16"/>
  <c r="K12" i="16"/>
  <c r="J12" i="16"/>
  <c r="I12" i="16"/>
  <c r="H12" i="16"/>
  <c r="G12" i="16"/>
  <c r="F12" i="16"/>
  <c r="Q11" i="16"/>
  <c r="P11" i="16"/>
  <c r="O11" i="16"/>
  <c r="N11" i="16"/>
  <c r="M11" i="16"/>
  <c r="L11" i="16"/>
  <c r="K11" i="16"/>
  <c r="J11" i="16"/>
  <c r="I11" i="16"/>
  <c r="H11" i="16"/>
  <c r="G11" i="16"/>
  <c r="F11" i="16"/>
  <c r="Q10" i="16"/>
  <c r="P10" i="16"/>
  <c r="O10" i="16"/>
  <c r="N10" i="16"/>
  <c r="M10" i="16"/>
  <c r="L10" i="16"/>
  <c r="K10" i="16"/>
  <c r="J10" i="16"/>
  <c r="I10" i="16"/>
  <c r="H10" i="16"/>
  <c r="G10" i="16"/>
  <c r="F10" i="16"/>
  <c r="Q9" i="16"/>
  <c r="P9" i="16"/>
  <c r="O9" i="16"/>
  <c r="N9" i="16"/>
  <c r="M9" i="16"/>
  <c r="L9" i="16"/>
  <c r="K9" i="16"/>
  <c r="J9" i="16"/>
  <c r="I9" i="16"/>
  <c r="H9" i="16"/>
  <c r="G9" i="16"/>
  <c r="F9" i="16"/>
  <c r="Q8" i="16"/>
  <c r="P8" i="16"/>
  <c r="O8" i="16"/>
  <c r="N8" i="16"/>
  <c r="M8" i="16"/>
  <c r="L8" i="16"/>
  <c r="K8" i="16"/>
  <c r="J8" i="16"/>
  <c r="I8" i="16"/>
  <c r="H8" i="16"/>
  <c r="G8" i="16"/>
  <c r="F8" i="16"/>
  <c r="Q7" i="16"/>
  <c r="P7" i="16"/>
  <c r="O7" i="16"/>
  <c r="N7" i="16"/>
  <c r="M7" i="16"/>
  <c r="L7" i="16"/>
  <c r="K7" i="16"/>
  <c r="J7" i="16"/>
  <c r="I7" i="16"/>
  <c r="H7" i="16"/>
  <c r="G7" i="16"/>
  <c r="F7" i="16"/>
  <c r="Q6" i="16"/>
  <c r="P6" i="16"/>
  <c r="O6" i="16"/>
  <c r="N6" i="16"/>
  <c r="M6" i="16"/>
  <c r="L6" i="16"/>
  <c r="K6" i="16"/>
  <c r="J6" i="16"/>
  <c r="I6" i="16"/>
  <c r="H6" i="16"/>
  <c r="G6" i="16"/>
  <c r="F6" i="16"/>
  <c r="Q5" i="16"/>
  <c r="P5" i="16"/>
  <c r="O5" i="16"/>
  <c r="N5" i="16"/>
  <c r="M5" i="16"/>
  <c r="L5" i="16"/>
  <c r="K5" i="16"/>
  <c r="J5" i="16"/>
  <c r="I5" i="16"/>
  <c r="H5" i="16"/>
  <c r="G5" i="16"/>
  <c r="F5" i="16"/>
  <c r="Q4" i="16"/>
  <c r="P4" i="16"/>
  <c r="O4" i="16"/>
  <c r="N4" i="16"/>
  <c r="M4" i="16"/>
  <c r="L4" i="16"/>
  <c r="K4" i="16"/>
  <c r="J4" i="16"/>
  <c r="I4" i="16"/>
  <c r="H4" i="16"/>
  <c r="G4" i="16"/>
  <c r="F4" i="16"/>
  <c r="Q3" i="16"/>
  <c r="P3" i="16"/>
  <c r="O3" i="16"/>
  <c r="N3" i="16"/>
  <c r="M3" i="16"/>
  <c r="L3" i="16"/>
  <c r="K3" i="16"/>
  <c r="J3" i="16"/>
  <c r="I3" i="16"/>
  <c r="H3" i="16"/>
  <c r="G3" i="16"/>
  <c r="F3" i="16"/>
  <c r="F1408" i="1"/>
  <c r="L1408" i="1" s="1"/>
  <c r="F1407" i="1"/>
  <c r="L1407" i="1" s="1"/>
  <c r="F1406" i="1"/>
  <c r="L1406" i="1" s="1"/>
  <c r="F1405" i="1"/>
  <c r="L1405" i="1" s="1"/>
  <c r="F1404" i="1"/>
  <c r="L1404" i="1" s="1"/>
  <c r="F1403" i="1"/>
  <c r="L1403" i="1" s="1"/>
  <c r="F1402" i="1"/>
  <c r="L1402" i="1" s="1"/>
  <c r="F1401" i="1"/>
  <c r="L1401" i="1" s="1"/>
  <c r="F1400" i="1"/>
  <c r="L1400" i="1" s="1"/>
  <c r="F1399" i="1"/>
  <c r="L1399" i="1" s="1"/>
  <c r="F1398" i="1"/>
  <c r="L1398" i="1" s="1"/>
  <c r="F1397" i="1"/>
  <c r="L1397" i="1" s="1"/>
  <c r="F1396" i="1"/>
  <c r="L1396" i="1" s="1"/>
  <c r="F1395" i="1"/>
  <c r="L1395" i="1" s="1"/>
  <c r="F1394" i="1"/>
  <c r="L1394" i="1" s="1"/>
  <c r="F1393" i="1"/>
  <c r="L1393" i="1" s="1"/>
  <c r="F1392" i="1"/>
  <c r="L1392" i="1" s="1"/>
  <c r="F1391" i="1"/>
  <c r="L1391" i="1" s="1"/>
  <c r="F1390" i="1"/>
  <c r="L1390" i="1" s="1"/>
  <c r="F1389" i="1"/>
  <c r="L1389" i="1" s="1"/>
  <c r="F1388" i="1"/>
  <c r="L1388" i="1" s="1"/>
  <c r="F1387" i="1"/>
  <c r="L1387" i="1" s="1"/>
  <c r="F1386" i="1"/>
  <c r="L1386" i="1" s="1"/>
  <c r="F1385" i="1"/>
  <c r="L1385" i="1" s="1"/>
  <c r="F1384" i="1"/>
  <c r="L1384" i="1" s="1"/>
  <c r="F1383" i="1"/>
  <c r="L1383" i="1" s="1"/>
  <c r="F1382" i="1"/>
  <c r="L1382" i="1" s="1"/>
  <c r="F1381" i="1"/>
  <c r="L1381" i="1" s="1"/>
  <c r="F1380" i="1"/>
  <c r="L1380" i="1" s="1"/>
  <c r="F1379" i="1"/>
  <c r="L1379" i="1" s="1"/>
  <c r="F1378" i="1"/>
  <c r="L1378" i="1" s="1"/>
  <c r="F1377" i="1"/>
  <c r="L1377" i="1" s="1"/>
  <c r="F1376" i="1"/>
  <c r="L1376" i="1" s="1"/>
  <c r="F1375" i="1"/>
  <c r="L1375" i="1" s="1"/>
  <c r="F1374" i="1"/>
  <c r="L1374" i="1" s="1"/>
  <c r="F1373" i="1"/>
  <c r="L1373" i="1" s="1"/>
  <c r="F1372" i="1"/>
  <c r="L1372" i="1" s="1"/>
  <c r="F1371" i="1"/>
  <c r="L1371" i="1" s="1"/>
  <c r="F1370" i="1"/>
  <c r="L1370" i="1" s="1"/>
  <c r="F1369" i="1"/>
  <c r="L1369" i="1" s="1"/>
  <c r="F1368" i="1"/>
  <c r="L1368" i="1" s="1"/>
  <c r="F1367" i="1"/>
  <c r="L1367" i="1" s="1"/>
  <c r="F1366" i="1"/>
  <c r="L1366" i="1" s="1"/>
  <c r="F1365" i="1"/>
  <c r="L1365" i="1" s="1"/>
  <c r="F1364" i="1"/>
  <c r="L1364" i="1" s="1"/>
  <c r="F1363" i="1"/>
  <c r="L1363" i="1" s="1"/>
  <c r="F1362" i="1"/>
  <c r="L1362" i="1" s="1"/>
  <c r="F1361" i="1"/>
  <c r="L1361" i="1" s="1"/>
  <c r="F1360" i="1"/>
  <c r="L1360" i="1" s="1"/>
  <c r="F1359" i="1"/>
  <c r="L1359" i="1" s="1"/>
  <c r="F1358" i="1"/>
  <c r="L1358" i="1" s="1"/>
  <c r="F1357" i="1"/>
  <c r="L1357" i="1" s="1"/>
  <c r="F1356" i="1"/>
  <c r="L1356" i="1" s="1"/>
  <c r="F1355" i="1"/>
  <c r="L1355" i="1" s="1"/>
  <c r="F1354" i="1"/>
  <c r="L1354" i="1" s="1"/>
  <c r="F1353" i="1"/>
  <c r="L1353" i="1" s="1"/>
  <c r="F1352" i="1"/>
  <c r="L1352" i="1" s="1"/>
  <c r="F1351" i="1"/>
  <c r="L1351" i="1" s="1"/>
  <c r="F1350" i="1"/>
  <c r="L1350" i="1" s="1"/>
  <c r="F1349" i="1"/>
  <c r="L1349" i="1" s="1"/>
  <c r="F1348" i="1"/>
  <c r="L1348" i="1" s="1"/>
  <c r="F1347" i="1"/>
  <c r="L1347" i="1" s="1"/>
  <c r="F1346" i="1"/>
  <c r="L1346" i="1" s="1"/>
  <c r="F1345" i="1"/>
  <c r="L1345" i="1" s="1"/>
  <c r="F1344" i="1"/>
  <c r="L1344" i="1" s="1"/>
  <c r="F1343" i="1"/>
  <c r="L1343" i="1" s="1"/>
  <c r="F1342" i="1"/>
  <c r="L1342" i="1" s="1"/>
  <c r="F1341" i="1"/>
  <c r="L1341" i="1" s="1"/>
  <c r="F1340" i="1"/>
  <c r="L1340" i="1" s="1"/>
  <c r="F1339" i="1"/>
  <c r="L1339" i="1" s="1"/>
  <c r="F1338" i="1"/>
  <c r="L1338" i="1" s="1"/>
  <c r="F1337" i="1"/>
  <c r="L1337" i="1" s="1"/>
  <c r="F1336" i="1"/>
  <c r="L1336" i="1" s="1"/>
  <c r="F1335" i="1"/>
  <c r="L1335" i="1" s="1"/>
  <c r="F1334" i="1"/>
  <c r="L1334" i="1" s="1"/>
  <c r="F1333" i="1"/>
  <c r="L1333" i="1" s="1"/>
  <c r="F1332" i="1"/>
  <c r="L1332" i="1" s="1"/>
  <c r="F1331" i="1"/>
  <c r="L1331" i="1" s="1"/>
  <c r="F1330" i="1"/>
  <c r="L1330" i="1" s="1"/>
  <c r="F1329" i="1"/>
  <c r="L1329" i="1" s="1"/>
  <c r="F1328" i="1"/>
  <c r="L1328" i="1" s="1"/>
  <c r="F1327" i="1"/>
  <c r="L1327" i="1" s="1"/>
  <c r="F1326" i="1"/>
  <c r="L1326" i="1" s="1"/>
  <c r="F1325" i="1"/>
  <c r="L1325" i="1" s="1"/>
  <c r="F1324" i="1"/>
  <c r="L1324" i="1" s="1"/>
  <c r="F1323" i="1"/>
  <c r="L1323" i="1" s="1"/>
  <c r="F1322" i="1"/>
  <c r="L1322" i="1" s="1"/>
  <c r="F1321" i="1"/>
  <c r="L1321" i="1" s="1"/>
  <c r="F1320" i="1"/>
  <c r="L1320" i="1" s="1"/>
  <c r="F1319" i="1"/>
  <c r="L1319" i="1" s="1"/>
  <c r="F1318" i="1"/>
  <c r="L1318" i="1" s="1"/>
  <c r="F1317" i="1"/>
  <c r="L1317" i="1" s="1"/>
  <c r="F1316" i="1"/>
  <c r="L1316" i="1" s="1"/>
  <c r="F1315" i="1"/>
  <c r="L1315" i="1" s="1"/>
  <c r="F1314" i="1"/>
  <c r="L1314" i="1" s="1"/>
  <c r="F1313" i="1"/>
  <c r="L1313" i="1" s="1"/>
  <c r="F1312" i="1"/>
  <c r="L1312" i="1" s="1"/>
  <c r="F1311" i="1"/>
  <c r="L1311" i="1" s="1"/>
  <c r="F1310" i="1"/>
  <c r="L1310" i="1" s="1"/>
  <c r="F1309" i="1"/>
  <c r="L1309" i="1" s="1"/>
  <c r="F1308" i="1"/>
  <c r="L1308" i="1" s="1"/>
  <c r="F1307" i="1"/>
  <c r="L1307" i="1" s="1"/>
  <c r="F1306" i="1"/>
  <c r="L1306" i="1" s="1"/>
  <c r="F1305" i="1"/>
  <c r="L1305" i="1" s="1"/>
  <c r="F1304" i="1"/>
  <c r="L1304" i="1" s="1"/>
  <c r="F1303" i="1"/>
  <c r="L1303" i="1" s="1"/>
  <c r="F1302" i="1"/>
  <c r="L1302" i="1" s="1"/>
  <c r="F1301" i="1"/>
  <c r="L1301" i="1" s="1"/>
  <c r="F1300" i="1"/>
  <c r="L1300" i="1" s="1"/>
  <c r="F1299" i="1"/>
  <c r="L1299" i="1" s="1"/>
  <c r="F1298" i="1"/>
  <c r="L1298" i="1" s="1"/>
  <c r="F1297" i="1"/>
  <c r="L1297" i="1" s="1"/>
  <c r="F1296" i="1"/>
  <c r="L1296" i="1" s="1"/>
  <c r="F1295" i="1"/>
  <c r="L1295" i="1" s="1"/>
  <c r="F1294" i="1"/>
  <c r="L1294" i="1" s="1"/>
  <c r="F1293" i="1"/>
  <c r="L1293" i="1" s="1"/>
  <c r="F1292" i="1"/>
  <c r="L1292" i="1" s="1"/>
  <c r="F1291" i="1"/>
  <c r="L1291" i="1" s="1"/>
  <c r="F1290" i="1"/>
  <c r="L1290" i="1" s="1"/>
  <c r="F1289" i="1"/>
  <c r="L1289" i="1" s="1"/>
  <c r="F1288" i="1"/>
  <c r="L1288" i="1" s="1"/>
  <c r="F1287" i="1"/>
  <c r="L1287" i="1" s="1"/>
  <c r="F1286" i="1"/>
  <c r="L1286" i="1" s="1"/>
  <c r="F1285" i="1"/>
  <c r="L1285" i="1" s="1"/>
  <c r="F1284" i="1"/>
  <c r="L1284" i="1" s="1"/>
  <c r="F1283" i="1"/>
  <c r="L1283" i="1" s="1"/>
  <c r="F1282" i="1"/>
  <c r="L1282" i="1" s="1"/>
  <c r="F1281" i="1"/>
  <c r="L1281" i="1" s="1"/>
  <c r="F1280" i="1"/>
  <c r="L1280" i="1" s="1"/>
  <c r="F1279" i="1"/>
  <c r="L1279" i="1" s="1"/>
  <c r="F1278" i="1"/>
  <c r="L1278" i="1" s="1"/>
  <c r="F1277" i="1"/>
  <c r="L1277" i="1" s="1"/>
  <c r="F1276" i="1"/>
  <c r="L1276" i="1" s="1"/>
  <c r="F1275" i="1"/>
  <c r="L1275" i="1" s="1"/>
  <c r="F1274" i="1"/>
  <c r="L1274" i="1" s="1"/>
  <c r="F1273" i="1"/>
  <c r="L1273" i="1" s="1"/>
  <c r="F1272" i="1"/>
  <c r="L1272" i="1" s="1"/>
  <c r="F1271" i="1"/>
  <c r="L1271" i="1" s="1"/>
  <c r="F1270" i="1"/>
  <c r="L1270" i="1" s="1"/>
  <c r="F1269" i="1"/>
  <c r="L1269" i="1" s="1"/>
  <c r="F1268" i="1"/>
  <c r="L1268" i="1" s="1"/>
  <c r="F1267" i="1"/>
  <c r="L1267" i="1" s="1"/>
  <c r="F1266" i="1"/>
  <c r="L1266" i="1" s="1"/>
  <c r="F1265" i="1"/>
  <c r="L1265" i="1" s="1"/>
  <c r="F1264" i="1"/>
  <c r="L1264" i="1" s="1"/>
  <c r="F1263" i="1"/>
  <c r="L1263" i="1" s="1"/>
  <c r="F1262" i="1"/>
  <c r="L1262" i="1" s="1"/>
  <c r="F1261" i="1"/>
  <c r="L1261" i="1" s="1"/>
  <c r="F1260" i="1"/>
  <c r="L1260" i="1" s="1"/>
  <c r="F1259" i="1"/>
  <c r="L1259" i="1" s="1"/>
  <c r="F1258" i="1"/>
  <c r="L1258" i="1" s="1"/>
  <c r="F1257" i="1"/>
  <c r="L1257" i="1" s="1"/>
  <c r="F1256" i="1"/>
  <c r="L1256" i="1" s="1"/>
  <c r="F1255" i="1"/>
  <c r="L1255" i="1" s="1"/>
  <c r="F1254" i="1"/>
  <c r="L1254" i="1" s="1"/>
  <c r="F1253" i="1"/>
  <c r="L1253" i="1" s="1"/>
  <c r="F1252" i="1"/>
  <c r="L1252" i="1" s="1"/>
  <c r="F1251" i="1"/>
  <c r="L1251" i="1" s="1"/>
  <c r="F1250" i="1"/>
  <c r="L1250" i="1" s="1"/>
  <c r="F1249" i="1"/>
  <c r="L1249" i="1" s="1"/>
  <c r="F1248" i="1"/>
  <c r="L1248" i="1" s="1"/>
  <c r="F1247" i="1"/>
  <c r="L1247" i="1" s="1"/>
  <c r="F1246" i="1"/>
  <c r="L1246" i="1" s="1"/>
  <c r="F1245" i="1"/>
  <c r="L1245" i="1" s="1"/>
  <c r="F1244" i="1"/>
  <c r="L1244" i="1" s="1"/>
  <c r="F1243" i="1"/>
  <c r="L1243" i="1" s="1"/>
  <c r="F1242" i="1"/>
  <c r="L1242" i="1" s="1"/>
  <c r="F1241" i="1"/>
  <c r="L1241" i="1" s="1"/>
  <c r="F1240" i="1"/>
  <c r="L1240" i="1" s="1"/>
  <c r="F1239" i="1"/>
  <c r="L1239" i="1" s="1"/>
  <c r="F1238" i="1"/>
  <c r="L1238" i="1" s="1"/>
  <c r="F1237" i="1"/>
  <c r="L1237" i="1" s="1"/>
  <c r="F1236" i="1"/>
  <c r="L1236" i="1" s="1"/>
  <c r="F1235" i="1"/>
  <c r="L1235" i="1" s="1"/>
  <c r="F1234" i="1"/>
  <c r="L1234" i="1" s="1"/>
  <c r="F1233" i="1"/>
  <c r="L1233" i="1" s="1"/>
  <c r="F1232" i="1"/>
  <c r="L1232" i="1" s="1"/>
  <c r="F1231" i="1"/>
  <c r="L1231" i="1" s="1"/>
  <c r="F1230" i="1"/>
  <c r="L1230" i="1" s="1"/>
  <c r="F1229" i="1"/>
  <c r="L1229" i="1" s="1"/>
  <c r="F1228" i="1"/>
  <c r="L1228" i="1" s="1"/>
  <c r="F1227" i="1"/>
  <c r="L1227" i="1" s="1"/>
  <c r="F1226" i="1"/>
  <c r="L1226" i="1" s="1"/>
  <c r="F1225" i="1"/>
  <c r="L1225" i="1" s="1"/>
  <c r="F1224" i="1"/>
  <c r="L1224" i="1" s="1"/>
  <c r="F1223" i="1"/>
  <c r="L1223" i="1" s="1"/>
  <c r="F1222" i="1"/>
  <c r="L1222" i="1" s="1"/>
  <c r="F1221" i="1"/>
  <c r="L1221" i="1" s="1"/>
  <c r="F1220" i="1"/>
  <c r="L1220" i="1" s="1"/>
  <c r="F1219" i="1"/>
  <c r="L1219" i="1" s="1"/>
  <c r="F1218" i="1"/>
  <c r="L1218" i="1" s="1"/>
  <c r="F1217" i="1"/>
  <c r="L1217" i="1" s="1"/>
  <c r="F1216" i="1"/>
  <c r="L1216" i="1" s="1"/>
  <c r="F1215" i="1"/>
  <c r="L1215" i="1" s="1"/>
  <c r="F1214" i="1"/>
  <c r="L1214" i="1" s="1"/>
  <c r="F1213" i="1"/>
  <c r="L1213" i="1" s="1"/>
  <c r="F1212" i="1"/>
  <c r="L1212" i="1" s="1"/>
  <c r="F1211" i="1"/>
  <c r="L1211" i="1" s="1"/>
  <c r="F1210" i="1"/>
  <c r="L1210" i="1" s="1"/>
  <c r="L1209" i="1"/>
  <c r="F1208" i="1"/>
  <c r="L1208" i="1" s="1"/>
  <c r="F1207" i="1"/>
  <c r="L1207" i="1" s="1"/>
  <c r="F1206" i="1"/>
  <c r="L1206" i="1" s="1"/>
  <c r="F1205" i="1"/>
  <c r="L1205" i="1" s="1"/>
  <c r="F1204" i="1"/>
  <c r="L1204" i="1" s="1"/>
  <c r="F1203" i="1"/>
  <c r="L1203" i="1" s="1"/>
  <c r="F1202" i="1"/>
  <c r="L1202" i="1" s="1"/>
  <c r="F1201" i="1"/>
  <c r="L1201" i="1" s="1"/>
  <c r="F1200" i="1"/>
  <c r="L1200" i="1" s="1"/>
  <c r="F1199" i="1"/>
  <c r="L1199" i="1" s="1"/>
  <c r="F1198" i="1"/>
  <c r="L1198" i="1" s="1"/>
  <c r="F1197" i="1"/>
  <c r="L1197" i="1" s="1"/>
  <c r="F1196" i="1"/>
  <c r="L1196" i="1" s="1"/>
  <c r="F1195" i="1"/>
  <c r="L1195" i="1" s="1"/>
  <c r="F1194" i="1"/>
  <c r="L1194" i="1" s="1"/>
  <c r="F1193" i="1"/>
  <c r="L1193" i="1" s="1"/>
  <c r="F1192" i="1"/>
  <c r="L1192" i="1" s="1"/>
  <c r="F1191" i="1"/>
  <c r="L1191" i="1" s="1"/>
  <c r="F1190" i="1"/>
  <c r="L1190" i="1" s="1"/>
  <c r="F1189" i="1"/>
  <c r="L1189" i="1" s="1"/>
  <c r="F1188" i="1"/>
  <c r="L1188" i="1" s="1"/>
  <c r="F1187" i="1"/>
  <c r="L1187" i="1" s="1"/>
  <c r="F1186" i="1"/>
  <c r="L1186" i="1" s="1"/>
  <c r="F1185" i="1"/>
  <c r="L1185" i="1" s="1"/>
  <c r="F1184" i="1"/>
  <c r="L1184" i="1" s="1"/>
  <c r="F1183" i="1"/>
  <c r="L1183" i="1" s="1"/>
  <c r="F1182" i="1"/>
  <c r="L1182" i="1" s="1"/>
  <c r="F1181" i="1"/>
  <c r="L1181" i="1" s="1"/>
  <c r="F1180" i="1"/>
  <c r="L1180" i="1" s="1"/>
  <c r="F1179" i="1"/>
  <c r="L1179" i="1" s="1"/>
  <c r="F1178" i="1"/>
  <c r="L1178" i="1" s="1"/>
  <c r="F1177" i="1"/>
  <c r="L1177" i="1" s="1"/>
  <c r="F1176" i="1"/>
  <c r="L1176" i="1" s="1"/>
  <c r="F1175" i="1"/>
  <c r="L1175" i="1" s="1"/>
  <c r="F1174" i="1"/>
  <c r="L1174" i="1" s="1"/>
  <c r="F1173" i="1"/>
  <c r="L1173" i="1" s="1"/>
  <c r="F1172" i="1"/>
  <c r="L1172" i="1" s="1"/>
  <c r="F1171" i="1"/>
  <c r="L1171" i="1" s="1"/>
  <c r="F1170" i="1"/>
  <c r="L1170" i="1" s="1"/>
  <c r="F1169" i="1"/>
  <c r="L1169" i="1" s="1"/>
  <c r="F1168" i="1"/>
  <c r="L1168" i="1" s="1"/>
  <c r="F1167" i="1"/>
  <c r="L1167" i="1" s="1"/>
  <c r="F1166" i="1"/>
  <c r="L1166" i="1" s="1"/>
  <c r="F1165" i="1"/>
  <c r="L1165" i="1" s="1"/>
  <c r="F1164" i="1"/>
  <c r="L1164" i="1" s="1"/>
  <c r="F1163" i="1"/>
  <c r="L1163" i="1" s="1"/>
  <c r="F1162" i="1"/>
  <c r="L1162" i="1" s="1"/>
  <c r="F1161" i="1"/>
  <c r="L1161" i="1" s="1"/>
  <c r="F1160" i="1"/>
  <c r="L1160" i="1" s="1"/>
  <c r="F1159" i="1"/>
  <c r="L1159" i="1" s="1"/>
  <c r="F1158" i="1"/>
  <c r="L1158" i="1" s="1"/>
  <c r="F1157" i="1"/>
  <c r="L1157" i="1" s="1"/>
  <c r="F1156" i="1"/>
  <c r="L1156" i="1" s="1"/>
  <c r="F1155" i="1"/>
  <c r="L1155" i="1" s="1"/>
  <c r="F1154" i="1"/>
  <c r="L1154" i="1" s="1"/>
  <c r="F1153" i="1"/>
  <c r="L1153" i="1" s="1"/>
  <c r="F1152" i="1"/>
  <c r="L1152" i="1" s="1"/>
  <c r="F1151" i="1"/>
  <c r="L1151" i="1" s="1"/>
  <c r="F1150" i="1"/>
  <c r="L1150" i="1" s="1"/>
  <c r="F1149" i="1"/>
  <c r="L1149" i="1" s="1"/>
  <c r="F1148" i="1"/>
  <c r="L1148" i="1" s="1"/>
  <c r="F1147" i="1"/>
  <c r="L1147" i="1" s="1"/>
  <c r="F1146" i="1"/>
  <c r="L1146" i="1" s="1"/>
  <c r="F1145" i="1"/>
  <c r="L1145" i="1" s="1"/>
  <c r="F1144" i="1"/>
  <c r="L1144" i="1" s="1"/>
  <c r="F1143" i="1"/>
  <c r="L1143" i="1" s="1"/>
  <c r="F1142" i="1"/>
  <c r="L1142" i="1" s="1"/>
  <c r="F1141" i="1"/>
  <c r="L1141" i="1" s="1"/>
  <c r="F1140" i="1"/>
  <c r="L1140" i="1" s="1"/>
  <c r="F1139" i="1"/>
  <c r="L1139" i="1" s="1"/>
  <c r="F1138" i="1"/>
  <c r="L1138" i="1" s="1"/>
  <c r="F1137" i="1"/>
  <c r="L1137" i="1" s="1"/>
  <c r="F1136" i="1"/>
  <c r="L1136" i="1" s="1"/>
  <c r="F1135" i="1"/>
  <c r="L1135" i="1" s="1"/>
  <c r="F1134" i="1"/>
  <c r="L1134" i="1" s="1"/>
  <c r="F1133" i="1"/>
  <c r="L1133" i="1" s="1"/>
  <c r="F1132" i="1"/>
  <c r="L1132" i="1" s="1"/>
  <c r="F1131" i="1"/>
  <c r="L1131" i="1" s="1"/>
  <c r="F1130" i="1"/>
  <c r="L1130" i="1" s="1"/>
  <c r="F1129" i="1"/>
  <c r="L1129" i="1" s="1"/>
  <c r="F1128" i="1"/>
  <c r="L1128" i="1" s="1"/>
  <c r="F1127" i="1"/>
  <c r="L1127" i="1" s="1"/>
  <c r="F1126" i="1"/>
  <c r="L1126" i="1" s="1"/>
  <c r="F1125" i="1"/>
  <c r="L1125" i="1" s="1"/>
  <c r="F1124" i="1"/>
  <c r="L1124" i="1" s="1"/>
  <c r="F1123" i="1"/>
  <c r="L1123" i="1" s="1"/>
  <c r="F1122" i="1"/>
  <c r="L1122" i="1" s="1"/>
  <c r="F1121" i="1"/>
  <c r="L1121" i="1" s="1"/>
  <c r="F1120" i="1"/>
  <c r="L1120" i="1" s="1"/>
  <c r="F1119" i="1"/>
  <c r="L1119" i="1" s="1"/>
  <c r="F1118" i="1"/>
  <c r="L1118" i="1" s="1"/>
  <c r="F1117" i="1"/>
  <c r="L1117" i="1" s="1"/>
  <c r="F1116" i="1"/>
  <c r="L1116" i="1" s="1"/>
  <c r="F1115" i="1"/>
  <c r="L1115" i="1" s="1"/>
  <c r="F1114" i="1"/>
  <c r="L1114" i="1" s="1"/>
  <c r="F1113" i="1"/>
  <c r="L1113" i="1" s="1"/>
  <c r="F1112" i="1"/>
  <c r="L1112" i="1" s="1"/>
  <c r="F1111" i="1"/>
  <c r="L1111" i="1" s="1"/>
  <c r="F1110" i="1"/>
  <c r="L1110" i="1" s="1"/>
  <c r="F1109" i="1"/>
  <c r="L1109" i="1" s="1"/>
  <c r="F1108" i="1"/>
  <c r="L1108" i="1" s="1"/>
  <c r="F1107" i="1"/>
  <c r="L1107" i="1" s="1"/>
  <c r="F1106" i="1"/>
  <c r="L1106" i="1" s="1"/>
  <c r="F1105" i="1"/>
  <c r="L1105" i="1" s="1"/>
  <c r="F1104" i="1"/>
  <c r="L1104" i="1" s="1"/>
  <c r="F1103" i="1"/>
  <c r="L1103" i="1" s="1"/>
  <c r="F1102" i="1"/>
  <c r="L1102" i="1" s="1"/>
  <c r="F1101" i="1"/>
  <c r="L1101" i="1" s="1"/>
  <c r="F1100" i="1"/>
  <c r="L1100" i="1" s="1"/>
  <c r="F1099" i="1"/>
  <c r="L1099" i="1" s="1"/>
  <c r="F1098" i="1"/>
  <c r="L1098" i="1" s="1"/>
  <c r="F1097" i="1"/>
  <c r="L1097" i="1" s="1"/>
  <c r="F1096" i="1"/>
  <c r="L1096" i="1" s="1"/>
  <c r="F1095" i="1"/>
  <c r="L1095" i="1" s="1"/>
  <c r="F1094" i="1"/>
  <c r="L1094" i="1" s="1"/>
  <c r="F1093" i="1"/>
  <c r="L1093" i="1" s="1"/>
  <c r="F1092" i="1"/>
  <c r="L1092" i="1" s="1"/>
  <c r="F1091" i="1"/>
  <c r="L1091" i="1" s="1"/>
  <c r="F1090" i="1"/>
  <c r="L1090" i="1" s="1"/>
  <c r="F1089" i="1"/>
  <c r="L1089" i="1" s="1"/>
  <c r="F1088" i="1"/>
  <c r="L1088" i="1" s="1"/>
  <c r="F1087" i="1"/>
  <c r="L1087" i="1" s="1"/>
  <c r="F1086" i="1"/>
  <c r="L1086" i="1" s="1"/>
  <c r="F1085" i="1"/>
  <c r="L1085" i="1" s="1"/>
  <c r="F1084" i="1"/>
  <c r="L1084" i="1" s="1"/>
  <c r="F1083" i="1"/>
  <c r="L1083" i="1" s="1"/>
  <c r="F1082" i="1"/>
  <c r="L1082" i="1" s="1"/>
  <c r="F1081" i="1"/>
  <c r="L1081" i="1" s="1"/>
  <c r="F1080" i="1"/>
  <c r="L1080" i="1" s="1"/>
  <c r="F1079" i="1"/>
  <c r="L1079" i="1" s="1"/>
  <c r="F1078" i="1"/>
  <c r="L1078" i="1" s="1"/>
  <c r="F1077" i="1"/>
  <c r="L1077" i="1" s="1"/>
  <c r="F1076" i="1"/>
  <c r="L1076" i="1" s="1"/>
  <c r="F1075" i="1"/>
  <c r="L1075" i="1" s="1"/>
  <c r="F1074" i="1"/>
  <c r="L1074" i="1" s="1"/>
  <c r="F1073" i="1"/>
  <c r="L1073" i="1" s="1"/>
  <c r="F1072" i="1"/>
  <c r="L1072" i="1" s="1"/>
  <c r="F1071" i="1"/>
  <c r="L1071" i="1" s="1"/>
  <c r="F1070" i="1"/>
  <c r="L1070" i="1" s="1"/>
  <c r="F1069" i="1"/>
  <c r="L1069" i="1" s="1"/>
  <c r="F1068" i="1"/>
  <c r="L1068" i="1" s="1"/>
  <c r="F1067" i="1"/>
  <c r="L1067" i="1" s="1"/>
  <c r="F1066" i="1"/>
  <c r="L1066" i="1" s="1"/>
  <c r="F1065" i="1"/>
  <c r="L1065" i="1" s="1"/>
  <c r="F1064" i="1"/>
  <c r="L1064" i="1" s="1"/>
  <c r="F1063" i="1"/>
  <c r="L1063" i="1" s="1"/>
  <c r="F1062" i="1"/>
  <c r="L1062" i="1" s="1"/>
  <c r="F1061" i="1"/>
  <c r="L1061" i="1" s="1"/>
  <c r="F1060" i="1"/>
  <c r="L1060" i="1" s="1"/>
  <c r="F1059" i="1"/>
  <c r="L1059" i="1" s="1"/>
  <c r="F1058" i="1"/>
  <c r="L1058" i="1" s="1"/>
  <c r="F1057" i="1"/>
  <c r="L1057" i="1" s="1"/>
  <c r="F1056" i="1"/>
  <c r="L1056" i="1" s="1"/>
  <c r="F1055" i="1"/>
  <c r="L1055" i="1" s="1"/>
  <c r="F1054" i="1"/>
  <c r="L1054" i="1" s="1"/>
  <c r="F1053" i="1"/>
  <c r="L1053" i="1" s="1"/>
  <c r="F1052" i="1"/>
  <c r="L1052" i="1" s="1"/>
  <c r="F1051" i="1"/>
  <c r="L1051" i="1" s="1"/>
  <c r="F1050" i="1"/>
  <c r="L1050" i="1" s="1"/>
  <c r="F1049" i="1"/>
  <c r="L1049" i="1" s="1"/>
  <c r="F1048" i="1"/>
  <c r="L1048" i="1" s="1"/>
  <c r="F1047" i="1"/>
  <c r="L1047" i="1" s="1"/>
  <c r="F1046" i="1"/>
  <c r="L1046" i="1" s="1"/>
  <c r="F1045" i="1"/>
  <c r="L1045" i="1" s="1"/>
  <c r="F1044" i="1"/>
  <c r="L1044" i="1" s="1"/>
  <c r="F1043" i="1"/>
  <c r="L1043" i="1" s="1"/>
  <c r="F1042" i="1"/>
  <c r="L1042" i="1" s="1"/>
  <c r="F1041" i="1"/>
  <c r="L1041" i="1" s="1"/>
  <c r="F1040" i="1"/>
  <c r="L1040" i="1" s="1"/>
  <c r="F1039" i="1"/>
  <c r="L1039" i="1" s="1"/>
  <c r="F1038" i="1"/>
  <c r="L1038" i="1" s="1"/>
  <c r="F1037" i="1"/>
  <c r="L1037" i="1" s="1"/>
  <c r="F1036" i="1"/>
  <c r="L1036" i="1" s="1"/>
  <c r="F1035" i="1"/>
  <c r="L1035" i="1" s="1"/>
  <c r="F1034" i="1"/>
  <c r="L1034" i="1" s="1"/>
  <c r="F1033" i="1"/>
  <c r="L1033" i="1" s="1"/>
  <c r="F1032" i="1"/>
  <c r="L1032" i="1" s="1"/>
  <c r="F1031" i="1"/>
  <c r="L1031" i="1" s="1"/>
  <c r="F1030" i="1"/>
  <c r="L1030" i="1" s="1"/>
  <c r="F1029" i="1"/>
  <c r="L1029" i="1" s="1"/>
  <c r="F1028" i="1"/>
  <c r="L1028" i="1" s="1"/>
  <c r="F1027" i="1"/>
  <c r="L1027" i="1" s="1"/>
  <c r="F1026" i="1"/>
  <c r="L1026" i="1" s="1"/>
  <c r="F1025" i="1"/>
  <c r="L1025" i="1" s="1"/>
  <c r="F1024" i="1"/>
  <c r="L1024" i="1" s="1"/>
  <c r="F1023" i="1"/>
  <c r="L1023" i="1" s="1"/>
  <c r="F1022" i="1"/>
  <c r="L1022" i="1" s="1"/>
  <c r="F1021" i="1"/>
  <c r="L1021" i="1" s="1"/>
  <c r="F1020" i="1"/>
  <c r="L1020" i="1" s="1"/>
  <c r="F1019" i="1"/>
  <c r="L1019" i="1" s="1"/>
  <c r="F1018" i="1"/>
  <c r="L1018" i="1" s="1"/>
  <c r="F1017" i="1"/>
  <c r="L1017" i="1" s="1"/>
  <c r="F1016" i="1"/>
  <c r="L1016" i="1" s="1"/>
  <c r="F1015" i="1"/>
  <c r="L1015" i="1" s="1"/>
  <c r="F1014" i="1"/>
  <c r="L1014" i="1" s="1"/>
  <c r="F1013" i="1"/>
  <c r="L1013" i="1" s="1"/>
  <c r="F1012" i="1"/>
  <c r="L1012" i="1" s="1"/>
  <c r="F1011" i="1"/>
  <c r="L1011" i="1" s="1"/>
  <c r="F1010" i="1"/>
  <c r="L1010" i="1" s="1"/>
  <c r="F1009" i="1"/>
  <c r="L1009" i="1" s="1"/>
  <c r="F1008" i="1"/>
  <c r="L1008" i="1" s="1"/>
  <c r="F1007" i="1"/>
  <c r="L1007" i="1" s="1"/>
  <c r="F1006" i="1"/>
  <c r="L1006" i="1" s="1"/>
  <c r="F1005" i="1"/>
  <c r="L1005" i="1" s="1"/>
  <c r="F1004" i="1"/>
  <c r="L1004" i="1" s="1"/>
  <c r="F1003" i="1"/>
  <c r="L1003" i="1" s="1"/>
  <c r="F1002" i="1"/>
  <c r="L1002" i="1" s="1"/>
  <c r="F1001" i="1"/>
  <c r="L1001" i="1" s="1"/>
  <c r="F1000" i="1"/>
  <c r="L1000" i="1" s="1"/>
  <c r="F999" i="1"/>
  <c r="L999" i="1" s="1"/>
  <c r="F998" i="1"/>
  <c r="L998" i="1" s="1"/>
  <c r="F997" i="1"/>
  <c r="L997" i="1" s="1"/>
  <c r="F996" i="1"/>
  <c r="L996" i="1" s="1"/>
  <c r="F995" i="1"/>
  <c r="L995" i="1" s="1"/>
  <c r="F994" i="1"/>
  <c r="L994" i="1" s="1"/>
  <c r="F993" i="1"/>
  <c r="L993" i="1" s="1"/>
  <c r="F992" i="1"/>
  <c r="L992" i="1" s="1"/>
  <c r="F991" i="1"/>
  <c r="L991" i="1" s="1"/>
  <c r="F990" i="1"/>
  <c r="L990" i="1" s="1"/>
  <c r="F989" i="1"/>
  <c r="L989" i="1" s="1"/>
  <c r="F988" i="1"/>
  <c r="L988" i="1" s="1"/>
  <c r="F987" i="1"/>
  <c r="L987" i="1" s="1"/>
  <c r="F986" i="1"/>
  <c r="L986" i="1" s="1"/>
  <c r="F985" i="1"/>
  <c r="L985" i="1" s="1"/>
  <c r="F984" i="1"/>
  <c r="L984" i="1" s="1"/>
  <c r="F983" i="1"/>
  <c r="L983" i="1" s="1"/>
  <c r="F982" i="1"/>
  <c r="L982" i="1" s="1"/>
  <c r="F981" i="1"/>
  <c r="L981" i="1" s="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H1255" i="1"/>
  <c r="B321" i="15" s="1"/>
  <c r="H1254" i="1"/>
  <c r="B317" i="15" s="1"/>
  <c r="H1243" i="1"/>
  <c r="B284" i="15" s="1"/>
  <c r="B281" i="15"/>
  <c r="B280" i="15"/>
  <c r="H1241" i="1"/>
  <c r="B257" i="15" s="1"/>
  <c r="H1240" i="1"/>
  <c r="B206" i="15" s="1"/>
  <c r="H1237" i="1"/>
  <c r="B199" i="15" s="1"/>
  <c r="H1233" i="1"/>
  <c r="B171" i="15" s="1"/>
  <c r="B132" i="15"/>
  <c r="H1230" i="1"/>
  <c r="B127" i="15" s="1"/>
  <c r="H1228" i="1"/>
  <c r="B117" i="15" s="1"/>
  <c r="H1227" i="1"/>
  <c r="B116" i="15" s="1"/>
  <c r="H1224" i="1"/>
  <c r="B113" i="15" s="1"/>
  <c r="H1219" i="1"/>
  <c r="B108" i="15" s="1"/>
  <c r="H1217" i="1"/>
  <c r="B106" i="15" s="1"/>
  <c r="H1213" i="1"/>
  <c r="B98" i="15" s="1"/>
  <c r="H1212" i="1"/>
  <c r="B95" i="15" s="1"/>
  <c r="H1211" i="1"/>
  <c r="B85" i="15" s="1"/>
  <c r="H1210" i="1"/>
  <c r="B84" i="15" s="1"/>
  <c r="H1209" i="1"/>
  <c r="B82" i="15" s="1"/>
  <c r="AW2" i="3"/>
  <c r="AW3" i="3"/>
  <c r="H1256" i="1" s="1"/>
  <c r="B323" i="15" s="1"/>
  <c r="AW4" i="3"/>
  <c r="H1257" i="1" s="1"/>
  <c r="B324" i="15" s="1"/>
  <c r="AW5" i="3"/>
  <c r="H1222" i="1" s="1"/>
  <c r="B111" i="15" s="1"/>
  <c r="AW6" i="3"/>
  <c r="AW7" i="3"/>
  <c r="AW8" i="3"/>
  <c r="AW9" i="3"/>
  <c r="AW10" i="3"/>
  <c r="H1258" i="1" s="1"/>
  <c r="B328" i="15" s="1"/>
  <c r="AW11" i="3"/>
  <c r="H1223" i="1" s="1"/>
  <c r="B112" i="15" s="1"/>
  <c r="AW12" i="3"/>
  <c r="H1259" i="1" s="1"/>
  <c r="B329" i="15" s="1"/>
  <c r="AW13" i="3"/>
  <c r="H1260" i="1" s="1"/>
  <c r="B330" i="15" s="1"/>
  <c r="AW14" i="3"/>
  <c r="H1261" i="1" s="1"/>
  <c r="B331" i="15" s="1"/>
  <c r="AW15" i="3"/>
  <c r="AW16" i="3"/>
  <c r="H1262" i="1" s="1"/>
  <c r="B333" i="15" s="1"/>
  <c r="AW17" i="3"/>
  <c r="H1263" i="1" s="1"/>
  <c r="B334" i="15" s="1"/>
  <c r="AW18" i="3"/>
  <c r="AW19" i="3"/>
  <c r="H1264" i="1" s="1"/>
  <c r="B336" i="15" s="1"/>
  <c r="AW20" i="3"/>
  <c r="H1265" i="1" s="1"/>
  <c r="B337" i="15" s="1"/>
  <c r="AW21" i="3"/>
  <c r="H1266" i="1" s="1"/>
  <c r="B338" i="15" s="1"/>
  <c r="AW22" i="3"/>
  <c r="H1267" i="1" s="1"/>
  <c r="B339" i="15" s="1"/>
  <c r="AW23" i="3"/>
  <c r="H1268" i="1" s="1"/>
  <c r="B340" i="15" s="1"/>
  <c r="AW24" i="3"/>
  <c r="AW25" i="3"/>
  <c r="AW26" i="3"/>
  <c r="H1269" i="1" s="1"/>
  <c r="B342" i="15" s="1"/>
  <c r="AW27" i="3"/>
  <c r="H1270" i="1" s="1"/>
  <c r="B343" i="15" s="1"/>
  <c r="AW28" i="3"/>
  <c r="AW29" i="3"/>
  <c r="AW30" i="3"/>
  <c r="AW31" i="3"/>
  <c r="AW32" i="3"/>
  <c r="AW33" i="3"/>
  <c r="AW34" i="3"/>
  <c r="AW35" i="3"/>
  <c r="AW36" i="3"/>
  <c r="AW37" i="3"/>
  <c r="H1221" i="1" s="1"/>
  <c r="B110" i="15" s="1"/>
  <c r="AW38" i="3"/>
  <c r="H1271" i="1" s="1"/>
  <c r="B350" i="15" s="1"/>
  <c r="AW39" i="3"/>
  <c r="H1272" i="1" s="1"/>
  <c r="B351" i="15" s="1"/>
  <c r="AW40" i="3"/>
  <c r="H1273" i="1" s="1"/>
  <c r="B352" i="15" s="1"/>
  <c r="AW41" i="3"/>
  <c r="H1274" i="1" s="1"/>
  <c r="B353" i="15" s="1"/>
  <c r="AW42" i="3"/>
  <c r="H1275" i="1" s="1"/>
  <c r="B354" i="15" s="1"/>
  <c r="AW43" i="3"/>
  <c r="H1276" i="1" s="1"/>
  <c r="B355" i="15" s="1"/>
  <c r="AW44" i="3"/>
  <c r="H1277" i="1" s="1"/>
  <c r="B356" i="15" s="1"/>
  <c r="AW45" i="3"/>
  <c r="AW46" i="3"/>
  <c r="H1232" i="1" s="1"/>
  <c r="B136" i="15" s="1"/>
  <c r="AW47" i="3"/>
  <c r="AW48" i="3"/>
  <c r="AW49" i="3"/>
  <c r="AW50" i="3"/>
  <c r="AW51" i="3"/>
  <c r="H1278" i="1" s="1"/>
  <c r="B360" i="15" s="1"/>
  <c r="AW52" i="3"/>
  <c r="AW53" i="3"/>
  <c r="H1279" i="1" s="1"/>
  <c r="B362" i="15" s="1"/>
  <c r="AW54" i="3"/>
  <c r="H1280" i="1" s="1"/>
  <c r="B363" i="15" s="1"/>
  <c r="AW55" i="3"/>
  <c r="H1281" i="1" s="1"/>
  <c r="B364" i="15" s="1"/>
  <c r="AW56" i="3"/>
  <c r="H1282" i="1" s="1"/>
  <c r="B365" i="15" s="1"/>
  <c r="AW57" i="3"/>
  <c r="H1283" i="1" s="1"/>
  <c r="B366" i="15" s="1"/>
  <c r="AW58" i="3"/>
  <c r="H1284" i="1" s="1"/>
  <c r="B367" i="15" s="1"/>
  <c r="AW59" i="3"/>
  <c r="AW60" i="3"/>
  <c r="AW61" i="3"/>
  <c r="AW62" i="3"/>
  <c r="H1285" i="1" s="1"/>
  <c r="B371" i="15" s="1"/>
  <c r="AW63" i="3"/>
  <c r="AW64" i="3"/>
  <c r="H1286" i="1" s="1"/>
  <c r="B372" i="15" s="1"/>
  <c r="AW65" i="3"/>
  <c r="H1287" i="1" s="1"/>
  <c r="B373" i="15" s="1"/>
  <c r="AW66" i="3"/>
  <c r="H1288" i="1" s="1"/>
  <c r="B374" i="15" s="1"/>
  <c r="AW67" i="3"/>
  <c r="AW68" i="3"/>
  <c r="AW69" i="3"/>
  <c r="H1289" i="1" s="1"/>
  <c r="B377" i="15" s="1"/>
  <c r="AW70" i="3"/>
  <c r="H1290" i="1" s="1"/>
  <c r="B378" i="15" s="1"/>
  <c r="AW71" i="3"/>
  <c r="H1291" i="1" s="1"/>
  <c r="B379" i="15" s="1"/>
  <c r="AW72" i="3"/>
  <c r="H1292" i="1" s="1"/>
  <c r="B380" i="15" s="1"/>
  <c r="AW73" i="3"/>
  <c r="AW74" i="3"/>
  <c r="AW75" i="3"/>
  <c r="AW76" i="3"/>
  <c r="H1293" i="1" s="1"/>
  <c r="B382" i="15" s="1"/>
  <c r="AW77" i="3"/>
  <c r="H1239" i="1" s="1"/>
  <c r="B205" i="15" s="1"/>
  <c r="AW78" i="3"/>
  <c r="H1294" i="1" s="1"/>
  <c r="B383" i="15" s="1"/>
  <c r="AW79" i="3"/>
  <c r="H1295" i="1" s="1"/>
  <c r="B384" i="15" s="1"/>
  <c r="AW80" i="3"/>
  <c r="AW81" i="3"/>
  <c r="H1296" i="1" s="1"/>
  <c r="B386" i="15" s="1"/>
  <c r="AW82" i="3"/>
  <c r="H1297" i="1" s="1"/>
  <c r="B387" i="15" s="1"/>
  <c r="AW83" i="3"/>
  <c r="AW84" i="3"/>
  <c r="AW85" i="3"/>
  <c r="H1298" i="1" s="1"/>
  <c r="B390" i="15" s="1"/>
  <c r="AW86" i="3"/>
  <c r="H1299" i="1" s="1"/>
  <c r="B391" i="15" s="1"/>
  <c r="AW87" i="3"/>
  <c r="AW88" i="3"/>
  <c r="H1300" i="1" s="1"/>
  <c r="B393" i="15" s="1"/>
  <c r="AW89" i="3"/>
  <c r="AW90" i="3"/>
  <c r="AW91" i="3"/>
  <c r="AW92" i="3"/>
  <c r="H1249" i="1" s="1"/>
  <c r="B302" i="15" s="1"/>
  <c r="AW93" i="3"/>
  <c r="AW94" i="3"/>
  <c r="AW95" i="3"/>
  <c r="H1301" i="1" s="1"/>
  <c r="B396" i="15" s="1"/>
  <c r="AW96" i="3"/>
  <c r="AW97" i="3"/>
  <c r="AW98" i="3"/>
  <c r="H1214" i="1" s="1"/>
  <c r="B102" i="15" s="1"/>
  <c r="AW99" i="3"/>
  <c r="H1302" i="1" s="1"/>
  <c r="B399" i="15" s="1"/>
  <c r="AW100" i="3"/>
  <c r="H1303" i="1" s="1"/>
  <c r="B400" i="15" s="1"/>
  <c r="AW101" i="3"/>
  <c r="AW102" i="3"/>
  <c r="H1236" i="1" s="1"/>
  <c r="B198" i="15" s="1"/>
  <c r="AW103" i="3"/>
  <c r="AW104" i="3"/>
  <c r="AW105" i="3"/>
  <c r="AW106" i="3"/>
  <c r="AW107" i="3"/>
  <c r="AW108" i="3"/>
  <c r="H1304" i="1" s="1"/>
  <c r="B407" i="15" s="1"/>
  <c r="AW109" i="3"/>
  <c r="H1305" i="1" s="1"/>
  <c r="B408" i="15" s="1"/>
  <c r="AW110" i="3"/>
  <c r="AW111" i="3"/>
  <c r="AW112" i="3"/>
  <c r="AW113" i="3"/>
  <c r="AW114" i="3"/>
  <c r="H1306" i="1" s="1"/>
  <c r="B410" i="15" s="1"/>
  <c r="AW115" i="3"/>
  <c r="H1307" i="1" s="1"/>
  <c r="B411" i="15" s="1"/>
  <c r="AW116" i="3"/>
  <c r="H1308" i="1" s="1"/>
  <c r="B412" i="15" s="1"/>
  <c r="AW117" i="3"/>
  <c r="H1309" i="1" s="1"/>
  <c r="B413" i="15" s="1"/>
  <c r="AW118" i="3"/>
  <c r="H1310" i="1" s="1"/>
  <c r="B414" i="15" s="1"/>
  <c r="AW119" i="3"/>
  <c r="H1311" i="1" s="1"/>
  <c r="B415" i="15" s="1"/>
  <c r="AW120" i="3"/>
  <c r="H1312" i="1" s="1"/>
  <c r="B416" i="15" s="1"/>
  <c r="AW121" i="3"/>
  <c r="AW122" i="3"/>
  <c r="AW123" i="3"/>
  <c r="AW124" i="3"/>
  <c r="H1313" i="1" s="1"/>
  <c r="B420" i="15" s="1"/>
  <c r="AW125" i="3"/>
  <c r="H1314" i="1" s="1"/>
  <c r="B421" i="15" s="1"/>
  <c r="AW126" i="3"/>
  <c r="AW127" i="3"/>
  <c r="AW128" i="3"/>
  <c r="AW129" i="3"/>
  <c r="H1315" i="1" s="1"/>
  <c r="B425" i="15" s="1"/>
  <c r="AW130" i="3"/>
  <c r="H1316" i="1" s="1"/>
  <c r="B426" i="15" s="1"/>
  <c r="AW131" i="3"/>
  <c r="AW132" i="3"/>
  <c r="AW133" i="3"/>
  <c r="H1317" i="1" s="1"/>
  <c r="B429" i="15" s="1"/>
  <c r="AW134" i="3"/>
  <c r="AW135" i="3"/>
  <c r="AW136" i="3"/>
  <c r="H1318" i="1" s="1"/>
  <c r="B432" i="15" s="1"/>
  <c r="AW137" i="3"/>
  <c r="H1248" i="1" s="1"/>
  <c r="B299" i="15" s="1"/>
  <c r="AW138" i="3"/>
  <c r="AW139" i="3"/>
  <c r="AW140" i="3"/>
  <c r="H1319" i="1" s="1"/>
  <c r="B434" i="15" s="1"/>
  <c r="AW141" i="3"/>
  <c r="H1320" i="1" s="1"/>
  <c r="B435" i="15" s="1"/>
  <c r="AW142" i="3"/>
  <c r="H1321" i="1" s="1"/>
  <c r="B436" i="15" s="1"/>
  <c r="AW143" i="3"/>
  <c r="AW144" i="3"/>
  <c r="H1235" i="1" s="1"/>
  <c r="B197" i="15" s="1"/>
  <c r="AW145" i="3"/>
  <c r="H1322" i="1" s="1"/>
  <c r="B437" i="15" s="1"/>
  <c r="AW146" i="3"/>
  <c r="H1220" i="1" s="1"/>
  <c r="B109" i="15" s="1"/>
  <c r="AW147" i="3"/>
  <c r="AW148" i="3"/>
  <c r="AW149" i="3"/>
  <c r="AW150" i="3"/>
  <c r="H1323" i="1" s="1"/>
  <c r="B441" i="15" s="1"/>
  <c r="AW151" i="3"/>
  <c r="AW152" i="3"/>
  <c r="H1324" i="1" s="1"/>
  <c r="B443" i="15" s="1"/>
  <c r="AW153" i="3"/>
  <c r="AW154" i="3"/>
  <c r="AW155" i="3"/>
  <c r="H1325" i="1" s="1"/>
  <c r="B446" i="15" s="1"/>
  <c r="AW156" i="3"/>
  <c r="AW157" i="3"/>
  <c r="AW158" i="3"/>
  <c r="H1251" i="1" s="1"/>
  <c r="B313" i="15" s="1"/>
  <c r="AW159" i="3"/>
  <c r="H1326" i="1" s="1"/>
  <c r="B449" i="15" s="1"/>
  <c r="AW160" i="3"/>
  <c r="AW161" i="3"/>
  <c r="AW162" i="3"/>
  <c r="H1327" i="1" s="1"/>
  <c r="B452" i="15" s="1"/>
  <c r="AW163" i="3"/>
  <c r="AW164" i="3"/>
  <c r="AW165" i="3"/>
  <c r="AW166" i="3"/>
  <c r="H1328" i="1" s="1"/>
  <c r="B455" i="15" s="1"/>
  <c r="AW167" i="3"/>
  <c r="H1329" i="1" s="1"/>
  <c r="B456" i="15" s="1"/>
  <c r="AW168" i="3"/>
  <c r="H1330" i="1" s="1"/>
  <c r="B457" i="15" s="1"/>
  <c r="AW169" i="3"/>
  <c r="H1331" i="1" s="1"/>
  <c r="B458" i="15" s="1"/>
  <c r="AW170" i="3"/>
  <c r="H1332" i="1" s="1"/>
  <c r="B459" i="15" s="1"/>
  <c r="AW171" i="3"/>
  <c r="H1333" i="1" s="1"/>
  <c r="B460" i="15" s="1"/>
  <c r="AW172" i="3"/>
  <c r="H1250" i="1" s="1"/>
  <c r="B307" i="15" s="1"/>
  <c r="AW173" i="3"/>
  <c r="H1334" i="1" s="1"/>
  <c r="B461" i="15" s="1"/>
  <c r="AW174" i="3"/>
  <c r="AW175" i="3"/>
  <c r="AW176" i="3"/>
  <c r="H1335" i="1" s="1"/>
  <c r="B463" i="15" s="1"/>
  <c r="AW177" i="3"/>
  <c r="H1336" i="1" s="1"/>
  <c r="B464" i="15" s="1"/>
  <c r="AW178" i="3"/>
  <c r="AW179" i="3"/>
  <c r="H1337" i="1" s="1"/>
  <c r="B466" i="15" s="1"/>
  <c r="AW180" i="3"/>
  <c r="H1338" i="1" s="1"/>
  <c r="B467" i="15" s="1"/>
  <c r="AW181" i="3"/>
  <c r="H1252" i="1" s="1"/>
  <c r="B315" i="15" s="1"/>
  <c r="AW182" i="3"/>
  <c r="AW183" i="3"/>
  <c r="H1339" i="1" s="1"/>
  <c r="B469" i="15" s="1"/>
  <c r="AW184" i="3"/>
  <c r="H1340" i="1" s="1"/>
  <c r="B470" i="15" s="1"/>
  <c r="AW185" i="3"/>
  <c r="AW186" i="3"/>
  <c r="AW187" i="3"/>
  <c r="AW188" i="3"/>
  <c r="H1341" i="1" s="1"/>
  <c r="B474" i="15" s="1"/>
  <c r="AW189" i="3"/>
  <c r="AW190" i="3"/>
  <c r="H1342" i="1" s="1"/>
  <c r="B475" i="15" s="1"/>
  <c r="AW191" i="3"/>
  <c r="H1343" i="1" s="1"/>
  <c r="B476" i="15" s="1"/>
  <c r="AW192" i="3"/>
  <c r="AW193" i="3"/>
  <c r="AW194" i="3"/>
  <c r="AW195" i="3"/>
  <c r="AW196" i="3"/>
  <c r="AW197" i="3"/>
  <c r="AW198" i="3"/>
  <c r="AW199" i="3"/>
  <c r="AW200" i="3"/>
  <c r="AW201" i="3"/>
  <c r="H1344" i="1" s="1"/>
  <c r="B485" i="15" s="1"/>
  <c r="AW202" i="3"/>
  <c r="AW203" i="3"/>
  <c r="AW204" i="3"/>
  <c r="AW205" i="3"/>
  <c r="AW206" i="3"/>
  <c r="AW207" i="3"/>
  <c r="AW208" i="3"/>
  <c r="H1238" i="1" s="1"/>
  <c r="B200" i="15" s="1"/>
  <c r="AW209" i="3"/>
  <c r="AW210" i="3"/>
  <c r="H1345" i="1" s="1"/>
  <c r="B491" i="15" s="1"/>
  <c r="AW211" i="3"/>
  <c r="AW212" i="3"/>
  <c r="AW213" i="3"/>
  <c r="AW214" i="3"/>
  <c r="AW215" i="3"/>
  <c r="AW216" i="3"/>
  <c r="AW217" i="3"/>
  <c r="H1346" i="1" s="1"/>
  <c r="B496" i="15" s="1"/>
  <c r="AW218" i="3"/>
  <c r="H1347" i="1" s="1"/>
  <c r="B497" i="15" s="1"/>
  <c r="AW219" i="3"/>
  <c r="AW220" i="3"/>
  <c r="AW221" i="3"/>
  <c r="AW222" i="3"/>
  <c r="H1348" i="1" s="1"/>
  <c r="B500" i="15" s="1"/>
  <c r="AW223" i="3"/>
  <c r="H1349" i="1" s="1"/>
  <c r="B501" i="15" s="1"/>
  <c r="AW224" i="3"/>
  <c r="AW225" i="3"/>
  <c r="AW226" i="3"/>
  <c r="AW227" i="3"/>
  <c r="AW228" i="3"/>
  <c r="H1350" i="1" s="1"/>
  <c r="B505" i="15" s="1"/>
  <c r="AW229" i="3"/>
  <c r="AW230" i="3"/>
  <c r="H1351" i="1" s="1"/>
  <c r="B507" i="15" s="1"/>
  <c r="AW231" i="3"/>
  <c r="AW232" i="3"/>
  <c r="H1352" i="1" s="1"/>
  <c r="B509" i="15" s="1"/>
  <c r="AW233" i="3"/>
  <c r="AW234" i="3"/>
  <c r="H1353" i="1" s="1"/>
  <c r="B511" i="15" s="1"/>
  <c r="AW235" i="3"/>
  <c r="AW236" i="3"/>
  <c r="AW237" i="3"/>
  <c r="AW238" i="3"/>
  <c r="AW239" i="3"/>
  <c r="AW240" i="3"/>
  <c r="AW241" i="3"/>
  <c r="AW242" i="3"/>
  <c r="H1354" i="1" s="1"/>
  <c r="B517" i="15" s="1"/>
  <c r="AW243" i="3"/>
  <c r="AW244" i="3"/>
  <c r="AW245" i="3"/>
  <c r="H1215" i="1" s="1"/>
  <c r="B104" i="15" s="1"/>
  <c r="AW246" i="3"/>
  <c r="AW247" i="3"/>
  <c r="H1355" i="1" s="1"/>
  <c r="B520" i="15" s="1"/>
  <c r="AW248" i="3"/>
  <c r="AW249" i="3"/>
  <c r="H1356" i="1" s="1"/>
  <c r="B522" i="15" s="1"/>
  <c r="AW250" i="3"/>
  <c r="AW251" i="3"/>
  <c r="H1357" i="1" s="1"/>
  <c r="B524" i="15" s="1"/>
  <c r="AW252" i="3"/>
  <c r="H1358" i="1" s="1"/>
  <c r="B525" i="15" s="1"/>
  <c r="AW253" i="3"/>
  <c r="AW254" i="3"/>
  <c r="H1359" i="1" s="1"/>
  <c r="B527" i="15" s="1"/>
  <c r="AW255" i="3"/>
  <c r="H1360" i="1" s="1"/>
  <c r="B528" i="15" s="1"/>
  <c r="AW256" i="3"/>
  <c r="AW257" i="3"/>
  <c r="H1361" i="1" s="1"/>
  <c r="B530" i="15" s="1"/>
  <c r="AW258" i="3"/>
  <c r="AW259" i="3"/>
  <c r="AW260" i="3"/>
  <c r="AW261" i="3"/>
  <c r="AW262" i="3"/>
  <c r="H1362" i="1" s="1"/>
  <c r="B534" i="15" s="1"/>
  <c r="AW263" i="3"/>
  <c r="AW264" i="3"/>
  <c r="AW265" i="3"/>
  <c r="AW266" i="3"/>
  <c r="H1363" i="1" s="1"/>
  <c r="B538" i="15" s="1"/>
  <c r="AW267" i="3"/>
  <c r="H1364" i="1" s="1"/>
  <c r="B539" i="15" s="1"/>
  <c r="AW268" i="3"/>
  <c r="AW269" i="3"/>
  <c r="H1365" i="1" s="1"/>
  <c r="B541" i="15" s="1"/>
  <c r="AW270" i="3"/>
  <c r="H1244" i="1" s="1"/>
  <c r="B291" i="15" s="1"/>
  <c r="AW271" i="3"/>
  <c r="AW272" i="3"/>
  <c r="AW273" i="3"/>
  <c r="AW274" i="3"/>
  <c r="AW275" i="3"/>
  <c r="H1366" i="1" s="1"/>
  <c r="B545" i="15" s="1"/>
  <c r="AW276" i="3"/>
  <c r="AW277" i="3"/>
  <c r="H1367" i="1" s="1"/>
  <c r="B547" i="15" s="1"/>
  <c r="AW278" i="3"/>
  <c r="H1368" i="1" s="1"/>
  <c r="B548" i="15" s="1"/>
  <c r="AW279" i="3"/>
  <c r="AW280" i="3"/>
  <c r="AW281" i="3"/>
  <c r="H1369" i="1" s="1"/>
  <c r="B551" i="15" s="1"/>
  <c r="AW282" i="3"/>
  <c r="AW283" i="3"/>
  <c r="AW284" i="3"/>
  <c r="H1370" i="1" s="1"/>
  <c r="B553" i="15" s="1"/>
  <c r="AW285" i="3"/>
  <c r="AW286" i="3"/>
  <c r="AW287" i="3"/>
  <c r="AW288" i="3"/>
  <c r="AW289" i="3"/>
  <c r="AW290" i="3"/>
  <c r="AW291" i="3"/>
  <c r="AW292" i="3"/>
  <c r="AW293" i="3"/>
  <c r="AW294" i="3"/>
  <c r="H1371" i="1" s="1"/>
  <c r="B559" i="15" s="1"/>
  <c r="AW295" i="3"/>
  <c r="AW296" i="3"/>
  <c r="H1372" i="1" s="1"/>
  <c r="B561" i="15" s="1"/>
  <c r="AW297" i="3"/>
  <c r="AW298" i="3"/>
  <c r="H1246" i="1" s="1"/>
  <c r="B294" i="15" s="1"/>
  <c r="AW299" i="3"/>
  <c r="H1247" i="1" s="1"/>
  <c r="B295" i="15" s="1"/>
  <c r="AW300" i="3"/>
  <c r="H1373" i="1" s="1"/>
  <c r="AW301" i="3"/>
  <c r="AW302" i="3"/>
  <c r="AW303" i="3"/>
  <c r="AW304" i="3"/>
  <c r="AW305" i="3"/>
  <c r="H1374" i="1" s="1"/>
  <c r="B568" i="15" s="1"/>
  <c r="AW306" i="3"/>
  <c r="AW307" i="3"/>
  <c r="AW308" i="3"/>
  <c r="AW309" i="3"/>
  <c r="H1375" i="1" s="1"/>
  <c r="B571" i="15" s="1"/>
  <c r="AW310" i="3"/>
  <c r="AW311" i="3"/>
  <c r="AW312" i="3"/>
  <c r="AW313" i="3"/>
  <c r="H1376" i="1" s="1"/>
  <c r="B573" i="15" s="1"/>
  <c r="AW314" i="3"/>
  <c r="AW315" i="3"/>
  <c r="AW316" i="3"/>
  <c r="AW317" i="3"/>
  <c r="AW318" i="3"/>
  <c r="AW319" i="3"/>
  <c r="AW320" i="3"/>
  <c r="AW321" i="3"/>
  <c r="AW322" i="3"/>
  <c r="H1377" i="1" s="1"/>
  <c r="B581" i="15" s="1"/>
  <c r="AW323" i="3"/>
  <c r="AW324" i="3"/>
  <c r="AW325" i="3"/>
  <c r="AW326" i="3"/>
  <c r="H1378" i="1" s="1"/>
  <c r="B584" i="15" s="1"/>
  <c r="AW327" i="3"/>
  <c r="H1379" i="1" s="1"/>
  <c r="B585" i="15" s="1"/>
  <c r="AW328" i="3"/>
  <c r="AW329" i="3"/>
  <c r="H1380" i="1" s="1"/>
  <c r="B587" i="15" s="1"/>
  <c r="AW330" i="3"/>
  <c r="H1381" i="1" s="1"/>
  <c r="B588" i="15" s="1"/>
  <c r="AW331" i="3"/>
  <c r="AW332" i="3"/>
  <c r="H1382" i="1" s="1"/>
  <c r="B589" i="15" s="1"/>
  <c r="AW333" i="3"/>
  <c r="AW334" i="3"/>
  <c r="AW335" i="3"/>
  <c r="AW336" i="3"/>
  <c r="AW337" i="3"/>
  <c r="H1383" i="1" s="1"/>
  <c r="B594" i="15" s="1"/>
  <c r="AW338" i="3"/>
  <c r="H1384" i="1" s="1"/>
  <c r="B595" i="15" s="1"/>
  <c r="AW339" i="3"/>
  <c r="H1385" i="1" s="1"/>
  <c r="B596" i="15" s="1"/>
  <c r="AW340" i="3"/>
  <c r="H1386" i="1" s="1"/>
  <c r="B597" i="15" s="1"/>
  <c r="AW341" i="3"/>
  <c r="AW342" i="3"/>
  <c r="AW343" i="3"/>
  <c r="AW344" i="3"/>
  <c r="H1387" i="1" s="1"/>
  <c r="B601" i="15" s="1"/>
  <c r="AW345" i="3"/>
  <c r="H1216" i="1" s="1"/>
  <c r="B105" i="15" s="1"/>
  <c r="AW346" i="3"/>
  <c r="H1388" i="1" s="1"/>
  <c r="B602" i="15" s="1"/>
  <c r="AW347" i="3"/>
  <c r="H1225" i="1" s="1"/>
  <c r="B114" i="15" s="1"/>
  <c r="AW348" i="3"/>
  <c r="AW349" i="3"/>
  <c r="H1245" i="1" s="1"/>
  <c r="B292" i="15" s="1"/>
  <c r="AW350" i="3"/>
  <c r="H1389" i="1" s="1"/>
  <c r="B603" i="15" s="1"/>
  <c r="AW351" i="3"/>
  <c r="AW352" i="3"/>
  <c r="AW353" i="3"/>
  <c r="H1390" i="1" s="1"/>
  <c r="B604" i="15" s="1"/>
  <c r="AW354" i="3"/>
  <c r="H1231" i="1" s="1"/>
  <c r="B130" i="15" s="1"/>
  <c r="AW355" i="3"/>
  <c r="AW356" i="3"/>
  <c r="H1391" i="1" s="1"/>
  <c r="B606" i="15" s="1"/>
  <c r="AW357" i="3"/>
  <c r="H1392" i="1" s="1"/>
  <c r="B607" i="15" s="1"/>
  <c r="AW358" i="3"/>
  <c r="H1393" i="1" s="1"/>
  <c r="B608" i="15" s="1"/>
  <c r="AW359" i="3"/>
  <c r="H1394" i="1" s="1"/>
  <c r="B609" i="15" s="1"/>
  <c r="AW360" i="3"/>
  <c r="AW361" i="3"/>
  <c r="AW362" i="3"/>
  <c r="AW363" i="3"/>
  <c r="H1395" i="1" s="1"/>
  <c r="B613" i="15" s="1"/>
  <c r="AW364" i="3"/>
  <c r="AW365" i="3"/>
  <c r="AW366" i="3"/>
  <c r="H1396" i="1" s="1"/>
  <c r="B614" i="15" s="1"/>
  <c r="AW367" i="3"/>
  <c r="H1397" i="1" s="1"/>
  <c r="B615" i="15" s="1"/>
  <c r="AW368" i="3"/>
  <c r="H1398" i="1" s="1"/>
  <c r="B616" i="15" s="1"/>
  <c r="AW369" i="3"/>
  <c r="H1399" i="1" s="1"/>
  <c r="B617" i="15" s="1"/>
  <c r="AW370" i="3"/>
  <c r="H1400" i="1" s="1"/>
  <c r="B618" i="15" s="1"/>
  <c r="AW371" i="3"/>
  <c r="AW372" i="3"/>
  <c r="AW373" i="3"/>
  <c r="AW374" i="3"/>
  <c r="AW375" i="3"/>
  <c r="AW376" i="3"/>
  <c r="H1401" i="1" s="1"/>
  <c r="B623" i="15" s="1"/>
  <c r="AW377" i="3"/>
  <c r="AW378" i="3"/>
  <c r="AW379" i="3"/>
  <c r="AW380" i="3"/>
  <c r="H1402" i="1" s="1"/>
  <c r="B624" i="15" s="1"/>
  <c r="AW381" i="3"/>
  <c r="H1403" i="1" s="1"/>
  <c r="B625" i="15" s="1"/>
  <c r="AW382" i="3"/>
  <c r="H1404" i="1" s="1"/>
  <c r="B626" i="15" s="1"/>
  <c r="AW383" i="3"/>
  <c r="AW384" i="3"/>
  <c r="AW385" i="3"/>
  <c r="H1405" i="1" s="1"/>
  <c r="B628" i="15" s="1"/>
  <c r="AW386" i="3"/>
  <c r="AW387" i="3"/>
  <c r="H1218" i="1" s="1"/>
  <c r="B107" i="15" s="1"/>
  <c r="AW388" i="3"/>
  <c r="H1242" i="1" s="1"/>
  <c r="B263" i="15" s="1"/>
  <c r="AW389" i="3"/>
  <c r="H1226" i="1" s="1"/>
  <c r="B115" i="15" s="1"/>
  <c r="AW390" i="3"/>
  <c r="AW391" i="3"/>
  <c r="H1406" i="1" s="1"/>
  <c r="B630" i="15" s="1"/>
  <c r="AW392" i="3"/>
  <c r="AW393" i="3"/>
  <c r="AW394" i="3"/>
  <c r="AW395" i="3"/>
  <c r="H1229" i="1" s="1"/>
  <c r="B126" i="15" s="1"/>
  <c r="AW396" i="3"/>
  <c r="AW397" i="3"/>
  <c r="AW398" i="3"/>
  <c r="H1407" i="1" s="1"/>
  <c r="B636" i="15" s="1"/>
  <c r="AW399" i="3"/>
  <c r="H1234" i="1" s="1"/>
  <c r="B192" i="15" s="1"/>
  <c r="AW400" i="3"/>
  <c r="H1253" i="1" s="1"/>
  <c r="B316" i="15" s="1"/>
  <c r="AW401" i="3"/>
  <c r="H1408" i="1" s="1"/>
  <c r="B637" i="15" s="1"/>
  <c r="AW402" i="3"/>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0" i="1"/>
  <c r="C1209" i="1"/>
  <c r="B635" i="15"/>
  <c r="B634" i="15"/>
  <c r="B633" i="15"/>
  <c r="B632" i="15"/>
  <c r="B631" i="15"/>
  <c r="B629" i="15"/>
  <c r="B627" i="15"/>
  <c r="B622" i="15"/>
  <c r="B621" i="15"/>
  <c r="B620" i="15"/>
  <c r="B619" i="15"/>
  <c r="B612" i="15"/>
  <c r="B611" i="15"/>
  <c r="B610" i="15"/>
  <c r="B605" i="15"/>
  <c r="B600" i="15"/>
  <c r="B599" i="15"/>
  <c r="B598" i="15"/>
  <c r="B593" i="15"/>
  <c r="B592" i="15"/>
  <c r="B591" i="15"/>
  <c r="B590" i="15"/>
  <c r="B586" i="15"/>
  <c r="B583" i="15"/>
  <c r="B582" i="15"/>
  <c r="B580" i="15"/>
  <c r="B579" i="15"/>
  <c r="B578" i="15"/>
  <c r="B577" i="15"/>
  <c r="B576" i="15"/>
  <c r="B575" i="15"/>
  <c r="B574" i="15"/>
  <c r="B572" i="15"/>
  <c r="B570" i="15"/>
  <c r="B569" i="15"/>
  <c r="B567" i="15"/>
  <c r="B566" i="15"/>
  <c r="B565" i="15"/>
  <c r="B564" i="15"/>
  <c r="B562" i="15"/>
  <c r="B560" i="15"/>
  <c r="B558" i="15"/>
  <c r="B557" i="15"/>
  <c r="B556" i="15"/>
  <c r="B555" i="15"/>
  <c r="B554" i="15"/>
  <c r="B552" i="15"/>
  <c r="B550" i="15"/>
  <c r="B549" i="15"/>
  <c r="B546" i="15"/>
  <c r="B544" i="15"/>
  <c r="B543" i="15"/>
  <c r="B542" i="15"/>
  <c r="B540" i="15"/>
  <c r="B537" i="15"/>
  <c r="B536" i="15"/>
  <c r="B535" i="15"/>
  <c r="B533" i="15"/>
  <c r="B532" i="15"/>
  <c r="B531" i="15"/>
  <c r="B529" i="15"/>
  <c r="B526" i="15"/>
  <c r="B523" i="15"/>
  <c r="B521" i="15"/>
  <c r="B519" i="15"/>
  <c r="B518" i="15"/>
  <c r="B516" i="15"/>
  <c r="B515" i="15"/>
  <c r="B514" i="15"/>
  <c r="B513" i="15"/>
  <c r="B512" i="15"/>
  <c r="B510" i="15"/>
  <c r="B508" i="15"/>
  <c r="B506" i="15"/>
  <c r="B504" i="15"/>
  <c r="B503" i="15"/>
  <c r="B502" i="15"/>
  <c r="B499" i="15"/>
  <c r="B498" i="15"/>
  <c r="B495" i="15"/>
  <c r="B494" i="15"/>
  <c r="B493" i="15"/>
  <c r="B492" i="15"/>
  <c r="B490" i="15"/>
  <c r="B489" i="15"/>
  <c r="B488" i="15"/>
  <c r="B487" i="15"/>
  <c r="B486" i="15"/>
  <c r="B484" i="15"/>
  <c r="B483" i="15"/>
  <c r="B482" i="15"/>
  <c r="B481" i="15"/>
  <c r="B480" i="15"/>
  <c r="B479" i="15"/>
  <c r="B478" i="15"/>
  <c r="B477" i="15"/>
  <c r="B473" i="15"/>
  <c r="B472" i="15"/>
  <c r="B471" i="15"/>
  <c r="B468" i="15"/>
  <c r="B465" i="15"/>
  <c r="B462" i="15"/>
  <c r="B454" i="15"/>
  <c r="B453" i="15"/>
  <c r="B451" i="15"/>
  <c r="B450" i="15"/>
  <c r="B448" i="15"/>
  <c r="B447" i="15"/>
  <c r="B445" i="15"/>
  <c r="B444" i="15"/>
  <c r="B442" i="15"/>
  <c r="B440" i="15"/>
  <c r="B439" i="15"/>
  <c r="B438" i="15"/>
  <c r="B433" i="15"/>
  <c r="B431" i="15"/>
  <c r="B430" i="15"/>
  <c r="B428" i="15"/>
  <c r="B427" i="15"/>
  <c r="B424" i="15"/>
  <c r="B423" i="15"/>
  <c r="B422" i="15"/>
  <c r="B419" i="15"/>
  <c r="B418" i="15"/>
  <c r="B417" i="15"/>
  <c r="B409" i="15"/>
  <c r="B406" i="15"/>
  <c r="B405" i="15"/>
  <c r="B404" i="15"/>
  <c r="B403" i="15"/>
  <c r="B402" i="15"/>
  <c r="B401" i="15"/>
  <c r="B398" i="15"/>
  <c r="B397" i="15"/>
  <c r="B395" i="15"/>
  <c r="B394" i="15"/>
  <c r="B392" i="15"/>
  <c r="B389" i="15"/>
  <c r="B388" i="15"/>
  <c r="B385" i="15"/>
  <c r="B381" i="15"/>
  <c r="B376" i="15"/>
  <c r="B375" i="15"/>
  <c r="B370" i="15"/>
  <c r="B369" i="15"/>
  <c r="B368" i="15"/>
  <c r="B361" i="15"/>
  <c r="B359" i="15"/>
  <c r="B358" i="15"/>
  <c r="B357" i="15"/>
  <c r="B349" i="15"/>
  <c r="B348" i="15"/>
  <c r="B347" i="15"/>
  <c r="B346" i="15"/>
  <c r="B345" i="15"/>
  <c r="B344" i="15"/>
  <c r="B341" i="15"/>
  <c r="B335" i="15"/>
  <c r="B332" i="15"/>
  <c r="B327" i="15"/>
  <c r="B326" i="15"/>
  <c r="B325" i="15"/>
  <c r="B322" i="15"/>
  <c r="B320" i="15"/>
  <c r="B319" i="15"/>
  <c r="B318" i="15"/>
  <c r="B314" i="15"/>
  <c r="B312" i="15"/>
  <c r="B311" i="15"/>
  <c r="B310" i="15"/>
  <c r="B309" i="15"/>
  <c r="B308" i="15"/>
  <c r="B306" i="15"/>
  <c r="B305" i="15"/>
  <c r="B304" i="15"/>
  <c r="B303" i="15"/>
  <c r="B301" i="15"/>
  <c r="B300" i="15"/>
  <c r="B298" i="15"/>
  <c r="B297" i="15"/>
  <c r="B296" i="15"/>
  <c r="B293" i="15"/>
  <c r="B290" i="15"/>
  <c r="B289" i="15"/>
  <c r="B288" i="15"/>
  <c r="B287" i="15"/>
  <c r="B286" i="15"/>
  <c r="B285" i="15"/>
  <c r="B283" i="15"/>
  <c r="B282" i="15"/>
  <c r="B279" i="15"/>
  <c r="B278" i="15"/>
  <c r="B277" i="15"/>
  <c r="B276" i="15"/>
  <c r="B275" i="15"/>
  <c r="B274" i="15"/>
  <c r="B273" i="15"/>
  <c r="B272" i="15"/>
  <c r="B271" i="15"/>
  <c r="B270" i="15"/>
  <c r="B269" i="15"/>
  <c r="B268" i="15"/>
  <c r="B267" i="15"/>
  <c r="B266" i="15"/>
  <c r="B265" i="15"/>
  <c r="B264" i="15"/>
  <c r="B262" i="15"/>
  <c r="B261" i="15"/>
  <c r="B260" i="15"/>
  <c r="B259" i="15"/>
  <c r="B258"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4" i="15"/>
  <c r="B203" i="15"/>
  <c r="B202" i="15"/>
  <c r="B201" i="15"/>
  <c r="B196" i="15"/>
  <c r="B195" i="15"/>
  <c r="B194" i="15"/>
  <c r="B193" i="15"/>
  <c r="B191" i="15"/>
  <c r="B190" i="15"/>
  <c r="B189" i="15"/>
  <c r="B188" i="15"/>
  <c r="B187" i="15"/>
  <c r="B186" i="15"/>
  <c r="B185" i="15"/>
  <c r="B184" i="15"/>
  <c r="B183" i="15"/>
  <c r="B182" i="15"/>
  <c r="B181" i="15"/>
  <c r="B180" i="15"/>
  <c r="B179" i="15"/>
  <c r="B178" i="15"/>
  <c r="B177" i="15"/>
  <c r="B176" i="15"/>
  <c r="B175" i="15"/>
  <c r="B174" i="15"/>
  <c r="B173" i="15"/>
  <c r="B172"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5" i="15"/>
  <c r="B134" i="15"/>
  <c r="B133" i="15"/>
  <c r="B131" i="15"/>
  <c r="B129" i="15"/>
  <c r="B128" i="15"/>
  <c r="B125" i="15"/>
  <c r="B124" i="15"/>
  <c r="B123" i="15"/>
  <c r="B122" i="15"/>
  <c r="B121" i="15"/>
  <c r="B120" i="15"/>
  <c r="B119" i="15"/>
  <c r="B118" i="15"/>
  <c r="B103" i="15"/>
  <c r="B101" i="15"/>
  <c r="B100" i="15"/>
  <c r="B99" i="15"/>
  <c r="B97" i="15"/>
  <c r="B96" i="15"/>
  <c r="B94" i="15"/>
  <c r="B93" i="15"/>
  <c r="B92" i="15"/>
  <c r="B91" i="15"/>
  <c r="B90" i="15"/>
  <c r="B89" i="15"/>
  <c r="B88" i="15"/>
  <c r="B87" i="15"/>
  <c r="B86" i="15"/>
  <c r="B83"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5" i="15"/>
  <c r="B4" i="15"/>
  <c r="B3" i="15"/>
  <c r="B2" i="15"/>
  <c r="B563" i="15" l="1"/>
  <c r="E1201" i="1"/>
  <c r="E1252" i="1"/>
  <c r="E1264" i="1"/>
  <c r="E1231" i="1"/>
  <c r="E1198" i="1"/>
  <c r="E1045" i="1"/>
  <c r="E1057" i="1"/>
  <c r="E1069" i="1"/>
  <c r="E1081" i="1"/>
  <c r="E1093" i="1"/>
  <c r="E1105" i="1"/>
  <c r="E1117" i="1"/>
  <c r="E1129" i="1"/>
  <c r="E1141" i="1"/>
  <c r="E1153" i="1"/>
  <c r="E1165" i="1"/>
  <c r="E1177" i="1"/>
  <c r="E1189" i="1"/>
  <c r="E987" i="1"/>
  <c r="E1010" i="1"/>
  <c r="E1022" i="1"/>
  <c r="E1034" i="1"/>
  <c r="E1219" i="1"/>
  <c r="E998" i="1"/>
  <c r="E1033" i="1"/>
  <c r="E1068" i="1"/>
  <c r="E1104" i="1"/>
  <c r="E1140" i="1"/>
  <c r="E1176" i="1"/>
  <c r="E1208" i="1"/>
  <c r="E986" i="1"/>
  <c r="E1009" i="1"/>
  <c r="E1021" i="1"/>
  <c r="E1044" i="1"/>
  <c r="E1056" i="1"/>
  <c r="E1080" i="1"/>
  <c r="E1092" i="1"/>
  <c r="E1116" i="1"/>
  <c r="E1128" i="1"/>
  <c r="E1152" i="1"/>
  <c r="E1164" i="1"/>
  <c r="E1188" i="1"/>
  <c r="E1220" i="1"/>
  <c r="E1253" i="1"/>
  <c r="E1265" i="1"/>
  <c r="E1277" i="1"/>
  <c r="E1289" i="1"/>
  <c r="E1301" i="1"/>
  <c r="E1313" i="1"/>
  <c r="E1325" i="1"/>
  <c r="E1337" i="1"/>
  <c r="E1349" i="1"/>
  <c r="E1361" i="1"/>
  <c r="E1373" i="1"/>
  <c r="E1385" i="1"/>
  <c r="E1397" i="1"/>
  <c r="E1250" i="1"/>
  <c r="E1262" i="1"/>
  <c r="E1274" i="1"/>
  <c r="E1286" i="1"/>
  <c r="E1298" i="1"/>
  <c r="E1310" i="1"/>
  <c r="E1322" i="1"/>
  <c r="E1334" i="1"/>
  <c r="E1346" i="1"/>
  <c r="E1358" i="1"/>
  <c r="E1370" i="1"/>
  <c r="E1382" i="1"/>
  <c r="E1394" i="1"/>
  <c r="E1406" i="1"/>
  <c r="E1242" i="1"/>
  <c r="E1276" i="1"/>
  <c r="E1251" i="1"/>
  <c r="E1263" i="1"/>
  <c r="E1275" i="1"/>
  <c r="E1287" i="1"/>
  <c r="E1299" i="1"/>
  <c r="E1311" i="1"/>
  <c r="E1323" i="1"/>
  <c r="E1335" i="1"/>
  <c r="E1347" i="1"/>
  <c r="E1359" i="1"/>
  <c r="E1371" i="1"/>
  <c r="E1383" i="1"/>
  <c r="E1395" i="1"/>
  <c r="E1407" i="1"/>
  <c r="E1209" i="1"/>
  <c r="E1221" i="1"/>
  <c r="E1232" i="1"/>
  <c r="E1254" i="1"/>
  <c r="E1266" i="1"/>
  <c r="E1278" i="1"/>
  <c r="E1290" i="1"/>
  <c r="E1302" i="1"/>
  <c r="E1314" i="1"/>
  <c r="E1326" i="1"/>
  <c r="E1338" i="1"/>
  <c r="E1350" i="1"/>
  <c r="E1362" i="1"/>
  <c r="E1374" i="1"/>
  <c r="E1386" i="1"/>
  <c r="E1398" i="1"/>
  <c r="E988" i="1"/>
  <c r="E999" i="1"/>
  <c r="E1011" i="1"/>
  <c r="E1023" i="1"/>
  <c r="E1035" i="1"/>
  <c r="E1046" i="1"/>
  <c r="E1058" i="1"/>
  <c r="E1070" i="1"/>
  <c r="E1082" i="1"/>
  <c r="E1094" i="1"/>
  <c r="E1106" i="1"/>
  <c r="E1118" i="1"/>
  <c r="E1130" i="1"/>
  <c r="E1142" i="1"/>
  <c r="E1154" i="1"/>
  <c r="E1166" i="1"/>
  <c r="E1178" i="1"/>
  <c r="E1190" i="1"/>
  <c r="E1210" i="1"/>
  <c r="E1222" i="1"/>
  <c r="E1233" i="1"/>
  <c r="E1243" i="1"/>
  <c r="E1255" i="1"/>
  <c r="E1267" i="1"/>
  <c r="E1279" i="1"/>
  <c r="E1291" i="1"/>
  <c r="E1303" i="1"/>
  <c r="E1315" i="1"/>
  <c r="E1327" i="1"/>
  <c r="E1339" i="1"/>
  <c r="E1351" i="1"/>
  <c r="E1363" i="1"/>
  <c r="E1375" i="1"/>
  <c r="E1387" i="1"/>
  <c r="E1399" i="1"/>
  <c r="E989" i="1"/>
  <c r="E1000" i="1"/>
  <c r="E1012" i="1"/>
  <c r="E1024" i="1"/>
  <c r="E1036" i="1"/>
  <c r="E1047" i="1"/>
  <c r="E1059" i="1"/>
  <c r="E1071" i="1"/>
  <c r="E1083" i="1"/>
  <c r="E1095" i="1"/>
  <c r="E1107" i="1"/>
  <c r="E1119" i="1"/>
  <c r="E1131" i="1"/>
  <c r="E1143" i="1"/>
  <c r="E1155" i="1"/>
  <c r="E1167" i="1"/>
  <c r="E1179" i="1"/>
  <c r="E1191" i="1"/>
  <c r="E1199" i="1"/>
  <c r="E1211" i="1"/>
  <c r="E1223" i="1"/>
  <c r="E1234" i="1"/>
  <c r="E1244" i="1"/>
  <c r="E1256" i="1"/>
  <c r="E1268" i="1"/>
  <c r="E1280" i="1"/>
  <c r="E1292" i="1"/>
  <c r="E1304" i="1"/>
  <c r="E1316" i="1"/>
  <c r="E1328" i="1"/>
  <c r="E1340" i="1"/>
  <c r="E1352" i="1"/>
  <c r="E1364" i="1"/>
  <c r="E1376" i="1"/>
  <c r="E1388" i="1"/>
  <c r="E1400" i="1"/>
  <c r="E990" i="1"/>
  <c r="E1001" i="1"/>
  <c r="E1013" i="1"/>
  <c r="E1025" i="1"/>
  <c r="E1048" i="1"/>
  <c r="E1060" i="1"/>
  <c r="E1072" i="1"/>
  <c r="E1084" i="1"/>
  <c r="E1096" i="1"/>
  <c r="E1108" i="1"/>
  <c r="E1120" i="1"/>
  <c r="E1132" i="1"/>
  <c r="E1144" i="1"/>
  <c r="E1156" i="1"/>
  <c r="E1168" i="1"/>
  <c r="E1180" i="1"/>
  <c r="E1192" i="1"/>
  <c r="E1200" i="1"/>
  <c r="E1245" i="1"/>
  <c r="E1257" i="1"/>
  <c r="E1269" i="1"/>
  <c r="E1281" i="1"/>
  <c r="E1293" i="1"/>
  <c r="E1305" i="1"/>
  <c r="E1317" i="1"/>
  <c r="E1329" i="1"/>
  <c r="E1341" i="1"/>
  <c r="E1353" i="1"/>
  <c r="E1365" i="1"/>
  <c r="E1377" i="1"/>
  <c r="E1389" i="1"/>
  <c r="E1401" i="1"/>
  <c r="E1213" i="1"/>
  <c r="E1225" i="1"/>
  <c r="E1236" i="1"/>
  <c r="E1246" i="1"/>
  <c r="E1258" i="1"/>
  <c r="E1270" i="1"/>
  <c r="E1282" i="1"/>
  <c r="E1294" i="1"/>
  <c r="E1306" i="1"/>
  <c r="E1318" i="1"/>
  <c r="E1330" i="1"/>
  <c r="E1342" i="1"/>
  <c r="E1354" i="1"/>
  <c r="E1366" i="1"/>
  <c r="E1378" i="1"/>
  <c r="E1390" i="1"/>
  <c r="E1402" i="1"/>
  <c r="E992" i="1"/>
  <c r="E1003" i="1"/>
  <c r="E1015" i="1"/>
  <c r="E1027" i="1"/>
  <c r="E1038" i="1"/>
  <c r="E1050" i="1"/>
  <c r="E1062" i="1"/>
  <c r="E1074" i="1"/>
  <c r="E1086" i="1"/>
  <c r="E1098" i="1"/>
  <c r="E1110" i="1"/>
  <c r="E1122" i="1"/>
  <c r="E1134" i="1"/>
  <c r="E1146" i="1"/>
  <c r="E1158" i="1"/>
  <c r="E1170" i="1"/>
  <c r="E1182" i="1"/>
  <c r="E1194" i="1"/>
  <c r="E1202" i="1"/>
  <c r="E1214" i="1"/>
  <c r="E1226" i="1"/>
  <c r="E1237" i="1"/>
  <c r="E1247" i="1"/>
  <c r="E1259" i="1"/>
  <c r="E1271" i="1"/>
  <c r="E1283" i="1"/>
  <c r="E1295" i="1"/>
  <c r="E1307" i="1"/>
  <c r="E1319" i="1"/>
  <c r="E1331" i="1"/>
  <c r="E1343" i="1"/>
  <c r="E1355" i="1"/>
  <c r="E1367" i="1"/>
  <c r="E1379" i="1"/>
  <c r="E1391" i="1"/>
  <c r="E1403" i="1"/>
  <c r="E981" i="1"/>
  <c r="B3" i="16" s="1" a="1"/>
  <c r="E993" i="1"/>
  <c r="E1004" i="1"/>
  <c r="E1016" i="1"/>
  <c r="E1028" i="1"/>
  <c r="E1039" i="1"/>
  <c r="E1051" i="1"/>
  <c r="E1063" i="1"/>
  <c r="E1075" i="1"/>
  <c r="E1087" i="1"/>
  <c r="E1099" i="1"/>
  <c r="E1111" i="1"/>
  <c r="E1123" i="1"/>
  <c r="E1135" i="1"/>
  <c r="E1147" i="1"/>
  <c r="E1159" i="1"/>
  <c r="E1171" i="1"/>
  <c r="E1183" i="1"/>
  <c r="E1203" i="1"/>
  <c r="E1215" i="1"/>
  <c r="E1227" i="1"/>
  <c r="E1238" i="1"/>
  <c r="E1248" i="1"/>
  <c r="E1260" i="1"/>
  <c r="E1272" i="1"/>
  <c r="E1284" i="1"/>
  <c r="E1296" i="1"/>
  <c r="E1308" i="1"/>
  <c r="E1320" i="1"/>
  <c r="E1332" i="1"/>
  <c r="E1344" i="1"/>
  <c r="E1356" i="1"/>
  <c r="E1368" i="1"/>
  <c r="E1380" i="1"/>
  <c r="E1392" i="1"/>
  <c r="E1404" i="1"/>
  <c r="E982" i="1"/>
  <c r="E994" i="1"/>
  <c r="E1005" i="1"/>
  <c r="E1017" i="1"/>
  <c r="E1029" i="1"/>
  <c r="E1040" i="1"/>
  <c r="E1052" i="1"/>
  <c r="E1064" i="1"/>
  <c r="E1076" i="1"/>
  <c r="E1088" i="1"/>
  <c r="E1100" i="1"/>
  <c r="E1112" i="1"/>
  <c r="E1124" i="1"/>
  <c r="E1136" i="1"/>
  <c r="E1148" i="1"/>
  <c r="E1160" i="1"/>
  <c r="E1172" i="1"/>
  <c r="E1184" i="1"/>
  <c r="E1195" i="1"/>
  <c r="E1204" i="1"/>
  <c r="E1249" i="1"/>
  <c r="E1261" i="1"/>
  <c r="E1273" i="1"/>
  <c r="E1285" i="1"/>
  <c r="E1297" i="1"/>
  <c r="E1309" i="1"/>
  <c r="E1321" i="1"/>
  <c r="E1333" i="1"/>
  <c r="E1345" i="1"/>
  <c r="E1357" i="1"/>
  <c r="E1369" i="1"/>
  <c r="E1381" i="1"/>
  <c r="E1393" i="1"/>
  <c r="E1405" i="1"/>
  <c r="E984" i="1"/>
  <c r="E996" i="1"/>
  <c r="E1007" i="1"/>
  <c r="E1019" i="1"/>
  <c r="E1031" i="1"/>
  <c r="E1042" i="1"/>
  <c r="E1054" i="1"/>
  <c r="E1066" i="1"/>
  <c r="E1078" i="1"/>
  <c r="E1090" i="1"/>
  <c r="E1102" i="1"/>
  <c r="E1114" i="1"/>
  <c r="E1126" i="1"/>
  <c r="E1138" i="1"/>
  <c r="E1150" i="1"/>
  <c r="E1162" i="1"/>
  <c r="E1174" i="1"/>
  <c r="E1186" i="1"/>
  <c r="E1196" i="1"/>
  <c r="E1206" i="1"/>
  <c r="E1217" i="1"/>
  <c r="E1229" i="1"/>
  <c r="E1240" i="1"/>
  <c r="E983" i="1"/>
  <c r="E995" i="1"/>
  <c r="E1006" i="1"/>
  <c r="E1018" i="1"/>
  <c r="E1030" i="1"/>
  <c r="E1041" i="1"/>
  <c r="E1053" i="1"/>
  <c r="E1065" i="1"/>
  <c r="E1077" i="1"/>
  <c r="E1089" i="1"/>
  <c r="E1101" i="1"/>
  <c r="E1113" i="1"/>
  <c r="E1125" i="1"/>
  <c r="E1137" i="1"/>
  <c r="E1149" i="1"/>
  <c r="E1161" i="1"/>
  <c r="E1173" i="1"/>
  <c r="E1185" i="1"/>
  <c r="E1205" i="1"/>
  <c r="E1216" i="1"/>
  <c r="E1228" i="1"/>
  <c r="E1239" i="1"/>
  <c r="E985" i="1"/>
  <c r="E997" i="1"/>
  <c r="E1008" i="1"/>
  <c r="E1020" i="1"/>
  <c r="E1032" i="1"/>
  <c r="E1043" i="1"/>
  <c r="E1055" i="1"/>
  <c r="E1067" i="1"/>
  <c r="E1079" i="1"/>
  <c r="E1091" i="1"/>
  <c r="E1103" i="1"/>
  <c r="E1115" i="1"/>
  <c r="E1127" i="1"/>
  <c r="E1139" i="1"/>
  <c r="E1151" i="1"/>
  <c r="E1163" i="1"/>
  <c r="E1175" i="1"/>
  <c r="E1187" i="1"/>
  <c r="E1197" i="1"/>
  <c r="E1207" i="1"/>
  <c r="E1218" i="1"/>
  <c r="E1230" i="1"/>
  <c r="E1241" i="1"/>
  <c r="E1288" i="1"/>
  <c r="E1300" i="1"/>
  <c r="E1312" i="1"/>
  <c r="E1324" i="1"/>
  <c r="E1336" i="1"/>
  <c r="E1348" i="1"/>
  <c r="E1360" i="1"/>
  <c r="E1372" i="1"/>
  <c r="E1384" i="1"/>
  <c r="E1396" i="1"/>
  <c r="E1408" i="1"/>
  <c r="E991" i="1"/>
  <c r="E1002" i="1"/>
  <c r="E1014" i="1"/>
  <c r="E1026" i="1"/>
  <c r="E1037" i="1"/>
  <c r="E1049" i="1"/>
  <c r="E1061" i="1"/>
  <c r="E1073" i="1"/>
  <c r="E1085" i="1"/>
  <c r="E1097" i="1"/>
  <c r="E1109" i="1"/>
  <c r="E1121" i="1"/>
  <c r="E1133" i="1"/>
  <c r="E1145" i="1"/>
  <c r="E1157" i="1"/>
  <c r="E1169" i="1"/>
  <c r="E1181" i="1"/>
  <c r="E1193" i="1"/>
  <c r="E1212" i="1"/>
  <c r="E1224" i="1"/>
  <c r="E1235"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E639" i="16" l="1"/>
  <c r="E627" i="16"/>
  <c r="E615" i="16"/>
  <c r="E603" i="16"/>
  <c r="E591" i="16"/>
  <c r="E579" i="16"/>
  <c r="E567" i="16"/>
  <c r="E555" i="16"/>
  <c r="E543" i="16"/>
  <c r="E531" i="16"/>
  <c r="E519" i="16"/>
  <c r="E507" i="16"/>
  <c r="E495" i="16"/>
  <c r="E483" i="16"/>
  <c r="E471" i="16"/>
  <c r="E459" i="16"/>
  <c r="E447" i="16"/>
  <c r="E435" i="16"/>
  <c r="E423" i="16"/>
  <c r="E411" i="16"/>
  <c r="E399" i="16"/>
  <c r="E387" i="16"/>
  <c r="E375" i="16"/>
  <c r="E363" i="16"/>
  <c r="E351" i="16"/>
  <c r="E339" i="16"/>
  <c r="E327" i="16"/>
  <c r="E315" i="16"/>
  <c r="E303" i="16"/>
  <c r="E291" i="16"/>
  <c r="E279" i="16"/>
  <c r="E267" i="16"/>
  <c r="E255" i="16"/>
  <c r="E243" i="16"/>
  <c r="E231" i="16"/>
  <c r="E219" i="16"/>
  <c r="E207" i="16"/>
  <c r="E195" i="16"/>
  <c r="E183" i="16"/>
  <c r="E171" i="16"/>
  <c r="E159" i="16"/>
  <c r="E147" i="16"/>
  <c r="E135" i="16"/>
  <c r="E123" i="16"/>
  <c r="E111" i="16"/>
  <c r="E99" i="16"/>
  <c r="E87" i="16"/>
  <c r="E75" i="16"/>
  <c r="E63" i="16"/>
  <c r="E51" i="16"/>
  <c r="E39" i="16"/>
  <c r="E27" i="16"/>
  <c r="E15" i="16"/>
  <c r="E638" i="16"/>
  <c r="E626" i="16"/>
  <c r="E614" i="16"/>
  <c r="E602" i="16"/>
  <c r="E590" i="16"/>
  <c r="E578" i="16"/>
  <c r="E566" i="16"/>
  <c r="E554" i="16"/>
  <c r="E542" i="16"/>
  <c r="E530" i="16"/>
  <c r="E518" i="16"/>
  <c r="E506" i="16"/>
  <c r="E494" i="16"/>
  <c r="E482" i="16"/>
  <c r="E470" i="16"/>
  <c r="E458" i="16"/>
  <c r="E446" i="16"/>
  <c r="E434" i="16"/>
  <c r="E422" i="16"/>
  <c r="E410" i="16"/>
  <c r="E398" i="16"/>
  <c r="E386" i="16"/>
  <c r="E374" i="16"/>
  <c r="E362" i="16"/>
  <c r="E350" i="16"/>
  <c r="E338" i="16"/>
  <c r="E326" i="16"/>
  <c r="E314" i="16"/>
  <c r="E302" i="16"/>
  <c r="E290" i="16"/>
  <c r="E278" i="16"/>
  <c r="E266" i="16"/>
  <c r="E254" i="16"/>
  <c r="E242" i="16"/>
  <c r="E230" i="16"/>
  <c r="E218" i="16"/>
  <c r="E206" i="16"/>
  <c r="E194" i="16"/>
  <c r="E182" i="16"/>
  <c r="E170" i="16"/>
  <c r="E158" i="16"/>
  <c r="E146" i="16"/>
  <c r="E134" i="16"/>
  <c r="E122" i="16"/>
  <c r="E110" i="16"/>
  <c r="E98" i="16"/>
  <c r="E86" i="16"/>
  <c r="E74" i="16"/>
  <c r="E62" i="16"/>
  <c r="E50" i="16"/>
  <c r="E38" i="16"/>
  <c r="E26" i="16"/>
  <c r="E14" i="16"/>
  <c r="E637" i="16"/>
  <c r="E625" i="16"/>
  <c r="E613" i="16"/>
  <c r="E601" i="16"/>
  <c r="E589" i="16"/>
  <c r="E577" i="16"/>
  <c r="E565" i="16"/>
  <c r="E553" i="16"/>
  <c r="E541" i="16"/>
  <c r="E529" i="16"/>
  <c r="E517" i="16"/>
  <c r="E505" i="16"/>
  <c r="E493" i="16"/>
  <c r="E481" i="16"/>
  <c r="E469" i="16"/>
  <c r="E457" i="16"/>
  <c r="E445" i="16"/>
  <c r="E433" i="16"/>
  <c r="E421" i="16"/>
  <c r="E409" i="16"/>
  <c r="E397" i="16"/>
  <c r="E385" i="16"/>
  <c r="E373" i="16"/>
  <c r="E361" i="16"/>
  <c r="E349" i="16"/>
  <c r="E337" i="16"/>
  <c r="E325" i="16"/>
  <c r="E313" i="16"/>
  <c r="E301" i="16"/>
  <c r="E289" i="16"/>
  <c r="E277" i="16"/>
  <c r="E265" i="16"/>
  <c r="E253" i="16"/>
  <c r="E241" i="16"/>
  <c r="E229" i="16"/>
  <c r="E217" i="16"/>
  <c r="E205" i="16"/>
  <c r="E193" i="16"/>
  <c r="E181" i="16"/>
  <c r="E169" i="16"/>
  <c r="E157" i="16"/>
  <c r="E145" i="16"/>
  <c r="E133" i="16"/>
  <c r="E121" i="16"/>
  <c r="E109" i="16"/>
  <c r="E97" i="16"/>
  <c r="E85" i="16"/>
  <c r="E73" i="16"/>
  <c r="E61" i="16"/>
  <c r="E49" i="16"/>
  <c r="E37" i="16"/>
  <c r="E25" i="16"/>
  <c r="E13" i="16"/>
  <c r="E636" i="16"/>
  <c r="E624" i="16"/>
  <c r="E612" i="16"/>
  <c r="E600" i="16"/>
  <c r="E588" i="16"/>
  <c r="E576" i="16"/>
  <c r="E564" i="16"/>
  <c r="E552" i="16"/>
  <c r="E540" i="16"/>
  <c r="E528" i="16"/>
  <c r="E516" i="16"/>
  <c r="E504" i="16"/>
  <c r="E492" i="16"/>
  <c r="E480" i="16"/>
  <c r="E468" i="16"/>
  <c r="E456" i="16"/>
  <c r="E444" i="16"/>
  <c r="E432" i="16"/>
  <c r="E420" i="16"/>
  <c r="E408" i="16"/>
  <c r="E396" i="16"/>
  <c r="E384" i="16"/>
  <c r="E372" i="16"/>
  <c r="E360" i="16"/>
  <c r="E348" i="16"/>
  <c r="E336" i="16"/>
  <c r="E324" i="16"/>
  <c r="E312" i="16"/>
  <c r="E300" i="16"/>
  <c r="E288" i="16"/>
  <c r="E276" i="16"/>
  <c r="E264" i="16"/>
  <c r="E252" i="16"/>
  <c r="E240" i="16"/>
  <c r="E228" i="16"/>
  <c r="E216" i="16"/>
  <c r="E204" i="16"/>
  <c r="E192" i="16"/>
  <c r="E180" i="16"/>
  <c r="E168" i="16"/>
  <c r="E156" i="16"/>
  <c r="E144" i="16"/>
  <c r="E132" i="16"/>
  <c r="E120" i="16"/>
  <c r="E108" i="16"/>
  <c r="E96" i="16"/>
  <c r="E84" i="16"/>
  <c r="E72" i="16"/>
  <c r="E60" i="16"/>
  <c r="E48" i="16"/>
  <c r="E36" i="16"/>
  <c r="E24" i="16"/>
  <c r="E12" i="16"/>
  <c r="E635" i="16"/>
  <c r="E623" i="16"/>
  <c r="E611" i="16"/>
  <c r="E599" i="16"/>
  <c r="E587" i="16"/>
  <c r="E575" i="16"/>
  <c r="E563" i="16"/>
  <c r="E551" i="16"/>
  <c r="E539" i="16"/>
  <c r="E527" i="16"/>
  <c r="E515" i="16"/>
  <c r="E503" i="16"/>
  <c r="E491" i="16"/>
  <c r="E479" i="16"/>
  <c r="E467" i="16"/>
  <c r="E455" i="16"/>
  <c r="E443" i="16"/>
  <c r="E431" i="16"/>
  <c r="E419" i="16"/>
  <c r="E407" i="16"/>
  <c r="E395" i="16"/>
  <c r="E383" i="16"/>
  <c r="E371" i="16"/>
  <c r="E359" i="16"/>
  <c r="E347" i="16"/>
  <c r="E335" i="16"/>
  <c r="E323" i="16"/>
  <c r="E311" i="16"/>
  <c r="E299" i="16"/>
  <c r="E287" i="16"/>
  <c r="E275" i="16"/>
  <c r="E263" i="16"/>
  <c r="E251" i="16"/>
  <c r="E239" i="16"/>
  <c r="E227" i="16"/>
  <c r="E215" i="16"/>
  <c r="E203" i="16"/>
  <c r="E191" i="16"/>
  <c r="E179" i="16"/>
  <c r="E167" i="16"/>
  <c r="E155" i="16"/>
  <c r="E143" i="16"/>
  <c r="E131" i="16"/>
  <c r="E119" i="16"/>
  <c r="E107" i="16"/>
  <c r="E95" i="16"/>
  <c r="E83" i="16"/>
  <c r="E71" i="16"/>
  <c r="E59" i="16"/>
  <c r="E47" i="16"/>
  <c r="E35" i="16"/>
  <c r="E23" i="16"/>
  <c r="E11" i="16"/>
  <c r="E634" i="16"/>
  <c r="E622" i="16"/>
  <c r="E610" i="16"/>
  <c r="E598" i="16"/>
  <c r="E586" i="16"/>
  <c r="E574" i="16"/>
  <c r="E562" i="16"/>
  <c r="E550" i="16"/>
  <c r="E538" i="16"/>
  <c r="E526" i="16"/>
  <c r="E514" i="16"/>
  <c r="E502" i="16"/>
  <c r="E490" i="16"/>
  <c r="E478" i="16"/>
  <c r="E466" i="16"/>
  <c r="E454" i="16"/>
  <c r="E442" i="16"/>
  <c r="E430" i="16"/>
  <c r="E418" i="16"/>
  <c r="E406" i="16"/>
  <c r="E394" i="16"/>
  <c r="E382" i="16"/>
  <c r="E370" i="16"/>
  <c r="E358" i="16"/>
  <c r="E346" i="16"/>
  <c r="E334" i="16"/>
  <c r="E322" i="16"/>
  <c r="E310" i="16"/>
  <c r="E298" i="16"/>
  <c r="E286" i="16"/>
  <c r="E274" i="16"/>
  <c r="E262" i="16"/>
  <c r="E250" i="16"/>
  <c r="E238" i="16"/>
  <c r="E226" i="16"/>
  <c r="E214" i="16"/>
  <c r="E202" i="16"/>
  <c r="E190" i="16"/>
  <c r="E178" i="16"/>
  <c r="E166" i="16"/>
  <c r="E154" i="16"/>
  <c r="E142" i="16"/>
  <c r="E130" i="16"/>
  <c r="E118" i="16"/>
  <c r="E106" i="16"/>
  <c r="E94" i="16"/>
  <c r="E82" i="16"/>
  <c r="E70" i="16"/>
  <c r="E58" i="16"/>
  <c r="E46" i="16"/>
  <c r="E34" i="16"/>
  <c r="E22" i="16"/>
  <c r="E10" i="16"/>
  <c r="E633" i="16"/>
  <c r="E621" i="16"/>
  <c r="E609" i="16"/>
  <c r="E597" i="16"/>
  <c r="E585" i="16"/>
  <c r="E573" i="16"/>
  <c r="E561" i="16"/>
  <c r="E549" i="16"/>
  <c r="E537" i="16"/>
  <c r="E525" i="16"/>
  <c r="E513" i="16"/>
  <c r="E501" i="16"/>
  <c r="E489" i="16"/>
  <c r="E477" i="16"/>
  <c r="E465" i="16"/>
  <c r="E453" i="16"/>
  <c r="E441" i="16"/>
  <c r="E429" i="16"/>
  <c r="E417" i="16"/>
  <c r="E405" i="16"/>
  <c r="E393" i="16"/>
  <c r="E381" i="16"/>
  <c r="E369" i="16"/>
  <c r="E357" i="16"/>
  <c r="E345" i="16"/>
  <c r="E333" i="16"/>
  <c r="E321" i="16"/>
  <c r="E309" i="16"/>
  <c r="E297" i="16"/>
  <c r="E285" i="16"/>
  <c r="E273" i="16"/>
  <c r="E261" i="16"/>
  <c r="E249" i="16"/>
  <c r="E237" i="16"/>
  <c r="E225" i="16"/>
  <c r="E213" i="16"/>
  <c r="E201" i="16"/>
  <c r="E189" i="16"/>
  <c r="E177" i="16"/>
  <c r="E165" i="16"/>
  <c r="E153" i="16"/>
  <c r="E141" i="16"/>
  <c r="E129" i="16"/>
  <c r="E117" i="16"/>
  <c r="E105" i="16"/>
  <c r="E93" i="16"/>
  <c r="E81" i="16"/>
  <c r="E69" i="16"/>
  <c r="E57" i="16"/>
  <c r="E45" i="16"/>
  <c r="E33" i="16"/>
  <c r="E21" i="16"/>
  <c r="E9" i="16"/>
  <c r="E632" i="16"/>
  <c r="E620" i="16"/>
  <c r="E608" i="16"/>
  <c r="E596" i="16"/>
  <c r="E584" i="16"/>
  <c r="E572" i="16"/>
  <c r="E560" i="16"/>
  <c r="E548" i="16"/>
  <c r="E536" i="16"/>
  <c r="E524" i="16"/>
  <c r="E512" i="16"/>
  <c r="E500" i="16"/>
  <c r="E488" i="16"/>
  <c r="E476" i="16"/>
  <c r="E464" i="16"/>
  <c r="E452" i="16"/>
  <c r="E440" i="16"/>
  <c r="E428" i="16"/>
  <c r="E416" i="16"/>
  <c r="E404" i="16"/>
  <c r="E392" i="16"/>
  <c r="E380" i="16"/>
  <c r="E368" i="16"/>
  <c r="E356" i="16"/>
  <c r="E344" i="16"/>
  <c r="E332" i="16"/>
  <c r="E320" i="16"/>
  <c r="E308" i="16"/>
  <c r="E296" i="16"/>
  <c r="E284" i="16"/>
  <c r="E272" i="16"/>
  <c r="E260" i="16"/>
  <c r="E248" i="16"/>
  <c r="E236" i="16"/>
  <c r="E224" i="16"/>
  <c r="E212" i="16"/>
  <c r="E200" i="16"/>
  <c r="E188" i="16"/>
  <c r="E176" i="16"/>
  <c r="E164" i="16"/>
  <c r="E152" i="16"/>
  <c r="E140" i="16"/>
  <c r="E128" i="16"/>
  <c r="E116" i="16"/>
  <c r="E104" i="16"/>
  <c r="E92" i="16"/>
  <c r="E80" i="16"/>
  <c r="E68" i="16"/>
  <c r="E56" i="16"/>
  <c r="E44" i="16"/>
  <c r="E32" i="16"/>
  <c r="E20" i="16"/>
  <c r="E8" i="16"/>
  <c r="E631" i="16"/>
  <c r="E619" i="16"/>
  <c r="E607" i="16"/>
  <c r="E595" i="16"/>
  <c r="E583" i="16"/>
  <c r="E571" i="16"/>
  <c r="E559" i="16"/>
  <c r="E547" i="16"/>
  <c r="E535" i="16"/>
  <c r="E523" i="16"/>
  <c r="E511" i="16"/>
  <c r="E499" i="16"/>
  <c r="E487" i="16"/>
  <c r="E475" i="16"/>
  <c r="E463" i="16"/>
  <c r="E451" i="16"/>
  <c r="E439" i="16"/>
  <c r="E427" i="16"/>
  <c r="E415" i="16"/>
  <c r="E403" i="16"/>
  <c r="E391" i="16"/>
  <c r="E379" i="16"/>
  <c r="E367" i="16"/>
  <c r="E355" i="16"/>
  <c r="E343" i="16"/>
  <c r="E331" i="16"/>
  <c r="E319" i="16"/>
  <c r="E307" i="16"/>
  <c r="E295" i="16"/>
  <c r="E283" i="16"/>
  <c r="E271" i="16"/>
  <c r="E259" i="16"/>
  <c r="E247" i="16"/>
  <c r="E235" i="16"/>
  <c r="E223" i="16"/>
  <c r="E211" i="16"/>
  <c r="E199" i="16"/>
  <c r="E187" i="16"/>
  <c r="E175" i="16"/>
  <c r="E163" i="16"/>
  <c r="E151" i="16"/>
  <c r="E139" i="16"/>
  <c r="E127" i="16"/>
  <c r="E115" i="16"/>
  <c r="E103" i="16"/>
  <c r="E91" i="16"/>
  <c r="E79" i="16"/>
  <c r="E67" i="16"/>
  <c r="E55" i="16"/>
  <c r="E43" i="16"/>
  <c r="E31" i="16"/>
  <c r="E19" i="16"/>
  <c r="E7" i="16"/>
  <c r="E630" i="16"/>
  <c r="E618" i="16"/>
  <c r="E606" i="16"/>
  <c r="E594" i="16"/>
  <c r="E582" i="16"/>
  <c r="E570" i="16"/>
  <c r="E558" i="16"/>
  <c r="E546" i="16"/>
  <c r="E534" i="16"/>
  <c r="E522" i="16"/>
  <c r="E510" i="16"/>
  <c r="E498" i="16"/>
  <c r="E486" i="16"/>
  <c r="E474" i="16"/>
  <c r="E462" i="16"/>
  <c r="E450" i="16"/>
  <c r="E438" i="16"/>
  <c r="E426" i="16"/>
  <c r="E414" i="16"/>
  <c r="E402" i="16"/>
  <c r="E390" i="16"/>
  <c r="E378" i="16"/>
  <c r="E366" i="16"/>
  <c r="E354" i="16"/>
  <c r="E342" i="16"/>
  <c r="E330" i="16"/>
  <c r="E318" i="16"/>
  <c r="E306" i="16"/>
  <c r="E294" i="16"/>
  <c r="E282" i="16"/>
  <c r="E270" i="16"/>
  <c r="E258" i="16"/>
  <c r="E246" i="16"/>
  <c r="E234" i="16"/>
  <c r="E222" i="16"/>
  <c r="E210" i="16"/>
  <c r="E198" i="16"/>
  <c r="E186" i="16"/>
  <c r="E174" i="16"/>
  <c r="E162" i="16"/>
  <c r="E150" i="16"/>
  <c r="E138" i="16"/>
  <c r="E126" i="16"/>
  <c r="E114" i="16"/>
  <c r="E102" i="16"/>
  <c r="E90" i="16"/>
  <c r="E78" i="16"/>
  <c r="E66" i="16"/>
  <c r="E54" i="16"/>
  <c r="E42" i="16"/>
  <c r="E30" i="16"/>
  <c r="E18" i="16"/>
  <c r="E6" i="16"/>
  <c r="E629" i="16"/>
  <c r="E617" i="16"/>
  <c r="E605" i="16"/>
  <c r="E593" i="16"/>
  <c r="E581" i="16"/>
  <c r="E569" i="16"/>
  <c r="E557" i="16"/>
  <c r="E545" i="16"/>
  <c r="E533" i="16"/>
  <c r="E521" i="16"/>
  <c r="E509" i="16"/>
  <c r="E497" i="16"/>
  <c r="E485" i="16"/>
  <c r="E473" i="16"/>
  <c r="E461" i="16"/>
  <c r="E449" i="16"/>
  <c r="E437" i="16"/>
  <c r="E425" i="16"/>
  <c r="E413" i="16"/>
  <c r="E401" i="16"/>
  <c r="E389" i="16"/>
  <c r="E377" i="16"/>
  <c r="E365" i="16"/>
  <c r="E353" i="16"/>
  <c r="E341" i="16"/>
  <c r="E329" i="16"/>
  <c r="E317" i="16"/>
  <c r="E305" i="16"/>
  <c r="E293" i="16"/>
  <c r="E281" i="16"/>
  <c r="E269" i="16"/>
  <c r="E257" i="16"/>
  <c r="E245" i="16"/>
  <c r="E233" i="16"/>
  <c r="E221" i="16"/>
  <c r="E209" i="16"/>
  <c r="E197" i="16"/>
  <c r="E185" i="16"/>
  <c r="E173" i="16"/>
  <c r="E161" i="16"/>
  <c r="E149" i="16"/>
  <c r="E137" i="16"/>
  <c r="E125" i="16"/>
  <c r="E113" i="16"/>
  <c r="E101" i="16"/>
  <c r="E89" i="16"/>
  <c r="E77" i="16"/>
  <c r="E65" i="16"/>
  <c r="E53" i="16"/>
  <c r="E41" i="16"/>
  <c r="E29" i="16"/>
  <c r="E17" i="16"/>
  <c r="E5" i="16"/>
  <c r="E628" i="16"/>
  <c r="E616" i="16"/>
  <c r="E604" i="16"/>
  <c r="E592" i="16"/>
  <c r="E580" i="16"/>
  <c r="E568" i="16"/>
  <c r="E556" i="16"/>
  <c r="E544" i="16"/>
  <c r="E532" i="16"/>
  <c r="E520" i="16"/>
  <c r="E508" i="16"/>
  <c r="E496" i="16"/>
  <c r="E484" i="16"/>
  <c r="E472" i="16"/>
  <c r="E460" i="16"/>
  <c r="E448" i="16"/>
  <c r="E436" i="16"/>
  <c r="E424" i="16"/>
  <c r="E412" i="16"/>
  <c r="E400" i="16"/>
  <c r="E388" i="16"/>
  <c r="E376" i="16"/>
  <c r="E364" i="16"/>
  <c r="E352" i="16"/>
  <c r="E340" i="16"/>
  <c r="E328" i="16"/>
  <c r="E316" i="16"/>
  <c r="E304" i="16"/>
  <c r="E292" i="16"/>
  <c r="E280" i="16"/>
  <c r="E268" i="16"/>
  <c r="E256" i="16"/>
  <c r="E244" i="16"/>
  <c r="E232" i="16"/>
  <c r="E220" i="16"/>
  <c r="E208" i="16"/>
  <c r="E196" i="16"/>
  <c r="E184" i="16"/>
  <c r="E172" i="16"/>
  <c r="E160" i="16"/>
  <c r="E148" i="16"/>
  <c r="E136" i="16"/>
  <c r="E124" i="16"/>
  <c r="E112" i="16"/>
  <c r="E100" i="16"/>
  <c r="E88" i="16"/>
  <c r="E76" i="16"/>
  <c r="E64" i="16"/>
  <c r="E52" i="16"/>
  <c r="E40" i="16"/>
  <c r="E28" i="16"/>
  <c r="E16" i="16"/>
  <c r="E4" i="16"/>
  <c r="D409" i="16"/>
  <c r="D639" i="16"/>
  <c r="C639" i="16"/>
  <c r="D638" i="16"/>
  <c r="C638" i="16"/>
  <c r="D290" i="16"/>
  <c r="D541" i="16"/>
  <c r="D397" i="16"/>
  <c r="D253" i="16"/>
  <c r="D109" i="16"/>
  <c r="C599" i="16"/>
  <c r="C455" i="16"/>
  <c r="C311" i="16"/>
  <c r="D551" i="16"/>
  <c r="D407" i="16"/>
  <c r="D263" i="16"/>
  <c r="D119" i="16"/>
  <c r="C609" i="16"/>
  <c r="C465" i="16"/>
  <c r="D634" i="16"/>
  <c r="D490" i="16"/>
  <c r="D346" i="16"/>
  <c r="D202" i="16"/>
  <c r="D58" i="16"/>
  <c r="C548" i="16"/>
  <c r="C404" i="16"/>
  <c r="D544" i="16"/>
  <c r="D400" i="16"/>
  <c r="D256" i="16"/>
  <c r="D112" i="16"/>
  <c r="C602" i="16"/>
  <c r="C458" i="16"/>
  <c r="D427" i="16"/>
  <c r="D211" i="16"/>
  <c r="C629" i="16"/>
  <c r="C418" i="16"/>
  <c r="C247" i="16"/>
  <c r="C103" i="16"/>
  <c r="D495" i="16"/>
  <c r="D444" i="16"/>
  <c r="D228" i="16"/>
  <c r="D12" i="16"/>
  <c r="C433" i="16"/>
  <c r="C258" i="16"/>
  <c r="C114" i="16"/>
  <c r="D585" i="16"/>
  <c r="D369" i="16"/>
  <c r="D153" i="16"/>
  <c r="C571" i="16"/>
  <c r="C366" i="16"/>
  <c r="C209" i="16"/>
  <c r="C65" i="16"/>
  <c r="D595" i="16"/>
  <c r="D291" i="16"/>
  <c r="C637" i="16"/>
  <c r="C361" i="16"/>
  <c r="C156" i="16"/>
  <c r="D566" i="16"/>
  <c r="D267" i="16"/>
  <c r="C613" i="16"/>
  <c r="C340" i="16"/>
  <c r="C140" i="16"/>
  <c r="D540" i="16"/>
  <c r="D237" i="16"/>
  <c r="C583" i="16"/>
  <c r="C318" i="16"/>
  <c r="C121" i="16"/>
  <c r="D453" i="16"/>
  <c r="D164" i="16"/>
  <c r="D529" i="16"/>
  <c r="D385" i="16"/>
  <c r="D241" i="16"/>
  <c r="D97" i="16"/>
  <c r="C587" i="16"/>
  <c r="C443" i="16"/>
  <c r="C299" i="16"/>
  <c r="D539" i="16"/>
  <c r="D395" i="16"/>
  <c r="D251" i="16"/>
  <c r="D107" i="16"/>
  <c r="C597" i="16"/>
  <c r="C453" i="16"/>
  <c r="D622" i="16"/>
  <c r="D478" i="16"/>
  <c r="D334" i="16"/>
  <c r="D190" i="16"/>
  <c r="D46" i="16"/>
  <c r="C536" i="16"/>
  <c r="C392" i="16"/>
  <c r="D532" i="16"/>
  <c r="D388" i="16"/>
  <c r="D244" i="16"/>
  <c r="D100" i="16"/>
  <c r="C590" i="16"/>
  <c r="D626" i="16"/>
  <c r="D410" i="16"/>
  <c r="D194" i="16"/>
  <c r="C612" i="16"/>
  <c r="C401" i="16"/>
  <c r="D517" i="16"/>
  <c r="D373" i="16"/>
  <c r="D229" i="16"/>
  <c r="D85" i="16"/>
  <c r="C575" i="16"/>
  <c r="C431" i="16"/>
  <c r="C287" i="16"/>
  <c r="D527" i="16"/>
  <c r="D383" i="16"/>
  <c r="D239" i="16"/>
  <c r="D95" i="16"/>
  <c r="C585" i="16"/>
  <c r="C441" i="16"/>
  <c r="D610" i="16"/>
  <c r="D466" i="16"/>
  <c r="D322" i="16"/>
  <c r="D178" i="16"/>
  <c r="D34" i="16"/>
  <c r="C524" i="16"/>
  <c r="C380" i="16"/>
  <c r="D520" i="16"/>
  <c r="D376" i="16"/>
  <c r="D232" i="16"/>
  <c r="D88" i="16"/>
  <c r="C578" i="16"/>
  <c r="D607" i="16"/>
  <c r="D391" i="16"/>
  <c r="D175" i="16"/>
  <c r="C593" i="16"/>
  <c r="C386" i="16"/>
  <c r="C223" i="16"/>
  <c r="C79" i="16"/>
  <c r="D624" i="16"/>
  <c r="D408" i="16"/>
  <c r="D192" i="16"/>
  <c r="C610" i="16"/>
  <c r="C400" i="16"/>
  <c r="C234" i="16"/>
  <c r="C90" i="16"/>
  <c r="D549" i="16"/>
  <c r="D333" i="16"/>
  <c r="D117" i="16"/>
  <c r="C535" i="16"/>
  <c r="C337" i="16"/>
  <c r="C185" i="16"/>
  <c r="C41" i="16"/>
  <c r="D543" i="16"/>
  <c r="D242" i="16"/>
  <c r="C588" i="16"/>
  <c r="C320" i="16"/>
  <c r="C123" i="16"/>
  <c r="D511" i="16"/>
  <c r="D218" i="16"/>
  <c r="C564" i="16"/>
  <c r="C303" i="16"/>
  <c r="C107" i="16"/>
  <c r="D486" i="16"/>
  <c r="D188" i="16"/>
  <c r="C534" i="16"/>
  <c r="C282" i="16"/>
  <c r="C88" i="16"/>
  <c r="D403" i="16"/>
  <c r="D115" i="16"/>
  <c r="B3" i="16"/>
  <c r="D505" i="16"/>
  <c r="D361" i="16"/>
  <c r="D217" i="16"/>
  <c r="D73" i="16"/>
  <c r="C563" i="16"/>
  <c r="C419" i="16"/>
  <c r="C275" i="16"/>
  <c r="D515" i="16"/>
  <c r="D371" i="16"/>
  <c r="D227" i="16"/>
  <c r="D83" i="16"/>
  <c r="C573" i="16"/>
  <c r="C429" i="16"/>
  <c r="D598" i="16"/>
  <c r="D454" i="16"/>
  <c r="D310" i="16"/>
  <c r="D166" i="16"/>
  <c r="D22" i="16"/>
  <c r="C512" i="16"/>
  <c r="C368" i="16"/>
  <c r="D508" i="16"/>
  <c r="D364" i="16"/>
  <c r="D220" i="16"/>
  <c r="D76" i="16"/>
  <c r="C566" i="16"/>
  <c r="D590" i="16"/>
  <c r="D374" i="16"/>
  <c r="D158" i="16"/>
  <c r="C576" i="16"/>
  <c r="C370" i="16"/>
  <c r="C211" i="16"/>
  <c r="C67" i="16"/>
  <c r="D606" i="16"/>
  <c r="D390" i="16"/>
  <c r="D174" i="16"/>
  <c r="C592" i="16"/>
  <c r="C385" i="16"/>
  <c r="C222" i="16"/>
  <c r="C78" i="16"/>
  <c r="D533" i="16"/>
  <c r="D317" i="16"/>
  <c r="D101" i="16"/>
  <c r="C519" i="16"/>
  <c r="C322" i="16"/>
  <c r="C173" i="16"/>
  <c r="C29" i="16"/>
  <c r="D637" i="16"/>
  <c r="D493" i="16"/>
  <c r="D349" i="16"/>
  <c r="D205" i="16"/>
  <c r="D61" i="16"/>
  <c r="C551" i="16"/>
  <c r="C407" i="16"/>
  <c r="C263" i="16"/>
  <c r="D503" i="16"/>
  <c r="D359" i="16"/>
  <c r="D215" i="16"/>
  <c r="D71" i="16"/>
  <c r="C561" i="16"/>
  <c r="C417" i="16"/>
  <c r="D586" i="16"/>
  <c r="D442" i="16"/>
  <c r="D298" i="16"/>
  <c r="D154" i="16"/>
  <c r="D10" i="16"/>
  <c r="C500" i="16"/>
  <c r="C356" i="16"/>
  <c r="D496" i="16"/>
  <c r="D352" i="16"/>
  <c r="D208" i="16"/>
  <c r="D64" i="16"/>
  <c r="C554" i="16"/>
  <c r="D571" i="16"/>
  <c r="D355" i="16"/>
  <c r="D139" i="16"/>
  <c r="C557" i="16"/>
  <c r="C353" i="16"/>
  <c r="C199" i="16"/>
  <c r="C55" i="16"/>
  <c r="D588" i="16"/>
  <c r="D372" i="16"/>
  <c r="D156" i="16"/>
  <c r="C574" i="16"/>
  <c r="C367" i="16"/>
  <c r="C210" i="16"/>
  <c r="C66" i="16"/>
  <c r="D513" i="16"/>
  <c r="D297" i="16"/>
  <c r="D81" i="16"/>
  <c r="C499" i="16"/>
  <c r="C309" i="16"/>
  <c r="C161" i="16"/>
  <c r="C17" i="16"/>
  <c r="D488" i="16"/>
  <c r="D197" i="16"/>
  <c r="C543" i="16"/>
  <c r="C288" i="16"/>
  <c r="C93" i="16"/>
  <c r="D458" i="16"/>
  <c r="D168" i="16"/>
  <c r="C514" i="16"/>
  <c r="C267" i="16"/>
  <c r="C74" i="16"/>
  <c r="D432" i="16"/>
  <c r="D144" i="16"/>
  <c r="C490" i="16"/>
  <c r="C250" i="16"/>
  <c r="C58" i="16"/>
  <c r="D357" i="16"/>
  <c r="D69" i="16"/>
  <c r="D625" i="16"/>
  <c r="D481" i="16"/>
  <c r="D337" i="16"/>
  <c r="D193" i="16"/>
  <c r="D49" i="16"/>
  <c r="C539" i="16"/>
  <c r="C395" i="16"/>
  <c r="D635" i="16"/>
  <c r="D491" i="16"/>
  <c r="D347" i="16"/>
  <c r="D203" i="16"/>
  <c r="D59" i="16"/>
  <c r="C549" i="16"/>
  <c r="C405" i="16"/>
  <c r="D574" i="16"/>
  <c r="D430" i="16"/>
  <c r="D286" i="16"/>
  <c r="D142" i="16"/>
  <c r="C632" i="16"/>
  <c r="C488" i="16"/>
  <c r="D628" i="16"/>
  <c r="D484" i="16"/>
  <c r="D340" i="16"/>
  <c r="D196" i="16"/>
  <c r="D52" i="16"/>
  <c r="C542" i="16"/>
  <c r="D554" i="16"/>
  <c r="D338" i="16"/>
  <c r="D122" i="16"/>
  <c r="C540" i="16"/>
  <c r="C339" i="16"/>
  <c r="C187" i="16"/>
  <c r="C43" i="16"/>
  <c r="D570" i="16"/>
  <c r="D354" i="16"/>
  <c r="D138" i="16"/>
  <c r="C556" i="16"/>
  <c r="C352" i="16"/>
  <c r="C198" i="16"/>
  <c r="C54" i="16"/>
  <c r="D497" i="16"/>
  <c r="D281" i="16"/>
  <c r="D65" i="16"/>
  <c r="C483" i="16"/>
  <c r="C296" i="16"/>
  <c r="C149" i="16"/>
  <c r="C5" i="16"/>
  <c r="D464" i="16"/>
  <c r="D170" i="16"/>
  <c r="C516" i="16"/>
  <c r="C268" i="16"/>
  <c r="C75" i="16"/>
  <c r="D434" i="16"/>
  <c r="D146" i="16"/>
  <c r="C492" i="16"/>
  <c r="C251" i="16"/>
  <c r="C59" i="16"/>
  <c r="D404" i="16"/>
  <c r="D116" i="16"/>
  <c r="C462" i="16"/>
  <c r="C232" i="16"/>
  <c r="C40" i="16"/>
  <c r="D331" i="16"/>
  <c r="D43" i="16"/>
  <c r="D613" i="16"/>
  <c r="D469" i="16"/>
  <c r="D325" i="16"/>
  <c r="D181" i="16"/>
  <c r="D37" i="16"/>
  <c r="C527" i="16"/>
  <c r="C383" i="16"/>
  <c r="D623" i="16"/>
  <c r="D479" i="16"/>
  <c r="D335" i="16"/>
  <c r="D191" i="16"/>
  <c r="D47" i="16"/>
  <c r="C537" i="16"/>
  <c r="C393" i="16"/>
  <c r="D562" i="16"/>
  <c r="D418" i="16"/>
  <c r="D274" i="16"/>
  <c r="D130" i="16"/>
  <c r="C620" i="16"/>
  <c r="C476" i="16"/>
  <c r="D616" i="16"/>
  <c r="D565" i="16"/>
  <c r="D421" i="16"/>
  <c r="D277" i="16"/>
  <c r="D133" i="16"/>
  <c r="C623" i="16"/>
  <c r="C479" i="16"/>
  <c r="C335" i="16"/>
  <c r="D575" i="16"/>
  <c r="D431" i="16"/>
  <c r="D287" i="16"/>
  <c r="D143" i="16"/>
  <c r="C633" i="16"/>
  <c r="C489" i="16"/>
  <c r="C345" i="16"/>
  <c r="D514" i="16"/>
  <c r="D370" i="16"/>
  <c r="D226" i="16"/>
  <c r="D82" i="16"/>
  <c r="C572" i="16"/>
  <c r="C428" i="16"/>
  <c r="D568" i="16"/>
  <c r="D424" i="16"/>
  <c r="D280" i="16"/>
  <c r="D136" i="16"/>
  <c r="C626" i="16"/>
  <c r="C482" i="16"/>
  <c r="D463" i="16"/>
  <c r="D247" i="16"/>
  <c r="D31" i="16"/>
  <c r="C449" i="16"/>
  <c r="C272" i="16"/>
  <c r="C127" i="16"/>
  <c r="D548" i="16"/>
  <c r="D480" i="16"/>
  <c r="D264" i="16"/>
  <c r="D48" i="16"/>
  <c r="C466" i="16"/>
  <c r="C284" i="16"/>
  <c r="C138" i="16"/>
  <c r="D621" i="16"/>
  <c r="D405" i="16"/>
  <c r="D189" i="16"/>
  <c r="C607" i="16"/>
  <c r="C399" i="16"/>
  <c r="C233" i="16"/>
  <c r="C89" i="16"/>
  <c r="D440" i="16"/>
  <c r="D341" i="16"/>
  <c r="D53" i="16"/>
  <c r="C403" i="16"/>
  <c r="C189" i="16"/>
  <c r="D618" i="16"/>
  <c r="D312" i="16"/>
  <c r="D24" i="16"/>
  <c r="C378" i="16"/>
  <c r="C170" i="16"/>
  <c r="D593" i="16"/>
  <c r="D288" i="16"/>
  <c r="C634" i="16"/>
  <c r="C358" i="16"/>
  <c r="C154" i="16"/>
  <c r="D537" i="16"/>
  <c r="D213" i="16"/>
  <c r="D553" i="16"/>
  <c r="C631" i="16"/>
  <c r="D561" i="16"/>
  <c r="C302" i="16"/>
  <c r="D93" i="16"/>
  <c r="C11" i="16"/>
  <c r="C360" i="16"/>
  <c r="D195" i="16"/>
  <c r="C45" i="16"/>
  <c r="C424" i="16"/>
  <c r="D269" i="16"/>
  <c r="D620" i="16"/>
  <c r="C283" i="16"/>
  <c r="D45" i="16"/>
  <c r="D477" i="16"/>
  <c r="C186" i="16"/>
  <c r="C538" i="16"/>
  <c r="D336" i="16"/>
  <c r="C31" i="16"/>
  <c r="C325" i="16"/>
  <c r="D266" i="16"/>
  <c r="C518" i="16"/>
  <c r="D268" i="16"/>
  <c r="D592" i="16"/>
  <c r="D106" i="16"/>
  <c r="D538" i="16"/>
  <c r="D23" i="16"/>
  <c r="D455" i="16"/>
  <c r="C503" i="16"/>
  <c r="D301" i="16"/>
  <c r="D20" i="16"/>
  <c r="D615" i="16"/>
  <c r="C336" i="16"/>
  <c r="D165" i="16"/>
  <c r="C26" i="16"/>
  <c r="C402" i="16"/>
  <c r="D240" i="16"/>
  <c r="C60" i="16"/>
  <c r="C445" i="16"/>
  <c r="D314" i="16"/>
  <c r="C53" i="16"/>
  <c r="C351" i="16"/>
  <c r="D137" i="16"/>
  <c r="D569" i="16"/>
  <c r="C246" i="16"/>
  <c r="C628" i="16"/>
  <c r="D426" i="16"/>
  <c r="C91" i="16"/>
  <c r="C434" i="16"/>
  <c r="D283" i="16"/>
  <c r="C530" i="16"/>
  <c r="D292" i="16"/>
  <c r="D604" i="16"/>
  <c r="D118" i="16"/>
  <c r="D550" i="16"/>
  <c r="D35" i="16"/>
  <c r="D467" i="16"/>
  <c r="C515" i="16"/>
  <c r="D313" i="16"/>
  <c r="C44" i="16"/>
  <c r="C384" i="16"/>
  <c r="C115" i="16"/>
  <c r="D214" i="16"/>
  <c r="C444" i="16"/>
  <c r="D209" i="16"/>
  <c r="D238" i="16"/>
  <c r="C422" i="16"/>
  <c r="C565" i="16"/>
  <c r="D84" i="16"/>
  <c r="D599" i="16"/>
  <c r="D236" i="16"/>
  <c r="C106" i="16"/>
  <c r="C442" i="16"/>
  <c r="D332" i="16"/>
  <c r="C155" i="16"/>
  <c r="C541" i="16"/>
  <c r="D384" i="16"/>
  <c r="C204" i="16"/>
  <c r="C615" i="16"/>
  <c r="D435" i="16"/>
  <c r="C125" i="16"/>
  <c r="C447" i="16"/>
  <c r="D245" i="16"/>
  <c r="C30" i="16"/>
  <c r="C324" i="16"/>
  <c r="D102" i="16"/>
  <c r="D534" i="16"/>
  <c r="C163" i="16"/>
  <c r="C521" i="16"/>
  <c r="D482" i="16"/>
  <c r="D28" i="16"/>
  <c r="D412" i="16"/>
  <c r="C464" i="16"/>
  <c r="D262" i="16"/>
  <c r="C381" i="16"/>
  <c r="D179" i="16"/>
  <c r="D611" i="16"/>
  <c r="D25" i="16"/>
  <c r="D457" i="16"/>
  <c r="D259" i="16"/>
  <c r="C136" i="16"/>
  <c r="C511" i="16"/>
  <c r="D360" i="16"/>
  <c r="C188" i="16"/>
  <c r="C586" i="16"/>
  <c r="D411" i="16"/>
  <c r="C219" i="16"/>
  <c r="D26" i="16"/>
  <c r="D519" i="16"/>
  <c r="C137" i="16"/>
  <c r="C463" i="16"/>
  <c r="D261" i="16"/>
  <c r="C42" i="16"/>
  <c r="C338" i="16"/>
  <c r="D120" i="16"/>
  <c r="D552" i="16"/>
  <c r="C175" i="16"/>
  <c r="D14" i="16"/>
  <c r="D499" i="16"/>
  <c r="D40" i="16"/>
  <c r="D436" i="16"/>
  <c r="C560" i="16"/>
  <c r="D358" i="16"/>
  <c r="C477" i="16"/>
  <c r="D275" i="16"/>
  <c r="C323" i="16"/>
  <c r="D121" i="16"/>
  <c r="D577" i="16"/>
  <c r="C10" i="16"/>
  <c r="D363" i="16"/>
  <c r="D30" i="16"/>
  <c r="D131" i="16"/>
  <c r="C92" i="16"/>
  <c r="C414" i="16"/>
  <c r="C139" i="16"/>
  <c r="D155" i="16"/>
  <c r="C73" i="16"/>
  <c r="C171" i="16"/>
  <c r="C18" i="16"/>
  <c r="D16" i="16"/>
  <c r="D250" i="16"/>
  <c r="D285" i="16"/>
  <c r="C169" i="16"/>
  <c r="C562" i="16"/>
  <c r="D381" i="16"/>
  <c r="C203" i="16"/>
  <c r="C636" i="16"/>
  <c r="D487" i="16"/>
  <c r="C237" i="16"/>
  <c r="D75" i="16"/>
  <c r="D572" i="16"/>
  <c r="C197" i="16"/>
  <c r="C555" i="16"/>
  <c r="D353" i="16"/>
  <c r="C102" i="16"/>
  <c r="C415" i="16"/>
  <c r="D210" i="16"/>
  <c r="D459" i="16"/>
  <c r="C235" i="16"/>
  <c r="D50" i="16"/>
  <c r="D518" i="16"/>
  <c r="D124" i="16"/>
  <c r="D448" i="16"/>
  <c r="C584" i="16"/>
  <c r="D382" i="16"/>
  <c r="C501" i="16"/>
  <c r="D299" i="16"/>
  <c r="C347" i="16"/>
  <c r="D145" i="16"/>
  <c r="D589" i="16"/>
  <c r="C423" i="16"/>
  <c r="D173" i="16"/>
  <c r="D462" i="16"/>
  <c r="D304" i="16"/>
  <c r="C611" i="16"/>
  <c r="D260" i="16"/>
  <c r="C493" i="16"/>
  <c r="D66" i="16"/>
  <c r="C357" i="16"/>
  <c r="D362" i="16"/>
  <c r="C432" i="16"/>
  <c r="C504" i="16"/>
  <c r="D13" i="16"/>
  <c r="D308" i="16"/>
  <c r="C184" i="16"/>
  <c r="C606" i="16"/>
  <c r="D456" i="16"/>
  <c r="C218" i="16"/>
  <c r="D51" i="16"/>
  <c r="D542" i="16"/>
  <c r="C252" i="16"/>
  <c r="D98" i="16"/>
  <c r="D619" i="16"/>
  <c r="C221" i="16"/>
  <c r="C591" i="16"/>
  <c r="D389" i="16"/>
  <c r="C126" i="16"/>
  <c r="C448" i="16"/>
  <c r="D246" i="16"/>
  <c r="D531" i="16"/>
  <c r="C259" i="16"/>
  <c r="D67" i="16"/>
  <c r="D535" i="16"/>
  <c r="D148" i="16"/>
  <c r="D460" i="16"/>
  <c r="C596" i="16"/>
  <c r="D394" i="16"/>
  <c r="C513" i="16"/>
  <c r="D311" i="16"/>
  <c r="C359" i="16"/>
  <c r="D157" i="16"/>
  <c r="D601" i="16"/>
  <c r="C377" i="16"/>
  <c r="C471" i="16"/>
  <c r="C271" i="16"/>
  <c r="D302" i="16"/>
  <c r="C416" i="16"/>
  <c r="D141" i="16"/>
  <c r="D339" i="16"/>
  <c r="C101" i="16"/>
  <c r="C297" i="16"/>
  <c r="D319" i="16"/>
  <c r="C440" i="16"/>
  <c r="D433" i="16"/>
  <c r="D309" i="16"/>
  <c r="D413" i="16"/>
  <c r="C310" i="16"/>
  <c r="C151" i="16"/>
  <c r="C452" i="16"/>
  <c r="C369" i="16"/>
  <c r="D380" i="16"/>
  <c r="C202" i="16"/>
  <c r="D21" i="16"/>
  <c r="D510" i="16"/>
  <c r="C236" i="16"/>
  <c r="D74" i="16"/>
  <c r="D594" i="16"/>
  <c r="C304" i="16"/>
  <c r="D125" i="16"/>
  <c r="D476" i="16"/>
  <c r="C245" i="16"/>
  <c r="C627" i="16"/>
  <c r="D425" i="16"/>
  <c r="C150" i="16"/>
  <c r="C484" i="16"/>
  <c r="D282" i="16"/>
  <c r="D603" i="16"/>
  <c r="C285" i="16"/>
  <c r="D86" i="16"/>
  <c r="C470" i="16"/>
  <c r="D160" i="16"/>
  <c r="D472" i="16"/>
  <c r="C608" i="16"/>
  <c r="D406" i="16"/>
  <c r="C525" i="16"/>
  <c r="D323" i="16"/>
  <c r="C371" i="16"/>
  <c r="D169" i="16"/>
  <c r="D216" i="16"/>
  <c r="C77" i="16"/>
  <c r="D605" i="16"/>
  <c r="C614" i="16"/>
  <c r="C333" i="16"/>
  <c r="C398" i="16"/>
  <c r="D386" i="16"/>
  <c r="D498" i="16"/>
  <c r="D4" i="16"/>
  <c r="C635" i="16"/>
  <c r="C469" i="16"/>
  <c r="D225" i="16"/>
  <c r="D446" i="16"/>
  <c r="D445" i="16"/>
  <c r="C582" i="16"/>
  <c r="D429" i="16"/>
  <c r="C217" i="16"/>
  <c r="D44" i="16"/>
  <c r="D564" i="16"/>
  <c r="C286" i="16"/>
  <c r="D96" i="16"/>
  <c r="C12" i="16"/>
  <c r="C341" i="16"/>
  <c r="D147" i="16"/>
  <c r="D512" i="16"/>
  <c r="C257" i="16"/>
  <c r="D9" i="16"/>
  <c r="D441" i="16"/>
  <c r="C162" i="16"/>
  <c r="C502" i="16"/>
  <c r="D300" i="16"/>
  <c r="C7" i="16"/>
  <c r="C298" i="16"/>
  <c r="D103" i="16"/>
  <c r="C494" i="16"/>
  <c r="D172" i="16"/>
  <c r="D556" i="16"/>
  <c r="D70" i="16"/>
  <c r="D502" i="16"/>
  <c r="C621" i="16"/>
  <c r="D419" i="16"/>
  <c r="C467" i="16"/>
  <c r="D265" i="16"/>
  <c r="D92" i="16"/>
  <c r="C108" i="16"/>
  <c r="C468" i="16"/>
  <c r="D563" i="16"/>
  <c r="C25" i="16"/>
  <c r="C141" i="16"/>
  <c r="C6" i="16"/>
  <c r="C485" i="16"/>
  <c r="D316" i="16"/>
  <c r="D587" i="16"/>
  <c r="D187" i="16"/>
  <c r="C122" i="16"/>
  <c r="C113" i="16"/>
  <c r="D516" i="16"/>
  <c r="D328" i="16"/>
  <c r="D167" i="16"/>
  <c r="C605" i="16"/>
  <c r="D509" i="16"/>
  <c r="C266" i="16"/>
  <c r="D72" i="16"/>
  <c r="D617" i="16"/>
  <c r="C319" i="16"/>
  <c r="D123" i="16"/>
  <c r="C27" i="16"/>
  <c r="C379" i="16"/>
  <c r="D219" i="16"/>
  <c r="D567" i="16"/>
  <c r="C270" i="16"/>
  <c r="D29" i="16"/>
  <c r="D461" i="16"/>
  <c r="C174" i="16"/>
  <c r="C520" i="16"/>
  <c r="D318" i="16"/>
  <c r="C19" i="16"/>
  <c r="C312" i="16"/>
  <c r="D230" i="16"/>
  <c r="C506" i="16"/>
  <c r="D184" i="16"/>
  <c r="D580" i="16"/>
  <c r="D94" i="16"/>
  <c r="D526" i="16"/>
  <c r="D11" i="16"/>
  <c r="D443" i="16"/>
  <c r="C491" i="16"/>
  <c r="D289" i="16"/>
  <c r="D636" i="16"/>
  <c r="D600" i="16"/>
  <c r="D560" i="16"/>
  <c r="D524" i="16"/>
  <c r="D485" i="16"/>
  <c r="D449" i="16"/>
  <c r="D414" i="16"/>
  <c r="D375" i="16"/>
  <c r="D342" i="16"/>
  <c r="D303" i="16"/>
  <c r="D270" i="16"/>
  <c r="D231" i="16"/>
  <c r="D198" i="16"/>
  <c r="D159" i="16"/>
  <c r="D126" i="16"/>
  <c r="D87" i="16"/>
  <c r="D54" i="16"/>
  <c r="D15" i="16"/>
  <c r="C616" i="16"/>
  <c r="C577" i="16"/>
  <c r="C545" i="16"/>
  <c r="C509" i="16"/>
  <c r="C478" i="16"/>
  <c r="C450" i="16"/>
  <c r="C420" i="16"/>
  <c r="C390" i="16"/>
  <c r="C363" i="16"/>
  <c r="C332" i="16"/>
  <c r="C313" i="16"/>
  <c r="C290" i="16"/>
  <c r="C264" i="16"/>
  <c r="C242" i="16"/>
  <c r="C224" i="16"/>
  <c r="C200" i="16"/>
  <c r="C179" i="16"/>
  <c r="C158" i="16"/>
  <c r="C134" i="16"/>
  <c r="C116" i="16"/>
  <c r="C95" i="16"/>
  <c r="C71" i="16"/>
  <c r="C50" i="16"/>
  <c r="C32" i="16"/>
  <c r="C8" i="16"/>
  <c r="D633" i="16"/>
  <c r="D596" i="16"/>
  <c r="D557" i="16"/>
  <c r="D507" i="16"/>
  <c r="D471" i="16"/>
  <c r="D423" i="16"/>
  <c r="D392" i="16"/>
  <c r="D348" i="16"/>
  <c r="D307" i="16"/>
  <c r="D272" i="16"/>
  <c r="D233" i="16"/>
  <c r="D186" i="16"/>
  <c r="D151" i="16"/>
  <c r="D111" i="16"/>
  <c r="D77" i="16"/>
  <c r="D36" i="16"/>
  <c r="C625" i="16"/>
  <c r="C594" i="16"/>
  <c r="C552" i="16"/>
  <c r="C522" i="16"/>
  <c r="C481" i="16"/>
  <c r="C451" i="16"/>
  <c r="C413" i="16"/>
  <c r="C388" i="16"/>
  <c r="C354" i="16"/>
  <c r="D631" i="16"/>
  <c r="D583" i="16"/>
  <c r="D545" i="16"/>
  <c r="D494" i="16"/>
  <c r="D450" i="16"/>
  <c r="D401" i="16"/>
  <c r="D365" i="16"/>
  <c r="D321" i="16"/>
  <c r="D276" i="16"/>
  <c r="D234" i="16"/>
  <c r="D185" i="16"/>
  <c r="D149" i="16"/>
  <c r="D105" i="16"/>
  <c r="D60" i="16"/>
  <c r="D18" i="16"/>
  <c r="C604" i="16"/>
  <c r="C568" i="16"/>
  <c r="C529" i="16"/>
  <c r="C495" i="16"/>
  <c r="C456" i="16"/>
  <c r="C421" i="16"/>
  <c r="C387" i="16"/>
  <c r="C349" i="16"/>
  <c r="C326" i="16"/>
  <c r="C295" i="16"/>
  <c r="C274" i="16"/>
  <c r="C248" i="16"/>
  <c r="C226" i="16"/>
  <c r="C201" i="16"/>
  <c r="C178" i="16"/>
  <c r="C153" i="16"/>
  <c r="C131" i="16"/>
  <c r="C109" i="16"/>
  <c r="C84" i="16"/>
  <c r="C62" i="16"/>
  <c r="C37" i="16"/>
  <c r="C15" i="16"/>
  <c r="D630" i="16"/>
  <c r="D582" i="16"/>
  <c r="D536" i="16"/>
  <c r="D492" i="16"/>
  <c r="D447" i="16"/>
  <c r="D399" i="16"/>
  <c r="D356" i="16"/>
  <c r="D320" i="16"/>
  <c r="D273" i="16"/>
  <c r="D224" i="16"/>
  <c r="D183" i="16"/>
  <c r="D140" i="16"/>
  <c r="D104" i="16"/>
  <c r="D57" i="16"/>
  <c r="D17" i="16"/>
  <c r="C603" i="16"/>
  <c r="C567" i="16"/>
  <c r="C528" i="16"/>
  <c r="C487" i="16"/>
  <c r="C454" i="16"/>
  <c r="C412" i="16"/>
  <c r="C382" i="16"/>
  <c r="C348" i="16"/>
  <c r="C321" i="16"/>
  <c r="C294" i="16"/>
  <c r="C273" i="16"/>
  <c r="C244" i="16"/>
  <c r="C225" i="16"/>
  <c r="C196" i="16"/>
  <c r="C177" i="16"/>
  <c r="C152" i="16"/>
  <c r="C130" i="16"/>
  <c r="C105" i="16"/>
  <c r="C83" i="16"/>
  <c r="C61" i="16"/>
  <c r="C36" i="16"/>
  <c r="C14" i="16"/>
  <c r="D609" i="16"/>
  <c r="D558" i="16"/>
  <c r="D501" i="16"/>
  <c r="D439" i="16"/>
  <c r="D393" i="16"/>
  <c r="D343" i="16"/>
  <c r="D293" i="16"/>
  <c r="D243" i="16"/>
  <c r="D182" i="16"/>
  <c r="D132" i="16"/>
  <c r="D80" i="16"/>
  <c r="D33" i="16"/>
  <c r="C618" i="16"/>
  <c r="C559" i="16"/>
  <c r="C517" i="16"/>
  <c r="C473" i="16"/>
  <c r="C430" i="16"/>
  <c r="C391" i="16"/>
  <c r="C346" i="16"/>
  <c r="C315" i="16"/>
  <c r="C281" i="16"/>
  <c r="C255" i="16"/>
  <c r="C228" i="16"/>
  <c r="C195" i="16"/>
  <c r="C168" i="16"/>
  <c r="C144" i="16"/>
  <c r="C117" i="16"/>
  <c r="C86" i="16"/>
  <c r="C57" i="16"/>
  <c r="C33" i="16"/>
  <c r="D608" i="16"/>
  <c r="D555" i="16"/>
  <c r="D500" i="16"/>
  <c r="D438" i="16"/>
  <c r="D387" i="16"/>
  <c r="D330" i="16"/>
  <c r="D284" i="16"/>
  <c r="D235" i="16"/>
  <c r="D180" i="16"/>
  <c r="D129" i="16"/>
  <c r="D79" i="16"/>
  <c r="D32" i="16"/>
  <c r="C617" i="16"/>
  <c r="C558" i="16"/>
  <c r="C510" i="16"/>
  <c r="C472" i="16"/>
  <c r="C427" i="16"/>
  <c r="C389" i="16"/>
  <c r="C344" i="16"/>
  <c r="C314" i="16"/>
  <c r="C280" i="16"/>
  <c r="C254" i="16"/>
  <c r="C227" i="16"/>
  <c r="C194" i="16"/>
  <c r="C167" i="16"/>
  <c r="C143" i="16"/>
  <c r="C112" i="16"/>
  <c r="C85" i="16"/>
  <c r="C56" i="16"/>
  <c r="C28" i="16"/>
  <c r="D602" i="16"/>
  <c r="D547" i="16"/>
  <c r="D489" i="16"/>
  <c r="D437" i="16"/>
  <c r="D379" i="16"/>
  <c r="D329" i="16"/>
  <c r="D279" i="16"/>
  <c r="D223" i="16"/>
  <c r="D177" i="16"/>
  <c r="D128" i="16"/>
  <c r="D78" i="16"/>
  <c r="D27" i="16"/>
  <c r="C601" i="16"/>
  <c r="C553" i="16"/>
  <c r="C508" i="16"/>
  <c r="C461" i="16"/>
  <c r="C426" i="16"/>
  <c r="C376" i="16"/>
  <c r="C343" i="16"/>
  <c r="C308" i="16"/>
  <c r="C279" i="16"/>
  <c r="C253" i="16"/>
  <c r="C220" i="16"/>
  <c r="C193" i="16"/>
  <c r="C166" i="16"/>
  <c r="C142" i="16"/>
  <c r="C111" i="16"/>
  <c r="C82" i="16"/>
  <c r="C52" i="16"/>
  <c r="C24" i="16"/>
  <c r="D597" i="16"/>
  <c r="D546" i="16"/>
  <c r="D483" i="16"/>
  <c r="D428" i="16"/>
  <c r="D378" i="16"/>
  <c r="D327" i="16"/>
  <c r="D278" i="16"/>
  <c r="D222" i="16"/>
  <c r="D176" i="16"/>
  <c r="D127" i="16"/>
  <c r="D68" i="16"/>
  <c r="D19" i="16"/>
  <c r="C600" i="16"/>
  <c r="C550" i="16"/>
  <c r="C507" i="16"/>
  <c r="C460" i="16"/>
  <c r="C425" i="16"/>
  <c r="C375" i="16"/>
  <c r="C342" i="16"/>
  <c r="C307" i="16"/>
  <c r="C278" i="16"/>
  <c r="C249" i="16"/>
  <c r="C216" i="16"/>
  <c r="C192" i="16"/>
  <c r="C165" i="16"/>
  <c r="C135" i="16"/>
  <c r="C110" i="16"/>
  <c r="C81" i="16"/>
  <c r="C51" i="16"/>
  <c r="C23" i="16"/>
  <c r="D591" i="16"/>
  <c r="D530" i="16"/>
  <c r="D475" i="16"/>
  <c r="D422" i="16"/>
  <c r="D377" i="16"/>
  <c r="D326" i="16"/>
  <c r="D271" i="16"/>
  <c r="D221" i="16"/>
  <c r="D171" i="16"/>
  <c r="D114" i="16"/>
  <c r="D63" i="16"/>
  <c r="D8" i="16"/>
  <c r="C598" i="16"/>
  <c r="C547" i="16"/>
  <c r="C505" i="16"/>
  <c r="C459" i="16"/>
  <c r="C411" i="16"/>
  <c r="C374" i="16"/>
  <c r="C334" i="16"/>
  <c r="C306" i="16"/>
  <c r="C277" i="16"/>
  <c r="C243" i="16"/>
  <c r="C215" i="16"/>
  <c r="C191" i="16"/>
  <c r="C164" i="16"/>
  <c r="C133" i="16"/>
  <c r="C104" i="16"/>
  <c r="C80" i="16"/>
  <c r="C49" i="16"/>
  <c r="C22" i="16"/>
  <c r="D584" i="16"/>
  <c r="D528" i="16"/>
  <c r="D474" i="16"/>
  <c r="D420" i="16"/>
  <c r="D368" i="16"/>
  <c r="D324" i="16"/>
  <c r="D258" i="16"/>
  <c r="D212" i="16"/>
  <c r="D163" i="16"/>
  <c r="D113" i="16"/>
  <c r="D62" i="16"/>
  <c r="D7" i="16"/>
  <c r="C595" i="16"/>
  <c r="C546" i="16"/>
  <c r="C498" i="16"/>
  <c r="C457" i="16"/>
  <c r="C410" i="16"/>
  <c r="C373" i="16"/>
  <c r="C331" i="16"/>
  <c r="C305" i="16"/>
  <c r="C276" i="16"/>
  <c r="C241" i="16"/>
  <c r="C214" i="16"/>
  <c r="C190" i="16"/>
  <c r="C160" i="16"/>
  <c r="C132" i="16"/>
  <c r="C100" i="16"/>
  <c r="C76" i="16"/>
  <c r="C48" i="16"/>
  <c r="C21" i="16"/>
  <c r="D581" i="16"/>
  <c r="D525" i="16"/>
  <c r="D473" i="16"/>
  <c r="D417" i="16"/>
  <c r="D367" i="16"/>
  <c r="D315" i="16"/>
  <c r="D257" i="16"/>
  <c r="D207" i="16"/>
  <c r="D162" i="16"/>
  <c r="D110" i="16"/>
  <c r="D56" i="16"/>
  <c r="D6" i="16"/>
  <c r="C589" i="16"/>
  <c r="C544" i="16"/>
  <c r="C497" i="16"/>
  <c r="C446" i="16"/>
  <c r="C409" i="16"/>
  <c r="C372" i="16"/>
  <c r="C330" i="16"/>
  <c r="C301" i="16"/>
  <c r="C269" i="16"/>
  <c r="C240" i="16"/>
  <c r="C213" i="16"/>
  <c r="C183" i="16"/>
  <c r="C159" i="16"/>
  <c r="C129" i="16"/>
  <c r="C99" i="16"/>
  <c r="C72" i="16"/>
  <c r="C47" i="16"/>
  <c r="C20" i="16"/>
  <c r="D632" i="16"/>
  <c r="D579" i="16"/>
  <c r="D523" i="16"/>
  <c r="D470" i="16"/>
  <c r="D416" i="16"/>
  <c r="D366" i="16"/>
  <c r="D306" i="16"/>
  <c r="D255" i="16"/>
  <c r="D206" i="16"/>
  <c r="D161" i="16"/>
  <c r="D108" i="16"/>
  <c r="D55" i="16"/>
  <c r="D5" i="16"/>
  <c r="C581" i="16"/>
  <c r="C533" i="16"/>
  <c r="C496" i="16"/>
  <c r="C439" i="16"/>
  <c r="C408" i="16"/>
  <c r="C365" i="16"/>
  <c r="C329" i="16"/>
  <c r="C300" i="16"/>
  <c r="C265" i="16"/>
  <c r="C239" i="16"/>
  <c r="C212" i="16"/>
  <c r="C182" i="16"/>
  <c r="C157" i="16"/>
  <c r="C128" i="16"/>
  <c r="C98" i="16"/>
  <c r="C70" i="16"/>
  <c r="C46" i="16"/>
  <c r="C16" i="16"/>
  <c r="D629" i="16"/>
  <c r="D578" i="16"/>
  <c r="D522" i="16"/>
  <c r="D468" i="16"/>
  <c r="D415" i="16"/>
  <c r="D351" i="16"/>
  <c r="D305" i="16"/>
  <c r="D254" i="16"/>
  <c r="D204" i="16"/>
  <c r="D152" i="16"/>
  <c r="D99" i="16"/>
  <c r="D42" i="16"/>
  <c r="C630" i="16"/>
  <c r="C580" i="16"/>
  <c r="C532" i="16"/>
  <c r="C486" i="16"/>
  <c r="C438" i="16"/>
  <c r="C406" i="16"/>
  <c r="C364" i="16"/>
  <c r="C328" i="16"/>
  <c r="C293" i="16"/>
  <c r="C262" i="16"/>
  <c r="C238" i="16"/>
  <c r="C208" i="16"/>
  <c r="C181" i="16"/>
  <c r="C148" i="16"/>
  <c r="C124" i="16"/>
  <c r="C97" i="16"/>
  <c r="C69" i="16"/>
  <c r="C39" i="16"/>
  <c r="C13" i="16"/>
  <c r="D627" i="16"/>
  <c r="D576" i="16"/>
  <c r="D521" i="16"/>
  <c r="D465" i="16"/>
  <c r="D402" i="16"/>
  <c r="D350" i="16"/>
  <c r="D296" i="16"/>
  <c r="D252" i="16"/>
  <c r="D201" i="16"/>
  <c r="D150" i="16"/>
  <c r="D91" i="16"/>
  <c r="D41" i="16"/>
  <c r="C624" i="16"/>
  <c r="C579" i="16"/>
  <c r="C531" i="16"/>
  <c r="C480" i="16"/>
  <c r="C437" i="16"/>
  <c r="C397" i="16"/>
  <c r="C362" i="16"/>
  <c r="C327" i="16"/>
  <c r="C292" i="16"/>
  <c r="C261" i="16"/>
  <c r="C231" i="16"/>
  <c r="C207" i="16"/>
  <c r="C180" i="16"/>
  <c r="C147" i="16"/>
  <c r="C120" i="16"/>
  <c r="C96" i="16"/>
  <c r="C68" i="16"/>
  <c r="C38" i="16"/>
  <c r="C9" i="16"/>
  <c r="D614" i="16"/>
  <c r="D573" i="16"/>
  <c r="D506" i="16"/>
  <c r="D452" i="16"/>
  <c r="D398" i="16"/>
  <c r="D345" i="16"/>
  <c r="D295" i="16"/>
  <c r="D249" i="16"/>
  <c r="D200" i="16"/>
  <c r="D135" i="16"/>
  <c r="D90" i="16"/>
  <c r="D39" i="16"/>
  <c r="C622" i="16"/>
  <c r="C570" i="16"/>
  <c r="C526" i="16"/>
  <c r="C475" i="16"/>
  <c r="C436" i="16"/>
  <c r="C396" i="16"/>
  <c r="C355" i="16"/>
  <c r="C317" i="16"/>
  <c r="C291" i="16"/>
  <c r="C260" i="16"/>
  <c r="C230" i="16"/>
  <c r="C206" i="16"/>
  <c r="C176" i="16"/>
  <c r="C146" i="16"/>
  <c r="C119" i="16"/>
  <c r="C94" i="16"/>
  <c r="C64" i="16"/>
  <c r="C35" i="16"/>
  <c r="C4" i="16"/>
  <c r="D612" i="16"/>
  <c r="D559" i="16"/>
  <c r="D504" i="16"/>
  <c r="D451" i="16"/>
  <c r="D396" i="16"/>
  <c r="D344" i="16"/>
  <c r="D294" i="16"/>
  <c r="D248" i="16"/>
  <c r="D199" i="16"/>
  <c r="D134" i="16"/>
  <c r="D89" i="16"/>
  <c r="D38" i="16"/>
  <c r="C619" i="16"/>
  <c r="C569" i="16"/>
  <c r="C523" i="16"/>
  <c r="C474" i="16"/>
  <c r="C435" i="16"/>
  <c r="C394" i="16"/>
  <c r="C350" i="16"/>
  <c r="C316" i="16"/>
  <c r="C289" i="16"/>
  <c r="C256" i="16"/>
  <c r="C229" i="16"/>
  <c r="C205" i="16"/>
  <c r="C172" i="16"/>
  <c r="C145" i="16"/>
  <c r="C118" i="16"/>
  <c r="C87" i="16"/>
  <c r="C63" i="16"/>
  <c r="C34" i="16"/>
  <c r="E3" i="16" l="1"/>
  <c r="D3" i="16"/>
  <c r="C3" i="16"/>
  <c r="J640" i="16" l="1"/>
  <c r="P640" i="16"/>
  <c r="N640" i="16"/>
  <c r="M640" i="16"/>
  <c r="K640" i="16"/>
  <c r="I640" i="16"/>
  <c r="Q640" i="16"/>
  <c r="H640" i="16"/>
  <c r="O640" i="16"/>
  <c r="L640" i="16"/>
  <c r="G640" i="16"/>
  <c r="F640"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Huong, Hoang Thu ( HN | FIN )</author>
    <author>Linh, Dao Thi Phuong ( HN | IR )</author>
  </authors>
  <commentList>
    <comment ref="P608" authorId="0" shapeId="0" xr:uid="{531BF9DB-B60F-420E-8E2A-7A8AB4F1E0CE}">
      <text>
        <r>
          <rPr>
            <b/>
            <sz val="9"/>
            <color indexed="81"/>
            <rFont val="Tahoma"/>
            <family val="2"/>
          </rPr>
          <t>Huong, Hoang Thu ( HN | FIN ):</t>
        </r>
        <r>
          <rPr>
            <sz val="9"/>
            <color indexed="81"/>
            <rFont val="Tahoma"/>
            <family val="2"/>
          </rPr>
          <t xml:space="preserve">
Không rõ ngày đóng cửa, chỉ biết năm 2024, nên note tạm</t>
        </r>
      </text>
    </comment>
    <comment ref="H898" authorId="1" shapeId="0" xr:uid="{D5B4FF08-9C56-442C-9971-00E185096297}">
      <text>
        <r>
          <rPr>
            <b/>
            <sz val="9"/>
            <color indexed="81"/>
            <rFont val="Tahoma"/>
            <family val="2"/>
          </rPr>
          <t>Linh, Dao Thi Phuong ( HN | IR ):</t>
        </r>
        <r>
          <rPr>
            <sz val="9"/>
            <color indexed="81"/>
            <rFont val="Tahoma"/>
            <family val="2"/>
          </rPr>
          <t xml:space="preserve">
shop in shop với Vuvu Duy Tân</t>
        </r>
      </text>
    </comment>
    <comment ref="T963" authorId="1" shapeId="0" xr:uid="{015B8F86-DF96-4B53-888A-DF6E59968A86}">
      <text>
        <r>
          <rPr>
            <b/>
            <sz val="9"/>
            <color indexed="81"/>
            <rFont val="Tahoma"/>
            <family val="2"/>
          </rPr>
          <t>Linh, Dao Thi Phuong ( HN | IR ):</t>
        </r>
        <r>
          <rPr>
            <sz val="9"/>
            <color indexed="81"/>
            <rFont val="Tahoma"/>
            <family val="2"/>
          </rPr>
          <t xml:space="preserve">
cùng 1 mặt bằng BlueBay có 3 con YT,GG,KK</t>
        </r>
      </text>
    </comment>
    <comment ref="T964" authorId="1" shapeId="0" xr:uid="{934F6557-30B5-4768-AEA3-9982AEA9EC1C}">
      <text>
        <r>
          <rPr>
            <b/>
            <sz val="9"/>
            <color indexed="81"/>
            <rFont val="Tahoma"/>
            <family val="2"/>
          </rPr>
          <t>Linh, Dao Thi Phuong ( HN | IR ):</t>
        </r>
        <r>
          <rPr>
            <sz val="9"/>
            <color indexed="81"/>
            <rFont val="Tahoma"/>
            <family val="2"/>
          </rPr>
          <t xml:space="preserve">
cùng 1 mặt bằng BlueBay có 3 con YT,GG,KK</t>
        </r>
      </text>
    </comment>
    <comment ref="T965" authorId="0" shapeId="0" xr:uid="{C95D39A6-33AB-4C35-8D1A-3C800D4B6928}">
      <text>
        <r>
          <rPr>
            <b/>
            <sz val="9"/>
            <color indexed="81"/>
            <rFont val="Tahoma"/>
            <family val="2"/>
          </rPr>
          <t>Huong, Hoang Thu ( HN | FIN ):</t>
        </r>
        <r>
          <rPr>
            <sz val="9"/>
            <color indexed="81"/>
            <rFont val="Tahoma"/>
            <family val="2"/>
          </rPr>
          <t xml:space="preserve">
Gắn vào TCH HCM Xuan Thuy 1010201</t>
        </r>
      </text>
    </comment>
    <comment ref="F1209" authorId="0" shapeId="0" xr:uid="{E79BD29F-084C-4DA2-9752-3D40C4E2BE52}">
      <text>
        <r>
          <rPr>
            <b/>
            <sz val="9"/>
            <color indexed="81"/>
            <rFont val="Tahoma"/>
            <charset val="1"/>
          </rPr>
          <t>Huong, Hoang Thu ( HN | FIN ):</t>
        </r>
        <r>
          <rPr>
            <sz val="9"/>
            <color indexed="81"/>
            <rFont val="Tahoma"/>
            <charset val="1"/>
          </rPr>
          <t xml:space="preserve">
Franchise nên không kí trực tiếp với chủ nhà</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FACF5C-C330-4685-9B00-A8F326B2CA68}" keepAlive="1" name="Query - Detail Capex 2026" description="Connection to the 'Detail Capex 2026' query in the workbook." type="5" refreshedVersion="7" background="1" saveData="1">
    <dbPr connection="Provider=Microsoft.Mashup.OleDb.1;Data Source=$Workbook$;Location=&quot;Detail Capex 2026&quot;;Extended Properties=&quot;&quot;" command="SELECT * FROM [Detail Capex 2026]"/>
  </connection>
  <connection id="2" xr16:uid="{A102E329-7BA5-4E8A-94E5-3C4883EB5B2A}" keepAlive="1" name="Query - Detail Capex 2026_Sumibi" description="Connection to the 'Detail Capex 2026_Sumibi' query in the workbook." type="5" refreshedVersion="7" background="1" saveData="1">
    <dbPr connection="Provider=Microsoft.Mashup.OleDb.1;Data Source=$Workbook$;Location=&quot;Detail Capex 2026_Sumibi&quot;;Extended Properties=&quot;&quot;" command="SELECT * FROM [Detail Capex 2026_Sumibi]"/>
  </connection>
  <connection id="3" xr16:uid="{9F46054F-465A-478D-968B-FE7A5D358290}" keepAlive="1" name="Query - DNG" description="Connection to the 'DNG' query in the workbook." type="5" refreshedVersion="7" background="1" saveData="1">
    <dbPr connection="Provider=Microsoft.Mashup.OleDb.1;Data Source=$Workbook$;Location=DNG;Extended Properties=&quot;&quot;" command="SELECT * FROM [DNG]"/>
  </connection>
  <connection id="4" xr16:uid="{112C9081-AA79-4AA5-BE54-64F14C7C1191}" keepAlive="1" name="Query - For consider" description="Connection to the 'For consider' query in the workbook." type="5" refreshedVersion="7" background="1" saveData="1">
    <dbPr connection="Provider=Microsoft.Mashup.OleDb.1;Data Source=$Workbook$;Location=&quot;For consider&quot;;Extended Properties=&quot;&quot;" command="SELECT * FROM [For consider]"/>
  </connection>
  <connection id="5" xr16:uid="{ADD2D524-5906-4D86-BD93-EF2AAB359CFF}" keepAlive="1" name="Query - Gogi" description="Connection to the 'Gogi' query in the workbook." type="5" refreshedVersion="7" background="1" saveData="1">
    <dbPr connection="Provider=Microsoft.Mashup.OleDb.1;Data Source=$Workbook$;Location=Gogi;Extended Properties=&quot;&quot;" command="SELECT * FROM [Gogi]"/>
  </connection>
  <connection id="6" xr16:uid="{943A24BF-4131-4E7D-8216-F131FA90290D}" keepAlive="1" name="Query - Isushi" description="Connection to the 'Isushi' query in the workbook." type="5" refreshedVersion="7" background="1" saveData="1">
    <dbPr connection="Provider=Microsoft.Mashup.OleDb.1;Data Source=$Workbook$;Location=Isushi;Extended Properties=&quot;&quot;" command="SELECT * FROM [Isushi]"/>
  </connection>
  <connection id="7" xr16:uid="{4E81A1F5-05F9-4B20-BA09-D7FB0BD14551}" keepAlive="1" name="Query - Kichi" description="Connection to the 'Kichi' query in the workbook." type="5" refreshedVersion="7" background="1" saveData="1">
    <dbPr connection="Provider=Microsoft.Mashup.OleDb.1;Data Source=$Workbook$;Location=Kichi;Extended Properties=&quot;&quot;" command="SELECT * FROM [Kichi]"/>
  </connection>
  <connection id="8" xr16:uid="{ECDC7C08-9357-4B38-AD13-0792D6AD5C70}" keepAlive="1" name="Query - Manwah" description="Connection to the 'Manwah' query in the workbook." type="5" refreshedVersion="7" background="1" saveData="1">
    <dbPr connection="Provider=Microsoft.Mashup.OleDb.1;Data Source=$Workbook$;Location=Manwah;Extended Properties=&quot;&quot;" command="SELECT * FROM [Manwah]"/>
  </connection>
  <connection id="9" xr16:uid="{DD454BE4-89D3-411D-B884-F5D7921B00DF}" keepAlive="1" name="Query - Others" description="Connection to the 'Others' query in the workbook." type="5" refreshedVersion="7" background="1" saveData="1">
    <dbPr connection="Provider=Microsoft.Mashup.OleDb.1;Data Source=$Workbook$;Location=Others;Extended Properties=&quot;&quot;" command="SELECT * FROM [Others]"/>
  </connection>
  <connection id="10" xr16:uid="{241CE4F6-8A41-4B76-AA97-E15ADF90AFDB}" keepAlive="1" name="Query - Plan 2026" description="Connection to the 'Plan 2026' query in the workbook." type="5" refreshedVersion="7" background="1" saveData="1">
    <dbPr connection="Provider=Microsoft.Mashup.OleDb.1;Data Source=$Workbook$;Location=&quot;Plan 2026&quot;;Extended Properties=&quot;&quot;" command="SELECT * FROM [Plan 2026]"/>
  </connection>
  <connection id="11" xr16:uid="{08B3B0EC-2783-4676-B801-F0259D4AAD96}" keepAlive="1" name="Query - TCH" description="Connection to the 'TCH' query in the workbook." type="5" refreshedVersion="7" background="1" saveData="1">
    <dbPr connection="Provider=Microsoft.Mashup.OleDb.1;Data Source=$Workbook$;Location=TCH;Extended Properties=&quot;&quot;" command="SELECT * FROM [TCH]"/>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<sst xmlns="http://schemas.openxmlformats.org/spreadsheetml/2006/main" count="37317" uniqueCount="6706">
  <si>
    <t>MASTER</t>
  </si>
  <si>
    <t>Code Budget</t>
  </si>
  <si>
    <t>Code Report (New)</t>
  </si>
  <si>
    <t>Area</t>
  </si>
  <si>
    <t>Status</t>
  </si>
  <si>
    <t>Store</t>
  </si>
  <si>
    <t>Zone</t>
  </si>
  <si>
    <t>Brand</t>
  </si>
  <si>
    <t>BR</t>
  </si>
  <si>
    <t>Opening date</t>
  </si>
  <si>
    <t>Openning date per budget</t>
  </si>
  <si>
    <t>Openning date per revised budget</t>
  </si>
  <si>
    <t>Closing date</t>
  </si>
  <si>
    <t>Shutdown/Convert</t>
  </si>
  <si>
    <t>Convert to</t>
  </si>
  <si>
    <t>Convert from</t>
  </si>
  <si>
    <t xml:space="preserve">Re-Opening Date </t>
  </si>
  <si>
    <t>Province</t>
  </si>
  <si>
    <t>Area - detail</t>
  </si>
  <si>
    <t>10AS5700</t>
  </si>
  <si>
    <t>North</t>
  </si>
  <si>
    <t>CLOSED</t>
  </si>
  <si>
    <t>Ashima 1 - 21 - 22 - 23 Điện Biên Phủ</t>
  </si>
  <si>
    <t>HN</t>
  </si>
  <si>
    <t>AS</t>
  </si>
  <si>
    <t>Ashima</t>
  </si>
  <si>
    <t>North - Hanoi</t>
  </si>
  <si>
    <t>10AS5701</t>
  </si>
  <si>
    <t>ACTIVE</t>
  </si>
  <si>
    <t>Ashima 2 - 182 Triệu Việt Vương</t>
  </si>
  <si>
    <t>10AS5702</t>
  </si>
  <si>
    <t>Ashima 6 - 60 Giang Văn Minh</t>
  </si>
  <si>
    <t>10KK4400</t>
  </si>
  <si>
    <t>Kichi Kichi Big C</t>
  </si>
  <si>
    <t>KK</t>
  </si>
  <si>
    <t>Kichi Kichi</t>
  </si>
  <si>
    <t>10KK4401</t>
  </si>
  <si>
    <t>Kichi Kichi Tăng Bạt Hổ</t>
  </si>
  <si>
    <t>10KK4402</t>
  </si>
  <si>
    <t>Kichi Kichi Phạm Ngọc Thạch</t>
  </si>
  <si>
    <t>SHUTDOWN</t>
  </si>
  <si>
    <t>10KK4403</t>
  </si>
  <si>
    <t>Kichi Kichi Vincom HN</t>
  </si>
  <si>
    <t>10KK4404</t>
  </si>
  <si>
    <t>Kichi Kichi Nguyễn Phong Sắc</t>
  </si>
  <si>
    <t>10KK4406</t>
  </si>
  <si>
    <t>Kichi Kichi Láng Hạ</t>
  </si>
  <si>
    <t>CONVERT</t>
  </si>
  <si>
    <t>10MG4734</t>
  </si>
  <si>
    <t>10SM4901</t>
  </si>
  <si>
    <t>Sumo BBQ Hoàng Quốc Việt</t>
  </si>
  <si>
    <t>SM</t>
  </si>
  <si>
    <t>Sumo BBQ</t>
  </si>
  <si>
    <t>10SM4902</t>
  </si>
  <si>
    <t>Sumo BBQ Huỳnh Thúc Kháng</t>
  </si>
  <si>
    <t>10SM4903</t>
  </si>
  <si>
    <t>Sumo BBQ Quán Sứ</t>
  </si>
  <si>
    <t>10SM4904</t>
  </si>
  <si>
    <t>Sumo BBQ Savico - Nguyễn Văn Linh</t>
  </si>
  <si>
    <t>10SS5900</t>
  </si>
  <si>
    <t>I Sushi Nguyễn Chí Thanh</t>
  </si>
  <si>
    <t>SS</t>
  </si>
  <si>
    <t>Isushi</t>
  </si>
  <si>
    <t>10ST6100</t>
  </si>
  <si>
    <t>37 Street Indochina Xuân Thủy</t>
  </si>
  <si>
    <t>ST</t>
  </si>
  <si>
    <t>Phố 37</t>
  </si>
  <si>
    <t>10LC4845</t>
  </si>
  <si>
    <t>10DR6200</t>
  </si>
  <si>
    <t>Daruma Giảng Võ</t>
  </si>
  <si>
    <t>DR</t>
  </si>
  <si>
    <t>Daruma</t>
  </si>
  <si>
    <t>10KK4405</t>
  </si>
  <si>
    <t>Kichi Kichi Trung Hòa Nhân Chính</t>
  </si>
  <si>
    <t>10GG4100</t>
  </si>
  <si>
    <t>Gogi House Big C</t>
  </si>
  <si>
    <t>GG</t>
  </si>
  <si>
    <t>Gogi</t>
  </si>
  <si>
    <t>10GG4102</t>
  </si>
  <si>
    <t>Gogi House Trần Thái Tông</t>
  </si>
  <si>
    <t>10KK4407</t>
  </si>
  <si>
    <t>Kichi Kichi Royal City</t>
  </si>
  <si>
    <t>10SM4905</t>
  </si>
  <si>
    <t>Sumo BBQ Royal City</t>
  </si>
  <si>
    <t>10GG4101</t>
  </si>
  <si>
    <t>Gogi House Royal City</t>
  </si>
  <si>
    <t>10GF4001</t>
  </si>
  <si>
    <t>Icook</t>
  </si>
  <si>
    <t>IC+CT</t>
  </si>
  <si>
    <t>GF</t>
  </si>
  <si>
    <t>10SM4906</t>
  </si>
  <si>
    <t>Sumo BBQ Tô Hiến Thành</t>
  </si>
  <si>
    <t>10VV5300</t>
  </si>
  <si>
    <t>Vuvuzela Trung Hòa Nhân Chính</t>
  </si>
  <si>
    <t>VV</t>
  </si>
  <si>
    <t>Vuvuzela</t>
  </si>
  <si>
    <t>10GG4103</t>
  </si>
  <si>
    <t xml:space="preserve">Gogi House Mipec </t>
  </si>
  <si>
    <t>10VV5310</t>
  </si>
  <si>
    <t>Vuvuzela Tràng Thi</t>
  </si>
  <si>
    <t>10GG4104</t>
  </si>
  <si>
    <t>Gogi House Phạm Ngọc Thạch</t>
  </si>
  <si>
    <t>10SM4900</t>
  </si>
  <si>
    <t>Sumo BBQ Big C</t>
  </si>
  <si>
    <t>10GG4128</t>
  </si>
  <si>
    <t>Gogi House Hạ Long</t>
  </si>
  <si>
    <t>QN</t>
  </si>
  <si>
    <t>North - Other Cities</t>
  </si>
  <si>
    <t>10GG4105</t>
  </si>
  <si>
    <t>Gogi House Bùi Thị Xuân</t>
  </si>
  <si>
    <t>10MW5117</t>
  </si>
  <si>
    <t>MW Nguyễn Hoàng</t>
  </si>
  <si>
    <t>MW</t>
  </si>
  <si>
    <t>MANWAH</t>
  </si>
  <si>
    <t>10VV5308</t>
  </si>
  <si>
    <t>Vuvuzela Nguyễn Trãi</t>
  </si>
  <si>
    <t>10GG4106</t>
  </si>
  <si>
    <t>Gogi House Trung Yên</t>
  </si>
  <si>
    <t>10CB5400</t>
  </si>
  <si>
    <t>Cowboy jack's Trung Hòa Nhân chính</t>
  </si>
  <si>
    <t>CB</t>
  </si>
  <si>
    <t>Cowboy Jack</t>
  </si>
  <si>
    <t>10HT4700</t>
  </si>
  <si>
    <t>Hutong Big C Thăng Long</t>
  </si>
  <si>
    <t>HT</t>
  </si>
  <si>
    <t>Hutong</t>
  </si>
  <si>
    <t>10DR6202</t>
  </si>
  <si>
    <t>Daruma Trung Hòa Nhân Chính</t>
  </si>
  <si>
    <t>10CB5410</t>
  </si>
  <si>
    <t>Cowboy Jack’s Số 8 Tràng Thi</t>
  </si>
  <si>
    <t>10DR6203</t>
  </si>
  <si>
    <t>Daruma Mipec</t>
  </si>
  <si>
    <t>10GG4107</t>
  </si>
  <si>
    <t>Gogi House Phó Đức Chính</t>
  </si>
  <si>
    <t>10GG4109</t>
  </si>
  <si>
    <t>Gogi House Trần Phú- Hà Đông</t>
  </si>
  <si>
    <t>10CB5402</t>
  </si>
  <si>
    <t>Cowboy Jack’s Trần Thái Tông</t>
  </si>
  <si>
    <t>10KP5603</t>
  </si>
  <si>
    <t>K-PUB Vincom Hải Phòng</t>
  </si>
  <si>
    <t>HP</t>
  </si>
  <si>
    <t>KP</t>
  </si>
  <si>
    <t>K-PUB</t>
  </si>
  <si>
    <t>10CB5405</t>
  </si>
  <si>
    <t>Cowboy Jack's Vincom Hải Phòng</t>
  </si>
  <si>
    <t>10HT4708</t>
  </si>
  <si>
    <t>Hutong Vincom Hải Phòng</t>
  </si>
  <si>
    <t>10CB5403</t>
  </si>
  <si>
    <t>Cowboy Jack's  AEON- Long Biên</t>
  </si>
  <si>
    <t>10KK4408</t>
  </si>
  <si>
    <t>Kichi Kichi AEON Long Biên</t>
  </si>
  <si>
    <t>10GG4108</t>
  </si>
  <si>
    <t>Gogi House Lạc Long Quân</t>
  </si>
  <si>
    <t>10GG4110</t>
  </si>
  <si>
    <t>Gogi House Giang Văn Minh</t>
  </si>
  <si>
    <t>10DR6204</t>
  </si>
  <si>
    <t>Daruma Vincom Nguyễn Chí Thanh</t>
  </si>
  <si>
    <t>10CB5404</t>
  </si>
  <si>
    <t>Cowboy Jack's Vincom Nguyễn Chí Thanh</t>
  </si>
  <si>
    <t>10GG4203</t>
  </si>
  <si>
    <t>Gogi House Trần Nguyên Hãn HP</t>
  </si>
  <si>
    <t>GOGI</t>
  </si>
  <si>
    <t>10MW5103</t>
  </si>
  <si>
    <t>Manwah Trần Nguyên Hãn HP</t>
  </si>
  <si>
    <t>10KK4410</t>
  </si>
  <si>
    <t>Kichi Kichi Times City</t>
  </si>
  <si>
    <t>10KP5600</t>
  </si>
  <si>
    <t>K-PUB Times City</t>
  </si>
  <si>
    <t>10SS5901</t>
  </si>
  <si>
    <t>I Sushi Triệu Việt Vương</t>
  </si>
  <si>
    <t>10GG4112</t>
  </si>
  <si>
    <t>Gogi House Huỳnh Thúc Kháng</t>
  </si>
  <si>
    <t>10HT4701</t>
  </si>
  <si>
    <t>Hutong Phó Đức Chính</t>
  </si>
  <si>
    <t>10GG4129</t>
  </si>
  <si>
    <t>Gogi House Vincom Thái Bình</t>
  </si>
  <si>
    <t>TB</t>
  </si>
  <si>
    <t>10GG4113</t>
  </si>
  <si>
    <t>Gogi House Mipec Long Biên</t>
  </si>
  <si>
    <t>10KK4411</t>
  </si>
  <si>
    <t>Kichi Kichi Mipec Long Biên</t>
  </si>
  <si>
    <t>10SG6300</t>
  </si>
  <si>
    <t>Shogun Dịch Vọng</t>
  </si>
  <si>
    <t>SG</t>
  </si>
  <si>
    <t>Shogun</t>
  </si>
  <si>
    <t>10GG4124</t>
  </si>
  <si>
    <t>Gogi House Nguyễn Đăng Đạo Bắc Ninh</t>
  </si>
  <si>
    <t>BN</t>
  </si>
  <si>
    <t>10HT4702</t>
  </si>
  <si>
    <t>Hutong Phạm Ngọc Thạch</t>
  </si>
  <si>
    <t>10SG6301</t>
  </si>
  <si>
    <t>Shogun Phạm Ngọc Thạch</t>
  </si>
  <si>
    <t>10SG6302</t>
  </si>
  <si>
    <t>Shogun Royal</t>
  </si>
  <si>
    <t>10GG4127</t>
  </si>
  <si>
    <t>Gogi House Nam Định</t>
  </si>
  <si>
    <t>NĐ</t>
  </si>
  <si>
    <t>10GG4114</t>
  </si>
  <si>
    <t>Gogi House Tân Mai</t>
  </si>
  <si>
    <t>10KK4413</t>
  </si>
  <si>
    <t>Kichi Kichi Lạc Long Quân</t>
  </si>
  <si>
    <t>10GG4117</t>
  </si>
  <si>
    <t>Gogi House Linh Đàm</t>
  </si>
  <si>
    <t>10HT4704</t>
  </si>
  <si>
    <t>Hutong Royal</t>
  </si>
  <si>
    <t>10GG4116</t>
  </si>
  <si>
    <t>Gogi House Ngụy Như Kon Tum</t>
  </si>
  <si>
    <t>10KK4414</t>
  </si>
  <si>
    <t>Kichi Kichi Linh Đàm</t>
  </si>
  <si>
    <t>10HT4703</t>
  </si>
  <si>
    <t>Hutong Nguyễn Khang</t>
  </si>
  <si>
    <t>10GG4134</t>
  </si>
  <si>
    <t>Gogi House Thái Nguyên</t>
  </si>
  <si>
    <t>TN</t>
  </si>
  <si>
    <t>10GG4115</t>
  </si>
  <si>
    <t>Gogi House ARTERMIS</t>
  </si>
  <si>
    <t>10KK4412</t>
  </si>
  <si>
    <t>Kichi Kichi ARTERMIS</t>
  </si>
  <si>
    <t>10GG4125</t>
  </si>
  <si>
    <t>Gogi House Từ Sơn Bắc Ninh</t>
  </si>
  <si>
    <t>10HT4705</t>
  </si>
  <si>
    <t xml:space="preserve">Hutong Time </t>
  </si>
  <si>
    <t>10GG4118</t>
  </si>
  <si>
    <t>Gogi House  Nguyễn Hoàng</t>
  </si>
  <si>
    <t>10HT4712</t>
  </si>
  <si>
    <t>Hutong Lý Bôn Thái Bình</t>
  </si>
  <si>
    <t>10YT5512</t>
  </si>
  <si>
    <t>Yutang Chùa Láng</t>
  </si>
  <si>
    <t>YT</t>
  </si>
  <si>
    <t>Yutang</t>
  </si>
  <si>
    <t>10GG4119</t>
  </si>
  <si>
    <t>Gogi House Trần Văn Lai</t>
  </si>
  <si>
    <t>10HT4711</t>
  </si>
  <si>
    <t>Hutong Lê Thánh Tông Quảng Ninh</t>
  </si>
  <si>
    <t>10KK4415</t>
  </si>
  <si>
    <t>Kichi Kichi Nguyễn Hoàng DOLPHIN</t>
  </si>
  <si>
    <t>10KK4416</t>
  </si>
  <si>
    <t>Kichi Kichi Eco Tô Hữu</t>
  </si>
  <si>
    <t>10MW5100</t>
  </si>
  <si>
    <t>Manwah Center Point</t>
  </si>
  <si>
    <t>10HT4710</t>
  </si>
  <si>
    <t>Hutong Nam Định</t>
  </si>
  <si>
    <t>10HT4706</t>
  </si>
  <si>
    <t>Hutong Triệu Việt Vương</t>
  </si>
  <si>
    <t>10GG4126</t>
  </si>
  <si>
    <t>Gogi Lê Hồng Phong Hải Phòng</t>
  </si>
  <si>
    <t>10HT4709</t>
  </si>
  <si>
    <t>Hutong Lê Hồng Phong Hải Phòng</t>
  </si>
  <si>
    <t>10AS5703</t>
  </si>
  <si>
    <t>Ashima Hoàng Đạo Thúy</t>
  </si>
  <si>
    <t>10SS5902</t>
  </si>
  <si>
    <t>I Sushi Hoàng Đạo Thúy</t>
  </si>
  <si>
    <t>10SB4801</t>
  </si>
  <si>
    <t>10KK4417</t>
  </si>
  <si>
    <t>Kichi Kichi Savico</t>
  </si>
  <si>
    <t>10GG4120</t>
  </si>
  <si>
    <t>Gogi House Vạn Phúc Hà Đông</t>
  </si>
  <si>
    <t>10HT4707</t>
  </si>
  <si>
    <t>Hutong Giảng Võ</t>
  </si>
  <si>
    <t>10YT5513</t>
  </si>
  <si>
    <t xml:space="preserve">Yutang Thái Phiên </t>
  </si>
  <si>
    <t>10GG4123</t>
  </si>
  <si>
    <t>Gogi House Tràng Tiền</t>
  </si>
  <si>
    <t>10GG4131</t>
  </si>
  <si>
    <t>Gogi Việt Trì Phú Thọ</t>
  </si>
  <si>
    <t>PT</t>
  </si>
  <si>
    <t>10KK4421</t>
  </si>
  <si>
    <t>Kichi Kichi Việt Trì Phú Thọ</t>
  </si>
  <si>
    <t>10SM4908</t>
  </si>
  <si>
    <t>Sumo BBQ Trung Yên</t>
  </si>
  <si>
    <t>10WM4788</t>
  </si>
  <si>
    <t>10KK4419</t>
  </si>
  <si>
    <t>Kichi Kichi Trương Định</t>
  </si>
  <si>
    <t>03HNOYT003</t>
  </si>
  <si>
    <t>Yutang Lí Thường Kiệt</t>
  </si>
  <si>
    <t>10VV5311</t>
  </si>
  <si>
    <t>Vuvuzela Artemis</t>
  </si>
  <si>
    <t>10GG4130</t>
  </si>
  <si>
    <t>Gogi L.V.Thăng Ninh Bình</t>
  </si>
  <si>
    <t>NB</t>
  </si>
  <si>
    <t>10KK4420</t>
  </si>
  <si>
    <t>Kichi Kichi L.V.Thăng Ninh Bình</t>
  </si>
  <si>
    <t>10AS5704</t>
  </si>
  <si>
    <t>Ashima Huỳnh Thúc Kháng</t>
  </si>
  <si>
    <t>10GG4121</t>
  </si>
  <si>
    <t xml:space="preserve">Gogi House Tô Hiệu </t>
  </si>
  <si>
    <t>10VV5301</t>
  </si>
  <si>
    <t>Vuvuzela Hà Đông Hồ Gươm Plaza</t>
  </si>
  <si>
    <t>10MW5101</t>
  </si>
  <si>
    <t>Manwah Parkson- Hòa Bình Tower</t>
  </si>
  <si>
    <t>10SS5903</t>
  </si>
  <si>
    <t>I Sushi Parkson ( Hòa Bình Tower)</t>
  </si>
  <si>
    <t>10VV5309</t>
  </si>
  <si>
    <t>Vuvuzela Parkson - Hòa Bình Tower</t>
  </si>
  <si>
    <t>10ST6101</t>
  </si>
  <si>
    <t>37 Street BIG C</t>
  </si>
  <si>
    <t>10KP5601</t>
  </si>
  <si>
    <t>K_PUB Royal City</t>
  </si>
  <si>
    <t>10PZ4944</t>
  </si>
  <si>
    <t>10GG4132</t>
  </si>
  <si>
    <t>Gogi House Lào Cai</t>
  </si>
  <si>
    <t>LC</t>
  </si>
  <si>
    <t>10MW5102</t>
  </si>
  <si>
    <t>Manwah Đào Tấn</t>
  </si>
  <si>
    <t>10GG4133</t>
  </si>
  <si>
    <t>Gogi Hải Dương</t>
  </si>
  <si>
    <t>HD</t>
  </si>
  <si>
    <t>10KK4422</t>
  </si>
  <si>
    <t>Kichi Hải Dương</t>
  </si>
  <si>
    <t>10ST6102</t>
  </si>
  <si>
    <t>37 Street Đào Tấn</t>
  </si>
  <si>
    <t>10LC4846</t>
  </si>
  <si>
    <t>10YT5500</t>
  </si>
  <si>
    <t>Yutang Big C</t>
  </si>
  <si>
    <t>10KK4418</t>
  </si>
  <si>
    <t>Kichi Kichi Diệp Linh Đông Anh</t>
  </si>
  <si>
    <t>10KP5602</t>
  </si>
  <si>
    <t>Nhà hàng K-PUB Diệp Linh Đông Anh</t>
  </si>
  <si>
    <t>10SM4907</t>
  </si>
  <si>
    <t>Sumo BBQ Aeonmall HimLam</t>
  </si>
  <si>
    <t>10GG4122</t>
  </si>
  <si>
    <t>Gogi House Aeonmall HimLam</t>
  </si>
  <si>
    <t>10VV5302</t>
  </si>
  <si>
    <t>Vuvu Duy Tân</t>
  </si>
  <si>
    <t>10KP5609</t>
  </si>
  <si>
    <t>K-PUB Nam Định</t>
  </si>
  <si>
    <t>10KK4484</t>
  </si>
  <si>
    <t>KK_NG TUAN</t>
  </si>
  <si>
    <t>10KP5608</t>
  </si>
  <si>
    <t>KP_SAVICO</t>
  </si>
  <si>
    <t>10GG4197</t>
  </si>
  <si>
    <t>GG Ng.Văn Lộc</t>
  </si>
  <si>
    <t>10YT5508</t>
  </si>
  <si>
    <t>Yutang Trần Huy Liệu</t>
  </si>
  <si>
    <t>10CD4743</t>
  </si>
  <si>
    <t>10MW5120</t>
  </si>
  <si>
    <t>Manwah Đông Anh</t>
  </si>
  <si>
    <t>10MW5104</t>
  </si>
  <si>
    <t>MW Vạn Phúc</t>
  </si>
  <si>
    <t>10YT5509</t>
  </si>
  <si>
    <t>Yutang Bắc Ninh</t>
  </si>
  <si>
    <t>10MW5122</t>
  </si>
  <si>
    <t>Manwah Bắc Ninh</t>
  </si>
  <si>
    <t>10MW5118</t>
  </si>
  <si>
    <t>MW Aeon Mall Long Bien</t>
  </si>
  <si>
    <t>10GG4198</t>
  </si>
  <si>
    <t>GG Hàm Nghi</t>
  </si>
  <si>
    <t>30GG4041</t>
  </si>
  <si>
    <t>South</t>
  </si>
  <si>
    <t>GG Satra PH</t>
  </si>
  <si>
    <t>HCM</t>
  </si>
  <si>
    <t>South - HCM</t>
  </si>
  <si>
    <t>10CP6700</t>
  </si>
  <si>
    <t>Addy Láng Hạ (Cowboy's Jack Pizzeria 500)</t>
  </si>
  <si>
    <t>CP</t>
  </si>
  <si>
    <t>Cowboy Jack Pizzeria</t>
  </si>
  <si>
    <t>10CB5411</t>
  </si>
  <si>
    <t>Cowboy Jack's Aeon Hà Đông</t>
  </si>
  <si>
    <t>10DR6205</t>
  </si>
  <si>
    <t>Daruma Shogun Dịch Vọng Hậu</t>
  </si>
  <si>
    <t>DARUMA</t>
  </si>
  <si>
    <t>10GG4201</t>
  </si>
  <si>
    <t>Gogi House Aeon Hà Đông</t>
  </si>
  <si>
    <t>10KK4489</t>
  </si>
  <si>
    <t>Kichi Kichi Aeon Hà Đông</t>
  </si>
  <si>
    <t>KICHI KICHI</t>
  </si>
  <si>
    <t>10MW5123</t>
  </si>
  <si>
    <t>Manwah Aeon Hà Đông</t>
  </si>
  <si>
    <t>10SM4925</t>
  </si>
  <si>
    <t>Sumo Aeon Hà Đông</t>
  </si>
  <si>
    <t>SUMO BBQ</t>
  </si>
  <si>
    <t>10SS5907</t>
  </si>
  <si>
    <t>I Sushi Aeon Hà Đông</t>
  </si>
  <si>
    <t>ISUSHI</t>
  </si>
  <si>
    <t>10YT5510</t>
  </si>
  <si>
    <t>Yutang Trần Đại Nghĩa</t>
  </si>
  <si>
    <t>YUTANG</t>
  </si>
  <si>
    <t>10CJ6408</t>
  </si>
  <si>
    <t>Crystal Jade Aeon Hà Đông</t>
  </si>
  <si>
    <t>CJ</t>
  </si>
  <si>
    <t>Crytal Jade</t>
  </si>
  <si>
    <t>10KP5612</t>
  </si>
  <si>
    <t>Kpub Lê Văn Lương Hà Nội</t>
  </si>
  <si>
    <t>10GG4202</t>
  </si>
  <si>
    <t>GG_VĨNH PHÚC</t>
  </si>
  <si>
    <t>VP</t>
  </si>
  <si>
    <t>10GG4199</t>
  </si>
  <si>
    <t>GG Bạch Đằng Hải Phòng</t>
  </si>
  <si>
    <t>10GS7000</t>
  </si>
  <si>
    <t>GG Steak LVL</t>
  </si>
  <si>
    <t>GS</t>
  </si>
  <si>
    <t>Gogi Steak</t>
  </si>
  <si>
    <t>10KK4483</t>
  </si>
  <si>
    <t>KK Thụy Khuê</t>
  </si>
  <si>
    <t>10KK4485</t>
  </si>
  <si>
    <t>KK Bạch Đằng Hải Phòng</t>
  </si>
  <si>
    <t>10KP5613</t>
  </si>
  <si>
    <t>K-PUB Big C</t>
  </si>
  <si>
    <t>10GG4210</t>
  </si>
  <si>
    <t>Gogi House Times Garden Hạ Long</t>
  </si>
  <si>
    <t>HL</t>
  </si>
  <si>
    <t>10KK4496</t>
  </si>
  <si>
    <t>KK LHP Hải Phòng</t>
  </si>
  <si>
    <t>10KT7100</t>
  </si>
  <si>
    <t>Ktop Lê Hồng Phong Hải Phòng</t>
  </si>
  <si>
    <t>KT</t>
  </si>
  <si>
    <t>K TOP</t>
  </si>
  <si>
    <t>30KP4376</t>
  </si>
  <si>
    <t>KP Dang Van Bi</t>
  </si>
  <si>
    <t>10MW5132</t>
  </si>
  <si>
    <t>Manwah Phú Thọ</t>
  </si>
  <si>
    <t>30KP4571</t>
  </si>
  <si>
    <t>K-Pub Vincom Plaza Huế</t>
  </si>
  <si>
    <t>HUE</t>
  </si>
  <si>
    <t>10GG4206</t>
  </si>
  <si>
    <t>Gogi House Hà Nam</t>
  </si>
  <si>
    <t>HNA</t>
  </si>
  <si>
    <t>10MW5127</t>
  </si>
  <si>
    <t>Manwah Mỗ Lao Hà Đông</t>
  </si>
  <si>
    <t>10MW5129</t>
  </si>
  <si>
    <t>Manwah Big C Hà Nội</t>
  </si>
  <si>
    <t>10MW5128</t>
  </si>
  <si>
    <t>Manwah Lạng Sơn</t>
  </si>
  <si>
    <t>LS</t>
  </si>
  <si>
    <t>10MW5126</t>
  </si>
  <si>
    <t>Manwah Hà Nam</t>
  </si>
  <si>
    <t>10CI6900</t>
  </si>
  <si>
    <t>The coffee inn Trần Huy Liệu</t>
  </si>
  <si>
    <t>CI</t>
  </si>
  <si>
    <t>THE COFFEE INN</t>
  </si>
  <si>
    <t>10CI6901</t>
  </si>
  <si>
    <t>TCI Trường Chinh</t>
  </si>
  <si>
    <t>10GG4209</t>
  </si>
  <si>
    <t>Gogi House Savico</t>
  </si>
  <si>
    <t>10SG4612</t>
  </si>
  <si>
    <t>SG Thái Nguyên</t>
  </si>
  <si>
    <t>SHOGUN</t>
  </si>
  <si>
    <t>10KP5621</t>
  </si>
  <si>
    <t>10GG4207</t>
  </si>
  <si>
    <t>Gogi Lạng Sơn</t>
  </si>
  <si>
    <t>10KK4497</t>
  </si>
  <si>
    <t>KK VC Trần Duy Hưng</t>
  </si>
  <si>
    <t>10KT7101</t>
  </si>
  <si>
    <t>Ktop Aeon HĐ</t>
  </si>
  <si>
    <t>30AS4388</t>
  </si>
  <si>
    <t>AS Nguyen Dinh Chieu</t>
  </si>
  <si>
    <t>30AS4389</t>
  </si>
  <si>
    <t>AS Tu xuong</t>
  </si>
  <si>
    <t>30KK4257</t>
  </si>
  <si>
    <t>KK Phu My Hung</t>
  </si>
  <si>
    <t>30KK4259</t>
  </si>
  <si>
    <t>KK VC Dong Khoi</t>
  </si>
  <si>
    <t>30KK4260</t>
  </si>
  <si>
    <t>KK Phan Xich Long</t>
  </si>
  <si>
    <t>30KK4258</t>
  </si>
  <si>
    <t>KK Cao Thang</t>
  </si>
  <si>
    <t>30KK4262</t>
  </si>
  <si>
    <t>KK Nguyen Van Troi</t>
  </si>
  <si>
    <t>30MG4860</t>
  </si>
  <si>
    <t>30KK4263</t>
  </si>
  <si>
    <t>KK Su Van Hanh</t>
  </si>
  <si>
    <t>30SM4333</t>
  </si>
  <si>
    <t>SM Le Van Sy</t>
  </si>
  <si>
    <t>20SM4913</t>
  </si>
  <si>
    <t>SM VC Dong Khoi</t>
  </si>
  <si>
    <t>30SM4334</t>
  </si>
  <si>
    <t>SM Phan Xich Long</t>
  </si>
  <si>
    <t>20KK4448</t>
  </si>
  <si>
    <t>KK Pandora</t>
  </si>
  <si>
    <t>30KK4253</t>
  </si>
  <si>
    <t>KK BigC DNA</t>
  </si>
  <si>
    <t>DNA</t>
  </si>
  <si>
    <t>South - Other Cities</t>
  </si>
  <si>
    <t>20CC4012</t>
  </si>
  <si>
    <t>BCC Cao Thang</t>
  </si>
  <si>
    <t>CC</t>
  </si>
  <si>
    <t>Ba Con Cừu</t>
  </si>
  <si>
    <t>30KK4261</t>
  </si>
  <si>
    <t>KK Nguyen Trai</t>
  </si>
  <si>
    <t>30KK4264</t>
  </si>
  <si>
    <t>KK Maximax CH</t>
  </si>
  <si>
    <t>20GG4153</t>
  </si>
  <si>
    <t>GG Nguyen Thai Hoc</t>
  </si>
  <si>
    <t>30SM4335</t>
  </si>
  <si>
    <t>SM Cao Thang</t>
  </si>
  <si>
    <t>30CD4683</t>
  </si>
  <si>
    <t>30GG4027</t>
  </si>
  <si>
    <t>GG Le Van Sy</t>
  </si>
  <si>
    <t>30KK4265</t>
  </si>
  <si>
    <t>KK Nguyen Son</t>
  </si>
  <si>
    <t>30GG4023</t>
  </si>
  <si>
    <t>GG Pegasus DNA</t>
  </si>
  <si>
    <t>21VV5307</t>
  </si>
  <si>
    <t>VV Imperial VTA</t>
  </si>
  <si>
    <t>VTA</t>
  </si>
  <si>
    <t>30GG4010</t>
  </si>
  <si>
    <t>GG Aeon BDU</t>
  </si>
  <si>
    <t>BDU</t>
  </si>
  <si>
    <t>30KK4094</t>
  </si>
  <si>
    <t>KK Aeon BDU</t>
  </si>
  <si>
    <t>30GG4028</t>
  </si>
  <si>
    <t>GG Phan Xich Long</t>
  </si>
  <si>
    <t>30GG4029</t>
  </si>
  <si>
    <t>GG VC Thu Duc</t>
  </si>
  <si>
    <t>30KK4266</t>
  </si>
  <si>
    <t>KK VC Thu Duc</t>
  </si>
  <si>
    <t>30SS4394</t>
  </si>
  <si>
    <t>SS Truong Son</t>
  </si>
  <si>
    <t>30GG4030</t>
  </si>
  <si>
    <t>GG Vivo</t>
  </si>
  <si>
    <t>30KK4267</t>
  </si>
  <si>
    <t>KK Vivo</t>
  </si>
  <si>
    <t>20SM4916</t>
  </si>
  <si>
    <t>SM Vivo</t>
  </si>
  <si>
    <t>30GG4031</t>
  </si>
  <si>
    <t>GG VC Dong Khoi</t>
  </si>
  <si>
    <t>30KK4268</t>
  </si>
  <si>
    <t>KK Aeon Tan Phu</t>
  </si>
  <si>
    <t>10CB5401</t>
  </si>
  <si>
    <t>Cowboy jack's Mipec</t>
  </si>
  <si>
    <t>30CJ4527</t>
  </si>
  <si>
    <t>CJ VC DAN</t>
  </si>
  <si>
    <t>DAN</t>
  </si>
  <si>
    <t>30GG4020</t>
  </si>
  <si>
    <t>GG VC DAN</t>
  </si>
  <si>
    <t>30KK4099</t>
  </si>
  <si>
    <t>KK VC Hung Vuong CTH</t>
  </si>
  <si>
    <t>CTH</t>
  </si>
  <si>
    <t>30GG4016</t>
  </si>
  <si>
    <t>GG VC Hung Vuong CTH</t>
  </si>
  <si>
    <t>30GG4024</t>
  </si>
  <si>
    <t>GG VC Bien Hoa DNA</t>
  </si>
  <si>
    <t>30KK4254</t>
  </si>
  <si>
    <t>KK VC Bien Hoa DNA</t>
  </si>
  <si>
    <t>30GG4033</t>
  </si>
  <si>
    <t>GG VC Quang Trung</t>
  </si>
  <si>
    <t>20KP5605</t>
  </si>
  <si>
    <t>KP Hoa Dao</t>
  </si>
  <si>
    <t>20SM4917</t>
  </si>
  <si>
    <t>SM Le Lai</t>
  </si>
  <si>
    <t>30GG4017</t>
  </si>
  <si>
    <t>GG Lotte CTH</t>
  </si>
  <si>
    <t>21VV5303</t>
  </si>
  <si>
    <t>VV Lotte CTH</t>
  </si>
  <si>
    <t>30GG4032</t>
  </si>
  <si>
    <t>GG SSG Van Thanh</t>
  </si>
  <si>
    <t>30KK4269</t>
  </si>
  <si>
    <t>KK SSG Van Thanh</t>
  </si>
  <si>
    <t>30GG4011</t>
  </si>
  <si>
    <t>GG Nguyen Kim BDU</t>
  </si>
  <si>
    <t>30GG4008</t>
  </si>
  <si>
    <t>GG VC Long Xuyen ANG</t>
  </si>
  <si>
    <t>ANG</t>
  </si>
  <si>
    <t>30KK4092</t>
  </si>
  <si>
    <t>KK VC Long Xuyen ANG</t>
  </si>
  <si>
    <t>30SM4336</t>
  </si>
  <si>
    <t>SM VC Thao Dien</t>
  </si>
  <si>
    <t>30GG4034</t>
  </si>
  <si>
    <t>GG Emart PVT</t>
  </si>
  <si>
    <t>30GG4035</t>
  </si>
  <si>
    <t>GG Aeon Tan Phu</t>
  </si>
  <si>
    <t>21CB5406</t>
  </si>
  <si>
    <t>CB Aeon BDU</t>
  </si>
  <si>
    <t>30GG4019</t>
  </si>
  <si>
    <t>GG VC Buon Me Thuot DAK</t>
  </si>
  <si>
    <t>DAK</t>
  </si>
  <si>
    <t>30KK4249</t>
  </si>
  <si>
    <t>KK VC Buon Me Thuot DAK</t>
  </si>
  <si>
    <t>30GG4036</t>
  </si>
  <si>
    <t>GG VC Le Van Viet</t>
  </si>
  <si>
    <t>30KK4270</t>
  </si>
  <si>
    <t>KK VC Le Van Viet</t>
  </si>
  <si>
    <t>21CB5407</t>
  </si>
  <si>
    <t>CB VC Bien Hoa DNA</t>
  </si>
  <si>
    <t>30SM4332</t>
  </si>
  <si>
    <t>SM VC Bien Hoa DNA</t>
  </si>
  <si>
    <t>30CD4744</t>
  </si>
  <si>
    <t>30GG4037</t>
  </si>
  <si>
    <t>GG Lotte PVT</t>
  </si>
  <si>
    <t>30KK4271</t>
  </si>
  <si>
    <t>KK Lotte Phan Van Tri</t>
  </si>
  <si>
    <t>20CB5408</t>
  </si>
  <si>
    <t>CB Lotte Phan Van Tri</t>
  </si>
  <si>
    <t>30KK4250</t>
  </si>
  <si>
    <t>KK VC DAN</t>
  </si>
  <si>
    <t>30SM4331</t>
  </si>
  <si>
    <t>SM VC DAN</t>
  </si>
  <si>
    <t>30CJ4529</t>
  </si>
  <si>
    <t>CJ Aeon Binh Tan</t>
  </si>
  <si>
    <t>30GG4038</t>
  </si>
  <si>
    <t>GG Aeon Binh Tan</t>
  </si>
  <si>
    <t>30KK4272</t>
  </si>
  <si>
    <t>KK Aeon Binh Tan</t>
  </si>
  <si>
    <t>20KP5606</t>
  </si>
  <si>
    <t>KP Aeon Binh Tan</t>
  </si>
  <si>
    <t>20OS6501</t>
  </si>
  <si>
    <t>OS Aeon Binh Tan</t>
  </si>
  <si>
    <t>OS</t>
  </si>
  <si>
    <t>Osaka Osho</t>
  </si>
  <si>
    <t>30GG4058</t>
  </si>
  <si>
    <t>GG Lotte NT KHO</t>
  </si>
  <si>
    <t>KHO</t>
  </si>
  <si>
    <t>30KK4287</t>
  </si>
  <si>
    <t>KK Lotte NT KHO</t>
  </si>
  <si>
    <t>30CJ4528</t>
  </si>
  <si>
    <t>CJ SG Center</t>
  </si>
  <si>
    <t>30GG4039</t>
  </si>
  <si>
    <t>GG SG Center</t>
  </si>
  <si>
    <t>30ST4525</t>
  </si>
  <si>
    <t>ST SG Center</t>
  </si>
  <si>
    <t>30HC4936</t>
  </si>
  <si>
    <t>20OS6502</t>
  </si>
  <si>
    <t>OS SG Center</t>
  </si>
  <si>
    <t>20CB5409</t>
  </si>
  <si>
    <t>CB SG Center</t>
  </si>
  <si>
    <t>30KK4273</t>
  </si>
  <si>
    <t>KK SG Center</t>
  </si>
  <si>
    <t>30GG4018</t>
  </si>
  <si>
    <t>GG VC Xuan Khanh CTH</t>
  </si>
  <si>
    <t>30KK4152</t>
  </si>
  <si>
    <t>KK VC Xuan Khanh CTH</t>
  </si>
  <si>
    <t>30CJ4526</t>
  </si>
  <si>
    <t>CJ VC Xuan Khanh CTH</t>
  </si>
  <si>
    <t>20ST6104</t>
  </si>
  <si>
    <t>ST Tan Son Nhat</t>
  </si>
  <si>
    <t>20KK4459</t>
  </si>
  <si>
    <t>KK Tan Son Nhat</t>
  </si>
  <si>
    <t>20GG4167</t>
  </si>
  <si>
    <t>GG Tan Son Nhat</t>
  </si>
  <si>
    <t>30GG4040</t>
  </si>
  <si>
    <t>GG Nguyen Hong Dao</t>
  </si>
  <si>
    <t>30KK4095</t>
  </si>
  <si>
    <t>KK Hung Vuong TDM BDU</t>
  </si>
  <si>
    <t>10MW4611</t>
  </si>
  <si>
    <t>Manwah Thái Nguyên</t>
  </si>
  <si>
    <t>10KT7105</t>
  </si>
  <si>
    <t>30SM4337</t>
  </si>
  <si>
    <t>SM Bigc Orental Tan Phu</t>
  </si>
  <si>
    <t>30SS4762</t>
  </si>
  <si>
    <t>30GG4042</t>
  </si>
  <si>
    <t>GG Au Co Tan Phu</t>
  </si>
  <si>
    <t>30GG4021</t>
  </si>
  <si>
    <t>GG Nguyen Van Linh DAN</t>
  </si>
  <si>
    <t>30KK4251</t>
  </si>
  <si>
    <t>KK Nguyen Van Linh DAN</t>
  </si>
  <si>
    <t>30KK4274</t>
  </si>
  <si>
    <t>KK VC Nguyen Xi</t>
  </si>
  <si>
    <t>30GG4043</t>
  </si>
  <si>
    <t>GG VC Nguyen Xi</t>
  </si>
  <si>
    <t>30GG4015</t>
  </si>
  <si>
    <t>GG Sensi CMA</t>
  </si>
  <si>
    <t>CMA</t>
  </si>
  <si>
    <t>30KK4098</t>
  </si>
  <si>
    <t>KK Sensi CMA</t>
  </si>
  <si>
    <t>30HT4321</t>
  </si>
  <si>
    <t>HT Le Qui Don</t>
  </si>
  <si>
    <t>30MT4854</t>
  </si>
  <si>
    <t>30GG4044</t>
  </si>
  <si>
    <t>GG Nguyen Tri Phuong</t>
  </si>
  <si>
    <t>30KK4276</t>
  </si>
  <si>
    <t>KK Nguyen Hong Dao</t>
  </si>
  <si>
    <t>30SM4330</t>
  </si>
  <si>
    <t>SM Aeon BDU</t>
  </si>
  <si>
    <t>30GG4045</t>
  </si>
  <si>
    <t>GG Nguyen Kim CT</t>
  </si>
  <si>
    <t>30AS4392</t>
  </si>
  <si>
    <t>AS Xuan Thuy</t>
  </si>
  <si>
    <t>20ST6105</t>
  </si>
  <si>
    <t>ST Emart Phan Van Tri</t>
  </si>
  <si>
    <t>30KK4277</t>
  </si>
  <si>
    <t>KK VC Thao Dien</t>
  </si>
  <si>
    <t>30GG4046</t>
  </si>
  <si>
    <t>GG Nguyen Anh Thu</t>
  </si>
  <si>
    <t>30KK4275</t>
  </si>
  <si>
    <t>KK Nguyen Anh Thu</t>
  </si>
  <si>
    <t>30GG4013</t>
  </si>
  <si>
    <t>GG Go Dau BDU</t>
  </si>
  <si>
    <t>30KK4096</t>
  </si>
  <si>
    <t>KK Go Dau BDU</t>
  </si>
  <si>
    <t>30AS4391</t>
  </si>
  <si>
    <t>AS Nguyen Trai</t>
  </si>
  <si>
    <t>30HT4322</t>
  </si>
  <si>
    <t>HT Aeon Binh Tan</t>
  </si>
  <si>
    <t>20SM4920</t>
  </si>
  <si>
    <t>SM Aeon Binh Tan</t>
  </si>
  <si>
    <t>30GG4022</t>
  </si>
  <si>
    <t>GG Lotte DAN</t>
  </si>
  <si>
    <t>30KK4252</t>
  </si>
  <si>
    <t>KK Lotte DAN</t>
  </si>
  <si>
    <t>21HT4721</t>
  </si>
  <si>
    <t>HT Ariyana NT KHO</t>
  </si>
  <si>
    <t>30GG4059</t>
  </si>
  <si>
    <t>GG Ariyana NT KHO</t>
  </si>
  <si>
    <t>21VV5306</t>
  </si>
  <si>
    <t>VV Ariyana NT KHO</t>
  </si>
  <si>
    <t>30CJ4530</t>
  </si>
  <si>
    <t>CJ Su Van Hanh mall</t>
  </si>
  <si>
    <t>30GG4047</t>
  </si>
  <si>
    <t>GG Su Van Hanh mall</t>
  </si>
  <si>
    <t>30HT4323</t>
  </si>
  <si>
    <t>HT Su Van Hanh mall</t>
  </si>
  <si>
    <t>30DN4958</t>
  </si>
  <si>
    <t>30KK4278</t>
  </si>
  <si>
    <t>KK Su Van Hanh mall</t>
  </si>
  <si>
    <t>20OS6503</t>
  </si>
  <si>
    <t>OS Su Van Hanh mall</t>
  </si>
  <si>
    <t>30SM4338</t>
  </si>
  <si>
    <t>SM Su Van Hanh mall</t>
  </si>
  <si>
    <t>30CD4832</t>
  </si>
  <si>
    <t>21CJ6406</t>
  </si>
  <si>
    <t>CJ Ariyana NT KHO</t>
  </si>
  <si>
    <t>21SM4924</t>
  </si>
  <si>
    <t>SM Ariyana NT KHO</t>
  </si>
  <si>
    <t>30KK4288</t>
  </si>
  <si>
    <t>KK Ariyana NT KHO</t>
  </si>
  <si>
    <t>30MW4362</t>
  </si>
  <si>
    <t>MW BigC Dong Nai</t>
  </si>
  <si>
    <t>30HT4324</t>
  </si>
  <si>
    <t>HT So 1 Quang Trung</t>
  </si>
  <si>
    <t>convert</t>
  </si>
  <si>
    <t>10HC4733</t>
  </si>
  <si>
    <t>HC Tasco Long Biên</t>
  </si>
  <si>
    <t>HC</t>
  </si>
  <si>
    <t>HÀNG CUỐN</t>
  </si>
  <si>
    <t>10ST6106</t>
  </si>
  <si>
    <t>20GG4175</t>
  </si>
  <si>
    <t>GG Nguyen Dinh Chieu</t>
  </si>
  <si>
    <t>20HT4718</t>
  </si>
  <si>
    <t>HT VC Thu Duc</t>
  </si>
  <si>
    <t>30HT4325</t>
  </si>
  <si>
    <t>HT Phan Xich Long</t>
  </si>
  <si>
    <t>30GG4062</t>
  </si>
  <si>
    <t>GG Lapen VTA</t>
  </si>
  <si>
    <t>30GG4025</t>
  </si>
  <si>
    <t>GG Vo Thi Sau BH DNA</t>
  </si>
  <si>
    <t>30KK4255</t>
  </si>
  <si>
    <t>KK Vo Thi Sau BH DNA</t>
  </si>
  <si>
    <t>30SS4393</t>
  </si>
  <si>
    <t>SS Le Qui Don</t>
  </si>
  <si>
    <t>30SG4686</t>
  </si>
  <si>
    <t>30GG4048</t>
  </si>
  <si>
    <t>GG Dinh Tien Hoang</t>
  </si>
  <si>
    <t>30MW4345</t>
  </si>
  <si>
    <t>MW Hoang Van Thu</t>
  </si>
  <si>
    <t>ManWah</t>
  </si>
  <si>
    <t>30HC4828</t>
  </si>
  <si>
    <t>HC BigC Trường Chinh</t>
  </si>
  <si>
    <t>30SG4687</t>
  </si>
  <si>
    <t>30GG4050</t>
  </si>
  <si>
    <t>GG Nguyen Duc Canh</t>
  </si>
  <si>
    <t>30SM4339</t>
  </si>
  <si>
    <t>SM Phan Van Tri</t>
  </si>
  <si>
    <t>30GG4063</t>
  </si>
  <si>
    <t>GG Ly Thuong Kiet VTA</t>
  </si>
  <si>
    <t>30KK4290</t>
  </si>
  <si>
    <t>KK Ly Thuong Kiet VTA</t>
  </si>
  <si>
    <t>30MW4343</t>
  </si>
  <si>
    <t>ManWah Đà Nẵng</t>
  </si>
  <si>
    <t>30GG4026</t>
  </si>
  <si>
    <t>GG Gia Lai</t>
  </si>
  <si>
    <t>GLA</t>
  </si>
  <si>
    <t>30KK4256</t>
  </si>
  <si>
    <t>KK Gia Lai</t>
  </si>
  <si>
    <t>30SS4395</t>
  </si>
  <si>
    <t>SS Cao Thang</t>
  </si>
  <si>
    <t>30JB4533</t>
  </si>
  <si>
    <t>JB CF VC DAN</t>
  </si>
  <si>
    <t>JB</t>
  </si>
  <si>
    <t>J&amp;B Coffee</t>
  </si>
  <si>
    <t>30KK4281</t>
  </si>
  <si>
    <t>KK Nguyen Anh Thu HT</t>
  </si>
  <si>
    <t>30GG4051</t>
  </si>
  <si>
    <t>GG Nguyen Anh Thu HT</t>
  </si>
  <si>
    <t>30MW4346</t>
  </si>
  <si>
    <t>MW Estella Palace</t>
  </si>
  <si>
    <t>30MW4342</t>
  </si>
  <si>
    <t>ManWah Complex Gò Đậu</t>
  </si>
  <si>
    <t>30MW4347</t>
  </si>
  <si>
    <t>Manwah Gigamall PVĐ</t>
  </si>
  <si>
    <t>30SM4340</t>
  </si>
  <si>
    <t>Sumo Gigamall PVĐ</t>
  </si>
  <si>
    <t>30GG4052</t>
  </si>
  <si>
    <t>Gogi Gigamall PVĐ</t>
  </si>
  <si>
    <t>30KK4283</t>
  </si>
  <si>
    <t>Kichi Gigamall PVĐ</t>
  </si>
  <si>
    <t>30KK4282</t>
  </si>
  <si>
    <t>Kichi Trần Não</t>
  </si>
  <si>
    <t>30KK4248</t>
  </si>
  <si>
    <t>Kichi Lotte Cần Thơ</t>
  </si>
  <si>
    <t>30GG4057</t>
  </si>
  <si>
    <t>Gogi Kiên Giang</t>
  </si>
  <si>
    <t>KGI</t>
  </si>
  <si>
    <t>30KK4286</t>
  </si>
  <si>
    <t>Kichi Kiên Giang</t>
  </si>
  <si>
    <t>30KK4097</t>
  </si>
  <si>
    <t>Kichi Bạc Liêu</t>
  </si>
  <si>
    <t>BLI</t>
  </si>
  <si>
    <t>20YT5503</t>
  </si>
  <si>
    <t>Yutang Sư Vạn Hạnh</t>
  </si>
  <si>
    <t>30YT4372</t>
  </si>
  <si>
    <t>Yutang Gigamall PVĐ</t>
  </si>
  <si>
    <t>30CD4737</t>
  </si>
  <si>
    <t>30MW4348</t>
  </si>
  <si>
    <t>Manwah Nguyễn Kim Cao Thắng</t>
  </si>
  <si>
    <t>30GG4054</t>
  </si>
  <si>
    <t>GG Tan Son Nhaất</t>
  </si>
  <si>
    <t>20YT5506</t>
  </si>
  <si>
    <t>YT Lotte Go Vap</t>
  </si>
  <si>
    <t>30GG4060</t>
  </si>
  <si>
    <t>GG Phu Yen</t>
  </si>
  <si>
    <t>PYE</t>
  </si>
  <si>
    <t>30MW4352</t>
  </si>
  <si>
    <t>Manwah PVC Vũng Tàu</t>
  </si>
  <si>
    <t>30MW4344</t>
  </si>
  <si>
    <t>Manwah Pegasus Bien Hoa (0352)</t>
  </si>
  <si>
    <t>30GG4064</t>
  </si>
  <si>
    <t>GG Ba ria VT</t>
  </si>
  <si>
    <t>30KK4291</t>
  </si>
  <si>
    <t>KK Ba ria VT</t>
  </si>
  <si>
    <t>21YT5502</t>
  </si>
  <si>
    <t>Yutang Vincom Da Nang</t>
  </si>
  <si>
    <t>30KK4285</t>
  </si>
  <si>
    <t>Kichi Đỗ Xuân Hợp</t>
  </si>
  <si>
    <t>30CJ4531</t>
  </si>
  <si>
    <t>CJ Aeon Tan Phu</t>
  </si>
  <si>
    <t>30CD4831</t>
  </si>
  <si>
    <t>30GG4055</t>
  </si>
  <si>
    <t>Gogi An Dương Vương</t>
  </si>
  <si>
    <t>20KK4471</t>
  </si>
  <si>
    <t>Kichi Bình Chiểu</t>
  </si>
  <si>
    <t>30KK4284</t>
  </si>
  <si>
    <t>Kichi An Dương Vương</t>
  </si>
  <si>
    <t>20YT5505</t>
  </si>
  <si>
    <t>Yutang An Dương Vương</t>
  </si>
  <si>
    <t>30GG4061</t>
  </si>
  <si>
    <t>GG Tây Ninh</t>
  </si>
  <si>
    <t>TNI</t>
  </si>
  <si>
    <t>21YT5507</t>
  </si>
  <si>
    <t>YT Phu Yen</t>
  </si>
  <si>
    <t>20GG4186</t>
  </si>
  <si>
    <t>Gogi Bình Chiểu</t>
  </si>
  <si>
    <t>30GG4049</t>
  </si>
  <si>
    <t>GG So1 Quang Trung</t>
  </si>
  <si>
    <t>30GG4056</t>
  </si>
  <si>
    <t>Gogi Nguyễn Thị thập</t>
  </si>
  <si>
    <t>30HT4326</t>
  </si>
  <si>
    <t>HT Aeon Tan Phu</t>
  </si>
  <si>
    <t>30GG4065</t>
  </si>
  <si>
    <t>GG Vincom Bạc Liêu</t>
  </si>
  <si>
    <t>30KK4293</t>
  </si>
  <si>
    <t>KK Vincom Cao Lãnh</t>
  </si>
  <si>
    <t>DTH</t>
  </si>
  <si>
    <t>30MW4354</t>
  </si>
  <si>
    <t>MW VC Xuan Khanh CTH</t>
  </si>
  <si>
    <t>30GG4067</t>
  </si>
  <si>
    <t>GG Phan Thiet</t>
  </si>
  <si>
    <t>BTH</t>
  </si>
  <si>
    <t>30KK4279</t>
  </si>
  <si>
    <t>KK So 1 Quang Trung</t>
  </si>
  <si>
    <t>30KK4296</t>
  </si>
  <si>
    <t>KK Phan Thiet</t>
  </si>
  <si>
    <t>30GG4066</t>
  </si>
  <si>
    <t>GG Phan Khang DN</t>
  </si>
  <si>
    <t>30KK4292</t>
  </si>
  <si>
    <t>KK Phan Khang DN</t>
  </si>
  <si>
    <t>30AS4390</t>
  </si>
  <si>
    <t>AS Phu My Hung</t>
  </si>
  <si>
    <t>30KK4294</t>
  </si>
  <si>
    <t>KK Phan Huy Ich</t>
  </si>
  <si>
    <t>30MW4349</t>
  </si>
  <si>
    <t>MW Lotte Go Vap</t>
  </si>
  <si>
    <t>30GG4009</t>
  </si>
  <si>
    <t>Gogi Bình Định</t>
  </si>
  <si>
    <t>BDI</t>
  </si>
  <si>
    <t>30KK4093</t>
  </si>
  <si>
    <t>KK Bình Định</t>
  </si>
  <si>
    <t>30MW4350</t>
  </si>
  <si>
    <t>MW Vincom Le Van Viet</t>
  </si>
  <si>
    <t>30KK4289</t>
  </si>
  <si>
    <t>KK Phu Yen</t>
  </si>
  <si>
    <t>30KP4373</t>
  </si>
  <si>
    <t>KP Da Nang</t>
  </si>
  <si>
    <t>30MW4341</t>
  </si>
  <si>
    <t>Manwah Nguyễn Kim An Giang</t>
  </si>
  <si>
    <t>21YT5501</t>
  </si>
  <si>
    <t>Yutang Nguyễn Kim An Giang</t>
  </si>
  <si>
    <t>30CJ4532</t>
  </si>
  <si>
    <t>CJ VC Thao Dien</t>
  </si>
  <si>
    <t>30KP4374</t>
  </si>
  <si>
    <t>KP Le Van Sy</t>
  </si>
  <si>
    <t>30MW4351</t>
  </si>
  <si>
    <t>MW An Dương Vương</t>
  </si>
  <si>
    <t>30MW4353</t>
  </si>
  <si>
    <t>MW VC Di An BD</t>
  </si>
  <si>
    <t>30KK4295</t>
  </si>
  <si>
    <t>KK VC Di An BD</t>
  </si>
  <si>
    <t>20CL6800</t>
  </si>
  <si>
    <t xml:space="preserve">CL Vivo </t>
  </si>
  <si>
    <t>CL</t>
  </si>
  <si>
    <t>CHILI</t>
  </si>
  <si>
    <t>30HT4327</t>
  </si>
  <si>
    <t>HT Nguyen Trai</t>
  </si>
  <si>
    <t>HUTONG</t>
  </si>
  <si>
    <t>30CJ4848</t>
  </si>
  <si>
    <t>20JB6601</t>
  </si>
  <si>
    <t>JB VC Thao Dien</t>
  </si>
  <si>
    <t>30MW4355</t>
  </si>
  <si>
    <t>MW Kien Giang</t>
  </si>
  <si>
    <t>30GG4068</t>
  </si>
  <si>
    <t>GG Kon Tum</t>
  </si>
  <si>
    <t>KTU</t>
  </si>
  <si>
    <t>30KK4297</t>
  </si>
  <si>
    <t>KK Binh Tien</t>
  </si>
  <si>
    <t>30KK4299</t>
  </si>
  <si>
    <t>KK Soc Trang</t>
  </si>
  <si>
    <t>STR</t>
  </si>
  <si>
    <t>30GG4069</t>
  </si>
  <si>
    <t>GG Soc Trang</t>
  </si>
  <si>
    <t>30KK4301</t>
  </si>
  <si>
    <t>KK Tay Ninh</t>
  </si>
  <si>
    <t>30KK4300</t>
  </si>
  <si>
    <t>KK BigC TDM</t>
  </si>
  <si>
    <t>30GG4074</t>
  </si>
  <si>
    <t>Gogi Trường Sơn</t>
  </si>
  <si>
    <t>30GG4072</t>
  </si>
  <si>
    <t>GG My Tho</t>
  </si>
  <si>
    <t>TGI</t>
  </si>
  <si>
    <t>30HT4328</t>
  </si>
  <si>
    <t>Hutong Cao Thắng</t>
  </si>
  <si>
    <t>30SM4841</t>
  </si>
  <si>
    <t>30KP4377</t>
  </si>
  <si>
    <t>KP Phan Xich Long</t>
  </si>
  <si>
    <t>20DR6206</t>
  </si>
  <si>
    <t>Daruma Sài Gòn Center</t>
  </si>
  <si>
    <t>30GG4071</t>
  </si>
  <si>
    <t>GG Cao Lãnh</t>
  </si>
  <si>
    <t>30GG4070</t>
  </si>
  <si>
    <t>GG Nguyen Hue</t>
  </si>
  <si>
    <t>30KK4303</t>
  </si>
  <si>
    <t>KK Le Van Tho</t>
  </si>
  <si>
    <t>30KP4375</t>
  </si>
  <si>
    <t>KP Cao Thang</t>
  </si>
  <si>
    <t>30SG4951</t>
  </si>
  <si>
    <t>30KK4302</t>
  </si>
  <si>
    <t>KK Nguyen Duy Trinh</t>
  </si>
  <si>
    <t>30MW4674</t>
  </si>
  <si>
    <t>MW Quang Trung So 1</t>
  </si>
  <si>
    <t>30MW4357</t>
  </si>
  <si>
    <t>MW VC Thu Duc</t>
  </si>
  <si>
    <t>30MW4356</t>
  </si>
  <si>
    <t>MW Big C Nha Trang</t>
  </si>
  <si>
    <t>30KK4304</t>
  </si>
  <si>
    <t>KK BigC Quang Ngai</t>
  </si>
  <si>
    <t>QNG</t>
  </si>
  <si>
    <t>10GG4217</t>
  </si>
  <si>
    <t>Gogi Housse Hùng Vương - Bắc Giang</t>
  </si>
  <si>
    <t>BG</t>
  </si>
  <si>
    <t>10YT5511</t>
  </si>
  <si>
    <t>Yutang Trần Nguyên Hãn HP</t>
  </si>
  <si>
    <t>30GG4075</t>
  </si>
  <si>
    <t>GoGi Bình Phú</t>
  </si>
  <si>
    <t>30MW4358</t>
  </si>
  <si>
    <t>Manwah Vincom Đồng Khởi</t>
  </si>
  <si>
    <t>30GG4076</t>
  </si>
  <si>
    <t>GoGi Estella</t>
  </si>
  <si>
    <t>30KK4307</t>
  </si>
  <si>
    <t>Kichi BigC Ben Tre</t>
  </si>
  <si>
    <t>BTR</t>
  </si>
  <si>
    <t>30GG4078</t>
  </si>
  <si>
    <t>Gogi BigC Ben Tre</t>
  </si>
  <si>
    <t>10GG4219</t>
  </si>
  <si>
    <t>Gogi House Quán Sứ</t>
  </si>
  <si>
    <t>30GG4073</t>
  </si>
  <si>
    <t>Gogi BigC Da Nang</t>
  </si>
  <si>
    <t>30KK4305</t>
  </si>
  <si>
    <t>Kichi BigC Da Nang</t>
  </si>
  <si>
    <t>30GG4077</t>
  </si>
  <si>
    <t>Gogi VC Vinh Long</t>
  </si>
  <si>
    <t>VLO</t>
  </si>
  <si>
    <t>30KK4306</t>
  </si>
  <si>
    <t>Kichi VC Vinh Long</t>
  </si>
  <si>
    <t>10KK4501</t>
  </si>
  <si>
    <t>Kichi Kichi Ocean Park</t>
  </si>
  <si>
    <t>10GG4221</t>
  </si>
  <si>
    <t>Gogi House Ocean Park</t>
  </si>
  <si>
    <t>10MW5137</t>
  </si>
  <si>
    <t>Manwah Ocean Park</t>
  </si>
  <si>
    <t>10GG4218</t>
  </si>
  <si>
    <t>Gogi House Aeon Hải Phòng</t>
  </si>
  <si>
    <t>10KK4500</t>
  </si>
  <si>
    <t>Kichi Kichi Aeon Hải Phòng</t>
  </si>
  <si>
    <t>10MW5136</t>
  </si>
  <si>
    <t>Manwah Aeon Hải Phòng</t>
  </si>
  <si>
    <t>10KP5615</t>
  </si>
  <si>
    <t>K-pub Aeon Mall Hải Phòng</t>
  </si>
  <si>
    <t>10YT5514</t>
  </si>
  <si>
    <t>Yutang Aeon Mall Long Biên</t>
  </si>
  <si>
    <t>30KK4309</t>
  </si>
  <si>
    <t>Kichi Kichi Bình Phú Q6</t>
  </si>
  <si>
    <t>30KP4378</t>
  </si>
  <si>
    <t>K-Pub Aeon Bình Tân</t>
  </si>
  <si>
    <t>30MW4359</t>
  </si>
  <si>
    <t>Manwah Garden Mall</t>
  </si>
  <si>
    <t>30MW4360</t>
  </si>
  <si>
    <t>Manwah VC Biên Hòa</t>
  </si>
  <si>
    <t>21DR6207</t>
  </si>
  <si>
    <t>Daruma Aeon Mall Binh Duong</t>
  </si>
  <si>
    <t>10KP5616</t>
  </si>
  <si>
    <t>K-PUB Aeon Hà Đông</t>
  </si>
  <si>
    <t>10HC4740</t>
  </si>
  <si>
    <t>10CJ6409</t>
  </si>
  <si>
    <t>Crystal Jade Vincom Trần Duy Hưng</t>
  </si>
  <si>
    <t>10KT7102</t>
  </si>
  <si>
    <t>Ktop Bigc Thăng Long</t>
  </si>
  <si>
    <t>30HT4329</t>
  </si>
  <si>
    <t>Hutong Nguyen Tri Phuong</t>
  </si>
  <si>
    <t>30DN4997</t>
  </si>
  <si>
    <t>10CD4742</t>
  </si>
  <si>
    <t>CP Gold Tower</t>
  </si>
  <si>
    <t>CD</t>
  </si>
  <si>
    <t>CLOUD POT</t>
  </si>
  <si>
    <t>10MT4869</t>
  </si>
  <si>
    <t>30GG4080</t>
  </si>
  <si>
    <t>Gogi Ba Hom</t>
  </si>
  <si>
    <t>30KK4310</t>
  </si>
  <si>
    <t>Kichi Kichi Big C Buôn Mê Thuột</t>
  </si>
  <si>
    <t>30KK4311</t>
  </si>
  <si>
    <t>Kichi Kichi Mỹ Tho</t>
  </si>
  <si>
    <t>10KK4505</t>
  </si>
  <si>
    <t>Kichi Kichi Tràng Tiền</t>
  </si>
  <si>
    <t>10SG6303</t>
  </si>
  <si>
    <t>Shogun Lotte Đào Tấn</t>
  </si>
  <si>
    <t>10MW5140</t>
  </si>
  <si>
    <t>Manwah Giảng Võ</t>
  </si>
  <si>
    <t>10VV5312</t>
  </si>
  <si>
    <t>Vuvuzela Cao Thắng Thanh Hóa</t>
  </si>
  <si>
    <t>TH</t>
  </si>
  <si>
    <t>VUVUZELA</t>
  </si>
  <si>
    <t>10HC4856</t>
  </si>
  <si>
    <t>10GG4228</t>
  </si>
  <si>
    <t>Gogi House Cao Thắng Thanh Hóa</t>
  </si>
  <si>
    <t>10HT4724</t>
  </si>
  <si>
    <t>Hutong Cao Thắng Thanh Hóa</t>
  </si>
  <si>
    <t>30GG4081</t>
  </si>
  <si>
    <t>Gogi House Big C Đồng Nai</t>
  </si>
  <si>
    <t>30KK4312</t>
  </si>
  <si>
    <t>Kichi Kichi Big C Tân Hiệp</t>
  </si>
  <si>
    <t>30SS4396</t>
  </si>
  <si>
    <t>SS Phan Xich Long</t>
  </si>
  <si>
    <t>30GG4079</t>
  </si>
  <si>
    <t>GG Tan An</t>
  </si>
  <si>
    <t>LAN</t>
  </si>
  <si>
    <t>30KK4308</t>
  </si>
  <si>
    <t>KK Tan An</t>
  </si>
  <si>
    <t>10MG4819</t>
  </si>
  <si>
    <t>MG Lancaster Láng</t>
  </si>
  <si>
    <t>MG</t>
  </si>
  <si>
    <t>MALAGANG</t>
  </si>
  <si>
    <t>10KK4555</t>
  </si>
  <si>
    <t>10GG4220</t>
  </si>
  <si>
    <t>Gogi Huỳnh Thúc Kháng 2</t>
  </si>
  <si>
    <t>10IP6752</t>
  </si>
  <si>
    <t>I Phở Trung Hòa Nhân Chính</t>
  </si>
  <si>
    <t>IP</t>
  </si>
  <si>
    <t>IPHO</t>
  </si>
  <si>
    <t>10KT7103</t>
  </si>
  <si>
    <t>Ktop Uông Bí Quảng Ninh</t>
  </si>
  <si>
    <t>10GG4226</t>
  </si>
  <si>
    <t>Gogi Uông Bí Quảng Ninh</t>
  </si>
  <si>
    <t>10KT7104</t>
  </si>
  <si>
    <t>Ktop Vĩnh Phúc</t>
  </si>
  <si>
    <t>10KP5620</t>
  </si>
  <si>
    <t>Kpub Vĩnh Phúc</t>
  </si>
  <si>
    <t>10SS5911</t>
  </si>
  <si>
    <t>Isushi - Tràng Thi</t>
  </si>
  <si>
    <t>Ktop Thái Nguyên</t>
  </si>
  <si>
    <t>Kpub Thái Nguyên</t>
  </si>
  <si>
    <t>10KP5619</t>
  </si>
  <si>
    <t>Kpub Kim Mã (Trần Huy Liệu)</t>
  </si>
  <si>
    <t>10UT4895</t>
  </si>
  <si>
    <t>30MW4361</t>
  </si>
  <si>
    <t>MW BigC Truong Chinh</t>
  </si>
  <si>
    <t>30KP4381</t>
  </si>
  <si>
    <t>KP Dong Den</t>
  </si>
  <si>
    <t>30MW4363</t>
  </si>
  <si>
    <t>MW Lotte Can Tho</t>
  </si>
  <si>
    <t>10KP5622</t>
  </si>
  <si>
    <t>Kpub Nguyễn Lương 
Bằng Hải Dương</t>
  </si>
  <si>
    <t>10KP5625</t>
  </si>
  <si>
    <t>Kpub Việt Trì Phú Thọ</t>
  </si>
  <si>
    <t>10IS7201</t>
  </si>
  <si>
    <t>Isushi Tenpanyanki Triệu Việt Vương</t>
  </si>
  <si>
    <t>IS</t>
  </si>
  <si>
    <t>Isushi Tenpanyanki</t>
  </si>
  <si>
    <t>10KP5627</t>
  </si>
  <si>
    <t>Kpub Lê Hồng Phong Hải Phòng</t>
  </si>
  <si>
    <t>10HC4763</t>
  </si>
  <si>
    <t>10GG4229</t>
  </si>
  <si>
    <t>Gogi Vincom Phạm Ngọc Thạch</t>
  </si>
  <si>
    <t>10GS7002</t>
  </si>
  <si>
    <t>Gogi Steak Ngô Thì Nhậm</t>
  </si>
  <si>
    <t>10SG6304</t>
  </si>
  <si>
    <t>Shogun Bắc Ninh</t>
  </si>
  <si>
    <t>10GG4231</t>
  </si>
  <si>
    <t>Gogi Vincom Times City</t>
  </si>
  <si>
    <t>10YT5516</t>
  </si>
  <si>
    <t>Yutang Times City</t>
  </si>
  <si>
    <t>10SX4836</t>
  </si>
  <si>
    <t>30MW4366</t>
  </si>
  <si>
    <t>MW SG Center</t>
  </si>
  <si>
    <t>10KP5626</t>
  </si>
  <si>
    <t>K-pub Trần Phú</t>
  </si>
  <si>
    <t>10KP5630</t>
  </si>
  <si>
    <t>Kpub Trương Định</t>
  </si>
  <si>
    <t>30SS4399</t>
  </si>
  <si>
    <t>SS Vivo</t>
  </si>
  <si>
    <t>30GG4084</t>
  </si>
  <si>
    <t>GG Nguyen Van Qua</t>
  </si>
  <si>
    <t>30GG4085</t>
  </si>
  <si>
    <t>GG Phan Huy Ich</t>
  </si>
  <si>
    <t>30KK4314</t>
  </si>
  <si>
    <t>KK Nguyen Van Qua</t>
  </si>
  <si>
    <t>30MW4367</t>
  </si>
  <si>
    <t>MW Vivo</t>
  </si>
  <si>
    <t>30KK4316</t>
  </si>
  <si>
    <t>KK Pham Van Thuan BH</t>
  </si>
  <si>
    <t>10MW5131</t>
  </si>
  <si>
    <t>Manwah Vincom Phạm Ngọc Thạch</t>
  </si>
  <si>
    <t>10KK4514</t>
  </si>
  <si>
    <t>Kichi Kichi Park Home</t>
  </si>
  <si>
    <t>10MW5145</t>
  </si>
  <si>
    <t>Manwah Times City</t>
  </si>
  <si>
    <t>10KP5629</t>
  </si>
  <si>
    <t>Kpub Phạm Ngọc Thạch</t>
  </si>
  <si>
    <t>10YT5518</t>
  </si>
  <si>
    <t>Yutang Trung Hòa Nhân Chính</t>
  </si>
  <si>
    <t>10SX4835</t>
  </si>
  <si>
    <t>10KP5633</t>
  </si>
  <si>
    <t>Kpub Láng Hạ</t>
  </si>
  <si>
    <t>30KK4315</t>
  </si>
  <si>
    <t>KK Tan Son Nhi</t>
  </si>
  <si>
    <t>10MW5141</t>
  </si>
  <si>
    <t>Manwah Trần Thái Tông</t>
  </si>
  <si>
    <t>10KP5632</t>
  </si>
  <si>
    <t>K-pub Linh Đàm</t>
  </si>
  <si>
    <t>30GG4086</t>
  </si>
  <si>
    <t>GG BigC Go Hue</t>
  </si>
  <si>
    <t>30KP4382</t>
  </si>
  <si>
    <t>KP De Tham</t>
  </si>
  <si>
    <t>30GG4087</t>
  </si>
  <si>
    <t>GG VC Di An BD</t>
  </si>
  <si>
    <t>30KK4313</t>
  </si>
  <si>
    <t>KK Huynh Tan Phat</t>
  </si>
  <si>
    <t>30MW4364</t>
  </si>
  <si>
    <t>MW Ariyana Nha Trang</t>
  </si>
  <si>
    <t>NT</t>
  </si>
  <si>
    <t>MC</t>
  </si>
  <si>
    <t>30SS4398</t>
  </si>
  <si>
    <t>SS Aeon Binh Duong</t>
  </si>
  <si>
    <t>30SS4397</t>
  </si>
  <si>
    <t>SS Ariyana Nha Trang</t>
  </si>
  <si>
    <t>30CD4745</t>
  </si>
  <si>
    <t>30KP4384</t>
  </si>
  <si>
    <t>KP Lotte Go Vap</t>
  </si>
  <si>
    <t>30GG4083</t>
  </si>
  <si>
    <t>GG VC Thao Dien</t>
  </si>
  <si>
    <t>30KK4317</t>
  </si>
  <si>
    <t>KK Emart PVT</t>
  </si>
  <si>
    <t>30MW4365</t>
  </si>
  <si>
    <t>MW VC Thao Dien</t>
  </si>
  <si>
    <t>10GC6851</t>
  </si>
  <si>
    <t>G-Catering</t>
  </si>
  <si>
    <t>GC</t>
  </si>
  <si>
    <t>G-Cartering</t>
  </si>
  <si>
    <t>10GD7300</t>
  </si>
  <si>
    <t>G-Delivery Hub Trần Huy Liệu</t>
  </si>
  <si>
    <t>GD</t>
  </si>
  <si>
    <t>G-Delivery</t>
  </si>
  <si>
    <t>10GD7302</t>
  </si>
  <si>
    <t>G-Delivery Hub Nguyễn Huy Tưởng</t>
  </si>
  <si>
    <t>05HNOIS001</t>
  </si>
  <si>
    <t>Icook Store Nguyễn Huy Tưởng</t>
  </si>
  <si>
    <t>ICS</t>
  </si>
  <si>
    <t>ICOOK STORE</t>
  </si>
  <si>
    <t>30KP4379</t>
  </si>
  <si>
    <t>Kpub Nguyen Tri Phuong</t>
  </si>
  <si>
    <t>30SL4839</t>
  </si>
  <si>
    <t>10SG6307</t>
  </si>
  <si>
    <t>Shogun Triệu Việt Vương</t>
  </si>
  <si>
    <t>10SM4926</t>
  </si>
  <si>
    <t>Sumo BBQ Giảng Võ</t>
  </si>
  <si>
    <t>10SS5916</t>
  </si>
  <si>
    <t>I Sushi Aeon Long Biên</t>
  </si>
  <si>
    <t>05HNOIS002</t>
  </si>
  <si>
    <t>Icook Store Hoàng Văn Thái</t>
  </si>
  <si>
    <t>30SS4581</t>
  </si>
  <si>
    <t>Isushi Lotte Gò Vấp</t>
  </si>
  <si>
    <t>30KP4387</t>
  </si>
  <si>
    <t>K-Pub E-Mart Phan Văn Trị</t>
  </si>
  <si>
    <t>30KP4386</t>
  </si>
  <si>
    <t>K-Pub Aeon Bình Dương</t>
  </si>
  <si>
    <t>SE</t>
  </si>
  <si>
    <t>30KP4383</t>
  </si>
  <si>
    <t>K-Pub Ariyana Nha Trang</t>
  </si>
  <si>
    <t>30HB4798</t>
  </si>
  <si>
    <t>30BS4535</t>
  </si>
  <si>
    <t>Citi Station Trương Công Định</t>
  </si>
  <si>
    <t>BS</t>
  </si>
  <si>
    <t>CITY STATION</t>
  </si>
  <si>
    <t>30BS4536</t>
  </si>
  <si>
    <t>Citi Station Cao Thắng</t>
  </si>
  <si>
    <t>30GG4082</t>
  </si>
  <si>
    <t>GG Le Trong Tan</t>
  </si>
  <si>
    <t>30GG4088</t>
  </si>
  <si>
    <t>GG Nguyen Chi Thanh DL</t>
  </si>
  <si>
    <t>LDO</t>
  </si>
  <si>
    <t>30MW4368</t>
  </si>
  <si>
    <t>MW Aeon Binh Duong</t>
  </si>
  <si>
    <t>30MW4369</t>
  </si>
  <si>
    <t>MW Nguyen Chi Thanh DL</t>
  </si>
  <si>
    <t>30SS4576</t>
  </si>
  <si>
    <t>SS Nguyen Chi Thanh DL</t>
  </si>
  <si>
    <t>30CD4697</t>
  </si>
  <si>
    <t>10KP5641</t>
  </si>
  <si>
    <t>K-Pub Lĩnh Nam</t>
  </si>
  <si>
    <t>10KK4518</t>
  </si>
  <si>
    <t>Kichi Kichi Trần Phú Hà Đông</t>
  </si>
  <si>
    <t>10GG4239</t>
  </si>
  <si>
    <t>Gogi House Lĩnh Nam</t>
  </si>
  <si>
    <t>10YT5519</t>
  </si>
  <si>
    <t>Yutang Lê Thái Tổ</t>
  </si>
  <si>
    <t>10IP4838</t>
  </si>
  <si>
    <t>30SS4522</t>
  </si>
  <si>
    <t>Isushi VCXK Cần Thơ</t>
  </si>
  <si>
    <t>MD</t>
  </si>
  <si>
    <t>30GF4007</t>
  </si>
  <si>
    <t>Icook Hồ Chí Minh2</t>
  </si>
  <si>
    <t>05HNOST001</t>
  </si>
  <si>
    <t>Canteen G-mart Bạch Mai A11-1</t>
  </si>
  <si>
    <t>CT</t>
  </si>
  <si>
    <t>CANTEEN</t>
  </si>
  <si>
    <t>10CT6524</t>
  </si>
  <si>
    <t>Canteen Cafe Bạch Mai A11-2</t>
  </si>
  <si>
    <t>10CT6523</t>
  </si>
  <si>
    <t>Canteen Cafe Bạch Mai K1-10</t>
  </si>
  <si>
    <t>30MW4370</t>
  </si>
  <si>
    <t>Manwah Viettel CMT8 Q.10</t>
  </si>
  <si>
    <t>30KK4320</t>
  </si>
  <si>
    <t>Kichi Kichi Lê Thị Hà Hóc Môn</t>
  </si>
  <si>
    <t>30GG4090</t>
  </si>
  <si>
    <t>Gogi House Đường Số 41 Q4 HCM</t>
  </si>
  <si>
    <t>10KP5642</t>
  </si>
  <si>
    <t>Kpub Trần Thủ Độ</t>
  </si>
  <si>
    <t>KPUB</t>
  </si>
  <si>
    <t>10MW5155</t>
  </si>
  <si>
    <t>Manwah Lê Thái Tổ</t>
  </si>
  <si>
    <t>10MW5144</t>
  </si>
  <si>
    <t>Manwah Royal City</t>
  </si>
  <si>
    <t>10BS7500</t>
  </si>
  <si>
    <t>City Beer Station Nguyễn Khang</t>
  </si>
  <si>
    <t>30GG4089</t>
  </si>
  <si>
    <t>GG DS7 Tân Bình</t>
  </si>
  <si>
    <t>30GG4091</t>
  </si>
  <si>
    <t>GG Nguyen Ai Quoc</t>
  </si>
  <si>
    <t>30KK4319</t>
  </si>
  <si>
    <t>KK DS7 Binh Tan</t>
  </si>
  <si>
    <t>10KP5644</t>
  </si>
  <si>
    <t>Kpub Nguyễn Đăng Đạo Bắc Ninh</t>
  </si>
  <si>
    <t>10BS7504</t>
  </si>
  <si>
    <t>Citi Station Trần Phú Hà Đông</t>
  </si>
  <si>
    <t>10SS5922</t>
  </si>
  <si>
    <t>Isushi The Zei Lê Đức Thọ</t>
  </si>
  <si>
    <t>10GG4244</t>
  </si>
  <si>
    <t>GG Tân Mai 2</t>
  </si>
  <si>
    <t>10KP5645</t>
  </si>
  <si>
    <t>Kpub Ocean Park</t>
  </si>
  <si>
    <t>10CV4928</t>
  </si>
  <si>
    <t>10SG6308</t>
  </si>
  <si>
    <t>Shogun Việt Trì Phú Thọ</t>
  </si>
  <si>
    <t>10HC4864</t>
  </si>
  <si>
    <t>30SS4575</t>
  </si>
  <si>
    <t>SS Aeon Mall Bình Tân</t>
  </si>
  <si>
    <t>30KP4385</t>
  </si>
  <si>
    <t>K-pub Nguyễn Thị Thập</t>
  </si>
  <si>
    <t>30HC4829</t>
  </si>
  <si>
    <t>30KK4318</t>
  </si>
  <si>
    <t>Kichi Kichi Nguyễn Thị Thập</t>
  </si>
  <si>
    <t>30KP4574</t>
  </si>
  <si>
    <t>KP Aeon Mall Tân Phú</t>
  </si>
  <si>
    <t>30MW4371</t>
  </si>
  <si>
    <t>MW Aeon Mall Tân Phú</t>
  </si>
  <si>
    <t>30SS4523</t>
  </si>
  <si>
    <t>SS Aeon Mall Tân Phú</t>
  </si>
  <si>
    <t>10BS4551</t>
  </si>
  <si>
    <t>Citi Station Lê Đức Thọ Hà Nội</t>
  </si>
  <si>
    <t>10SG6309</t>
  </si>
  <si>
    <t>Shogun Times City</t>
  </si>
  <si>
    <t>37 Street Savico Long Biên</t>
  </si>
  <si>
    <t>30KP4567</t>
  </si>
  <si>
    <t>K-Pub Thiso Mall - Mai Chí Thọ</t>
  </si>
  <si>
    <t>30KK4568</t>
  </si>
  <si>
    <t>Kichi Kichi Thiso Mall - Mai Chí Thọ</t>
  </si>
  <si>
    <t>30MW4564</t>
  </si>
  <si>
    <t>Manwah Lotte Mart Phú Thọ Q11</t>
  </si>
  <si>
    <t>30VX4827</t>
  </si>
  <si>
    <t>30MW4566</t>
  </si>
  <si>
    <t>Manwah Thiso Mall - Mai Chí Thọ</t>
  </si>
  <si>
    <t>30SS4570</t>
  </si>
  <si>
    <t>SS Thiso Mall - MCT</t>
  </si>
  <si>
    <t>10UP4578</t>
  </si>
  <si>
    <t>UD Pizza &amp; Grill Hoàng Đạo Thúy</t>
  </si>
  <si>
    <t>UP</t>
  </si>
  <si>
    <t>UNION DISTRICT</t>
  </si>
  <si>
    <t>30GG4569</t>
  </si>
  <si>
    <t>GG Thiso Mall - MCT</t>
  </si>
  <si>
    <t>10GG4111</t>
  </si>
  <si>
    <t>Gogi House Vincom Nguyễn Chí Thanh</t>
  </si>
  <si>
    <t>10CK7700</t>
  </si>
  <si>
    <t>Chix Max Nguyễn Huy Tưởng</t>
  </si>
  <si>
    <t>CK</t>
  </si>
  <si>
    <t>CHIXMAX</t>
  </si>
  <si>
    <t>30SM4572</t>
  </si>
  <si>
    <t>Sumo BBQ Pasteur Q1</t>
  </si>
  <si>
    <t>10UP4579</t>
  </si>
  <si>
    <t>UD Pizza &amp; Grill Aeon LB</t>
  </si>
  <si>
    <t>10MW4586</t>
  </si>
  <si>
    <t>Manwah Nam Định</t>
  </si>
  <si>
    <t>ND</t>
  </si>
  <si>
    <t>10MW4587</t>
  </si>
  <si>
    <t>Manwah Thanh Hóa</t>
  </si>
  <si>
    <t>10MW4588</t>
  </si>
  <si>
    <t>Manwah Lê Hồng Phong HP</t>
  </si>
  <si>
    <t>10MW4589</t>
  </si>
  <si>
    <t>Manwah Lê Thánh Tông HL</t>
  </si>
  <si>
    <t>10HC4814</t>
  </si>
  <si>
    <t>10GG4230</t>
  </si>
  <si>
    <t>Gogi House Trương Định</t>
  </si>
  <si>
    <t>10HB4739</t>
  </si>
  <si>
    <t>10GG4537</t>
  </si>
  <si>
    <t>Gogi House Văn Quán</t>
  </si>
  <si>
    <t>10KK4521</t>
  </si>
  <si>
    <t>Kichi Kichi Mega Maket Phạm Văn Đồng</t>
  </si>
  <si>
    <t>30SS4562</t>
  </si>
  <si>
    <t>Isushi Big C Trường Chinh</t>
  </si>
  <si>
    <t>10BS4548</t>
  </si>
  <si>
    <t>Citi Station Trích Sài</t>
  </si>
  <si>
    <t>CITI STATION</t>
  </si>
  <si>
    <t>10HB4753</t>
  </si>
  <si>
    <t>30GG4596</t>
  </si>
  <si>
    <t>Gogi House Huynh Tan Phat Q7</t>
  </si>
  <si>
    <t>10GG4590</t>
  </si>
  <si>
    <t>Gogi House Nguyễn Khánh Toàn</t>
  </si>
  <si>
    <t>10UP4600</t>
  </si>
  <si>
    <t>UD Pizza &amp; Grill Mipec Tây Sơn</t>
  </si>
  <si>
    <t>10BS7503</t>
  </si>
  <si>
    <t>Citi Station Việt Trì Phú Thọ</t>
  </si>
  <si>
    <t>10AS4556</t>
  </si>
  <si>
    <t>Ashima Phan Đình Phùng</t>
  </si>
  <si>
    <t>Kichi Kichi Lancaster Láng</t>
  </si>
  <si>
    <t>10MW4547</t>
  </si>
  <si>
    <t>Manwah Trích Sài</t>
  </si>
  <si>
    <t>10SS4554</t>
  </si>
  <si>
    <t>Isushi Phan Đình Phùng</t>
  </si>
  <si>
    <t>30MW4584</t>
  </si>
  <si>
    <t>Manwah TOPs Âu Cơ- Q. Tân Phú</t>
  </si>
  <si>
    <t>30SS4585</t>
  </si>
  <si>
    <t>Isushi Diamond Plaza Le Duan Q1</t>
  </si>
  <si>
    <t>30DN4960</t>
  </si>
  <si>
    <t>30GG4597</t>
  </si>
  <si>
    <t>Gogi Lê Hồng Phong Bình Định</t>
  </si>
  <si>
    <t>30GG4598</t>
  </si>
  <si>
    <t>Gogi House Trần Hưng Đạo Q1</t>
  </si>
  <si>
    <t>30YT4605</t>
  </si>
  <si>
    <t>Yutang Vincom Ngô Quyền Đà Nẵng</t>
  </si>
  <si>
    <t>10GG4622</t>
  </si>
  <si>
    <t>Gogi House Phạm Ngọc Thạch Đống Đa HN</t>
  </si>
  <si>
    <t>30KK4563</t>
  </si>
  <si>
    <t>Kichi Kichi Lotte Mart Phú Thọ Q11</t>
  </si>
  <si>
    <t>30KP4565</t>
  </si>
  <si>
    <t>K-Pub Lotte Mart Phu Tho Q11</t>
  </si>
  <si>
    <t>30SS4582</t>
  </si>
  <si>
    <t>Isushi Vincom Đồng Khởi</t>
  </si>
  <si>
    <t>10CT6522</t>
  </si>
  <si>
    <t>Canteen Cafe Bạch Mai A11-1</t>
  </si>
  <si>
    <t>10GG4247</t>
  </si>
  <si>
    <t>Gogi House IPH Cầu Giấy</t>
  </si>
  <si>
    <t>30KK4614</t>
  </si>
  <si>
    <t>Kichi Kichi Nguyễn Văn Lạc Bình Thạnh</t>
  </si>
  <si>
    <t>30KK4615</t>
  </si>
  <si>
    <t>Kichi Kichi Lotte Mart Q7</t>
  </si>
  <si>
    <t>30KP4608</t>
  </si>
  <si>
    <t>Kpub Nguyễn Văn Lạc, Bình Thạnh</t>
  </si>
  <si>
    <t>30HB4785</t>
  </si>
  <si>
    <t>30KP4610</t>
  </si>
  <si>
    <t>Kpub Bà Rịa- Vũng Tàu</t>
  </si>
  <si>
    <t>30MW4616</t>
  </si>
  <si>
    <t>Manwah Lotte Mart Q7</t>
  </si>
  <si>
    <t>10WM4626</t>
  </si>
  <si>
    <t>Woomaster Ngô Thì Nhậm</t>
  </si>
  <si>
    <t>WM</t>
  </si>
  <si>
    <t>WOOMASTER</t>
  </si>
  <si>
    <t>10GS4632</t>
  </si>
  <si>
    <t>Gogi Steak Nguyễn Khánh Toàn</t>
  </si>
  <si>
    <t>GOGI STEAK</t>
  </si>
  <si>
    <t>10GG4634</t>
  </si>
  <si>
    <t>GG Trần Phú Nam Định</t>
  </si>
  <si>
    <t>10GG4636</t>
  </si>
  <si>
    <t>Gogi House Trần Thủ Độ</t>
  </si>
  <si>
    <t>10KK4603</t>
  </si>
  <si>
    <t>KK IPH Xuân Thủy</t>
  </si>
  <si>
    <t>10GG4620</t>
  </si>
  <si>
    <t>GG Lê Trọng Tấn HN</t>
  </si>
  <si>
    <t>30MW4613</t>
  </si>
  <si>
    <t>MW Menas Mall Saigon</t>
  </si>
  <si>
    <t>10SM4633</t>
  </si>
  <si>
    <t>SM Nguyễn Văn Lộc</t>
  </si>
  <si>
    <t>10SG4736</t>
  </si>
  <si>
    <t>10GG4635</t>
  </si>
  <si>
    <t>GG Trần Phú Hà Đông</t>
  </si>
  <si>
    <t>10GG4639</t>
  </si>
  <si>
    <t>GG Đăng Đạo BắcNinh2</t>
  </si>
  <si>
    <t>10GG4549</t>
  </si>
  <si>
    <t>Gogi House Lotte Võ Chí Công</t>
  </si>
  <si>
    <t>10PC4591</t>
  </si>
  <si>
    <t>Mak Mak Tây Sơn</t>
  </si>
  <si>
    <t>PC</t>
  </si>
  <si>
    <t>POONCHAI</t>
  </si>
  <si>
    <t>10GG4939</t>
  </si>
  <si>
    <t>30GG4583</t>
  </si>
  <si>
    <t>Gogi House SORA Gardens SC  BD</t>
  </si>
  <si>
    <t>BD</t>
  </si>
  <si>
    <t>10MW4604</t>
  </si>
  <si>
    <t>Manwah Lotte Võ Chí Công</t>
  </si>
  <si>
    <t>10CK4624</t>
  </si>
  <si>
    <t>Chixmax Lotte Võ Chí Công</t>
  </si>
  <si>
    <t>10KK4409</t>
  </si>
  <si>
    <t>Kichi Kichi Vincom Nguyễn Chí Thanh</t>
  </si>
  <si>
    <t>10MW4617</t>
  </si>
  <si>
    <t>Manwah Vĩnh Yên Vĩnh Phúc</t>
  </si>
  <si>
    <t>10GG4937</t>
  </si>
  <si>
    <t>10YT4623</t>
  </si>
  <si>
    <t>Yutang Lotte Võ Chí Công</t>
  </si>
  <si>
    <t>30KK4628</t>
  </si>
  <si>
    <t>Kichi Kichi SORA Gardens SC Bình Dương</t>
  </si>
  <si>
    <t>10UT7600</t>
  </si>
  <si>
    <t>Universal Tea Lê Văn Thiêm</t>
  </si>
  <si>
    <t>UT</t>
  </si>
  <si>
    <t>UNIVERSAL TEA</t>
  </si>
  <si>
    <t>10KP5638</t>
  </si>
  <si>
    <t>K-Pub Times City</t>
  </si>
  <si>
    <t>10WY4830</t>
  </si>
  <si>
    <t>10CJ4621</t>
  </si>
  <si>
    <t>Crystal Jade Lotte Võ Chí Công</t>
  </si>
  <si>
    <t>CRYSTAL JADE</t>
  </si>
  <si>
    <t>10SS4619</t>
  </si>
  <si>
    <t>Isushi Vũ Phạm Hàm Cầu Giấy</t>
  </si>
  <si>
    <t>10SS4629</t>
  </si>
  <si>
    <t>Isushi IPH Xuân Thủy Cầu Giấy</t>
  </si>
  <si>
    <t>10ST4638</t>
  </si>
  <si>
    <t>37 Street Lotte Võ Chí Công</t>
  </si>
  <si>
    <t>10LC4847</t>
  </si>
  <si>
    <t>30SG4641</t>
  </si>
  <si>
    <t>Shogun Phan Xích Long</t>
  </si>
  <si>
    <t>10GG4650</t>
  </si>
  <si>
    <t>Gogi House Lê Văn Lương</t>
  </si>
  <si>
    <t>10MW4657</t>
  </si>
  <si>
    <t>Manwah Linh Đàm</t>
  </si>
  <si>
    <t>30ST4631</t>
  </si>
  <si>
    <t>37 Street  Xuân Thủy Hồ Chí Minh</t>
  </si>
  <si>
    <t>30FK4643</t>
  </si>
  <si>
    <t>7Fuku Izakaya Đề Thám Q1</t>
  </si>
  <si>
    <t>FK</t>
  </si>
  <si>
    <t>FUKU IZAKAYA</t>
  </si>
  <si>
    <t>30SG4833</t>
  </si>
  <si>
    <t>10CD4647</t>
  </si>
  <si>
    <t>CloudPot Big C Thăng Long</t>
  </si>
  <si>
    <t>30GS4534</t>
  </si>
  <si>
    <t>Gogi Steak Pasteur Q1</t>
  </si>
  <si>
    <t>30SY4782</t>
  </si>
  <si>
    <t>30KK4648</t>
  </si>
  <si>
    <t>Kichi Kichi Đặng Văn Bi</t>
  </si>
  <si>
    <t>10KK4646</t>
  </si>
  <si>
    <t>Kichi Kichi The Zei Lê Đức Thọ Hà Nội</t>
  </si>
  <si>
    <t>10SG4618</t>
  </si>
  <si>
    <t>Shogun Nguyễn Lương Bằng Hải Dương</t>
  </si>
  <si>
    <t>10GG4886</t>
  </si>
  <si>
    <t>10SQ4637</t>
  </si>
  <si>
    <t>Sừng Quăn Nguyễn Khang</t>
  </si>
  <si>
    <t>SQ</t>
  </si>
  <si>
    <t>Sừng Quăn</t>
  </si>
  <si>
    <t>10HC4759</t>
  </si>
  <si>
    <t>10SS5918</t>
  </si>
  <si>
    <t>Isushi Lotte Đào Tấn</t>
  </si>
  <si>
    <t>10YT4625</t>
  </si>
  <si>
    <t>Yutang  Aeon Mall Hà Đông</t>
  </si>
  <si>
    <t>30CJ4653</t>
  </si>
  <si>
    <t>Crystal Jade Hùng Vương Plaza</t>
  </si>
  <si>
    <t>30HP4991</t>
  </si>
  <si>
    <t>30GG4654</t>
  </si>
  <si>
    <t>Gogi House Hung Vuong Plaza</t>
  </si>
  <si>
    <t>30KK4655</t>
  </si>
  <si>
    <t>Kichi Kichi Hùng Vương Plaza</t>
  </si>
  <si>
    <t>30SS4652</t>
  </si>
  <si>
    <t>Isushi Hùng Vương Plaza</t>
  </si>
  <si>
    <t>09HNOCH001</t>
  </si>
  <si>
    <t>Chibo 5/535 Kim Mã</t>
  </si>
  <si>
    <t>CH</t>
  </si>
  <si>
    <t>CHIBO</t>
  </si>
  <si>
    <t>10PC4668</t>
  </si>
  <si>
    <t>Mak Mak Thai Vincom Bà Triệu</t>
  </si>
  <si>
    <t>10HC4899</t>
  </si>
  <si>
    <t>10HT4592</t>
  </si>
  <si>
    <t>HT The Loop IPH XT</t>
  </si>
  <si>
    <t>10MW4659</t>
  </si>
  <si>
    <t>Manwah Uông Bí Quảng Ninh</t>
  </si>
  <si>
    <t>10HC4872</t>
  </si>
  <si>
    <t>10HC4645</t>
  </si>
  <si>
    <t>Hàng Cuốn Phố 37th Trần Phú</t>
  </si>
  <si>
    <t>10LC4969</t>
  </si>
  <si>
    <t>10VV4658</t>
  </si>
  <si>
    <t>Vuvuzela Lê Đức Thọ</t>
  </si>
  <si>
    <t>10DN4929</t>
  </si>
  <si>
    <t>10UT4662</t>
  </si>
  <si>
    <t>Universal Tea Trần Quốc Toản</t>
  </si>
  <si>
    <t>30GG4670</t>
  </si>
  <si>
    <t>Gogi House Phú Mỹ BRVT</t>
  </si>
  <si>
    <t>30ST4649</t>
  </si>
  <si>
    <t>37 Street Cao Thắng</t>
  </si>
  <si>
    <t>30HC4796</t>
  </si>
  <si>
    <t>30SS4663</t>
  </si>
  <si>
    <t>Isushi Vincom Plaza Ngô Quyền ĐN</t>
  </si>
  <si>
    <t>10FC4593</t>
  </si>
  <si>
    <t>FlyChef</t>
  </si>
  <si>
    <t>FC</t>
  </si>
  <si>
    <t>30GG4656</t>
  </si>
  <si>
    <t>Gogi House GO Cần Thơ</t>
  </si>
  <si>
    <t>30CD4669</t>
  </si>
  <si>
    <t>CD Truong Cong Dinh</t>
  </si>
  <si>
    <t>30SS4642</t>
  </si>
  <si>
    <t>SS Lotte Mart Q7</t>
  </si>
  <si>
    <t>iSUSHI</t>
  </si>
  <si>
    <t>30GG4640</t>
  </si>
  <si>
    <t>GG Lotte Mart Q7</t>
  </si>
  <si>
    <t>30GG4666</t>
  </si>
  <si>
    <t>GG Le Thi Ha</t>
  </si>
  <si>
    <t>10DR6201</t>
  </si>
  <si>
    <t>Daruma IPH</t>
  </si>
  <si>
    <t>30GG4667</t>
  </si>
  <si>
    <t>GG Le Van Quoi</t>
  </si>
  <si>
    <t>30PC4681</t>
  </si>
  <si>
    <t>PC Su Van Hanh CO.OPXTRA</t>
  </si>
  <si>
    <t>30HC4855</t>
  </si>
  <si>
    <t>10NY4689</t>
  </si>
  <si>
    <t>99 cents Hoàng Đạo Thúy</t>
  </si>
  <si>
    <t>NY</t>
  </si>
  <si>
    <t>99CENTS</t>
  </si>
  <si>
    <t>SG Le Quy Don Q3</t>
  </si>
  <si>
    <t>30WM4849</t>
  </si>
  <si>
    <t>SG BigC Truong Chinh</t>
  </si>
  <si>
    <t>10MT4696</t>
  </si>
  <si>
    <t>MT The Loop</t>
  </si>
  <si>
    <t>MT</t>
  </si>
  <si>
    <t>MAN TANG GUO</t>
  </si>
  <si>
    <t>30MT4699</t>
  </si>
  <si>
    <t>MT Phan Xich Long</t>
  </si>
  <si>
    <t>10MW4661</t>
  </si>
  <si>
    <t>MW Hải Dương</t>
  </si>
  <si>
    <t>10SG4679</t>
  </si>
  <si>
    <t>SG Vĩnh Yên Vĩnh Phúc</t>
  </si>
  <si>
    <t>10HT4875</t>
  </si>
  <si>
    <t>10UT4676</t>
  </si>
  <si>
    <t>Utea Vũ Phạm Hàm</t>
  </si>
  <si>
    <t>30CD4682</t>
  </si>
  <si>
    <t>CD SORA Gardens SC BD</t>
  </si>
  <si>
    <t>30MW4685</t>
  </si>
  <si>
    <t>MW Hung Vuong Plaza</t>
  </si>
  <si>
    <t>10PC4690</t>
  </si>
  <si>
    <t>Mak Mak Thai Centre Point</t>
  </si>
  <si>
    <t>10HC4800</t>
  </si>
  <si>
    <t>CD Nguyen Chi Thanh LĐ</t>
  </si>
  <si>
    <t>30CD4698</t>
  </si>
  <si>
    <t>CD Lotte Can Tho</t>
  </si>
  <si>
    <t>10PC4678</t>
  </si>
  <si>
    <t>PC Lê Hồng Phong HP</t>
  </si>
  <si>
    <t>10IP4688</t>
  </si>
  <si>
    <t>IP Thái Phiên</t>
  </si>
  <si>
    <t>PHỞ INN</t>
  </si>
  <si>
    <t>10UT4695</t>
  </si>
  <si>
    <t>UT Hào Nam</t>
  </si>
  <si>
    <t>10SS5909</t>
  </si>
  <si>
    <t>Isushi LHP HP</t>
  </si>
  <si>
    <t>10GG4890</t>
  </si>
  <si>
    <t>HB Trương Định</t>
  </si>
  <si>
    <t>HB</t>
  </si>
  <si>
    <t>HAPPY BULL</t>
  </si>
  <si>
    <t>30CD4684</t>
  </si>
  <si>
    <t>CD Le Van Sy</t>
  </si>
  <si>
    <t>30KK4280</t>
  </si>
  <si>
    <t>KK Le Qui Don</t>
  </si>
  <si>
    <t>09HNOCH002</t>
  </si>
  <si>
    <t>Chibo Hoàng Ngân</t>
  </si>
  <si>
    <t>09HNOSK001</t>
  </si>
  <si>
    <t>Sakura 551 Kim Mã</t>
  </si>
  <si>
    <t>SK</t>
  </si>
  <si>
    <t>SAKURA</t>
  </si>
  <si>
    <t>09HNOSK002</t>
  </si>
  <si>
    <t>Sakura Trần Thái Tông</t>
  </si>
  <si>
    <t>09HNOSK003</t>
  </si>
  <si>
    <t>Sakura Bùi Thị Xuân</t>
  </si>
  <si>
    <t>09HNOMB001</t>
  </si>
  <si>
    <t>Mama's bakery 5/535 Kim Mã</t>
  </si>
  <si>
    <t>MM</t>
  </si>
  <si>
    <t>MAMA</t>
  </si>
  <si>
    <t>09HNOKZ001</t>
  </si>
  <si>
    <t>Kozakura 551 Kim Mã</t>
  </si>
  <si>
    <t>KZ</t>
  </si>
  <si>
    <t>KOZAKURA</t>
  </si>
  <si>
    <t>10HB4751</t>
  </si>
  <si>
    <t>HB Trần Phú</t>
  </si>
  <si>
    <t>10GV474101</t>
  </si>
  <si>
    <t>GV Đặng Thai Mai</t>
  </si>
  <si>
    <t>GV</t>
  </si>
  <si>
    <t>GATHER</t>
  </si>
  <si>
    <t>HB Trích Sài</t>
  </si>
  <si>
    <t>10HB4766</t>
  </si>
  <si>
    <t>HB Linh Đàm</t>
  </si>
  <si>
    <t>HC Nguyễn Khang</t>
  </si>
  <si>
    <t>10LC4968</t>
  </si>
  <si>
    <t>10UN4675</t>
  </si>
  <si>
    <t>UN Phan Đình Phùng</t>
  </si>
  <si>
    <t>UN</t>
  </si>
  <si>
    <t>UNIVERSAL COFFEE</t>
  </si>
  <si>
    <t>CD Vincom Bien Hoa</t>
  </si>
  <si>
    <t>CD Ariyana Khanh Hoa</t>
  </si>
  <si>
    <t>30GG4691</t>
  </si>
  <si>
    <t>GG Co.op Mart Quang Trung</t>
  </si>
  <si>
    <t>30GG4738</t>
  </si>
  <si>
    <t>GG Nguyen Son</t>
  </si>
  <si>
    <t>10SG4550</t>
  </si>
  <si>
    <t>Shogun Bắc Giang</t>
  </si>
  <si>
    <t>10HT4893</t>
  </si>
  <si>
    <t>SG Nguyễn Văn Lộc</t>
  </si>
  <si>
    <t>10SS4672</t>
  </si>
  <si>
    <t>SS THNC Cầu Giấy</t>
  </si>
  <si>
    <t>CD Giga Mall Thủ Đức</t>
  </si>
  <si>
    <t>30PC4673</t>
  </si>
  <si>
    <t>PC Phan Xích Long</t>
  </si>
  <si>
    <t>30HC4850</t>
  </si>
  <si>
    <t>SS TOPs Âu Cơ</t>
  </si>
  <si>
    <t>10GG4761</t>
  </si>
  <si>
    <t>GG An Khánh</t>
  </si>
  <si>
    <t>HC Aeon Hà Đông</t>
  </si>
  <si>
    <t>MG Láng Hạ</t>
  </si>
  <si>
    <t>10KK4949</t>
  </si>
  <si>
    <t>CD Cao Thắng Q3</t>
  </si>
  <si>
    <t>30CD4777</t>
  </si>
  <si>
    <t>CD Grand Park</t>
  </si>
  <si>
    <t>30GG4776</t>
  </si>
  <si>
    <t>GG Grand Park</t>
  </si>
  <si>
    <t>HC Cao Thắng</t>
  </si>
  <si>
    <t>30LC4975</t>
  </si>
  <si>
    <t>30KK4778</t>
  </si>
  <si>
    <t>KK Grand Park</t>
  </si>
  <si>
    <t>SK Pasture Q1</t>
  </si>
  <si>
    <t>10CT4792</t>
  </si>
  <si>
    <t>CT Tô Hoa Đại Nam</t>
  </si>
  <si>
    <t>HC Lê Hồng Phong Hải Phòng</t>
  </si>
  <si>
    <t>10LC4961</t>
  </si>
  <si>
    <t>HC Centre Point LVL</t>
  </si>
  <si>
    <t>HB Nguyễn Văn Lạc</t>
  </si>
  <si>
    <t>30GG5012</t>
  </si>
  <si>
    <t>10CT4791</t>
  </si>
  <si>
    <t>CT Cafe Tô Hoa Đại Nam</t>
  </si>
  <si>
    <t>10FC4794</t>
  </si>
  <si>
    <t>FC Nguyễn Huy Tưởng</t>
  </si>
  <si>
    <t>10YT4764</t>
  </si>
  <si>
    <t>YT Lotte Đào Tấn</t>
  </si>
  <si>
    <t>30GG4803</t>
  </si>
  <si>
    <t>GG Thiso Gò Vấp</t>
  </si>
  <si>
    <t>HB Ariyana Nha Trang</t>
  </si>
  <si>
    <t>30KK4805</t>
  </si>
  <si>
    <t>KK Thiso Gò Vấp</t>
  </si>
  <si>
    <t>30MW4806</t>
  </si>
  <si>
    <t>MW Thiso Gò Vấp</t>
  </si>
  <si>
    <t>30SG4804</t>
  </si>
  <si>
    <t>SG Thiso Gò Vấp</t>
  </si>
  <si>
    <t>HC Lê Thánh Tông Quảng Ninh</t>
  </si>
  <si>
    <t>10LC4963</t>
  </si>
  <si>
    <t>10MG4810</t>
  </si>
  <si>
    <t>MG Lương Định Của</t>
  </si>
  <si>
    <t>10KK4898</t>
  </si>
  <si>
    <t>30CD4749</t>
  </si>
  <si>
    <t>CP Parc Mall Q8</t>
  </si>
  <si>
    <t>30CD4775</t>
  </si>
  <si>
    <t>CD Aeon Huế</t>
  </si>
  <si>
    <t>30CD4795</t>
  </si>
  <si>
    <t>CD Phan Xích Long</t>
  </si>
  <si>
    <t>30GG4746</t>
  </si>
  <si>
    <t>GG Parc Mall Q8</t>
  </si>
  <si>
    <t>30GG4774</t>
  </si>
  <si>
    <t>GG Aeon Huế</t>
  </si>
  <si>
    <t>new</t>
  </si>
  <si>
    <t>30HC4822</t>
  </si>
  <si>
    <t>HC Lotte Mart CTH</t>
  </si>
  <si>
    <t>30YT4982</t>
  </si>
  <si>
    <t>30KK4748</t>
  </si>
  <si>
    <t>KK Parc Mall Q8</t>
  </si>
  <si>
    <t>30KK4773</t>
  </si>
  <si>
    <t>KK Aeon Huế</t>
  </si>
  <si>
    <t>30MW4747</t>
  </si>
  <si>
    <t>MW Parc Mall 8</t>
  </si>
  <si>
    <t>30SG4750</t>
  </si>
  <si>
    <t>SG Parc Mall Q8</t>
  </si>
  <si>
    <t>SG Đề Thám Q1</t>
  </si>
  <si>
    <t>30HT4876</t>
  </si>
  <si>
    <t>10CK4786</t>
  </si>
  <si>
    <t>CM Trung Hòa</t>
  </si>
  <si>
    <t>09HNONR001</t>
  </si>
  <si>
    <t>10FC4793</t>
  </si>
  <si>
    <t>FC Lê Đức Thọ</t>
  </si>
  <si>
    <t>10GG4825</t>
  </si>
  <si>
    <t>GG Nguyễn Hoàng</t>
  </si>
  <si>
    <t>10HC4823</t>
  </si>
  <si>
    <t>HC Vinhomes Bạch Đằng HP</t>
  </si>
  <si>
    <t>10LC4962</t>
  </si>
  <si>
    <t>30KK4815</t>
  </si>
  <si>
    <t>KK Vĩnh Lạc KG</t>
  </si>
  <si>
    <t>30KK4817</t>
  </si>
  <si>
    <t>KK GO Bạc Liêu</t>
  </si>
  <si>
    <t>30GG4053</t>
  </si>
  <si>
    <t>GG Lanh Binh Thang</t>
  </si>
  <si>
    <t>SB Hoàng Đạo Thúy</t>
  </si>
  <si>
    <t>SB</t>
  </si>
  <si>
    <t>SAKURA SHABU</t>
  </si>
  <si>
    <t>10SM4866</t>
  </si>
  <si>
    <t>10VX4630</t>
  </si>
  <si>
    <t>BB Mipec Long Biên</t>
  </si>
  <si>
    <t>VX</t>
  </si>
  <si>
    <t>BLUE BAY</t>
  </si>
  <si>
    <t>10DN5015</t>
  </si>
  <si>
    <t>30GG4816</t>
  </si>
  <si>
    <t>GG Vĩnh Lạc KG</t>
  </si>
  <si>
    <t>30GG4818</t>
  </si>
  <si>
    <t>GG GO Bạc Liêu</t>
  </si>
  <si>
    <t>30KK4298</t>
  </si>
  <si>
    <t>KK Kon Tum</t>
  </si>
  <si>
    <t>HC Ng.Thị Thập Q7</t>
  </si>
  <si>
    <t>30LC4974</t>
  </si>
  <si>
    <t>LC Lotte Võ Chí Công</t>
  </si>
  <si>
    <t>LÁCH CA LÁCH CÁCH</t>
  </si>
  <si>
    <t>10UT4820</t>
  </si>
  <si>
    <t>UT Lotte Võ Chí Công</t>
  </si>
  <si>
    <t>WM Trung Hòa</t>
  </si>
  <si>
    <t>CP Aeon Tân Phú</t>
  </si>
  <si>
    <t>SM Cao Thắng Q3</t>
  </si>
  <si>
    <t>BB Lotte Mart Q11</t>
  </si>
  <si>
    <t>30LC4964</t>
  </si>
  <si>
    <t>HC Hùng Vương PT</t>
  </si>
  <si>
    <t>10IP4760</t>
  </si>
  <si>
    <t>IP Nội Bài</t>
  </si>
  <si>
    <t>LC The Loop IPH</t>
  </si>
  <si>
    <t>CD Vạn Hạnh Mall</t>
  </si>
  <si>
    <t>CJ Nguyễn Trãi Q1</t>
  </si>
  <si>
    <t>30MT4943</t>
  </si>
  <si>
    <t>30VX4813</t>
  </si>
  <si>
    <t>BB Lotte Mart T.Bình</t>
  </si>
  <si>
    <t>30KK4986</t>
  </si>
  <si>
    <t>30VX4843</t>
  </si>
  <si>
    <t>BB Aeon Bình Tân</t>
  </si>
  <si>
    <t>30WY4811</t>
  </si>
  <si>
    <t>WY Vạn Hạnh Mall</t>
  </si>
  <si>
    <t>WY</t>
  </si>
  <si>
    <t>Wow Yakiniku</t>
  </si>
  <si>
    <t>10HB4799</t>
  </si>
  <si>
    <t>HB Ocean Park</t>
  </si>
  <si>
    <t>MT Nguyễn Trãi HN</t>
  </si>
  <si>
    <t>SX Trung Hòa Nhân Chính</t>
  </si>
  <si>
    <t>SX</t>
  </si>
  <si>
    <t>SUSHI X</t>
  </si>
  <si>
    <t>10KK4987</t>
  </si>
  <si>
    <t>MT Lê Quý Đôn Q3</t>
  </si>
  <si>
    <t>10CD4807</t>
  </si>
  <si>
    <t>CP AeonMall Rubik XT</t>
  </si>
  <si>
    <t>30SX4842</t>
  </si>
  <si>
    <t>SX VC Thảo Điền</t>
  </si>
  <si>
    <t>LC Đào Tấn</t>
  </si>
  <si>
    <t>1010101</t>
  </si>
  <si>
    <t>HCM Nguyen Thai Binh</t>
  </si>
  <si>
    <t>TCH</t>
  </si>
  <si>
    <t>THE COFFEE HOUSE</t>
  </si>
  <si>
    <t>1010201</t>
  </si>
  <si>
    <t>HCM Xuan Thuy</t>
  </si>
  <si>
    <t>1010202</t>
  </si>
  <si>
    <t>HCM Nguyen Duy Trinh</t>
  </si>
  <si>
    <t>Convert</t>
  </si>
  <si>
    <t>1010211</t>
  </si>
  <si>
    <t>1010207</t>
  </si>
  <si>
    <t>HCM New City Q2</t>
  </si>
  <si>
    <t>1010208</t>
  </si>
  <si>
    <t>HCM Duong 51</t>
  </si>
  <si>
    <t>1010209</t>
  </si>
  <si>
    <t>HCM Homyland Q2</t>
  </si>
  <si>
    <t>1010304</t>
  </si>
  <si>
    <t>HCM Ngo Thoi Nhiem</t>
  </si>
  <si>
    <t>1010305</t>
  </si>
  <si>
    <t>HCM Cao Thang</t>
  </si>
  <si>
    <t>1010306</t>
  </si>
  <si>
    <t>HCM Vo Van Tan</t>
  </si>
  <si>
    <t>1010401</t>
  </si>
  <si>
    <t>HCM Duong 41</t>
  </si>
  <si>
    <t>1010502</t>
  </si>
  <si>
    <t>HCM Tran Hung Dao</t>
  </si>
  <si>
    <t>1010601</t>
  </si>
  <si>
    <t>HCM Hau Giang</t>
  </si>
  <si>
    <t>1010602</t>
  </si>
  <si>
    <t>HCM Hau Giang PL</t>
  </si>
  <si>
    <t>1010603</t>
  </si>
  <si>
    <t>HCM Binh Phu</t>
  </si>
  <si>
    <t>1010701</t>
  </si>
  <si>
    <t>HCM Nguyen Thi Thap</t>
  </si>
  <si>
    <t>1010702</t>
  </si>
  <si>
    <t>HCM Huynh Tan Phat</t>
  </si>
  <si>
    <t>1010703</t>
  </si>
  <si>
    <t>HCM Nguyen Thi Thap 2</t>
  </si>
  <si>
    <t>1010708</t>
  </si>
  <si>
    <t>HCM Sky Garden</t>
  </si>
  <si>
    <t>1010711</t>
  </si>
  <si>
    <t>HCM The Grace Tower</t>
  </si>
  <si>
    <t>1010712</t>
  </si>
  <si>
    <t>HCM Signature Crescent Mall</t>
  </si>
  <si>
    <t>1010901</t>
  </si>
  <si>
    <t>HCM Do Xuan Hop</t>
  </si>
  <si>
    <t>1010904</t>
  </si>
  <si>
    <t>HCM Duong D1 Q9</t>
  </si>
  <si>
    <t>1011001</t>
  </si>
  <si>
    <t>HCM Ba Thang Hai</t>
  </si>
  <si>
    <t>1011002</t>
  </si>
  <si>
    <t>HCM Su Van Hanh</t>
  </si>
  <si>
    <t>1011003</t>
  </si>
  <si>
    <t>HCM Cao Thang 2</t>
  </si>
  <si>
    <t>1011007</t>
  </si>
  <si>
    <t>HCM Dong Nai</t>
  </si>
  <si>
    <t>1011105</t>
  </si>
  <si>
    <t>HCM Cu Xa Binh Thoi</t>
  </si>
  <si>
    <t>1011108</t>
  </si>
  <si>
    <t>1011107</t>
  </si>
  <si>
    <t>HCM Lu Gia</t>
  </si>
  <si>
    <t>1011301</t>
  </si>
  <si>
    <t>HCM Dong Da</t>
  </si>
  <si>
    <t>1011303</t>
  </si>
  <si>
    <t>HCM Hoang Viet</t>
  </si>
  <si>
    <t>1011304</t>
  </si>
  <si>
    <t>HCM Hong Ha</t>
  </si>
  <si>
    <t>1011305</t>
  </si>
  <si>
    <t>HCM Le Van Sy</t>
  </si>
  <si>
    <t>1011310</t>
  </si>
  <si>
    <t>HCM Ap Bac</t>
  </si>
  <si>
    <t>1011313</t>
  </si>
  <si>
    <t>HCM Le Trung Nghia</t>
  </si>
  <si>
    <t>1011404</t>
  </si>
  <si>
    <t>HCM Tan Son Nhi</t>
  </si>
  <si>
    <t>1011410</t>
  </si>
  <si>
    <t>1011405</t>
  </si>
  <si>
    <t>HCM Le Thiet</t>
  </si>
  <si>
    <t>1011406</t>
  </si>
  <si>
    <t>HCM To Hieu</t>
  </si>
  <si>
    <t>1011502</t>
  </si>
  <si>
    <t>HCM Duong 22</t>
  </si>
  <si>
    <t>1011603</t>
  </si>
  <si>
    <t>HCM Huynh Van Banh</t>
  </si>
  <si>
    <t>1011605</t>
  </si>
  <si>
    <t>HCM Hoa Su</t>
  </si>
  <si>
    <t>1011701</t>
  </si>
  <si>
    <t>HCM Nguyen Van Luong</t>
  </si>
  <si>
    <t>1011705</t>
  </si>
  <si>
    <t>HCM Phan Van Tri</t>
  </si>
  <si>
    <t>1011716</t>
  </si>
  <si>
    <t>1011709</t>
  </si>
  <si>
    <t>HCM Phan Huy Ich</t>
  </si>
  <si>
    <t>1011715</t>
  </si>
  <si>
    <t>1011801</t>
  </si>
  <si>
    <t>HCM Ngo Tat To</t>
  </si>
  <si>
    <t>1011804</t>
  </si>
  <si>
    <t>HCM Dien Bien Phu</t>
  </si>
  <si>
    <t>1011812</t>
  </si>
  <si>
    <t>HCM Duong D1 BTH</t>
  </si>
  <si>
    <t>1011813</t>
  </si>
  <si>
    <t>HCM Phan Van Tri 3</t>
  </si>
  <si>
    <t>1011904</t>
  </si>
  <si>
    <t>HCM Hoang Dieu 2</t>
  </si>
  <si>
    <t>1011905</t>
  </si>
  <si>
    <t>HCM To Ngoc Van</t>
  </si>
  <si>
    <t>1012001</t>
  </si>
  <si>
    <t>HCM Trung Son</t>
  </si>
  <si>
    <t>1012101</t>
  </si>
  <si>
    <t>HCM Nguyen Anh Thu</t>
  </si>
  <si>
    <t>2010101</t>
  </si>
  <si>
    <t>HN Hai Ba Trung</t>
  </si>
  <si>
    <t>2010203</t>
  </si>
  <si>
    <t>HN Doi Can</t>
  </si>
  <si>
    <t>2010301</t>
  </si>
  <si>
    <t>HN Nguyen Khanh Toan</t>
  </si>
  <si>
    <t>10UP4881</t>
  </si>
  <si>
    <t>2010303</t>
  </si>
  <si>
    <t>HN Trung Hoa</t>
  </si>
  <si>
    <t>2010306</t>
  </si>
  <si>
    <t>HN Ho Tung Mau</t>
  </si>
  <si>
    <t>2010309</t>
  </si>
  <si>
    <t>HN Vu Pham Ham</t>
  </si>
  <si>
    <t>2010310</t>
  </si>
  <si>
    <t>HN Discovery</t>
  </si>
  <si>
    <t>2010312</t>
  </si>
  <si>
    <t>HN Hoang Dao Thuy 2</t>
  </si>
  <si>
    <t>2010313</t>
  </si>
  <si>
    <t>HN Chelsea Residences</t>
  </si>
  <si>
    <t>2010314</t>
  </si>
  <si>
    <t>HN Le Van Luong</t>
  </si>
  <si>
    <t>2010315</t>
  </si>
  <si>
    <t>HN Park Home</t>
  </si>
  <si>
    <t>2010402</t>
  </si>
  <si>
    <t>HN Thai Ha</t>
  </si>
  <si>
    <t>2010403</t>
  </si>
  <si>
    <t>HN Hao Nam</t>
  </si>
  <si>
    <t>2010405</t>
  </si>
  <si>
    <t>HN Peakview Tower</t>
  </si>
  <si>
    <t>10UT4972</t>
  </si>
  <si>
    <t>2010501</t>
  </si>
  <si>
    <t>HN Times City</t>
  </si>
  <si>
    <t>2010507</t>
  </si>
  <si>
    <t>HN Le Thanh Nghi</t>
  </si>
  <si>
    <t>2010509</t>
  </si>
  <si>
    <t>HN Lo Duc</t>
  </si>
  <si>
    <t>10UT4971</t>
  </si>
  <si>
    <t>2010601</t>
  </si>
  <si>
    <t>HN Rice City</t>
  </si>
  <si>
    <t>2010602</t>
  </si>
  <si>
    <t>HN Tran Nguyen Dan</t>
  </si>
  <si>
    <t>2010604</t>
  </si>
  <si>
    <t>HN Gamuda Gardens</t>
  </si>
  <si>
    <t>2010701</t>
  </si>
  <si>
    <t>HN Victoria Van Phu</t>
  </si>
  <si>
    <t>2010703</t>
  </si>
  <si>
    <t>HN Aeon Mall Ha Dong</t>
  </si>
  <si>
    <t>2010704</t>
  </si>
  <si>
    <t>HN Nguyen Van Loc</t>
  </si>
  <si>
    <t>2010802</t>
  </si>
  <si>
    <t>HN Vuong Thua Vu</t>
  </si>
  <si>
    <t>2010804</t>
  </si>
  <si>
    <t>HN Vu Tong Phan</t>
  </si>
  <si>
    <t>2010902</t>
  </si>
  <si>
    <t>HN Aeon Mall Him Lam</t>
  </si>
  <si>
    <t>2011001</t>
  </si>
  <si>
    <t>HN Xuan La</t>
  </si>
  <si>
    <t>2011002</t>
  </si>
  <si>
    <t>HN Pham Van Dong</t>
  </si>
  <si>
    <t>10UT4934</t>
  </si>
  <si>
    <t>2011104</t>
  </si>
  <si>
    <t>HN Vincom Mega Mall Smart City</t>
  </si>
  <si>
    <t>2011201</t>
  </si>
  <si>
    <t>HN Vincom Mega Mall Ocean Park</t>
  </si>
  <si>
    <t>2011202</t>
  </si>
  <si>
    <t>HN 149 Nguyen Van Cu</t>
  </si>
  <si>
    <t>10UT4933</t>
  </si>
  <si>
    <t>2020101</t>
  </si>
  <si>
    <t>HP Tran Phu</t>
  </si>
  <si>
    <t>2020301</t>
  </si>
  <si>
    <t>HP Aeon Mall Le Chan</t>
  </si>
  <si>
    <t>2050101</t>
  </si>
  <si>
    <t>HY Pho Truc Ecopark</t>
  </si>
  <si>
    <t>HY</t>
  </si>
  <si>
    <t>3010102</t>
  </si>
  <si>
    <t>BH Vo Thi Sau</t>
  </si>
  <si>
    <t>3020101</t>
  </si>
  <si>
    <t>VT Ba Cu</t>
  </si>
  <si>
    <t>3040101</t>
  </si>
  <si>
    <t>BD Hikari</t>
  </si>
  <si>
    <t>3060101</t>
  </si>
  <si>
    <t>TNH Duong 30/4</t>
  </si>
  <si>
    <t>3060102</t>
  </si>
  <si>
    <t>TNH SunWorld Ba Den</t>
  </si>
  <si>
    <t>4030101</t>
  </si>
  <si>
    <t>NTR AB Tower</t>
  </si>
  <si>
    <t>KHA</t>
  </si>
  <si>
    <t>4030102</t>
  </si>
  <si>
    <t>NTR Gold Coast</t>
  </si>
  <si>
    <t>4030103</t>
  </si>
  <si>
    <t>NTR BigC GO Nha Trang</t>
  </si>
  <si>
    <t>HC Uông Bí QN</t>
  </si>
  <si>
    <t>HANG CUON</t>
  </si>
  <si>
    <t>HT Vĩnh Yên</t>
  </si>
  <si>
    <t>Chuyển sang Dao Niu Guo</t>
  </si>
  <si>
    <t>IP Lê Thái Tổ</t>
  </si>
  <si>
    <t>SX Times City</t>
  </si>
  <si>
    <t>MG Nguyễn Văn Trỗi</t>
  </si>
  <si>
    <t>WM Lê Quý Đôn Q3</t>
  </si>
  <si>
    <t>10VX4863</t>
  </si>
  <si>
    <t>Blue Bay Sun Grand Thụy Khuê</t>
  </si>
  <si>
    <t>10CT4789</t>
  </si>
  <si>
    <t>Canteen Tiệc Đại Nam</t>
  </si>
  <si>
    <t>10CT6521</t>
  </si>
  <si>
    <t>Double code</t>
  </si>
  <si>
    <t>Canteen G-mart Bạch Mai A11-1 (sap)</t>
  </si>
  <si>
    <t>10FC4867</t>
  </si>
  <si>
    <t>Flychef Kim Ngưu</t>
  </si>
  <si>
    <t>10GC4609</t>
  </si>
  <si>
    <t>G-Catering Bạch Mai</t>
  </si>
  <si>
    <t>G-CATERING</t>
  </si>
  <si>
    <t>Hàng Cuốn Cao Thắng Thanh Hóa</t>
  </si>
  <si>
    <t>Dao Niu Guo</t>
  </si>
  <si>
    <t>05HNOST003</t>
  </si>
  <si>
    <t>Canteen G-mart Tô Hoa Đại Nam</t>
  </si>
  <si>
    <t>30CD4878</t>
  </si>
  <si>
    <t>Cloud Pot ViVo City Q7</t>
  </si>
  <si>
    <t>Cloud Pot Trần Huy Liệu</t>
  </si>
  <si>
    <t>10DN5016</t>
  </si>
  <si>
    <t>30CD4755</t>
  </si>
  <si>
    <t>CloudPot Vincom Thảo Điền</t>
  </si>
  <si>
    <t>Wow!Yakiniku Times City</t>
  </si>
  <si>
    <t>10WY4771</t>
  </si>
  <si>
    <t>Not yet open</t>
  </si>
  <si>
    <t>Wow!Yakiniku Royal City</t>
  </si>
  <si>
    <t>10UN4844</t>
  </si>
  <si>
    <t>Universal Coffee Trần Huy Liệu</t>
  </si>
  <si>
    <t>Universal Coffee</t>
  </si>
  <si>
    <t>SM Hoàng Đạo Thúy</t>
  </si>
  <si>
    <t>GG 2A Lê Hồng Phong HP</t>
  </si>
  <si>
    <t>30KK4887</t>
  </si>
  <si>
    <t>KK KNG Mall Vũng Tàu</t>
  </si>
  <si>
    <t>10BB4891</t>
  </si>
  <si>
    <t>BB GO! Thang Long</t>
  </si>
  <si>
    <t>BB</t>
  </si>
  <si>
    <t>BAP BUNG</t>
  </si>
  <si>
    <t>10CV5020</t>
  </si>
  <si>
    <t>HT Bắc Giang</t>
  </si>
  <si>
    <t>10MW4989</t>
  </si>
  <si>
    <t>HC Vincom Bà Triệu</t>
  </si>
  <si>
    <t>10UP4966</t>
  </si>
  <si>
    <t>GG 316 NLB Hải Dương</t>
  </si>
  <si>
    <t>KK Lương Định Của</t>
  </si>
  <si>
    <t>HC Phan Xích Long</t>
  </si>
  <si>
    <t>30LC4973</t>
  </si>
  <si>
    <t>HC COOP Sư Vạn Hạnh</t>
  </si>
  <si>
    <t>30LC4976</t>
  </si>
  <si>
    <t>DN Lê Đức Thọ</t>
  </si>
  <si>
    <t>DN</t>
  </si>
  <si>
    <t>DAO NIU GUO</t>
  </si>
  <si>
    <t>GG Tôn Đức Thắng VP</t>
  </si>
  <si>
    <t>HC Saigon Center</t>
  </si>
  <si>
    <t>30LC4977</t>
  </si>
  <si>
    <t>10LC4879</t>
  </si>
  <si>
    <t>LC Aeon Long Biên</t>
  </si>
  <si>
    <t>09HNOMB002</t>
  </si>
  <si>
    <t>Mama Trần Thái Tông</t>
  </si>
  <si>
    <t>GG Mipec Tây Sơn</t>
  </si>
  <si>
    <t>KK Láng Hạ 2</t>
  </si>
  <si>
    <t>10MW4940</t>
  </si>
  <si>
    <t>MW Trần Phú Hà Đông</t>
  </si>
  <si>
    <t>UT Trần Huy Liệu</t>
  </si>
  <si>
    <t>CV Ocean Park</t>
  </si>
  <si>
    <t>CV</t>
  </si>
  <si>
    <t>CHA CA</t>
  </si>
  <si>
    <t>Shutdown</t>
  </si>
  <si>
    <t>10YT5037</t>
  </si>
  <si>
    <t>30HB4930</t>
  </si>
  <si>
    <t>HB Ariyana Khanh Hoa</t>
  </si>
  <si>
    <t>LC Lê Hồng Phong HP</t>
  </si>
  <si>
    <t>LC Vinhome HP</t>
  </si>
  <si>
    <t>LC Lê Thánh Tông HL</t>
  </si>
  <si>
    <t>30KK4942</t>
  </si>
  <si>
    <t>KK Aeon Long An</t>
  </si>
  <si>
    <t>MT Nguyễn Trãi Q1</t>
  </si>
  <si>
    <t>SG Cao Thắng Q3</t>
  </si>
  <si>
    <t>30GG4941</t>
  </si>
  <si>
    <t>GG Aeon Long An</t>
  </si>
  <si>
    <t>10UN4931</t>
  </si>
  <si>
    <t>UN Aeon mall Hà Đông</t>
  </si>
  <si>
    <t>10UT4932</t>
  </si>
  <si>
    <t>UT Royal City</t>
  </si>
  <si>
    <t>UT Nguyễn Văn Cừ</t>
  </si>
  <si>
    <t>UT Phạm Văn Đồng</t>
  </si>
  <si>
    <t>UT Lò Đúc</t>
  </si>
  <si>
    <t>10CK4952</t>
  </si>
  <si>
    <t>CM Aeon Long Biên</t>
  </si>
  <si>
    <t>30GG4955</t>
  </si>
  <si>
    <t>GG Phan Đình Phùng QN</t>
  </si>
  <si>
    <t>Ngonya Ramen Trung Hòa</t>
  </si>
  <si>
    <t>NR</t>
  </si>
  <si>
    <t>NGONYA</t>
  </si>
  <si>
    <t>LC Trần Phú</t>
  </si>
  <si>
    <t>LC Nguyễn Khang</t>
  </si>
  <si>
    <t>LC Cao Thắng</t>
  </si>
  <si>
    <t>LC Ng. Thị Thập Q7</t>
  </si>
  <si>
    <t>LC Phan Xích Long</t>
  </si>
  <si>
    <t>LC COOP Sư Vạn Hạnh</t>
  </si>
  <si>
    <t>30YT5010</t>
  </si>
  <si>
    <t>LC Sài Gòn Center Q1</t>
  </si>
  <si>
    <t>Union Pizza Nguyễn Khánh Toàn</t>
  </si>
  <si>
    <t>Kichi Kichi Lotte Cộng Hòa HCM</t>
  </si>
  <si>
    <t>Universal Tea Peakview 36 Hoàng Cầu</t>
  </si>
  <si>
    <t>2010807</t>
  </si>
  <si>
    <t>UT HNI Royal City 72A Nguyen Trai</t>
  </si>
  <si>
    <t>2010510</t>
  </si>
  <si>
    <t>UT HNI 166 Lo Duc</t>
  </si>
  <si>
    <t>2010903</t>
  </si>
  <si>
    <t>UT HNI 149 Nguyen Van Cu</t>
  </si>
  <si>
    <t>2010409</t>
  </si>
  <si>
    <t>UT HNI Peakview 36 Hoang Cau</t>
  </si>
  <si>
    <t>2010706</t>
  </si>
  <si>
    <t>2011004</t>
  </si>
  <si>
    <t>UT HNI Leadvisors 643 Pham Van Dong</t>
  </si>
  <si>
    <t>2010105</t>
  </si>
  <si>
    <t>UT HNI 50 Tran Quoc Toan</t>
  </si>
  <si>
    <t>2010204</t>
  </si>
  <si>
    <t>UT HNI 02 Tran Huy Lieu</t>
  </si>
  <si>
    <t>2010317</t>
  </si>
  <si>
    <t>UT HNI Lotte 272 Vo Chi Cong</t>
  </si>
  <si>
    <t>2010318</t>
  </si>
  <si>
    <t>UT HNI 03 Vu Pham Ham</t>
  </si>
  <si>
    <t>2010408</t>
  </si>
  <si>
    <t>UT HNI 83 Hao Nam</t>
  </si>
  <si>
    <t>2010808</t>
  </si>
  <si>
    <t>UT HNI 35 Le Van Thiem</t>
  </si>
  <si>
    <t>LC Lotte Phú Thọ HCM</t>
  </si>
  <si>
    <t>HP Hùng Vương Plaza</t>
  </si>
  <si>
    <t>HUTONG PALACE</t>
  </si>
  <si>
    <t>Union Pizza Bà Triệu</t>
  </si>
  <si>
    <t>Dao Niu Guo Vạn Hạnh Mall</t>
  </si>
  <si>
    <t>KK Hoàng Đạo Thúy</t>
  </si>
  <si>
    <t>10DN4993</t>
  </si>
  <si>
    <t>Dao Niu Guo Tôn Đức Thắng</t>
  </si>
  <si>
    <t>Dao Niu Guo Diamond Plaza</t>
  </si>
  <si>
    <t>Pizza Royal Nguyễn Trãi</t>
  </si>
  <si>
    <t>PZ</t>
  </si>
  <si>
    <t>Pizza 360</t>
  </si>
  <si>
    <t>Utea Phan Huy Ích</t>
  </si>
  <si>
    <t>Universal Tea</t>
  </si>
  <si>
    <t>UT HCM 670 Nguyen Duy Trinh</t>
  </si>
  <si>
    <t>4050101</t>
  </si>
  <si>
    <t>TCH LDO so 3 Nguyen Chi Thanh Lam Dong</t>
  </si>
  <si>
    <t>2010707</t>
  </si>
  <si>
    <t>FCI HNI BT16B5-06 Lang Viet Kieu Chau Au</t>
  </si>
  <si>
    <t>Gắn vào TCH Nguyễn Văn Lộc 2010704</t>
  </si>
  <si>
    <t>30SX4985</t>
  </si>
  <si>
    <t>SX Vạn Hạnh Mall</t>
  </si>
  <si>
    <t>Gắn vào CD Vạn Hạnh Mall 30CD4832</t>
  </si>
  <si>
    <t>30YT4995</t>
  </si>
  <si>
    <t>YT Bcons Thống Nhất</t>
  </si>
  <si>
    <t>New new</t>
  </si>
  <si>
    <t>10YTNOBUD03</t>
  </si>
  <si>
    <t>YT Vincom Ocean Park</t>
  </si>
  <si>
    <t>30GG4994</t>
  </si>
  <si>
    <t>GG Bcons Thống Nhất</t>
  </si>
  <si>
    <t>30GGNOBUD10</t>
  </si>
  <si>
    <t>GG Nguyễn Văn Lạc</t>
  </si>
  <si>
    <t>10GG4883</t>
  </si>
  <si>
    <t>GG Hanoi Centre NTH</t>
  </si>
  <si>
    <t>30KK4996</t>
  </si>
  <si>
    <t>KK Bcons Bình Dương</t>
  </si>
  <si>
    <t>10KK4858</t>
  </si>
  <si>
    <t>KK HN Centre NTH</t>
  </si>
  <si>
    <t>10MWNEW18</t>
  </si>
  <si>
    <t>MW Bắc Giang</t>
  </si>
  <si>
    <t>30GG5007</t>
  </si>
  <si>
    <t>GG Lotte Tân Bình</t>
  </si>
  <si>
    <t>30YT5008</t>
  </si>
  <si>
    <t>YT Lotte Mart Cộng Hòa</t>
  </si>
  <si>
    <t>30UP4954</t>
  </si>
  <si>
    <t>UP Xuân Thủy HCM</t>
  </si>
  <si>
    <t>Shop in shop 1010201</t>
  </si>
  <si>
    <t>TCH HNI GO Thang Long</t>
  </si>
  <si>
    <t>CV Vạn Vạn GO Thang Long</t>
  </si>
  <si>
    <t>10DNNOBUD03</t>
  </si>
  <si>
    <t>DN Trần Huy Liệu</t>
  </si>
  <si>
    <t>10UPNOBUD05</t>
  </si>
  <si>
    <t>10UP5044</t>
  </si>
  <si>
    <t>UP Phan Đình Phùng</t>
  </si>
  <si>
    <t>30CJ4992</t>
  </si>
  <si>
    <t>CJ Parc Mall HCM</t>
  </si>
  <si>
    <t>30YTNOBUD01</t>
  </si>
  <si>
    <t>YT Lotte 84 Mậu Thân</t>
  </si>
  <si>
    <t>2011005</t>
  </si>
  <si>
    <t>FC HNI Can 8 Khu nha N1 Du An Xuan Dinh</t>
  </si>
  <si>
    <t>Shop in shop 2011001</t>
  </si>
  <si>
    <t>TCHNEW004</t>
  </si>
  <si>
    <t>1010115</t>
  </si>
  <si>
    <t>TCH HCM 28 Ter Mac Dinh Chi</t>
  </si>
  <si>
    <t>FCNEW002</t>
  </si>
  <si>
    <t>1011821</t>
  </si>
  <si>
    <t>FC HCM 469 Dien Bien Phu</t>
  </si>
  <si>
    <t>Shop in shop 1011804</t>
  </si>
  <si>
    <t>UT HCM 45 Duong So 5 - Cu xa Binh Thoi</t>
  </si>
  <si>
    <t>UT HCM 771 Phan Van Tri</t>
  </si>
  <si>
    <t>UT HCM 141-143 Tan Son Nhi</t>
  </si>
  <si>
    <t>50GL3601</t>
  </si>
  <si>
    <t>FMCG Go Global</t>
  </si>
  <si>
    <t>GL</t>
  </si>
  <si>
    <t>FCNEW003</t>
  </si>
  <si>
    <t>1010114</t>
  </si>
  <si>
    <t>FC HCM 141 Nguyen Thai Binh</t>
  </si>
  <si>
    <t>Shop in shop 1010101</t>
  </si>
  <si>
    <t>30DNNOBUD11</t>
  </si>
  <si>
    <t>DN Nguyễn Tri Phương</t>
  </si>
  <si>
    <t>09HNOCH003</t>
  </si>
  <si>
    <t>Chibo Aeon Hà Đông</t>
  </si>
  <si>
    <t>New in bud 2026</t>
  </si>
  <si>
    <t>09HNOSK004</t>
  </si>
  <si>
    <t>Nhà hàng Sakura - Hồ Tây</t>
  </si>
  <si>
    <t>10SMNEW01</t>
  </si>
  <si>
    <t>Vincom Mega Mall Royal City</t>
  </si>
  <si>
    <t>10UPNEW03</t>
  </si>
  <si>
    <t>UP Vĩnh Tuy</t>
  </si>
  <si>
    <t>30WY4938</t>
  </si>
  <si>
    <t>Aeon Tân Phú</t>
  </si>
  <si>
    <t>30SMNEW03</t>
  </si>
  <si>
    <t>Aeon Tân Phú Celadon</t>
  </si>
  <si>
    <t>30SMNEW04</t>
  </si>
  <si>
    <t>Aeon Mall Bình Tân</t>
  </si>
  <si>
    <t>10ASNEW01</t>
  </si>
  <si>
    <t>AS Aeon Mall Hà Đông</t>
  </si>
  <si>
    <t>10CTNEW1</t>
  </si>
  <si>
    <t>Cơm VP</t>
  </si>
  <si>
    <t>10CTNEW3</t>
  </si>
  <si>
    <t>Gmart-New3</t>
  </si>
  <si>
    <t>10CTNEW4</t>
  </si>
  <si>
    <t>Café-new4</t>
  </si>
  <si>
    <t>10CTNEW5</t>
  </si>
  <si>
    <t>Tiệc_new5</t>
  </si>
  <si>
    <t>10CTNEW6</t>
  </si>
  <si>
    <t>Canteen- new6</t>
  </si>
  <si>
    <t>10CTNEW7</t>
  </si>
  <si>
    <t>Gmart_viện 1</t>
  </si>
  <si>
    <t>10CTNEW8</t>
  </si>
  <si>
    <t>Gmart_viện 2</t>
  </si>
  <si>
    <t>10CTNEW9</t>
  </si>
  <si>
    <t>FDI</t>
  </si>
  <si>
    <t>30KKNEW01</t>
  </si>
  <si>
    <t>Crescent Mall</t>
  </si>
  <si>
    <t>30KKNEW02</t>
  </si>
  <si>
    <t>Quận 4</t>
  </si>
  <si>
    <t>10KKNEW04</t>
  </si>
  <si>
    <t>AEON Hạ Long</t>
  </si>
  <si>
    <t>SBU.MB</t>
  </si>
  <si>
    <t>30KKNEW05</t>
  </si>
  <si>
    <t>Quang Trung</t>
  </si>
  <si>
    <t>SBU.MN</t>
  </si>
  <si>
    <t>30KKNEW08</t>
  </si>
  <si>
    <t>Megamall</t>
  </si>
  <si>
    <t>30KKNEW09</t>
  </si>
  <si>
    <t>AEON Đà Nẵng</t>
  </si>
  <si>
    <t>30KKNEW13</t>
  </si>
  <si>
    <t>Tân Uyên</t>
  </si>
  <si>
    <t>30KKNEW14</t>
  </si>
  <si>
    <t>Lanmark</t>
  </si>
  <si>
    <t>30KKNEW15</t>
  </si>
  <si>
    <t>Estella Place</t>
  </si>
  <si>
    <t>10KK5017</t>
  </si>
  <si>
    <t>KK VC Metropolis</t>
  </si>
  <si>
    <t>10KKNEW21</t>
  </si>
  <si>
    <t>Mm Mega Market Hoàng Mai</t>
  </si>
  <si>
    <t>10KKNEW22</t>
  </si>
  <si>
    <t>AEON Thanh Hóa</t>
  </si>
  <si>
    <t>30KKNEW23</t>
  </si>
  <si>
    <t>Ninh Thuận</t>
  </si>
  <si>
    <t>30KKNEW24</t>
  </si>
  <si>
    <t>AEON Mỹ Tho</t>
  </si>
  <si>
    <t>10KKNEW77</t>
  </si>
  <si>
    <t>Văn phú</t>
  </si>
  <si>
    <t>10KKNEW80</t>
  </si>
  <si>
    <t>Bắc Hà</t>
  </si>
  <si>
    <t>10KKNEW82</t>
  </si>
  <si>
    <t>Yên Hòa Sunshine</t>
  </si>
  <si>
    <t>10KKNEW84</t>
  </si>
  <si>
    <t>Hà Thành Plaza</t>
  </si>
  <si>
    <t>30KKNEW45</t>
  </si>
  <si>
    <t>Bình Thạnh Thanh Đa</t>
  </si>
  <si>
    <t>30KKNEW47</t>
  </si>
  <si>
    <t>Gò Vấp Quang Trung</t>
  </si>
  <si>
    <t>30KKNEW50</t>
  </si>
  <si>
    <t>Quận 1 Phạm Ngũ Lão</t>
  </si>
  <si>
    <t>10SXNEW03</t>
  </si>
  <si>
    <t>Lotte Mart Võ Chí Công</t>
  </si>
  <si>
    <t>30SXNEW09</t>
  </si>
  <si>
    <t>Giga Mall</t>
  </si>
  <si>
    <t>10CDNEW04</t>
  </si>
  <si>
    <t>Aeon Hà Đông</t>
  </si>
  <si>
    <t>10CDNEW05</t>
  </si>
  <si>
    <t>Aeon Long Biên</t>
  </si>
  <si>
    <t>30CDNEW06</t>
  </si>
  <si>
    <t>Lancaster Q1</t>
  </si>
  <si>
    <t>30CDNEW12</t>
  </si>
  <si>
    <t>Thiso Mall</t>
  </si>
  <si>
    <t>30CDNEW13</t>
  </si>
  <si>
    <t>CD Aeon Đà Nẵng</t>
  </si>
  <si>
    <t>10SSNEW01</t>
  </si>
  <si>
    <t>Aeon Mall Hà Đông</t>
  </si>
  <si>
    <t>10SSNEW02</t>
  </si>
  <si>
    <t>10SSNEW03</t>
  </si>
  <si>
    <t>Aeon Mall Hạ Long</t>
  </si>
  <si>
    <t>10SSNEW07</t>
  </si>
  <si>
    <t>Hoàn Kiếm</t>
  </si>
  <si>
    <t>30SSNEW08</t>
  </si>
  <si>
    <t>Aeon Mall Đà Nẵng</t>
  </si>
  <si>
    <t>10LCNEW01</t>
  </si>
  <si>
    <t>LC Vincom Times City</t>
  </si>
  <si>
    <t>30LCNEW02</t>
  </si>
  <si>
    <t>LC Thiso Mall</t>
  </si>
  <si>
    <t>30LCNEW05</t>
  </si>
  <si>
    <t>LC Aeon Bình Tân</t>
  </si>
  <si>
    <t>30LCNEW08</t>
  </si>
  <si>
    <t>LC Vincom Thảo Điền</t>
  </si>
  <si>
    <t>10LCNEW09</t>
  </si>
  <si>
    <t>LC Trung Hoà (Trần Duy Hưng/Hoàng Đạo Thúy)</t>
  </si>
  <si>
    <t>30LCNEW13</t>
  </si>
  <si>
    <t>LC Vincom Landmark 81</t>
  </si>
  <si>
    <t>30LCNEW19</t>
  </si>
  <si>
    <t>LC Vincom Grand Park</t>
  </si>
  <si>
    <t>10YTNEW03</t>
  </si>
  <si>
    <t>Royal City</t>
  </si>
  <si>
    <t>10YTNEW04</t>
  </si>
  <si>
    <t>Times City</t>
  </si>
  <si>
    <t>30GGNEW02</t>
  </si>
  <si>
    <t>GG Khu chung cư Hà Đô</t>
  </si>
  <si>
    <t>30GGNEW03</t>
  </si>
  <si>
    <t>GG Crescent Mall</t>
  </si>
  <si>
    <t>30GGNEW05</t>
  </si>
  <si>
    <t>GG Vincom Center Landmark 81</t>
  </si>
  <si>
    <t>30GGNEW06</t>
  </si>
  <si>
    <t>GG Nowzone  Q1</t>
  </si>
  <si>
    <t>30GGNEW10</t>
  </si>
  <si>
    <t>GG Aeon Cần Thơ</t>
  </si>
  <si>
    <t>30GGNEW13</t>
  </si>
  <si>
    <t>GG Phường 7, Q. Gò Vấp, HCM</t>
  </si>
  <si>
    <t>30GGNEW15</t>
  </si>
  <si>
    <t>GG Phường 15, Q. 10, HCM</t>
  </si>
  <si>
    <t>10GGNEW18</t>
  </si>
  <si>
    <t>GG Lotte Center Hanoi</t>
  </si>
  <si>
    <t>30GGNEW20</t>
  </si>
  <si>
    <t>GG Aeon Đà Nẵng</t>
  </si>
  <si>
    <t>30GGNEW26</t>
  </si>
  <si>
    <t>GG Bình Hưng, Q. Bình Chánh, HCM</t>
  </si>
  <si>
    <t>30GGNEW29</t>
  </si>
  <si>
    <t>GG Nguyễn Cư Trinh, Q. 1, HCM</t>
  </si>
  <si>
    <t>30GGNEW30</t>
  </si>
  <si>
    <t>GG Phạm Ngũ Lão, Q. 1, HCM</t>
  </si>
  <si>
    <t>30GGNEW31</t>
  </si>
  <si>
    <t>GG Phường 15, Q. 11, HCM</t>
  </si>
  <si>
    <t>30GGNEW32</t>
  </si>
  <si>
    <t>GG An Khánh, Q. 2, HCM 1</t>
  </si>
  <si>
    <t>30GGNEW38</t>
  </si>
  <si>
    <t>GG Ninh Thuận</t>
  </si>
  <si>
    <t>10GGNEW41</t>
  </si>
  <si>
    <t>GG Aeon Quảng Ninh</t>
  </si>
  <si>
    <t>10GGNEW42</t>
  </si>
  <si>
    <t>GG Aeon Thanh Hóa</t>
  </si>
  <si>
    <t>30GGNEW43</t>
  </si>
  <si>
    <t>GG Mega market Hòa Khánh Nam</t>
  </si>
  <si>
    <t>30GGNEW44</t>
  </si>
  <si>
    <t>GG Aeon Mỹ Tho</t>
  </si>
  <si>
    <t>30GGNEW45</t>
  </si>
  <si>
    <t>GG Sensi Festi Vĩnh Long</t>
  </si>
  <si>
    <t>10GGNEW46</t>
  </si>
  <si>
    <t>GG Phú La, Q. Hà Đông, HN</t>
  </si>
  <si>
    <t>10GGNEW50</t>
  </si>
  <si>
    <t>GG Vĩnh Tuy, Q. Hai Bà Trưng, HN</t>
  </si>
  <si>
    <t>10GGNEW51</t>
  </si>
  <si>
    <t>GG Mỹ Đình 1, Q. Nam Từ Liêm, HN</t>
  </si>
  <si>
    <t>10GGNEW52</t>
  </si>
  <si>
    <t>GG Mễ Trì, Q. Nam Từ Liêm, HN</t>
  </si>
  <si>
    <t>10GGNEW53</t>
  </si>
  <si>
    <t>GG Thanh Xuân Trung, Q. Thanh Xuân, HN</t>
  </si>
  <si>
    <t>30GGNEW54</t>
  </si>
  <si>
    <t>GG Phường 22, Q. Bình Thạnh, HCM 1</t>
  </si>
  <si>
    <t>30GGNEW56</t>
  </si>
  <si>
    <t>GG Võ Thị Sáu, Q. 3, HCM</t>
  </si>
  <si>
    <t>30GGNEW62</t>
  </si>
  <si>
    <t>GG Chợ Gạo, Q. , Tiền Giang</t>
  </si>
  <si>
    <t>30GGNEW64</t>
  </si>
  <si>
    <t>GG Cái Dầu, Q. , An Giang</t>
  </si>
  <si>
    <t>30GGNEW66</t>
  </si>
  <si>
    <t>GG TP Tuyên Quang, Q. , Tuyên Quang</t>
  </si>
  <si>
    <t>10MMNEW02</t>
  </si>
  <si>
    <t>MM NEW02 - Aeon Hà Đông</t>
  </si>
  <si>
    <t>10MMNEW04</t>
  </si>
  <si>
    <t>MM NEW04 - Quang Trung</t>
  </si>
  <si>
    <t>10MMNEW05</t>
  </si>
  <si>
    <t>MM NEW05 - Times City</t>
  </si>
  <si>
    <t>30SGNEW01</t>
  </si>
  <si>
    <t>SG Đồng Đen</t>
  </si>
  <si>
    <t>10SGNEW01</t>
  </si>
  <si>
    <t>SG Tô Hiệu</t>
  </si>
  <si>
    <t>10SGNEW02</t>
  </si>
  <si>
    <t>SG Linh Lang</t>
  </si>
  <si>
    <t>10MWNEW1</t>
  </si>
  <si>
    <t>Nguyễn Chí Thanh</t>
  </si>
  <si>
    <t>10MWNEW3</t>
  </si>
  <si>
    <t>Nguyễn văn Cừ</t>
  </si>
  <si>
    <t>10MWNEW4</t>
  </si>
  <si>
    <t>Lê Đức Thọ/ Hàm nghi</t>
  </si>
  <si>
    <t>30MWNEW5</t>
  </si>
  <si>
    <t>Nguyễn Cư Trinh</t>
  </si>
  <si>
    <t>30MWNEW6</t>
  </si>
  <si>
    <t>Phường 11</t>
  </si>
  <si>
    <t>30MWNEW9</t>
  </si>
  <si>
    <t>AEON ĐN - Mall</t>
  </si>
  <si>
    <t>10MWNEW10</t>
  </si>
  <si>
    <t>Aeon Hạ Long - Mall</t>
  </si>
  <si>
    <t>30MWNEW12</t>
  </si>
  <si>
    <t>Phức hợp Bcon</t>
  </si>
  <si>
    <t>30MWNEW13</t>
  </si>
  <si>
    <t>MW Aeon Mỹ Tho</t>
  </si>
  <si>
    <t>10MWNEW15</t>
  </si>
  <si>
    <t>QL 21/ thế giới DĐ</t>
  </si>
  <si>
    <t>10MWNEW16</t>
  </si>
  <si>
    <t>Thiên Đường Bảo Sơn</t>
  </si>
  <si>
    <t>10MTNEW2</t>
  </si>
  <si>
    <t>30MTNEW3</t>
  </si>
  <si>
    <t>Phú Mỹ Hưng</t>
  </si>
  <si>
    <t>10ASNEW05</t>
  </si>
  <si>
    <t>AS Vincom Center Metropolis</t>
  </si>
  <si>
    <t>30ASNEW10</t>
  </si>
  <si>
    <t xml:space="preserve">AS Saigon Centre </t>
  </si>
  <si>
    <t>30ASNEW12</t>
  </si>
  <si>
    <t>AS Cressent mall Q7</t>
  </si>
  <si>
    <t>30ASNEW17</t>
  </si>
  <si>
    <t>AS Thiso quận 2</t>
  </si>
  <si>
    <t>10CKNEW02</t>
  </si>
  <si>
    <t>CM Aeon Hà Đông</t>
  </si>
  <si>
    <t>30CKNEW11</t>
  </si>
  <si>
    <t>CM Aeon Tạ Quang Bửu</t>
  </si>
  <si>
    <t>30CKNEW12</t>
  </si>
  <si>
    <t>CM Vincom Mega Mall Grand Park</t>
  </si>
  <si>
    <t>30CKNEW13</t>
  </si>
  <si>
    <t>CM Vincom Mega Mall Thảo Điền</t>
  </si>
  <si>
    <t>30CKNEW14</t>
  </si>
  <si>
    <t>CM Thiso Mall</t>
  </si>
  <si>
    <t>10CK5071</t>
  </si>
  <si>
    <t>CM Vincom Thái Bình</t>
  </si>
  <si>
    <t>30UP4953</t>
  </si>
  <si>
    <t>TCH HCM 175B Cao Thắng nối dài</t>
  </si>
  <si>
    <t>30UP4988</t>
  </si>
  <si>
    <t>TCH HCM SIG 101 Tôn Dật Tiên (Crescent mall)</t>
  </si>
  <si>
    <t>10UPNEW14</t>
  </si>
  <si>
    <t>UP Tràng Tiền</t>
  </si>
  <si>
    <t>30PZNEW12</t>
  </si>
  <si>
    <t>PZ Vincom Center Đồng Khởi</t>
  </si>
  <si>
    <t>10SMNEW05</t>
  </si>
  <si>
    <t>Aeon Hải Phòng Lê Chân</t>
  </si>
  <si>
    <t>30SMNEW17</t>
  </si>
  <si>
    <t>Emart Gò Vấp</t>
  </si>
  <si>
    <t>30SMNEW18</t>
  </si>
  <si>
    <t>Lotte Mart Gò Vấp</t>
  </si>
  <si>
    <t>10WYNEW03</t>
  </si>
  <si>
    <t>30WYNEW05</t>
  </si>
  <si>
    <t>30WYNEW14</t>
  </si>
  <si>
    <t>Aeon Tạ Quang Bửu</t>
  </si>
  <si>
    <t>30WYNEW15</t>
  </si>
  <si>
    <t>30WYNEW20</t>
  </si>
  <si>
    <t>10WYNEW21</t>
  </si>
  <si>
    <t>Linh Đàm Hoàng Mai HN</t>
  </si>
  <si>
    <t>10DNNEW1</t>
  </si>
  <si>
    <t>Trung Hoà - HĐT</t>
  </si>
  <si>
    <t>30DNNEW8</t>
  </si>
  <si>
    <t>DNG Parcmall</t>
  </si>
  <si>
    <t>30DNNEW9</t>
  </si>
  <si>
    <t>30DNNEW10</t>
  </si>
  <si>
    <t>Vincom Center Landmark 81</t>
  </si>
  <si>
    <t>10CTNEW10</t>
  </si>
  <si>
    <t>Tiệc gia đình</t>
  </si>
  <si>
    <t>TCHNEW002</t>
  </si>
  <si>
    <t>136 Đường Hồ Tùng Mậu</t>
  </si>
  <si>
    <t>TCHNEW005</t>
  </si>
  <si>
    <t>Lý Thái Tổ (gần Vincom)</t>
  </si>
  <si>
    <t>TCHNEW006</t>
  </si>
  <si>
    <t>Vương Thừa Vũ (shop house hoặc chân đế gần VP GGG)</t>
  </si>
  <si>
    <t>TCHNEW007</t>
  </si>
  <si>
    <t>Thái Hà, Tây Sơn, Nguyễn Lương Bằng (thay thế cho TCH Thái Hà)</t>
  </si>
  <si>
    <t>TCHNEW008</t>
  </si>
  <si>
    <t>Lê Hồng Phong, Văn Cao (shop house, chân đế)</t>
  </si>
  <si>
    <t>TCHNEW009</t>
  </si>
  <si>
    <t>Hoàng Sa, Trường Sa ( tham khảo HL - mới mở thêm điểm thứ 3 trên cung này)</t>
  </si>
  <si>
    <t>TCHNEW010</t>
  </si>
  <si>
    <t>Võ Thị Sáu (đoạn Hai Bà Trưng, lấy khúc ngã 4), Hoàng Sa/ Trường Sa</t>
  </si>
  <si>
    <t>TCHNEW011</t>
  </si>
  <si>
    <t>Gần tòa nhà chung cư</t>
  </si>
  <si>
    <t>TCHNEW012</t>
  </si>
  <si>
    <t>Phan Huy Ích</t>
  </si>
  <si>
    <t>TCHNEW013</t>
  </si>
  <si>
    <t>Trung tâm thương mại / Ga tàu, Metro</t>
  </si>
  <si>
    <t>TCHNEW014</t>
  </si>
  <si>
    <t>Bến Vân Đồn</t>
  </si>
  <si>
    <t>TCHNEW015</t>
  </si>
  <si>
    <t>Nguyễn Đình Chiểu/Nguyễn Bỉnh Khiêm</t>
  </si>
  <si>
    <t>TCHNEW016</t>
  </si>
  <si>
    <t>91 Nguyễn Hữu Cảnh</t>
  </si>
  <si>
    <t>TCHNEW017</t>
  </si>
  <si>
    <t>Trục trung tâm</t>
  </si>
  <si>
    <t>TCHNEW019</t>
  </si>
  <si>
    <t>Khu ngoại giao đoàn (chân đế tòa nhà kv ngã tư Hoàng Minh Thảo - Xuân Tảo)</t>
  </si>
  <si>
    <t>TCHNEW020</t>
  </si>
  <si>
    <t>131 Lê Duẩn, Trần Hưng Đạo (đối diện ga Hà Nội)</t>
  </si>
  <si>
    <t>TCHNEW021</t>
  </si>
  <si>
    <t>Hoàng Hoa Thám (giao Lê Quang Định)</t>
  </si>
  <si>
    <t>TCHNEW022</t>
  </si>
  <si>
    <t>Phú Mỹ Hưng, gần con The Grace</t>
  </si>
  <si>
    <t>TCHNEW023</t>
  </si>
  <si>
    <t>Võ Nguyên Giáp</t>
  </si>
  <si>
    <t>TCHNEW024</t>
  </si>
  <si>
    <t>Lê Lợi</t>
  </si>
  <si>
    <t>TCHNEW027</t>
  </si>
  <si>
    <t>Vạn Dạ, Mường Thanh, Vĩnh Chiều</t>
  </si>
  <si>
    <t>TCHNEW028</t>
  </si>
  <si>
    <t>Trần Hưng Đạo, Tràng An, Lê Thái Tổ (Quanh điểm DL phố cổ HL, hồ Kỳ lân)</t>
  </si>
  <si>
    <t>TCHNEW029</t>
  </si>
  <si>
    <t>Trần Hưng Đạo, Lê Thành Tông, Đường 25/4 (khu vực cột đồng hồ, Vincom, Bảo tàng)</t>
  </si>
  <si>
    <t>TCHNEW030</t>
  </si>
  <si>
    <t>Lê Lợi, Trần Phú (shop house, chân đế, mall)</t>
  </si>
  <si>
    <t>TCHNEW031</t>
  </si>
  <si>
    <t>Chân đế các tòa quanh khu vực tòa nhà Technopark tower, S1; S2</t>
  </si>
  <si>
    <t>TCHNEW032</t>
  </si>
  <si>
    <t>72A Đường Nguyễn Trãi (Royal City, B2, khu vực FnB)</t>
  </si>
  <si>
    <t>TCHNEW035</t>
  </si>
  <si>
    <t>Trương Công Định</t>
  </si>
  <si>
    <t>TCHNEW036</t>
  </si>
  <si>
    <t>Lê Trọng Tấn, Tân Thắng</t>
  </si>
  <si>
    <t>TCHNEW037</t>
  </si>
  <si>
    <t>Lê Thị Hà</t>
  </si>
  <si>
    <t>TCHNEW038</t>
  </si>
  <si>
    <t>Sư Vạn Hạnh</t>
  </si>
  <si>
    <t>TCHNEW018</t>
  </si>
  <si>
    <t>Điện Biên Phủ ( gần Aeon mall)</t>
  </si>
  <si>
    <t>TCHNEW025</t>
  </si>
  <si>
    <t>AEON Mall Tân Phú</t>
  </si>
  <si>
    <t>TCHNEW026</t>
  </si>
  <si>
    <t>TCHNEW033</t>
  </si>
  <si>
    <t>Vincom Phạm Ngọc Thạch (trệt)</t>
  </si>
  <si>
    <t>TCHNEW034</t>
  </si>
  <si>
    <t xml:space="preserve">Lotte Tây Hồ </t>
  </si>
  <si>
    <t>TCHNEW039</t>
  </si>
  <si>
    <t>Đường 17A</t>
  </si>
  <si>
    <t>TCHNEW040</t>
  </si>
  <si>
    <t>Hồng Bàng</t>
  </si>
  <si>
    <t>TCHNEW041</t>
  </si>
  <si>
    <t>Cao Lỗ, Tạ Quang Bửu</t>
  </si>
  <si>
    <t>TCHNEW042</t>
  </si>
  <si>
    <t>Empire 88 Tower</t>
  </si>
  <si>
    <t>TCHNEW043</t>
  </si>
  <si>
    <t>Nguyễn Văn Linh, giao với 2 tháng 9</t>
  </si>
  <si>
    <t>TCHNEW044</t>
  </si>
  <si>
    <t>Phan Đình Phùng, Hàng Cót, Hàng Điếu, Đường Thành</t>
  </si>
  <si>
    <t>TCHNEW045</t>
  </si>
  <si>
    <t>Vincom Nguyễn Chí Thanh (trệt)</t>
  </si>
  <si>
    <t>TCHNEW046</t>
  </si>
  <si>
    <t>Láng Hạ</t>
  </si>
  <si>
    <t>TCHNEW047</t>
  </si>
  <si>
    <t xml:space="preserve"> Hoàng Diệu</t>
  </si>
  <si>
    <t>TCHNEW048</t>
  </si>
  <si>
    <t>Đặng Văn Bi cũ</t>
  </si>
  <si>
    <t>TCHNEW049</t>
  </si>
  <si>
    <t>Tạ Quang Bửu</t>
  </si>
  <si>
    <t>TCHNEW050</t>
  </si>
  <si>
    <t>Vincom Plaza Ba Tháng Hai</t>
  </si>
  <si>
    <t>TCHNEW051</t>
  </si>
  <si>
    <t>Nguyễn Trường Tộ, Cửa Bắc, Quan Thánh</t>
  </si>
  <si>
    <t>TCHNEW052</t>
  </si>
  <si>
    <t>Mễ Trì</t>
  </si>
  <si>
    <t>TCHNEW053</t>
  </si>
  <si>
    <t>Phạm Hùng</t>
  </si>
  <si>
    <t>TCHNEW054</t>
  </si>
  <si>
    <t xml:space="preserve">Lạch Tray (gần ĐH Hàng hải) </t>
  </si>
  <si>
    <t>TCHNEW055</t>
  </si>
  <si>
    <t>Aeon, Vincom, Coopmart,...</t>
  </si>
  <si>
    <t>TCHNEW056</t>
  </si>
  <si>
    <t>208 Đường Nguyễn Hữu Cảnh</t>
  </si>
  <si>
    <t>TCHNEW057</t>
  </si>
  <si>
    <t>Tố Hữu</t>
  </si>
  <si>
    <t>TCHNEW058</t>
  </si>
  <si>
    <t>Go Từ Sơn</t>
  </si>
  <si>
    <t>TCHNEW059</t>
  </si>
  <si>
    <t>Lotte, Go hoặc Aeon</t>
  </si>
  <si>
    <t>TCHNEW060</t>
  </si>
  <si>
    <t>Hoàng Quốc Việt (khu vực có nhiều toà nhà văn phòng)</t>
  </si>
  <si>
    <t>TCHNEW061</t>
  </si>
  <si>
    <t>Đoàn Văn Bơ</t>
  </si>
  <si>
    <t>TCHNEW062</t>
  </si>
  <si>
    <t>khu sư van hạnh/ Lý Thái Tổ/Cửu Long/Thành Thái/
Tô Hiến Thành/Hồ Bá Kiện</t>
  </si>
  <si>
    <t>TCHNEW063</t>
  </si>
  <si>
    <t>126 Hùng Vương</t>
  </si>
  <si>
    <t>TCHNEW064</t>
  </si>
  <si>
    <t>10 Mai Chí Thọ</t>
  </si>
  <si>
    <t>TCHNEW065</t>
  </si>
  <si>
    <t>Chùa Chuông, QL 39, Chu Mạnh Trinh (shop house, chân đế)</t>
  </si>
  <si>
    <t>TCHNEW066</t>
  </si>
  <si>
    <t>Ngô Gia Tự, Hùng Vương (shop house, chân đế, mall)</t>
  </si>
  <si>
    <t>TCHNEW067</t>
  </si>
  <si>
    <t>Nguyễn Cơ Thạch, Hàm Nghi, Vincom Gardenia</t>
  </si>
  <si>
    <t>TCHNEW068</t>
  </si>
  <si>
    <t xml:space="preserve">The Garden </t>
  </si>
  <si>
    <t>TCHNEW069</t>
  </si>
  <si>
    <t>240 - 242 Phạm Văn Đồng</t>
  </si>
  <si>
    <t>TCHNEW070</t>
  </si>
  <si>
    <t>88 Đường Song Hành</t>
  </si>
  <si>
    <t>TCHNEW071</t>
  </si>
  <si>
    <t>92 - 94 Nam Kỳ Khởi Nghĩa</t>
  </si>
  <si>
    <t>TCHNEW072</t>
  </si>
  <si>
    <t>Time City</t>
  </si>
  <si>
    <t>TCHNEW074</t>
  </si>
  <si>
    <t>547-549 Đường Tạ Quang Bửu</t>
  </si>
  <si>
    <t>TCHNEW075</t>
  </si>
  <si>
    <t>1A giao giữa Lê Văn Khương, Nguyễn Ảnh Thủ</t>
  </si>
  <si>
    <t>TCHNEW077</t>
  </si>
  <si>
    <t>16 Phạm Hùng</t>
  </si>
  <si>
    <t>TCHNEW078</t>
  </si>
  <si>
    <t xml:space="preserve">210 Minh Khai </t>
  </si>
  <si>
    <t>TCHNEW073</t>
  </si>
  <si>
    <t>Bcons BD</t>
  </si>
  <si>
    <t>TCHNEW076</t>
  </si>
  <si>
    <t>Tô Ký</t>
  </si>
  <si>
    <t>TCHNEW079</t>
  </si>
  <si>
    <t>1035 Đường Võ Chí Công</t>
  </si>
  <si>
    <t>TCHNEW080</t>
  </si>
  <si>
    <t>Phan Chu Trinh, Ngô Quyền, Hàn Thuyên, Nguyễn Công Trứ, Lý Thường Kiệt (cụm khu vực Chợ Đầm)</t>
  </si>
  <si>
    <t>UTNEW001</t>
  </si>
  <si>
    <t>UT D1 Binh Thanh</t>
  </si>
  <si>
    <t>FCNEW004</t>
  </si>
  <si>
    <t>FC  Sky Garden Q7</t>
  </si>
  <si>
    <t>FC.TCH</t>
  </si>
  <si>
    <t>30YTNEW02</t>
  </si>
  <si>
    <t>YT Vạn Hạnh Mall</t>
  </si>
  <si>
    <t>New convert in bud 2026</t>
  </si>
  <si>
    <t>30GGNEW01</t>
  </si>
  <si>
    <t>GG The Garden Mall</t>
  </si>
  <si>
    <t>30MWNEW2</t>
  </si>
  <si>
    <t>Aeon Bình Tân</t>
  </si>
  <si>
    <t>10MWNEW19</t>
  </si>
  <si>
    <t>MW Cao Thắng TH</t>
  </si>
  <si>
    <t>10UP4880</t>
  </si>
  <si>
    <t>TCH HNI Số 1-2 Thái Hà</t>
  </si>
  <si>
    <t>10DNNEW2</t>
  </si>
  <si>
    <t>Thái Hà</t>
  </si>
  <si>
    <t>30DN4959</t>
  </si>
  <si>
    <t>DNG Aeon Tân Phú</t>
  </si>
  <si>
    <t>30DNNEW4</t>
  </si>
  <si>
    <t>DNG Đà Lạt</t>
  </si>
  <si>
    <t>10DNNEW5</t>
  </si>
  <si>
    <t>Mipec Long Biên</t>
  </si>
  <si>
    <t>1011820</t>
  </si>
  <si>
    <t>UT HCM 75 Nguyen Van Thuong</t>
  </si>
  <si>
    <t>1011819</t>
  </si>
  <si>
    <t>UT HCM 14B1 Ngo Tat To</t>
  </si>
  <si>
    <t>1011316</t>
  </si>
  <si>
    <t>UT HCM 281 Le van Sy</t>
  </si>
  <si>
    <t>1010311</t>
  </si>
  <si>
    <t>UT HCM 71 Hoang Van Thai</t>
  </si>
  <si>
    <t>1011008</t>
  </si>
  <si>
    <t>UT HCM 798 Su Van Hanh</t>
  </si>
  <si>
    <t>ID</t>
  </si>
  <si>
    <t>Tên brand</t>
  </si>
  <si>
    <t>BU See</t>
  </si>
  <si>
    <t>Năm offer MB</t>
  </si>
  <si>
    <t>Quý offer MB</t>
  </si>
  <si>
    <t>Tháng offer MB</t>
  </si>
  <si>
    <t>Tháng Khai trương dự kiến</t>
  </si>
  <si>
    <t>Tháng Khai trương thực tế</t>
  </si>
  <si>
    <t>Vùng</t>
  </si>
  <si>
    <t>Miền</t>
  </si>
  <si>
    <t>Tỉnh, TP</t>
  </si>
  <si>
    <t>Mã tỉnh 2024</t>
  </si>
  <si>
    <t>Quận, huyện</t>
  </si>
  <si>
    <t>Phường, xã</t>
  </si>
  <si>
    <t>Trục đường chính</t>
  </si>
  <si>
    <t>Loại hình</t>
  </si>
  <si>
    <t>Mặt tiền
(m)</t>
  </si>
  <si>
    <t>Mặt tiền
(chuẩn hóa)</t>
  </si>
  <si>
    <t>Diện tích
(m2)</t>
  </si>
  <si>
    <t>Diện tích
(chuẩn hóa)</t>
  </si>
  <si>
    <t>Số lượng site plan</t>
  </si>
  <si>
    <t>Plan/out of plan</t>
  </si>
  <si>
    <t>Tên mall/site</t>
  </si>
  <si>
    <t>Tên mall
(chuẩn hóa)</t>
  </si>
  <si>
    <t>Giá thuê lấy từ std format</t>
  </si>
  <si>
    <t>Giá thuê mong muốn</t>
  </si>
  <si>
    <t>New/Convert/Share</t>
  </si>
  <si>
    <t>Tình trạng</t>
  </si>
  <si>
    <t>Ngày ký HĐ</t>
  </si>
  <si>
    <t>Count</t>
  </si>
  <si>
    <t>Ghi chú</t>
  </si>
  <si>
    <t>Phường tự thêm</t>
  </si>
  <si>
    <t>Viết tắt brand</t>
  </si>
  <si>
    <t>Date</t>
  </si>
  <si>
    <t>Tháng offer</t>
  </si>
  <si>
    <t>Address</t>
  </si>
  <si>
    <t>Địa chỉ đầy đủ</t>
  </si>
  <si>
    <t>Mã phường 2024</t>
  </si>
  <si>
    <t>Brand and Type format</t>
  </si>
  <si>
    <t>Key</t>
  </si>
  <si>
    <t>Mật độ tầng lớp tiêu dùng người/km2</t>
  </si>
  <si>
    <t>Ranking phường theo tỉnh 2024</t>
  </si>
  <si>
    <t>Ranking phường toàn quốc 2024</t>
  </si>
  <si>
    <t>Số lượng cửa hàng hoạt động</t>
  </si>
  <si>
    <t>Ranking theo brands</t>
  </si>
  <si>
    <t>Daily Sales forecast (mil) - NW</t>
  </si>
  <si>
    <t>Giá thuê</t>
  </si>
  <si>
    <t>Gogi House</t>
  </si>
  <si>
    <t>Võ Đang Nhị Hiệp
Trần Tuấn Sĩ
Lương Anh Lộc
Võ Hoàng Dũng
Nguyễn Thị Phượng</t>
  </si>
  <si>
    <t>Nam</t>
  </si>
  <si>
    <t>An Giang</t>
  </si>
  <si>
    <t>VNM.1_1</t>
  </si>
  <si>
    <t>Châu Đốc</t>
  </si>
  <si>
    <t>Châu Phú B</t>
  </si>
  <si>
    <t>Shophouse</t>
  </si>
  <si>
    <t>6 - 8</t>
  </si>
  <si>
    <t>220 - 240</t>
  </si>
  <si>
    <t>200 - 300</t>
  </si>
  <si>
    <t>UT1</t>
  </si>
  <si>
    <t>Trưng Nữ Vương-Châu Đốc-AG</t>
  </si>
  <si>
    <t>-</t>
  </si>
  <si>
    <t>New</t>
  </si>
  <si>
    <t>Reject</t>
  </si>
  <si>
    <t>Đất nông nghiệp, đang phải tìm site mới</t>
  </si>
  <si>
    <t>Châu Phú B, Châu Đốc, An Giang</t>
  </si>
  <si>
    <t>VNM.1.3.2_1</t>
  </si>
  <si>
    <t>Gogi House Shophouse</t>
  </si>
  <si>
    <t>Gogi House|Châu Phú B, Châu Đốc, An Giang</t>
  </si>
  <si>
    <t>15/156</t>
  </si>
  <si>
    <t>1360/11159</t>
  </si>
  <si>
    <t>139/144</t>
  </si>
  <si>
    <t>30CDNOBUD2</t>
  </si>
  <si>
    <t>CloudPot</t>
  </si>
  <si>
    <t>Lê Thị Như Bích</t>
  </si>
  <si>
    <t>Long Xuyên</t>
  </si>
  <si>
    <t>Mỹ Bình</t>
  </si>
  <si>
    <t>Số 1242, Đường Trần Hưng Đạo</t>
  </si>
  <si>
    <t>Mall</t>
  </si>
  <si>
    <t>&lt;= 6</t>
  </si>
  <si>
    <t>200 - 240</t>
  </si>
  <si>
    <t>UT2</t>
  </si>
  <si>
    <t>Vincom An Giang</t>
  </si>
  <si>
    <t>Vincom Plaza Long Xuyên</t>
  </si>
  <si>
    <t>Chưa có</t>
  </si>
  <si>
    <t>NWS có sẽ offer</t>
  </si>
  <si>
    <t>Mỹ Bình, Long Xuyên, An Giang</t>
  </si>
  <si>
    <t>Số 1242, Đường Trần Hưng Đạo, Mỹ Bình, Long Xuyên, An Giang</t>
  </si>
  <si>
    <t>VNM.1.6.4_1</t>
  </si>
  <si>
    <t>CloudPot Mall</t>
  </si>
  <si>
    <t>CloudPot|Vincom Plaza Long Xuyên</t>
  </si>
  <si>
    <t>4/156</t>
  </si>
  <si>
    <t>511/11159</t>
  </si>
  <si>
    <t>13/17</t>
  </si>
  <si>
    <t>30SSNOBUD01</t>
  </si>
  <si>
    <t>Nguyễn Thế Nguyên
Nguyễn Thị Kim Luyện</t>
  </si>
  <si>
    <t>1242 Trần Hưng Đạo</t>
  </si>
  <si>
    <t>8 - 12</t>
  </si>
  <si>
    <t>1242 Trần Hưng Đạo, Mỹ Bình, Long Xuyên, An Giang</t>
  </si>
  <si>
    <t>Isushi Mall</t>
  </si>
  <si>
    <t>Isushi|Vincom Plaza Long Xuyên</t>
  </si>
  <si>
    <t>17/25</t>
  </si>
  <si>
    <t>30DNNOBUD06</t>
  </si>
  <si>
    <t>Bà Rịa - Vũng Tàu</t>
  </si>
  <si>
    <t>VNM.7_1</t>
  </si>
  <si>
    <t>Vũng Tàu</t>
  </si>
  <si>
    <t>Phường 8</t>
  </si>
  <si>
    <t>251 – 251A Thống Nhất Mới.</t>
  </si>
  <si>
    <t>300 - 500</t>
  </si>
  <si>
    <t>Đã ký</t>
  </si>
  <si>
    <t>Convert từ Kpub</t>
  </si>
  <si>
    <t>Phường 8, Vũng Tàu, Bà Rịa - Vũng Tàu</t>
  </si>
  <si>
    <t>VNM.7.6.12_1</t>
  </si>
  <si>
    <t>Dao Niu Guo Shophouse</t>
  </si>
  <si>
    <t>Dao Niu Guo|Phường 8, Vũng Tàu, Bà Rịa - Vũng Tàu</t>
  </si>
  <si>
    <t>4/82</t>
  </si>
  <si>
    <t>359/11159</t>
  </si>
  <si>
    <t>4/6</t>
  </si>
  <si>
    <t>Manwah</t>
  </si>
  <si>
    <t>Nguyễn Tuấn Dũng</t>
  </si>
  <si>
    <t>Bắc</t>
  </si>
  <si>
    <t>Bắc Giang</t>
  </si>
  <si>
    <t>VNM.3_1</t>
  </si>
  <si>
    <t>Ngô Quyền</t>
  </si>
  <si>
    <t>Hủy bỏ</t>
  </si>
  <si>
    <t>Convert từ Hutong</t>
  </si>
  <si>
    <t>Ngô Quyền, Bắc Giang, Bắc Giang</t>
  </si>
  <si>
    <t>VNM.3.1.8_1</t>
  </si>
  <si>
    <t>Manwah Shophouse</t>
  </si>
  <si>
    <t>Manwah|Ngô Quyền, Bắc Giang, Bắc Giang</t>
  </si>
  <si>
    <t>1/232</t>
  </si>
  <si>
    <t>344/11159</t>
  </si>
  <si>
    <t>30/55</t>
  </si>
  <si>
    <t>The Coffee House</t>
  </si>
  <si>
    <t>Nguyễn Thị Thanh</t>
  </si>
  <si>
    <t>Ngô Gia Tự, Hùng Vương</t>
  </si>
  <si>
    <t>150 - 200</t>
  </si>
  <si>
    <t>Khu vực TT TP
Ngô Gia Tự, Hùng Vương (shop house, chân đế, mall)</t>
  </si>
  <si>
    <t>Ngô Gia Tự, Hùng Vương, Ngô Quyền, Bắc Giang, Bắc Giang</t>
  </si>
  <si>
    <t>The Coffee House Shophouse</t>
  </si>
  <si>
    <t>The Coffee House|Ngô Quyền, Bắc Giang, Bắc Giang</t>
  </si>
  <si>
    <t>52/81</t>
  </si>
  <si>
    <t>Bắc Ninh</t>
  </si>
  <si>
    <t>VNM.5_1</t>
  </si>
  <si>
    <t>Từ Sơn</t>
  </si>
  <si>
    <t>Đông Ngàn</t>
  </si>
  <si>
    <t>100 - 150</t>
  </si>
  <si>
    <t>Go! Từ Sơn</t>
  </si>
  <si>
    <t>Đông Ngàn, Từ Sơn, Bắc Ninh</t>
  </si>
  <si>
    <t>VNM.5.5.5_1</t>
  </si>
  <si>
    <t>The Coffee House Mall</t>
  </si>
  <si>
    <t>The Coffee House|Go! Từ Sơn</t>
  </si>
  <si>
    <t>6/126</t>
  </si>
  <si>
    <t>608/11159</t>
  </si>
  <si>
    <t>65/81</t>
  </si>
  <si>
    <t>Đại Phúc</t>
  </si>
  <si>
    <t>Chân đế</t>
  </si>
  <si>
    <t>Đại Phúc, Bắc Ninh, Bắc Ninh</t>
  </si>
  <si>
    <t>Lý Thái Tổ (gần Vincom), Đại Phúc, Bắc Ninh, Bắc Ninh</t>
  </si>
  <si>
    <t>VNM.5.1.1_1</t>
  </si>
  <si>
    <t>The Coffee House Chân đế</t>
  </si>
  <si>
    <t>The Coffee House|Đại Phúc, Bắc Ninh, Bắc Ninh</t>
  </si>
  <si>
    <t>9/126</t>
  </si>
  <si>
    <t>803/11159</t>
  </si>
  <si>
    <t>73/81</t>
  </si>
  <si>
    <t>10KKNOBUD01</t>
  </si>
  <si>
    <t>Phan Văn Thủy
Hà Mỹ Phượng</t>
  </si>
  <si>
    <t>Tiền An</t>
  </si>
  <si>
    <t>180 - 200</t>
  </si>
  <si>
    <t>Tránh khu Ng Đăng Đạo</t>
  </si>
  <si>
    <t>Tiền An, Bắc Ninh, Bắc Ninh</t>
  </si>
  <si>
    <t>VNM.5.1.14_1</t>
  </si>
  <si>
    <t>Kichi Kichi Chân đế</t>
  </si>
  <si>
    <t>Kichi Kichi|Tiền An, Bắc Ninh, Bắc Ninh</t>
  </si>
  <si>
    <t>1/126</t>
  </si>
  <si>
    <t>287/11159</t>
  </si>
  <si>
    <t>36/107</t>
  </si>
  <si>
    <t>10DNNOBUD07</t>
  </si>
  <si>
    <t>Nguyễn Ngọc Hà</t>
  </si>
  <si>
    <t>Convert từ Shogun</t>
  </si>
  <si>
    <t>Dao Niu Guo|Tiền An, Bắc Ninh, Bắc Ninh</t>
  </si>
  <si>
    <t>3/6</t>
  </si>
  <si>
    <t>TCHNOBUD02</t>
  </si>
  <si>
    <t>Phạm Thanh Trúc</t>
  </si>
  <si>
    <t>Bình Định</t>
  </si>
  <si>
    <t>VNM.8_1</t>
  </si>
  <si>
    <t>Qui Nhơn</t>
  </si>
  <si>
    <t>Nguyễn Tất Thành/Nguyễn Trãi/Lê Lợi</t>
  </si>
  <si>
    <t>Lê Lợi, Qui Nhơn, Bình Định</t>
  </si>
  <si>
    <t>Nguyễn Tất Thành/Nguyễn Trãi/Lê Lợi, Lê Lợi, Qui Nhơn, Bình Định</t>
  </si>
  <si>
    <t>VNM.8.7.6_1</t>
  </si>
  <si>
    <t>The Coffee House|Lê Lợi, Qui Nhơn, Bình Định</t>
  </si>
  <si>
    <t>2/159</t>
  </si>
  <si>
    <t>334/11159</t>
  </si>
  <si>
    <t>30WYNOBUD05</t>
  </si>
  <si>
    <t>Wow!Yakiniku</t>
  </si>
  <si>
    <t>Bùi Hồng Gấm</t>
  </si>
  <si>
    <t>Bình Dương</t>
  </si>
  <si>
    <t>VNM.9_1</t>
  </si>
  <si>
    <t>Thuận An</t>
  </si>
  <si>
    <t>Thuận Giao</t>
  </si>
  <si>
    <t>Aeon Bình Dương</t>
  </si>
  <si>
    <t>Aeon Mall Bình Dương Canary</t>
  </si>
  <si>
    <t>Share</t>
  </si>
  <si>
    <t>Share với Sumo
check lại thời gian tái ký
gia hạn sửa chữa, áp concept</t>
  </si>
  <si>
    <t>Thuận Giao, Thuận An, Bình Dương</t>
  </si>
  <si>
    <t>Thuận Giao, Thuận Giao, Thuận An, Bình Dương</t>
  </si>
  <si>
    <t>VNM.9.9.9_1</t>
  </si>
  <si>
    <t>Wow!Yakiniku Mall</t>
  </si>
  <si>
    <t>Wow!Yakiniku|Aeon Mall Bình Dương Canary</t>
  </si>
  <si>
    <t>23/91</t>
  </si>
  <si>
    <t>1111/11159</t>
  </si>
  <si>
    <t>3/2</t>
  </si>
  <si>
    <t>30MWNOBUD01</t>
  </si>
  <si>
    <t>Nguyễn Văn Bạch Long</t>
  </si>
  <si>
    <t>Dĩ An</t>
  </si>
  <si>
    <t>Đông Hòa</t>
  </si>
  <si>
    <t>Thống Nhất</t>
  </si>
  <si>
    <t>Phức hợp Bcon
Làng đại hoc - New building</t>
  </si>
  <si>
    <t>Đông Hòa, Dĩ An, Bình Dương</t>
  </si>
  <si>
    <t>Thống Nhất, Đông Hòa, Dĩ An, Bình Dương</t>
  </si>
  <si>
    <t>VNM.9.5.5_1</t>
  </si>
  <si>
    <t>Manwah Chân đế</t>
  </si>
  <si>
    <t>Manwah|Đông Hòa, Dĩ An, Bình Dương</t>
  </si>
  <si>
    <t>8/91</t>
  </si>
  <si>
    <t>722/11159</t>
  </si>
  <si>
    <t>44/55</t>
  </si>
  <si>
    <t>Võ Hoàng Dũng</t>
  </si>
  <si>
    <t>120 - 150</t>
  </si>
  <si>
    <t>Bcons Bình Dương</t>
  </si>
  <si>
    <t>Yutang Chân đế</t>
  </si>
  <si>
    <t>Yutang|Đông Hòa, Dĩ An, Bình Dương</t>
  </si>
  <si>
    <t>6/10</t>
  </si>
  <si>
    <t>TCHNOBUD03</t>
  </si>
  <si>
    <t>Đường Thống Nhất</t>
  </si>
  <si>
    <t>Cuối năm 2026 mới lấy được site
site: 50 tr - 130m2</t>
  </si>
  <si>
    <t>Đường Thống Nhất, Đông Hòa, Dĩ An, Bình Dương</t>
  </si>
  <si>
    <t>The Coffee House|Đông Hòa, Dĩ An, Bình Dương</t>
  </si>
  <si>
    <t>67/81</t>
  </si>
  <si>
    <t>30GGNOBUD07</t>
  </si>
  <si>
    <t>Khánh Bình</t>
  </si>
  <si>
    <t>200-220</t>
  </si>
  <si>
    <t>Đường 13 Tân Uyên Bình Dương</t>
  </si>
  <si>
    <t>40-60tr</t>
  </si>
  <si>
    <t>Chê MB nhỏ, muốn đi chung vs Gogi, KK chung
Thủ Dầu Một, giáp Bình Chuẩn, Tân Phúc Khanh
mặt tiền rộng, bãi đỗ xe
MB kết hợp vs Gogi, Kichi, thành cụm</t>
  </si>
  <si>
    <t>Khánh Bình, Tân Uyên, Bình Dương</t>
  </si>
  <si>
    <t>VNM.9.7.3_1</t>
  </si>
  <si>
    <t>Gogi House|Khánh Bình, Tân Uyên, Bình Dương</t>
  </si>
  <si>
    <t>46/91</t>
  </si>
  <si>
    <t>2766/11159</t>
  </si>
  <si>
    <t>145/144</t>
  </si>
  <si>
    <t>Tân Phước Khánh</t>
  </si>
  <si>
    <t>160 - 180</t>
  </si>
  <si>
    <t>mini</t>
  </si>
  <si>
    <t>Tự thêm phường</t>
  </si>
  <si>
    <t>Tân Phước Khánh, Tân Uyên, Bình Dương</t>
  </si>
  <si>
    <t>VNM.9.7.6_1</t>
  </si>
  <si>
    <t>Kichi Kichi Shophouse</t>
  </si>
  <si>
    <t>Kichi Kichi|Tân Phước Khánh, Tân Uyên, Bình Dương</t>
  </si>
  <si>
    <t>27/91</t>
  </si>
  <si>
    <t>1225/11159</t>
  </si>
  <si>
    <t>100/107</t>
  </si>
  <si>
    <t>TCHNOBUD04</t>
  </si>
  <si>
    <t>Thủ Dầu Một</t>
  </si>
  <si>
    <t>Hiệp Thành</t>
  </si>
  <si>
    <t>Hiệp Thành, Thủ Dầu Một, Bình Dương</t>
  </si>
  <si>
    <t>VNM.9.8.5_1</t>
  </si>
  <si>
    <t>The Coffee House|Hiệp Thành, Thủ Dầu Một, Bình Dương</t>
  </si>
  <si>
    <t>2/91</t>
  </si>
  <si>
    <t>482/11159</t>
  </si>
  <si>
    <t>57/81</t>
  </si>
  <si>
    <t>30KKNOBUD06</t>
  </si>
  <si>
    <t>Bình Phước</t>
  </si>
  <si>
    <t>VNM.10_1</t>
  </si>
  <si>
    <t>Đồng Xoài</t>
  </si>
  <si>
    <t>Tân Phú</t>
  </si>
  <si>
    <t>Tự thêm quận, phường</t>
  </si>
  <si>
    <t>Tân Phú, Đồng Xoài, Bình Phước</t>
  </si>
  <si>
    <t>VNM.10.7.3_1</t>
  </si>
  <si>
    <t>Kichi Kichi|Tân Phú, Đồng Xoài, Bình Phước</t>
  </si>
  <si>
    <t>1/111</t>
  </si>
  <si>
    <t>937/11159</t>
  </si>
  <si>
    <t>96/107</t>
  </si>
  <si>
    <t>30SSNOBUD02</t>
  </si>
  <si>
    <t>Cà Mau</t>
  </si>
  <si>
    <t>VNM.13_1</t>
  </si>
  <si>
    <t>Phường 5</t>
  </si>
  <si>
    <t>tính vào Sense City nhưng hiện đang full MB
shophouse hoặc mall đều được</t>
  </si>
  <si>
    <t>Phường 5, Cà Mau, Cà Mau</t>
  </si>
  <si>
    <t>VNM.13.1.9_1</t>
  </si>
  <si>
    <t>Isushi Shophouse</t>
  </si>
  <si>
    <t>Isushi|Phường 5, Cà Mau, Cà Mau</t>
  </si>
  <si>
    <t>3/101</t>
  </si>
  <si>
    <t>613/11159</t>
  </si>
  <si>
    <t>20/25</t>
  </si>
  <si>
    <t>30MWNOBUD06</t>
  </si>
  <si>
    <t>Trần Hưng Đạo</t>
  </si>
  <si>
    <t>55 Trần Hưng Đạo-CM</t>
  </si>
  <si>
    <t>Đang offer</t>
  </si>
  <si>
    <t>Đang chờ BU Master khảo sát</t>
  </si>
  <si>
    <t>Trần Hưng Đạo, Phường 5, Cà Mau, Cà Mau</t>
  </si>
  <si>
    <t>Manwah|Phường 5, Cà Mau, Cà Mau</t>
  </si>
  <si>
    <t>41/55</t>
  </si>
  <si>
    <t>30GGNOBUD08</t>
  </si>
  <si>
    <t>Cần Thơ</t>
  </si>
  <si>
    <t>VNM.12_1</t>
  </si>
  <si>
    <t>Ô Môn</t>
  </si>
  <si>
    <t>Châu Văn Liêm</t>
  </si>
  <si>
    <t xml:space="preserve">Châu Văn Liêm, Ô Môn, Cần Thơ </t>
  </si>
  <si>
    <t>Đang theo dõi tới tháng 6 hoặc cuối năm nay, bới bên hiện hữu vẫn đang KD</t>
  </si>
  <si>
    <t>Châu Văn Liêm, Ô Môn, Cần Thơ</t>
  </si>
  <si>
    <t>VNM.12.5.1_1</t>
  </si>
  <si>
    <t>Gogi House|Châu Văn Liêm, Ô Môn, Cần Thơ</t>
  </si>
  <si>
    <t>22/85</t>
  </si>
  <si>
    <t>1295/11159</t>
  </si>
  <si>
    <t>138/144</t>
  </si>
  <si>
    <t>Bình Thuỷ</t>
  </si>
  <si>
    <t>Long Hòa</t>
  </si>
  <si>
    <t>Võ Văn Kiệt và Lê Phước Thọ</t>
  </si>
  <si>
    <t>180 - 250</t>
  </si>
  <si>
    <t>Aeon Mall Cần Thơ</t>
  </si>
  <si>
    <t>chưa xây xong năm 2027</t>
  </si>
  <si>
    <t>Long Hòa, Bình Thuỷ, Cần Thơ</t>
  </si>
  <si>
    <t>Võ Văn Kiệt và Lê Phước Thọ, Long Hòa, Bình Thuỷ, Cần Thơ</t>
  </si>
  <si>
    <t>VNM.12.1.4_1</t>
  </si>
  <si>
    <t>Gogi House Mall</t>
  </si>
  <si>
    <t>Gogi House|Aeon Mall Cần Thơ</t>
  </si>
  <si>
    <t>25/85</t>
  </si>
  <si>
    <t>1891/11159</t>
  </si>
  <si>
    <t>143/144</t>
  </si>
  <si>
    <t>Ninh Kiều</t>
  </si>
  <si>
    <t>An Phú</t>
  </si>
  <si>
    <t>Convert từ Hàng Cuốn Cần Thơ</t>
  </si>
  <si>
    <t>An Phú, Ninh Kiều, Cần Thơ</t>
  </si>
  <si>
    <t>VNM.12.4.8_1</t>
  </si>
  <si>
    <t>Yutang Shophouse</t>
  </si>
  <si>
    <t>Yutang|An Phú, Ninh Kiều, Cần Thơ</t>
  </si>
  <si>
    <t>2/85</t>
  </si>
  <si>
    <t>241/11159</t>
  </si>
  <si>
    <t>3/10</t>
  </si>
  <si>
    <t>30KKNOBUD04</t>
  </si>
  <si>
    <t>Ô Môn, Cần Thơ</t>
  </si>
  <si>
    <t>Giống GG, do bên thuê hiện tại chưa thoát ra</t>
  </si>
  <si>
    <t>Kichi Kichi|Châu Văn Liêm, Ô Môn, Cần Thơ</t>
  </si>
  <si>
    <t>101/107</t>
  </si>
  <si>
    <t>TCHNOBUD05</t>
  </si>
  <si>
    <t>Trung</t>
  </si>
  <si>
    <t>Đà Nẵng</t>
  </si>
  <si>
    <t>VNM.19_1</t>
  </si>
  <si>
    <t>Thanh Khê</t>
  </si>
  <si>
    <t>Chính Gián</t>
  </si>
  <si>
    <t>Điện Biên Phủ (gần Aeon mall)</t>
  </si>
  <si>
    <t>khúc có AEON</t>
  </si>
  <si>
    <t>Chính Gián, Thanh Khê, Đà Nẵng</t>
  </si>
  <si>
    <t>Điện Biên Phủ (gần Aeon mall), Chính Gián, Thanh Khê, Đà Nẵng</t>
  </si>
  <si>
    <t>VNM.19.7.2_1</t>
  </si>
  <si>
    <t>The Coffee House|Chính Gián, Thanh Khê, Đà Nẵng</t>
  </si>
  <si>
    <t>6/56</t>
  </si>
  <si>
    <t>308/11159</t>
  </si>
  <si>
    <t>48/81</t>
  </si>
  <si>
    <t>46 Điện Biên Phủ</t>
  </si>
  <si>
    <t>46 Điện Biên Phủ, Chính Gián, Thanh Khê, Đà Nẵng</t>
  </si>
  <si>
    <t>CloudPot|Aeon Mall Đà Nẵng</t>
  </si>
  <si>
    <t>8/17</t>
  </si>
  <si>
    <t>Phạm Tuấn Anh
Dương Chí Cường
Nguyễn Xuân Hóa
Đặng Thanh Quang</t>
  </si>
  <si>
    <t>Liên Chiểu</t>
  </si>
  <si>
    <t>Hòa Khánh Nam</t>
  </si>
  <si>
    <t>Nguyễn Sinh Sắc</t>
  </si>
  <si>
    <t>Mm Mega Market Hòa Khánh Nam</t>
  </si>
  <si>
    <t>nếu kh có thì hỏi thêm tầng trệt, đối diện Local phúc long
tháng 2 nhận</t>
  </si>
  <si>
    <t>Hòa Khánh Nam, Liên Chiểu, Đà Nẵng</t>
  </si>
  <si>
    <t>Nguyễn Sinh Sắc, Hòa Khánh Nam, Liên Chiểu, Đà Nẵng</t>
  </si>
  <si>
    <t>VNM.19.4.4_1</t>
  </si>
  <si>
    <t>Gogi House|Mm Mega Market Hòa Khánh Nam</t>
  </si>
  <si>
    <t>38/56</t>
  </si>
  <si>
    <t>1045/11159</t>
  </si>
  <si>
    <t>132/144</t>
  </si>
  <si>
    <t>46 Đường Điện Biên Phủ</t>
  </si>
  <si>
    <t>46 Đường Điện Biên Phủ, Chính Gián, Thanh Khê, Đà Nẵng</t>
  </si>
  <si>
    <t>Manwah Mall</t>
  </si>
  <si>
    <t>Manwah|Aeon Mall Đà Nẵng</t>
  </si>
  <si>
    <t>21/55</t>
  </si>
  <si>
    <t>Kichi Kichi Mall</t>
  </si>
  <si>
    <t>Kichi Kichi|Aeon Mall Đà Nẵng</t>
  </si>
  <si>
    <t>Trần Tuấn Sĩ
Lương Anh Lộc
Võ Hoàng Dũng</t>
  </si>
  <si>
    <t>Hải Châu</t>
  </si>
  <si>
    <t>Bình Thuận</t>
  </si>
  <si>
    <t>2 tháng 9</t>
  </si>
  <si>
    <t>2.9 Hải Châu, Đà Nẵng</t>
  </si>
  <si>
    <t>150 - 180tr</t>
  </si>
  <si>
    <t>Bình Thuận, Hải Châu, Đà Nẵng</t>
  </si>
  <si>
    <t>2 tháng 9, Bình Thuận, Hải Châu, Đà Nẵng</t>
  </si>
  <si>
    <t>VNM.19.2.2_1</t>
  </si>
  <si>
    <t>Isushi|Bình Thuận, Hải Châu, Đà Nẵng</t>
  </si>
  <si>
    <t>5/56</t>
  </si>
  <si>
    <t>293/11159</t>
  </si>
  <si>
    <t>11/25</t>
  </si>
  <si>
    <t>Lê Kim Hồng
Võ Trường Giang</t>
  </si>
  <si>
    <t>Hồ Chí Minh</t>
  </si>
  <si>
    <t>VNM.25_1</t>
  </si>
  <si>
    <t>Quận 1</t>
  </si>
  <si>
    <t>235 Nguyễn Văn Cừ</t>
  </si>
  <si>
    <t>Nowzone</t>
  </si>
  <si>
    <t>Nguyễn Cư Trinh, Quận 1, Hồ Chí Minh</t>
  </si>
  <si>
    <t>235 Nguyễn Văn Cừ, Nguyễn Cư Trinh, Quận 1, Hồ Chí Minh</t>
  </si>
  <si>
    <t>VNM.25.13.7_1</t>
  </si>
  <si>
    <t>Gogi House|Nowzone</t>
  </si>
  <si>
    <t>104/322</t>
  </si>
  <si>
    <t>172/11159</t>
  </si>
  <si>
    <t>30/144</t>
  </si>
  <si>
    <t>MM Supercenter</t>
  </si>
  <si>
    <t>Slot bị khuất, đang xem xét
Cần theo dõi thêm</t>
  </si>
  <si>
    <t>Kichi Kichi|MM Supercenter</t>
  </si>
  <si>
    <t>97/107</t>
  </si>
  <si>
    <t>Nguyễn Văn Linh, giao với 2 tháng 9, Bình Thuận, Hải Châu, Đà Nẵng</t>
  </si>
  <si>
    <t>The Coffee House|Bình Thuận, Hải Châu, Đà Nẵng</t>
  </si>
  <si>
    <t>45/81</t>
  </si>
  <si>
    <t>Tân Chính</t>
  </si>
  <si>
    <t>Tân Chính, Thanh Khê, Đà Nẵng</t>
  </si>
  <si>
    <t>VNM.19.7.5_1</t>
  </si>
  <si>
    <t>1/56</t>
  </si>
  <si>
    <t>215/11159</t>
  </si>
  <si>
    <t>36/81</t>
  </si>
  <si>
    <t>30DNNOBUD01</t>
  </si>
  <si>
    <t>Dao Niu Guo|Bình Thuận, Hải Châu, Đà Nẵng</t>
  </si>
  <si>
    <t>30KKNOBUD07</t>
  </si>
  <si>
    <t>Đồng Nai</t>
  </si>
  <si>
    <t>VNM.17_1</t>
  </si>
  <si>
    <t>Long Khánh</t>
  </si>
  <si>
    <t>Xuân An</t>
  </si>
  <si>
    <t>Long Thành/Long Khánh</t>
  </si>
  <si>
    <t>standard</t>
  </si>
  <si>
    <t>Xuân An, Long Khánh, Đồng Nai</t>
  </si>
  <si>
    <t>Long Thành/Long Khánh, Xuân An, Long Khánh, Đồng Nai</t>
  </si>
  <si>
    <t>VNM.17.4.9_1</t>
  </si>
  <si>
    <t>Kichi Kichi|Xuân An, Long Khánh, Đồng Nai</t>
  </si>
  <si>
    <t>12/171</t>
  </si>
  <si>
    <t>567/11159</t>
  </si>
  <si>
    <t>71/107</t>
  </si>
  <si>
    <t>30WYNOBUD03</t>
  </si>
  <si>
    <t>Biên Hòa</t>
  </si>
  <si>
    <t>Ezy Center</t>
  </si>
  <si>
    <t>Thống Nhất, Biên Hòa, Đồng Nai</t>
  </si>
  <si>
    <t>VNM.17.1.27_1</t>
  </si>
  <si>
    <t>Wow!Yakiniku Shophouse</t>
  </si>
  <si>
    <t>Wow!Yakiniku|Thống Nhất, Biên Hòa, Đồng Nai</t>
  </si>
  <si>
    <t>13/171</t>
  </si>
  <si>
    <t>656/11159</t>
  </si>
  <si>
    <t>30CDNOBUD5</t>
  </si>
  <si>
    <t>Võ Thị Sáu</t>
  </si>
  <si>
    <t>146 Võ Thị Sáu-Biên Hoà</t>
  </si>
  <si>
    <t>Có thể không theo nữa do không có chỗ đỗ xe ô tô va vị trí đặt chạm điện 3P
có thể thay bằng cụm Ezy Center</t>
  </si>
  <si>
    <t>Võ Thị Sáu, Thống Nhất, Biên Hòa, Đồng Nai</t>
  </si>
  <si>
    <t>CloudPot Shophouse</t>
  </si>
  <si>
    <t>CloudPot|Thống Nhất, Biên Hòa, Đồng Nai</t>
  </si>
  <si>
    <t>14/17</t>
  </si>
  <si>
    <t>TCHNOBUD12</t>
  </si>
  <si>
    <t>Lê Hoàng Bảo Trân</t>
  </si>
  <si>
    <t>Quang Vinh</t>
  </si>
  <si>
    <t>Nguyễn Ái Quốc</t>
  </si>
  <si>
    <t>KOUT</t>
  </si>
  <si>
    <t>Đang đàm phán</t>
  </si>
  <si>
    <t>Quang Vinh, Biên Hòa, Đồng Nai</t>
  </si>
  <si>
    <t>VNM.17.1.14_1</t>
  </si>
  <si>
    <t>The Coffee House|Quang Vinh, Biên Hòa, Đồng Nai</t>
  </si>
  <si>
    <t>2/171</t>
  </si>
  <si>
    <t>340/11159</t>
  </si>
  <si>
    <t>30YTNOBUD03</t>
  </si>
  <si>
    <t>Long Bình Tân</t>
  </si>
  <si>
    <t>Go Đồng Nai</t>
  </si>
  <si>
    <t>Đợi tổ 33 phê duyệt</t>
  </si>
  <si>
    <t>Long Bình Tân, Biên Hòa, Đồng Nai</t>
  </si>
  <si>
    <t>VNM.17.1.11_1</t>
  </si>
  <si>
    <t>Yutang Mall</t>
  </si>
  <si>
    <t>24/171</t>
  </si>
  <si>
    <t>929/11159</t>
  </si>
  <si>
    <t>8/10</t>
  </si>
  <si>
    <t>10KKNOBUD04</t>
  </si>
  <si>
    <t>Phạm Thị Thanh Hoa</t>
  </si>
  <si>
    <t>Hà Nội</t>
  </si>
  <si>
    <t>VNM.27_1</t>
  </si>
  <si>
    <t>Thanh Xuân</t>
  </si>
  <si>
    <t>Thanh Xuân Bắc</t>
  </si>
  <si>
    <t>PCC1 - 44 Triều Khúc, Thanh Xuân</t>
  </si>
  <si>
    <t>80 - 100 tr</t>
  </si>
  <si>
    <t>tập trung khu dân cư đông đúc, mặt đường chính
chính là khách văn phòng</t>
  </si>
  <si>
    <t>Thanh Xuân Bắc, Thanh Xuân, Hà Nội</t>
  </si>
  <si>
    <t>PCC1 - 44 Triều Khúc, Thanh Xuân, Thanh Xuân Bắc, Thanh Xuân, Hà Nội</t>
  </si>
  <si>
    <t>VNM.27.29.8_1</t>
  </si>
  <si>
    <t>Kichi Kichi|Thanh Xuân Bắc, Thanh Xuân, Hà Nội</t>
  </si>
  <si>
    <t>17/584</t>
  </si>
  <si>
    <t>65/11159</t>
  </si>
  <si>
    <t>6/107</t>
  </si>
  <si>
    <t>10DNNOBUD01</t>
  </si>
  <si>
    <t>Đống Đa</t>
  </si>
  <si>
    <t>Huỳnh Thúc Kháng</t>
  </si>
  <si>
    <t>Sentosa</t>
  </si>
  <si>
    <t>Láng Hạ, Đống Đa, Hà Nội</t>
  </si>
  <si>
    <t>Huỳnh Thúc Kháng, Láng Hạ, Đống Đa, Hà Nội</t>
  </si>
  <si>
    <t>VNM.27.7.6_1</t>
  </si>
  <si>
    <t>Dao Niu Guo|Láng Hạ, Đống Đa, Hà Nội</t>
  </si>
  <si>
    <t>20/584</t>
  </si>
  <si>
    <t>73/11159</t>
  </si>
  <si>
    <t>1/6</t>
  </si>
  <si>
    <t>12H Láng Hạ</t>
  </si>
  <si>
    <t>BU muốn mặt tiền rộng hơn (hiện tại đang 6m)</t>
  </si>
  <si>
    <t>Láng Hạ, Láng Hạ, Đống Đa, Hà Nội</t>
  </si>
  <si>
    <t>The Coffee House|Láng Hạ, Đống Đa, Hà Nội</t>
  </si>
  <si>
    <t>11/81</t>
  </si>
  <si>
    <t>10GGNOBUD02</t>
  </si>
  <si>
    <t>Hà Thị Hải Yến
Nguyễn Thanh Bình</t>
  </si>
  <si>
    <t>Ba Đình</t>
  </si>
  <si>
    <t>Nguyễn Trung Trực</t>
  </si>
  <si>
    <t>Hàng Bún</t>
  </si>
  <si>
    <t>24 Hàng Bún</t>
  </si>
  <si>
    <t>không nhận sau tết, không nhận tháng 3, muốn nhận luôn, đang xử lý</t>
  </si>
  <si>
    <t>Nguyễn Trung Trực, Ba Đình, Hà Nội</t>
  </si>
  <si>
    <t>Hàng Bún, Nguyễn Trung Trực, Ba Đình, Hà Nội</t>
  </si>
  <si>
    <t>VNM.27.3.9_1</t>
  </si>
  <si>
    <t>Gogi House|Nguyễn Trung Trực, Ba Đình, Hà Nội</t>
  </si>
  <si>
    <t>26/584</t>
  </si>
  <si>
    <t>93/11159</t>
  </si>
  <si>
    <t>13/144</t>
  </si>
  <si>
    <t>Trung Liệt</t>
  </si>
  <si>
    <t>Số 1 Thái Hà</t>
  </si>
  <si>
    <t>&gt; 500</t>
  </si>
  <si>
    <t>700m2 MW Thái Hà, convert DNG
email NWS trước khi gia hạn convert</t>
  </si>
  <si>
    <t>Trung Liệt, Đống Đa, Hà Nội</t>
  </si>
  <si>
    <t>Số 1 Thái Hà, Trung Liệt, Đống Đa, Hà Nội</t>
  </si>
  <si>
    <t>VNM.27.7.17_1</t>
  </si>
  <si>
    <t>Dao Niu Guo|Trung Liệt, Đống Đa, Hà Nội</t>
  </si>
  <si>
    <t>27/584</t>
  </si>
  <si>
    <t>94/11159</t>
  </si>
  <si>
    <t>Có site nhưng Thái Hà sắp tới trong diện quy hoạch sẽ có giải tỏa nên cân nhắc đề xuất tuyến khác</t>
  </si>
  <si>
    <t>Thái Hà, Tây Sơn, Nguyễn Lương Bằng (thay thế cho TCH Thái Hà), Trung Liệt, Đống Đa, Hà Nội</t>
  </si>
  <si>
    <t>The Coffee House|Trung Liệt, Đống Đa, Hà Nội</t>
  </si>
  <si>
    <t>13/81</t>
  </si>
  <si>
    <t>Union Pizza</t>
  </si>
  <si>
    <t>Trần Thị Huệ</t>
  </si>
  <si>
    <t>Số 1-2 Thái Hà</t>
  </si>
  <si>
    <t>Chuyển từ TCH</t>
  </si>
  <si>
    <t>Số 1-2 Thái Hà, Trung Liệt, Đống Đa, Hà Nội</t>
  </si>
  <si>
    <t>Union Pizza Shophouse</t>
  </si>
  <si>
    <t>Union Pizza|Trung Liệt, Đống Đa, Hà Nội</t>
  </si>
  <si>
    <t>3/5</t>
  </si>
  <si>
    <t>Thanh Xuân Trung</t>
  </si>
  <si>
    <t>Thanh Xuân, Triều Khúc, Tân Triều</t>
  </si>
  <si>
    <t>Thanh Xuân Trung, Thanh Xuân, Hà Nội</t>
  </si>
  <si>
    <t>Thanh Xuân, Triều Khúc, Tân Triều, Thanh Xuân Trung, Thanh Xuân, Hà Nội</t>
  </si>
  <si>
    <t>VNM.27.29.10_1</t>
  </si>
  <si>
    <t>Gogi House|Thanh Xuân Trung, Thanh Xuân, Hà Nội</t>
  </si>
  <si>
    <t>28/584</t>
  </si>
  <si>
    <t>95/11159</t>
  </si>
  <si>
    <t>10SMNOBUD01</t>
  </si>
  <si>
    <t>Sumogoya</t>
  </si>
  <si>
    <t>Hà Anh Tuấn</t>
  </si>
  <si>
    <t>Lê Trọng Tấn/Vũ Trọng Phụng</t>
  </si>
  <si>
    <t>220 - 250</t>
  </si>
  <si>
    <t>Lê Trọng Tấn/Vũ Trọng Phụng, Thanh Xuân Trung, Thanh Xuân, Hà Nội</t>
  </si>
  <si>
    <t>Sumogoya Shophouse</t>
  </si>
  <si>
    <t>Sumogoya|Thanh Xuân Trung, Thanh Xuân, Hà Nội</t>
  </si>
  <si>
    <t>2/11</t>
  </si>
  <si>
    <t>Hàng Mã</t>
  </si>
  <si>
    <t>Hàng Mã, Hoàn Kiếm, Hà Nội</t>
  </si>
  <si>
    <t>Phan Đình Phùng, Hàng Cót, Hàng Điếu, Đường Thành, Hàng Mã, Hoàn Kiếm, Hà Nội</t>
  </si>
  <si>
    <t>VNM.27.14.12_1</t>
  </si>
  <si>
    <t>The Coffee House|Hàng Mã, Hoàn Kiếm, Hà Nội</t>
  </si>
  <si>
    <t>31/584</t>
  </si>
  <si>
    <t>100/11159</t>
  </si>
  <si>
    <t>14/81</t>
  </si>
  <si>
    <t>10CKNOBUD01</t>
  </si>
  <si>
    <t>Chix Max</t>
  </si>
  <si>
    <t>Nguyễn Thế Oanh</t>
  </si>
  <si>
    <t>Giảng Võ</t>
  </si>
  <si>
    <t>175 Nguyễn Thái Học</t>
  </si>
  <si>
    <t>50 - 100</t>
  </si>
  <si>
    <t>Hanoi Centre (Tiến Bộ Plaza)</t>
  </si>
  <si>
    <t>Hanoi Centre</t>
  </si>
  <si>
    <t>Không có</t>
  </si>
  <si>
    <t>Xem thêm</t>
  </si>
  <si>
    <t>Giảng Võ, Ba Đình, Hà Nội</t>
  </si>
  <si>
    <t>175 Nguyễn Thái Học, Giảng Võ, Ba Đình, Hà Nội</t>
  </si>
  <si>
    <t>VNM.27.3.4_1</t>
  </si>
  <si>
    <t>Chix Max Mall</t>
  </si>
  <si>
    <t>Chix Max|Hanoi Centre</t>
  </si>
  <si>
    <t>56/584</t>
  </si>
  <si>
    <t>150/11159</t>
  </si>
  <si>
    <t>2/3</t>
  </si>
  <si>
    <t>10CDNOBUD3</t>
  </si>
  <si>
    <t>Lê Văn Tư</t>
  </si>
  <si>
    <t>Ô Chợ Dừa</t>
  </si>
  <si>
    <t>Nguyễn Thái Học</t>
  </si>
  <si>
    <t>Hanoi Center/Metropolis/Times City
1 trong 3 mall được nêu
diện tích: 200m2</t>
  </si>
  <si>
    <t>Ô Chợ Dừa, Đống Đa, Hà Nội</t>
  </si>
  <si>
    <t>Nguyễn Thái Học, Ô Chợ Dừa, Đống Đa, Hà Nội</t>
  </si>
  <si>
    <t>VNM.27.7.10_1</t>
  </si>
  <si>
    <t>CloudPot|Hanoi Centre</t>
  </si>
  <si>
    <t>35/584</t>
  </si>
  <si>
    <t>112/11159</t>
  </si>
  <si>
    <t>5/17</t>
  </si>
  <si>
    <t>10CJNOBUD01</t>
  </si>
  <si>
    <t>Crystal Jade</t>
  </si>
  <si>
    <t>175 Nguyễn Thái Học, Ô Chợ Dừa, Đống Đa, Hà Nội</t>
  </si>
  <si>
    <t>Crystal Jade Mall</t>
  </si>
  <si>
    <t>Crystal Jade|Hanoi Centre</t>
  </si>
  <si>
    <t>1/8</t>
  </si>
  <si>
    <t>10SMNOBUD07</t>
  </si>
  <si>
    <t>175 Phố Nguyễn Thái Học</t>
  </si>
  <si>
    <t>Tỷ lệ lấp đầy FnB chỉ còn 2 slots, 
cả mall được 98%
Quét Canni
Làm việc tiếp về giá
Có thể làm Sumo mini</t>
  </si>
  <si>
    <t>175 Phố Nguyễn Thái Học, Giảng Võ, Ba Đình, Hà Nội</t>
  </si>
  <si>
    <t>Sumogoya Mall</t>
  </si>
  <si>
    <t>Sumogoya|Hanoi Centre</t>
  </si>
  <si>
    <t>4/11</t>
  </si>
  <si>
    <t>30GGNOBUD06</t>
  </si>
  <si>
    <t>Lâm Đồng</t>
  </si>
  <si>
    <t>VNM.37_1</t>
  </si>
  <si>
    <t>Bảo Lộc</t>
  </si>
  <si>
    <t>Lộc Sơn</t>
  </si>
  <si>
    <t>280 Trần Phú</t>
  </si>
  <si>
    <t>Bao Loc Center</t>
  </si>
  <si>
    <t>175 m2
quý 3,4
mall vừa mới xây xong</t>
  </si>
  <si>
    <t>Lộc Sơn, Bảo Lộc, Lâm Đồng</t>
  </si>
  <si>
    <t>VNM.37.1.7_1</t>
  </si>
  <si>
    <t>Gogi House|Bao Loc Center</t>
  </si>
  <si>
    <t>10/147</t>
  </si>
  <si>
    <t>1544/11159</t>
  </si>
  <si>
    <t>140/144</t>
  </si>
  <si>
    <t>10NRNOBUD01</t>
  </si>
  <si>
    <t>Ngonya</t>
  </si>
  <si>
    <t>Cống Vị</t>
  </si>
  <si>
    <t>Linh Lang/Phan Kế Bính/Kim Mã Thượng</t>
  </si>
  <si>
    <t xml:space="preserve">5 - 6 </t>
  </si>
  <si>
    <t>30 - 50</t>
  </si>
  <si>
    <t xml:space="preserve">57 Linh Lang </t>
  </si>
  <si>
    <t>&lt; 50 tr</t>
  </si>
  <si>
    <t>YA</t>
  </si>
  <si>
    <t>Cống Vị, Ba Đình, Hà Nội</t>
  </si>
  <si>
    <t>Linh Lang/Phan Kế Bính/Kim Mã Thượng, Cống Vị, Ba Đình, Hà Nội</t>
  </si>
  <si>
    <t>VNM.27.3.1_1</t>
  </si>
  <si>
    <t>Ngonya Shophouse</t>
  </si>
  <si>
    <t>Ngonya|Cống Vị, Ba Đình, Hà Nội</t>
  </si>
  <si>
    <t>38/584</t>
  </si>
  <si>
    <t>116/11159</t>
  </si>
  <si>
    <t>1/0</t>
  </si>
  <si>
    <t>Nguyễn Thị Thùy</t>
  </si>
  <si>
    <t>Linh Lang/Phan Kế Bính</t>
  </si>
  <si>
    <t>tầng 2,3 nhỏ không phù hợp</t>
  </si>
  <si>
    <t>Linh Lang/Phan Kế Bính, Cống Vị, Ba Đình, Hà Nội</t>
  </si>
  <si>
    <t>Shogun Shophouse</t>
  </si>
  <si>
    <t>Shogun|Cống Vị, Ba Đình, Hà Nội</t>
  </si>
  <si>
    <t>4/10</t>
  </si>
  <si>
    <t>Láng Thượng</t>
  </si>
  <si>
    <t>Vincom</t>
  </si>
  <si>
    <t>Vincom Center Nguyễn Chí Thanh</t>
  </si>
  <si>
    <t>Láng Thượng, Đống Đa, Hà Nội</t>
  </si>
  <si>
    <t>Vincom Nguyễn Chí Thanh (trệt), Láng Thượng, Đống Đa, Hà Nội</t>
  </si>
  <si>
    <t>VNM.27.7.7_1</t>
  </si>
  <si>
    <t>The Coffee House|Vincom Center Nguyễn Chí Thanh</t>
  </si>
  <si>
    <t>49/584</t>
  </si>
  <si>
    <t>135/11159</t>
  </si>
  <si>
    <t>19/81</t>
  </si>
  <si>
    <t>Ngã Tư Sở</t>
  </si>
  <si>
    <t>102 Thái Thịnh</t>
  </si>
  <si>
    <t>40 - 50 tr</t>
  </si>
  <si>
    <t>trống, nhưng không cắt lẻ, cho thuê nguyên sàn</t>
  </si>
  <si>
    <t>Ngã Tư Sở, Đống Đa, Hà Nội</t>
  </si>
  <si>
    <t>102 Thái Thịnh, Ngã Tư Sở, Đống Đa, Hà Nội</t>
  </si>
  <si>
    <t>VNM.27.7.9_1</t>
  </si>
  <si>
    <t>Kichi Kichi|Ngã Tư Sở, Đống Đa, Hà Nội</t>
  </si>
  <si>
    <t>52/584</t>
  </si>
  <si>
    <t>143/11159</t>
  </si>
  <si>
    <t>15/107</t>
  </si>
  <si>
    <t>10UTNOBUD09</t>
  </si>
  <si>
    <t>Phạm Minh Đức</t>
  </si>
  <si>
    <t>Trung Tự</t>
  </si>
  <si>
    <t>2 Đường Phạm Ngọc Thạch</t>
  </si>
  <si>
    <t>Vincom Center Phạm Ngọc Thạch</t>
  </si>
  <si>
    <t>130tr</t>
  </si>
  <si>
    <t>có site nhưng không đồng ý</t>
  </si>
  <si>
    <t>Trung Tự, Đống Đa, Hà Nội</t>
  </si>
  <si>
    <t>2 Đường Phạm Ngọc Thạch, Trung Tự, Đống Đa, Hà Nội</t>
  </si>
  <si>
    <t>VNM.27.7.19_1</t>
  </si>
  <si>
    <t>Universal Tea Mall</t>
  </si>
  <si>
    <t>Universal Tea|Vincom Center Phạm Ngọc Thạch</t>
  </si>
  <si>
    <t>54/584</t>
  </si>
  <si>
    <t>147/11159</t>
  </si>
  <si>
    <t>8/16</t>
  </si>
  <si>
    <t>DNG Trần Huy Liệu</t>
  </si>
  <si>
    <t>Convert CloudPot</t>
  </si>
  <si>
    <t>DNG Trần Huy Liệu, Giảng Võ, Ba Đình, Hà Nội</t>
  </si>
  <si>
    <t>Dao Niu Guo|Giảng Võ, Ba Đình, Hà Nội</t>
  </si>
  <si>
    <t>2/6</t>
  </si>
  <si>
    <t>10GGNOBUD03</t>
  </si>
  <si>
    <t>Ngọc Khánh</t>
  </si>
  <si>
    <t>1 mặt sàn là tốt nhất
Hồ Ngọc Khánh, vòng hồ, trục đường đang có Bò Tơ Quán Mộc, Long Wang…Phố Ngọc Khánh</t>
  </si>
  <si>
    <t>Ngọc Khánh, Giảng Võ, Ba Đình, Hà Nội</t>
  </si>
  <si>
    <t>Gogi House|Giảng Võ, Ba Đình, Hà Nội</t>
  </si>
  <si>
    <t>24/144</t>
  </si>
  <si>
    <t>10UTNOBUD02</t>
  </si>
  <si>
    <t>Hà Đông</t>
  </si>
  <si>
    <t>Mộ Lao</t>
  </si>
  <si>
    <t>Nguyễn Văn Lộc</t>
  </si>
  <si>
    <t>&gt;  12</t>
  </si>
  <si>
    <t>&gt;= 12</t>
  </si>
  <si>
    <t>Mộ Lao, Hà Đông, Hà Nội</t>
  </si>
  <si>
    <t>Nguyễn Văn Lộc, Mộ Lao, Hà Đông, Hà Nội</t>
  </si>
  <si>
    <t>VNM.27.11.7_1</t>
  </si>
  <si>
    <t>Universal Tea Shophouse</t>
  </si>
  <si>
    <t>Universal Tea|Mộ Lao, Hà Đông, Hà Nội</t>
  </si>
  <si>
    <t>59/584</t>
  </si>
  <si>
    <t>160/11159</t>
  </si>
  <si>
    <t>9/16</t>
  </si>
  <si>
    <t>10SMNOBUD02</t>
  </si>
  <si>
    <t>Hai Bà Trưng</t>
  </si>
  <si>
    <t>Phạm Đình Hổ</t>
  </si>
  <si>
    <t>Tô Hiến Thành/Ngô Thì Nhậm</t>
  </si>
  <si>
    <t>Phạm Đình Hổ, Hai Bà Trưng, Hà Nội</t>
  </si>
  <si>
    <t>Tô Hiến Thành/Ngô Thì Nhậm, Phạm Đình Hổ, Hai Bà Trưng, Hà Nội</t>
  </si>
  <si>
    <t>VNM.27.12.13_1</t>
  </si>
  <si>
    <t>Sumogoya|Phạm Đình Hổ, Hai Bà Trưng, Hà Nội</t>
  </si>
  <si>
    <t>60/584</t>
  </si>
  <si>
    <t>169/11159</t>
  </si>
  <si>
    <t>Cầu Giấy</t>
  </si>
  <si>
    <t>Yên Hoà</t>
  </si>
  <si>
    <t xml:space="preserve">56 Vũ Phạm Hàm </t>
  </si>
  <si>
    <t>Yên Hoà, Cầu Giấy, Hà Nội</t>
  </si>
  <si>
    <t>56 Vũ Phạm Hàm , Yên Hoà, Cầu Giấy, Hà Nội</t>
  </si>
  <si>
    <t>VNM.27.5.8_1</t>
  </si>
  <si>
    <t>Kichi Kichi|Yên Hoà, Cầu Giấy, Hà Nội</t>
  </si>
  <si>
    <t>65/584</t>
  </si>
  <si>
    <t>184/11159</t>
  </si>
  <si>
    <t>21/107</t>
  </si>
  <si>
    <t>Khương Đình</t>
  </si>
  <si>
    <t>Vương Thừa Vũ</t>
  </si>
  <si>
    <t>Tòa ICC Vương Thừa Vũ</t>
  </si>
  <si>
    <t>Vương Thừa Vũ (shophouse hoặc chân đế gần VP GGG), đã làm việc với CĐT, hiện đang hoàn thiện phòng cháy</t>
  </si>
  <si>
    <t>Khương Đình, Thanh Xuân, Hà Nội</t>
  </si>
  <si>
    <t>Vương Thừa Vũ, Khương Đình, Thanh Xuân, Hà Nội</t>
  </si>
  <si>
    <t>VNM.27.29.2_1</t>
  </si>
  <si>
    <t>The Coffee House|Khương Đình, Thanh Xuân, Hà Nội</t>
  </si>
  <si>
    <t>71/584</t>
  </si>
  <si>
    <t>197/11159</t>
  </si>
  <si>
    <t>10MTNOBUD01</t>
  </si>
  <si>
    <t>Man Tang Guo</t>
  </si>
  <si>
    <t>Cát Linh</t>
  </si>
  <si>
    <t>gửi lại thong tin</t>
  </si>
  <si>
    <t>Cát Linh, Đống Đa, Hà Nội</t>
  </si>
  <si>
    <t>175 Nguyễn Thái Học, Cát Linh, Đống Đa, Hà Nội</t>
  </si>
  <si>
    <t>VNM.27.7.1_1</t>
  </si>
  <si>
    <t>Man Tang Guo Mall</t>
  </si>
  <si>
    <t>Man Tang Guo|Hanoi Centre</t>
  </si>
  <si>
    <t>73/584</t>
  </si>
  <si>
    <t>201/11159</t>
  </si>
  <si>
    <t>3/4</t>
  </si>
  <si>
    <t>10SGNOBUD03</t>
  </si>
  <si>
    <t>scan lại sau các MB mall và báo lại sau</t>
  </si>
  <si>
    <t>175 Phố Nguyễn Thái Học, Cát Linh, Đống Đa, Hà Nội</t>
  </si>
  <si>
    <t>Shogun Mall</t>
  </si>
  <si>
    <t>Shogun|Hanoi Centre</t>
  </si>
  <si>
    <t>7/10</t>
  </si>
  <si>
    <t>10MMNOBUD01</t>
  </si>
  <si>
    <t>Mama's Bakery</t>
  </si>
  <si>
    <t>Đặng Phương Trang</t>
  </si>
  <si>
    <t>Bách Khoa</t>
  </si>
  <si>
    <t>Bách - Kinh - Xây</t>
  </si>
  <si>
    <t>max 150tr</t>
  </si>
  <si>
    <t>diện tích: 80 - 150, ưu tiên 3</t>
  </si>
  <si>
    <t>Bách Khoa, Hai Bà Trưng, Hà Nội</t>
  </si>
  <si>
    <t>Bách - Kinh - Xây, Bách Khoa, Hai Bà Trưng, Hà Nội</t>
  </si>
  <si>
    <t>VNM.27.12.3_1</t>
  </si>
  <si>
    <t>Mama's Bakery Shophouse</t>
  </si>
  <si>
    <t>Mama's Bakery|Bách Khoa, Hai Bà Trưng, Hà Nội</t>
  </si>
  <si>
    <t>81/584</t>
  </si>
  <si>
    <t>231/11159</t>
  </si>
  <si>
    <t>10UTNOBUD04</t>
  </si>
  <si>
    <t>Universal Tea|Bách Khoa, Hai Bà Trưng, Hà Nội</t>
  </si>
  <si>
    <t>11/16</t>
  </si>
  <si>
    <t>Đinh Thị Tâm</t>
  </si>
  <si>
    <t>29 Liễu Giai</t>
  </si>
  <si>
    <t>Vincom Center Metropolis</t>
  </si>
  <si>
    <t>Bom hủy dự án</t>
  </si>
  <si>
    <t>Ngọc Khánh, Ba Đình, Hà Nội</t>
  </si>
  <si>
    <t>29 Liễu Giai, Ngọc Khánh, Ba Đình, Hà Nội</t>
  </si>
  <si>
    <t>VNM.27.3.8_1</t>
  </si>
  <si>
    <t>Ashima Mall</t>
  </si>
  <si>
    <t>Ashima|Vincom Center Metropolis</t>
  </si>
  <si>
    <t>87/584</t>
  </si>
  <si>
    <t>252/11159</t>
  </si>
  <si>
    <t>7/9</t>
  </si>
  <si>
    <t>BOM reject</t>
  </si>
  <si>
    <t>Kichi Kichi|Vincom Center Metropolis</t>
  </si>
  <si>
    <t>31/107</t>
  </si>
  <si>
    <t>Nguyễn Chí Thanh, Ngọc Khánh, Ba Đình, Hà Nội</t>
  </si>
  <si>
    <t>Manwah|Ngọc Khánh, Ba Đình, Hà Nội</t>
  </si>
  <si>
    <t>18/55</t>
  </si>
  <si>
    <t>09HNOCHNOBUD01</t>
  </si>
  <si>
    <t>Chibo</t>
  </si>
  <si>
    <t>Lý Thái Tổ</t>
  </si>
  <si>
    <t>Nguyễn Hữu Huân</t>
  </si>
  <si>
    <t>70 - 100</t>
  </si>
  <si>
    <t>&lt; 120tr</t>
  </si>
  <si>
    <t>Lý Thái Tổ, Hoàn Kiếm, Hà Nội</t>
  </si>
  <si>
    <t>Nguyễn Hữu Huân, Lý Thái Tổ, Hoàn Kiếm, Hà Nội</t>
  </si>
  <si>
    <t>VNM.27.14.14_1</t>
  </si>
  <si>
    <t>Chibo Shophouse</t>
  </si>
  <si>
    <t>Chibo|Lý Thái Tổ, Hoàn Kiếm, Hà Nội</t>
  </si>
  <si>
    <t>90/584</t>
  </si>
  <si>
    <t>272/11159</t>
  </si>
  <si>
    <t>10SSNOBUD03</t>
  </si>
  <si>
    <t>Lưu Ngọc Mai</t>
  </si>
  <si>
    <t>Dịch Vọng Hậu</t>
  </si>
  <si>
    <t>90 Trần Thái Tông</t>
  </si>
  <si>
    <t>&lt; 200tr</t>
  </si>
  <si>
    <t>Dịch Vọng Hậu, Cầu Giấy, Hà Nội</t>
  </si>
  <si>
    <t>90 Trần Thái Tông, Dịch Vọng Hậu, Cầu Giấy, Hà Nội</t>
  </si>
  <si>
    <t>VNM.27.5.2_1</t>
  </si>
  <si>
    <t>Isushi|Dịch Vọng Hậu, Cầu Giấy, Hà Nội</t>
  </si>
  <si>
    <t>91/584</t>
  </si>
  <si>
    <t>274/11159</t>
  </si>
  <si>
    <t>10SMNOBUD06</t>
  </si>
  <si>
    <t>241 Đường Xuân Thủy</t>
  </si>
  <si>
    <t>IPH The Loop</t>
  </si>
  <si>
    <t>Indochina Plaza Hanoi</t>
  </si>
  <si>
    <t>có slot, nhưng họ không vào</t>
  </si>
  <si>
    <t>241 Đường Xuân Thủy, Dịch Vọng Hậu, Cầu Giấy, Hà Nội</t>
  </si>
  <si>
    <t>Sumogoya|Indochina Plaza Hanoi</t>
  </si>
  <si>
    <t>6/11</t>
  </si>
  <si>
    <t>10UTNOBUD05</t>
  </si>
  <si>
    <t>Universal Tea|Dịch Vọng Hậu, Cầu Giấy, Hà Nội</t>
  </si>
  <si>
    <t>15/16</t>
  </si>
  <si>
    <t>Mai Dịch</t>
  </si>
  <si>
    <t>30 Phạm Văn Đồng</t>
  </si>
  <si>
    <t>Tòa nhà Bắc Hà Lucky</t>
  </si>
  <si>
    <t>Có site nhưng đang thuyết phục CĐT cắt diện tích nguyên sàn 500m</t>
  </si>
  <si>
    <t>Mai Dịch, Cầu Giấy, Hà Nội</t>
  </si>
  <si>
    <t>30 Phạm Văn Đồng, Mai Dịch, Cầu Giấy, Hà Nội</t>
  </si>
  <si>
    <t>VNM.27.5.3_1</t>
  </si>
  <si>
    <t>Kichi Kichi|Mai Dịch, Cầu Giấy, Hà Nội</t>
  </si>
  <si>
    <t>93/584</t>
  </si>
  <si>
    <t>283/11159</t>
  </si>
  <si>
    <t>35/107</t>
  </si>
  <si>
    <t>10UTNOBUD06</t>
  </si>
  <si>
    <t>Lê Đức Thọ</t>
  </si>
  <si>
    <t>The zei</t>
  </si>
  <si>
    <t>The Zei Lê Đức Thọ</t>
  </si>
  <si>
    <t>Lê Đức Thọ, Mai Dịch, Cầu Giấy, Hà Nội</t>
  </si>
  <si>
    <t>Universal Tea Chân đế</t>
  </si>
  <si>
    <t>Universal Tea|Mai Dịch, Cầu Giấy, Hà Nội</t>
  </si>
  <si>
    <t>10GGNOBUD04</t>
  </si>
  <si>
    <t>Bắc Từ Liêm</t>
  </si>
  <si>
    <t>Phú Diễn</t>
  </si>
  <si>
    <t>Hồ Tùng Mậu</t>
  </si>
  <si>
    <t>sang Cầu Diễn, Minh Khai</t>
  </si>
  <si>
    <t>Phú Diễn, Bắc Từ Liêm, Hà Nội</t>
  </si>
  <si>
    <t>Hồ Tùng Mậu, Phú Diễn, Bắc Từ Liêm, Hà Nội</t>
  </si>
  <si>
    <t>VNM.27.2.7_1</t>
  </si>
  <si>
    <t>Gogi House|Phú Diễn, Bắc Từ Liêm, Hà Nội</t>
  </si>
  <si>
    <t>106/584</t>
  </si>
  <si>
    <t>358/11159</t>
  </si>
  <si>
    <t>61/144</t>
  </si>
  <si>
    <t>Nam Từ Liêm</t>
  </si>
  <si>
    <t>Cầu Diễn</t>
  </si>
  <si>
    <t>Tòa A3 Hàm Nghi</t>
  </si>
  <si>
    <t>Không đạt được giá thuê mà BOM mong muốn</t>
  </si>
  <si>
    <t>Cầu Diễn, Nam Từ Liêm, Hà Nội</t>
  </si>
  <si>
    <t>Nguyễn Cơ Thạch, Hàm Nghi, Vincom Gardenia, Cầu Diễn, Nam Từ Liêm, Hà Nội</t>
  </si>
  <si>
    <t>VNM.27.19.1_1</t>
  </si>
  <si>
    <t>The Coffee House|Cầu Diễn, Nam Từ Liêm, Hà Nội</t>
  </si>
  <si>
    <t>94/584</t>
  </si>
  <si>
    <t>285/11159</t>
  </si>
  <si>
    <t>44/81</t>
  </si>
  <si>
    <t>Tràng Tiền</t>
  </si>
  <si>
    <t>Hai Bà Trưng, 
Hàng Bài</t>
  </si>
  <si>
    <t>10k</t>
  </si>
  <si>
    <t>Tràng Tiền, Hoàn Kiếm, Hà Nội</t>
  </si>
  <si>
    <t>Hai Bà Trưng, 
Hàng Bài, Tràng Tiền, Hoàn Kiếm, Hà Nội</t>
  </si>
  <si>
    <t>VNM.27.14.18_1</t>
  </si>
  <si>
    <t>Isushi|Tràng Tiền, Hoàn Kiếm, Hà Nội</t>
  </si>
  <si>
    <t>99/584</t>
  </si>
  <si>
    <t>315/11159</t>
  </si>
  <si>
    <t>12/25</t>
  </si>
  <si>
    <t>10GGNOBUD05</t>
  </si>
  <si>
    <t>Hoàng Mai</t>
  </si>
  <si>
    <t>Hoàng Liệt</t>
  </si>
  <si>
    <t>Hồ Linh Đàm, Nguyễn Cảnh Dị</t>
  </si>
  <si>
    <t>Khu Nguyễn Cảnh Dị đã offer nhưng BU báo chờ 1 thời gian nữa do đường xá đang làm</t>
  </si>
  <si>
    <t>Hoàng Liệt, Hoàng Mai, Hà Nội</t>
  </si>
  <si>
    <t>Hồ Linh Đàm, Nguyễn Cảnh Dị, Hoàng Liệt, Hoàng Mai, Hà Nội</t>
  </si>
  <si>
    <t>VNM.27.15.4_1</t>
  </si>
  <si>
    <t>Gogi House|Hoàng Liệt, Hoàng Mai, Hà Nội</t>
  </si>
  <si>
    <t>102/584</t>
  </si>
  <si>
    <t>324/11159</t>
  </si>
  <si>
    <t>55/144</t>
  </si>
  <si>
    <t>10SMNOBUD03</t>
  </si>
  <si>
    <t>Linh Đàm: Văn Tân</t>
  </si>
  <si>
    <t>Linh Đàm: Văn Tân, Hoàng Liệt, Hoàng Mai, Hà Nội</t>
  </si>
  <si>
    <t>Sumogoya|Hoàng Liệt, Hoàng Mai, Hà Nội</t>
  </si>
  <si>
    <t>7/11</t>
  </si>
  <si>
    <t>Ngô Quang Thắng</t>
  </si>
  <si>
    <t>Chân đế mini 
100-130m2</t>
  </si>
  <si>
    <t>Linh Đàm Hoàng Mai HN, Hoàng Liệt, Hoàng Mai, Hà Nội</t>
  </si>
  <si>
    <t>Wow!Yakiniku Chân đế</t>
  </si>
  <si>
    <t>Wow!Yakiniku|Hoàng Liệt, Hoàng Mai, Hà Nội</t>
  </si>
  <si>
    <t>10SGNOBUD01</t>
  </si>
  <si>
    <t>Tây Hồ</t>
  </si>
  <si>
    <t>Bưởi</t>
  </si>
  <si>
    <t>Trích Sài</t>
  </si>
  <si>
    <t>Bưởi, Tây Hồ, Hà Nội</t>
  </si>
  <si>
    <t>Trích Sài, Bưởi, Tây Hồ, Hà Nội</t>
  </si>
  <si>
    <t>VNM.27.25.1_1</t>
  </si>
  <si>
    <t>Shogun|Bưởi, Tây Hồ, Hà Nội</t>
  </si>
  <si>
    <t>103/584</t>
  </si>
  <si>
    <t>342/11159</t>
  </si>
  <si>
    <t>10/10</t>
  </si>
  <si>
    <t>Ho Tung Mau Goldmark</t>
  </si>
  <si>
    <t>Đang đàm phán với MSB để lấy diện tích</t>
  </si>
  <si>
    <t>136 Đường Hồ Tùng Mậu, Phú Diễn, Bắc Từ Liêm, Hà Nội</t>
  </si>
  <si>
    <t>The Coffee House|Phú Diễn, Bắc Từ Liêm, Hà Nội</t>
  </si>
  <si>
    <t>53/81</t>
  </si>
  <si>
    <t>Phú La</t>
  </si>
  <si>
    <t>KĐT Văn Phú</t>
  </si>
  <si>
    <t>Hà Đông, Văn Phú Lacasta</t>
  </si>
  <si>
    <t>Đã cọc</t>
  </si>
  <si>
    <t>Đã cọc thiện chí, chờ chủ đầu tư HQ đưa điều kiện thương mại</t>
  </si>
  <si>
    <t>Phú La, Hà Đông, Hà Nội</t>
  </si>
  <si>
    <t>KĐT Văn Phú, Phú La, Hà Đông, Hà Nội</t>
  </si>
  <si>
    <t>VNM.27.11.9_1</t>
  </si>
  <si>
    <t>Gogi House|Phú La, Hà Đông, Hà Nội</t>
  </si>
  <si>
    <t>109/584</t>
  </si>
  <si>
    <t>367/11159</t>
  </si>
  <si>
    <t>62/144</t>
  </si>
  <si>
    <t>40 - 50tr</t>
  </si>
  <si>
    <t>standard: 204 m2
muốn thêm 1 mini: 150 - 160 m2 (gần ĐH Đại Nam)</t>
  </si>
  <si>
    <t>Kichi Kichi|Phú La, Hà Đông, Hà Nội</t>
  </si>
  <si>
    <t>47/107</t>
  </si>
  <si>
    <t>10SMNOBUD04</t>
  </si>
  <si>
    <t>SH13-15 - Tầng 1 Dự án Lacasta Galler - Văn Phú</t>
  </si>
  <si>
    <t>Sumogoya|Phú La, Hà Đông, Hà Nội</t>
  </si>
  <si>
    <t>Mỹ Đình 1</t>
  </si>
  <si>
    <t>Nguyễn Cơ Thạch phía sau
mạn Nollowa
cuối Hàm Nghi</t>
  </si>
  <si>
    <t>DV1 Nguyễn Văn Giáp</t>
  </si>
  <si>
    <t>BOM không duyệt vì gần Gogi Nguyễn Hoàng và Gogi Hàm Nghi</t>
  </si>
  <si>
    <t>Mỹ Đình 1, Nam Từ Liêm, Hà Nội</t>
  </si>
  <si>
    <t>Nguyễn Cơ Thạch phía sau
mạn Nollowa
cuối Hàm Nghi, Mỹ Đình 1, Nam Từ Liêm, Hà Nội</t>
  </si>
  <si>
    <t>VNM.27.19.4_1</t>
  </si>
  <si>
    <t>Gogi House|Mỹ Đình 1, Nam Từ Liêm, Hà Nội</t>
  </si>
  <si>
    <t>110/584</t>
  </si>
  <si>
    <t>368/11159</t>
  </si>
  <si>
    <t>Lê Đức Thọ/Hàm nghi</t>
  </si>
  <si>
    <t>thay MW Nguyễn Hoàng đã đóng</t>
  </si>
  <si>
    <t>Lê Đức Thọ/Hàm nghi, Mỹ Đình 1, Nam Từ Liêm, Hà Nội</t>
  </si>
  <si>
    <t>Manwah|Mỹ Đình 1, Nam Từ Liêm, Hà Nội</t>
  </si>
  <si>
    <t>31/55</t>
  </si>
  <si>
    <t>10UTNOBUD07</t>
  </si>
  <si>
    <t>The Manor</t>
  </si>
  <si>
    <t>Mễ Trì, Mỹ Đình 1, Nam Từ Liêm, Hà Nội</t>
  </si>
  <si>
    <t>Universal Tea|Mỹ Đình 1, Nam Từ Liêm, Hà Nội</t>
  </si>
  <si>
    <t>Khu đô thị The Manor, Đường Mễ Trì</t>
  </si>
  <si>
    <t>The Garden</t>
  </si>
  <si>
    <t>The Garden Shopping Center</t>
  </si>
  <si>
    <t>Khu đô thị The Manor, Đường Mễ Trì, Mỹ Đình 1, Nam Từ Liêm, Hà Nội</t>
  </si>
  <si>
    <t>The Coffee House|The Garden Shopping Center</t>
  </si>
  <si>
    <t>54/81</t>
  </si>
  <si>
    <t>Mỹ Đình 1 - Sunshine Center</t>
  </si>
  <si>
    <t>16 Phạm Hùng, Mỹ Đình 1, Nam Từ Liêm, Hà Nội</t>
  </si>
  <si>
    <t>The Coffee House|Mỹ Đình 1, Nam Từ Liêm, Hà Nội</t>
  </si>
  <si>
    <t>10DNNOBUD04</t>
  </si>
  <si>
    <t>Hàng Trống</t>
  </si>
  <si>
    <t>Lê Thái Tổ</t>
  </si>
  <si>
    <t>Convert từ MW Lê Thái Tổ
Khu dân cư đông đúc, nhiều VP và khu người HQ</t>
  </si>
  <si>
    <t>Hàng Trống, Hoàn Kiếm, Hà Nội</t>
  </si>
  <si>
    <t>Lê Thái Tổ, Hàng Trống, Hoàn Kiếm, Hà Nội</t>
  </si>
  <si>
    <t>VNM.27.14.13_1</t>
  </si>
  <si>
    <t>Dao Niu Guo|Hàng Trống, Hoàn Kiếm, Hà Nội</t>
  </si>
  <si>
    <t>111/584</t>
  </si>
  <si>
    <t>369/11159</t>
  </si>
  <si>
    <t>10NRNOBUD02</t>
  </si>
  <si>
    <t>Thi Sách</t>
  </si>
  <si>
    <t>Thi Sách, Phạm Đình Hổ, Hai Bà Trưng, Hà Nội</t>
  </si>
  <si>
    <t>Ngonya|Phạm Đình Hổ, Hai Bà Trưng, Hà Nội</t>
  </si>
  <si>
    <t>10SMNOBUD05</t>
  </si>
  <si>
    <t>đổi phường từ Hai Bà Trưng sang</t>
  </si>
  <si>
    <t>Hai Bà Trưng, Tràng Tiền, Hoàn Kiếm, Hà Nội</t>
  </si>
  <si>
    <t>Sumogoya|Tràng Tiền, Hoàn Kiếm, Hà Nội</t>
  </si>
  <si>
    <t>Trúc Bạch</t>
  </si>
  <si>
    <t>Nguyễn Trường Tộ, Cửa Bắc, Quán Thánh</t>
  </si>
  <si>
    <t>Trúc Bạch, Ba Đình, Hà Nội</t>
  </si>
  <si>
    <t>Nguyễn Trường Tộ, Cửa Bắc, Quán Thánh, Trúc Bạch, Ba Đình, Hà Nội</t>
  </si>
  <si>
    <t>VNM.27.3.13_1</t>
  </si>
  <si>
    <t>The Coffee House|Trúc Bạch, Ba Đình, Hà Nội</t>
  </si>
  <si>
    <t>118/584</t>
  </si>
  <si>
    <t>412/11159</t>
  </si>
  <si>
    <t>56/81</t>
  </si>
  <si>
    <t>10GGNOBUD06</t>
  </si>
  <si>
    <t>Xuân Đỉnh</t>
  </si>
  <si>
    <t>Ngoại Giao Đoàn, gần Võ Chí Công</t>
  </si>
  <si>
    <t>BT1 Xuân La, Tây Hồ</t>
  </si>
  <si>
    <t>Chủ nhà đổi ý không cho nhà hàng thuê</t>
  </si>
  <si>
    <t>Xuân Đỉnh, Bắc Từ Liêm, Hà Nội</t>
  </si>
  <si>
    <t>Ngoại Giao Đoàn, gần Võ Chí Công, Xuân Đỉnh, Bắc Từ Liêm, Hà Nội</t>
  </si>
  <si>
    <t>VNM.27.2.12_1</t>
  </si>
  <si>
    <t>Gogi House|Xuân Đỉnh, Bắc Từ Liêm, Hà Nội</t>
  </si>
  <si>
    <t>122/584</t>
  </si>
  <si>
    <t>452/11159</t>
  </si>
  <si>
    <t>71/144</t>
  </si>
  <si>
    <t>Xuân Tảo</t>
  </si>
  <si>
    <t>N01-T7 Han Jardin Residences</t>
  </si>
  <si>
    <t>Không có diện tích, tòa đã có 1 quán cf của CĐT nên không cho nhãn khác vào</t>
  </si>
  <si>
    <t>Xuân Tảo, Bắc Từ Liêm, Hà Nội</t>
  </si>
  <si>
    <t>Khu ngoại giao đoàn (chân đế tòa nhà kv ngã tư Hoàng Minh Thảo - Xuân Tảo), Xuân Tảo, Bắc Từ Liêm, Hà Nội</t>
  </si>
  <si>
    <t>VNM.27.2.13_1</t>
  </si>
  <si>
    <t>The Coffee House|Xuân Tảo, Bắc Từ Liêm, Hà Nội</t>
  </si>
  <si>
    <t>127/584</t>
  </si>
  <si>
    <t>491/11159</t>
  </si>
  <si>
    <t>58/81</t>
  </si>
  <si>
    <t>cuối đường Mễ Trì, chỗ bên TT hội nghị quốc gia, Đỗ Đức Dục</t>
  </si>
  <si>
    <t>02 Đỗ Đức Dục</t>
  </si>
  <si>
    <t>Chủ nhà đã cho thuê (BOM đi check muộn)</t>
  </si>
  <si>
    <t>Mễ Trì, Nam Từ Liêm, Hà Nội</t>
  </si>
  <si>
    <t>cuối đường Mễ Trì, chỗ bên TT hội nghị quốc gia, Đỗ Đức Dục, Mễ Trì, Nam Từ Liêm, Hà Nội</t>
  </si>
  <si>
    <t>VNM.27.19.3_1</t>
  </si>
  <si>
    <t>Gogi House|Mễ Trì, Nam Từ Liêm, Hà Nội</t>
  </si>
  <si>
    <t>138/584</t>
  </si>
  <si>
    <t>609/11159</t>
  </si>
  <si>
    <t>99/144</t>
  </si>
  <si>
    <t>Nam Từ Liêm, The manor C09-C10  Trần Văn Lai (Bún Chả Ông Park)</t>
  </si>
  <si>
    <t>BU muốn mặt đường chính, site offer hiện đang ở nội khu</t>
  </si>
  <si>
    <t>Mễ Trì, Mễ Trì, Nam Từ Liêm, Hà Nội</t>
  </si>
  <si>
    <t>The Coffee House|Mễ Trì, Nam Từ Liêm, Hà Nội</t>
  </si>
  <si>
    <t>Tháp văn phòng Keangnam Landmark 72</t>
  </si>
  <si>
    <t>Phạm Hùng, Mễ Trì, Nam Từ Liêm, Hà Nội</t>
  </si>
  <si>
    <t>Tiền Giang</t>
  </si>
  <si>
    <t>VNM.58_1</t>
  </si>
  <si>
    <t>Mỹ Tho</t>
  </si>
  <si>
    <t>Đạo Thạnh</t>
  </si>
  <si>
    <t>Quảng trường Hùng Vương</t>
  </si>
  <si>
    <t>Aeon Mall Mỹ Tho</t>
  </si>
  <si>
    <t>đang xây dựng, năm 2027</t>
  </si>
  <si>
    <t>Đạo Thạnh, Mỹ Tho, Tiền Giang</t>
  </si>
  <si>
    <t>VNM.58.9.1_1</t>
  </si>
  <si>
    <t>Gogi House|Aeon Mall Mỹ Tho</t>
  </si>
  <si>
    <t>21/173</t>
  </si>
  <si>
    <t>1302/11159</t>
  </si>
  <si>
    <t>10KKNOBUD05</t>
  </si>
  <si>
    <t>Đại Mỗ</t>
  </si>
  <si>
    <t>Tòa Roma Plaza Tố Hữu</t>
  </si>
  <si>
    <t>Do giá cao (60 triệu)</t>
  </si>
  <si>
    <t>Đại Mỗ, Nam Từ Liêm, Hà Nội</t>
  </si>
  <si>
    <t>Tòa Roma Plaza Tố Hữu, Đại Mỗ, Nam Từ Liêm, Hà Nội</t>
  </si>
  <si>
    <t>VNM.27.19.2_1</t>
  </si>
  <si>
    <t>Kichi Kichi|Đại Mỗ, Nam Từ Liêm, Hà Nội</t>
  </si>
  <si>
    <t>150/584</t>
  </si>
  <si>
    <t>761/11159</t>
  </si>
  <si>
    <t>92/107</t>
  </si>
  <si>
    <t>10MWNOBUD01</t>
  </si>
  <si>
    <t>Hoài Đức</t>
  </si>
  <si>
    <t>An Khánh</t>
  </si>
  <si>
    <t>Lê Trọng Tấn</t>
  </si>
  <si>
    <t>350-400k/m2</t>
  </si>
  <si>
    <t>Thiên đường Bảo Sơn
Chọn điểm gần Vinsmart hơn, GG xa</t>
  </si>
  <si>
    <t>An Khánh, Hoài Đức, Hà Nội</t>
  </si>
  <si>
    <t>Lê Trọng Tấn, An Khánh, Hoài Đức, Hà Nội</t>
  </si>
  <si>
    <t>VNM.27.13.1_1</t>
  </si>
  <si>
    <t>Manwah|An Khánh, Hoài Đức, Hà Nội</t>
  </si>
  <si>
    <t>153/584</t>
  </si>
  <si>
    <t>780/11159</t>
  </si>
  <si>
    <t>46/55</t>
  </si>
  <si>
    <t>Dương Nội</t>
  </si>
  <si>
    <t>Khu dân cư Hoàng Văn Thụ</t>
  </si>
  <si>
    <t>Dương Nội, Hà Đông, Hà Nội</t>
  </si>
  <si>
    <t>Khu dân cư Hoàng Văn Thụ, Dương Nội, Hà Đông, Hà Nội</t>
  </si>
  <si>
    <t>VNM.27.11.3_1</t>
  </si>
  <si>
    <t>Chibo Mall</t>
  </si>
  <si>
    <t>Chibo|Aeon Mall Hà Đông</t>
  </si>
  <si>
    <t>159/584</t>
  </si>
  <si>
    <t>852/11159</t>
  </si>
  <si>
    <t>&lt; 6</t>
  </si>
  <si>
    <t>Chix Max|Aeon Mall Hà Đông</t>
  </si>
  <si>
    <t>Hoàng Văn Thụ</t>
  </si>
  <si>
    <t>Hoàng Văn Thụ, Dương Nội, Hà Đông, Hà Nội</t>
  </si>
  <si>
    <t>Mama's Bakery Mall</t>
  </si>
  <si>
    <t>Mama's Bakery|Aeon Mall Hà Đông</t>
  </si>
  <si>
    <t>Aeon Hà Đông, Dương Nội, Hà Đông, Hà Nội</t>
  </si>
  <si>
    <t>Isushi|Aeon Mall Hà Đông</t>
  </si>
  <si>
    <t>23/25</t>
  </si>
  <si>
    <t>10UPNOBUD03</t>
  </si>
  <si>
    <t>Aeon Mall Long Biên, Aeon Hà Đông, Lotte Võ Chí Công
1 trong 3 mall này
Khu Long Biên, Hà Đông, Tây Hồ</t>
  </si>
  <si>
    <t>Union Pizza Mall</t>
  </si>
  <si>
    <t>Union Pizza|Aeon Mall Hà Đông</t>
  </si>
  <si>
    <t>6/5</t>
  </si>
  <si>
    <t>10KKNOBUD02</t>
  </si>
  <si>
    <t>Tây Mỗ</t>
  </si>
  <si>
    <t>Khu đô thị Vinhomes Smart City</t>
  </si>
  <si>
    <t>Vincom Mega Mall Smart City</t>
  </si>
  <si>
    <t>offer nhưng BU chưa ưng</t>
  </si>
  <si>
    <t>Tây Mỗ, Nam Từ Liêm, Hà Nội</t>
  </si>
  <si>
    <t>Khu đô thị Vinhomes Smart City, Tây Mỗ, Nam Từ Liêm, Hà Nội</t>
  </si>
  <si>
    <t>VNM.27.19.8_1</t>
  </si>
  <si>
    <t>Kichi Kichi|Vincom Mega Mall Smart City</t>
  </si>
  <si>
    <t>164/584</t>
  </si>
  <si>
    <t>878/11159</t>
  </si>
  <si>
    <t>95/107</t>
  </si>
  <si>
    <t>10GGNOBUD07</t>
  </si>
  <si>
    <t>Gia Lâm</t>
  </si>
  <si>
    <t>Trâu Quỳ</t>
  </si>
  <si>
    <t>Ocean Park 1</t>
  </si>
  <si>
    <t>ĐH Nông Nghiệp
có site nhưng SF đang cân nhắc do không có hệ hút mùi</t>
  </si>
  <si>
    <t>Trâu Quỳ, Gia Lâm, Hà Nội</t>
  </si>
  <si>
    <t>VNM.27.10.17_1</t>
  </si>
  <si>
    <t>Gogi House Chân đế</t>
  </si>
  <si>
    <t>Gogi House|Trâu Quỳ, Gia Lâm, Hà Nội</t>
  </si>
  <si>
    <t>180/584</t>
  </si>
  <si>
    <t>1004/11159</t>
  </si>
  <si>
    <t>129/144</t>
  </si>
  <si>
    <t>10KKNOBUD07</t>
  </si>
  <si>
    <t>Đã offer nhưng không có hệ thống hút mùi nên reject</t>
  </si>
  <si>
    <t>Kichi Kichi|Trâu Quỳ, Gia Lâm, Hà Nội</t>
  </si>
  <si>
    <t>10SGNOBUD02</t>
  </si>
  <si>
    <t>Shogun|Trâu Quỳ, Gia Lâm, Hà Nội</t>
  </si>
  <si>
    <t>11/10</t>
  </si>
  <si>
    <t>TCHNOBUD09</t>
  </si>
  <si>
    <t>Vinhom Ocean Park 1</t>
  </si>
  <si>
    <t>căn 01S05A chân tòa S1.12</t>
  </si>
  <si>
    <t>Vinhom Ocean Park 1, Trâu Quỳ, Gia Lâm, Hà Nội</t>
  </si>
  <si>
    <t>The Coffee House|Trâu Quỳ, Gia Lâm, Hà Nội</t>
  </si>
  <si>
    <t>78/81</t>
  </si>
  <si>
    <t>10UPNOBUD04</t>
  </si>
  <si>
    <t>Long Biên</t>
  </si>
  <si>
    <t>Số 27, Đường Cổ Linh</t>
  </si>
  <si>
    <t>Aeon Mall Long Biên</t>
  </si>
  <si>
    <t>Long Biên, Long Biên, Hà Nội</t>
  </si>
  <si>
    <t>Số 27, Đường Cổ Linh, Long Biên, Long Biên, Hà Nội</t>
  </si>
  <si>
    <t>VNM.27.16.6_1</t>
  </si>
  <si>
    <t>Union Pizza|Aeon Mall Long Biên</t>
  </si>
  <si>
    <t>187/584</t>
  </si>
  <si>
    <t>1050/11159</t>
  </si>
  <si>
    <t>27 Đường Cổ Linh</t>
  </si>
  <si>
    <t>Có nhưng CEO reject</t>
  </si>
  <si>
    <t>27 Đường Cổ Linh, Long Biên, Long Biên, Hà Nội</t>
  </si>
  <si>
    <t>Wow!Yakiniku|Aeon Mall Long Biên</t>
  </si>
  <si>
    <t>Hoàn kiếm</t>
  </si>
  <si>
    <t>Cửa Nam</t>
  </si>
  <si>
    <t>Quang Trung, Lý Thường Kiệt, Trần Hưng Đạo</t>
  </si>
  <si>
    <t>diện tích: 80 - 150, ưu tiên 1</t>
  </si>
  <si>
    <t>Cửa Nam, Hoàn kiếm, Hà Nội</t>
  </si>
  <si>
    <t>Quang Trung, Lý Thường Kiệt, Trần Hưng Đạo, Cửa Nam, Hoàn kiếm, Hà Nội</t>
  </si>
  <si>
    <t>VNM.27.14.2_1</t>
  </si>
  <si>
    <t>Mama's Bakery|Cửa Nam, Hoàn kiếm, Hà Nội</t>
  </si>
  <si>
    <t>80/584</t>
  </si>
  <si>
    <t>227/11159</t>
  </si>
  <si>
    <t>SoJo Hotel, Capital Tower</t>
  </si>
  <si>
    <t>CĐT kinh doanh không cho thuê (đoạn đường này đang làm tàu điện, hiện chưa thể thuê được)</t>
  </si>
  <si>
    <t>Cửa Nam, Hoàn Kiếm, Hà Nội</t>
  </si>
  <si>
    <t>131 Lê Duẩn, Trần Hưng Đạo (đối diện ga Hà Nội), Cửa Nam, Hoàn Kiếm, Hà Nội</t>
  </si>
  <si>
    <t>The Coffee House|Cửa Nam, Hoàn Kiếm, Hà Nội</t>
  </si>
  <si>
    <t>10KKNOBUD08</t>
  </si>
  <si>
    <t>Yên Sở</t>
  </si>
  <si>
    <t>tìm xung quanh Gamuda
standard model
qua tuần báo lại, hiện có thể đang có 1 site</t>
  </si>
  <si>
    <t>Yên Sở, Hoàng Mai, Hà Nội</t>
  </si>
  <si>
    <t>VNM.27.15.14_1</t>
  </si>
  <si>
    <t>Kichi Kichi|Yên Sở, Hoàng Mai, Hà Nội</t>
  </si>
  <si>
    <t>182/584</t>
  </si>
  <si>
    <t>1022/11159</t>
  </si>
  <si>
    <t>10SSNOBUD04</t>
  </si>
  <si>
    <t>Minh Khai</t>
  </si>
  <si>
    <t>201 Phố Minh Khai</t>
  </si>
  <si>
    <t>Hinode City Mall</t>
  </si>
  <si>
    <t>Minh Khai, Hai Bà Trưng, Hà Nội</t>
  </si>
  <si>
    <t>201 Phố Minh Khai, Minh Khai, Hai Bà Trưng, Hà Nội</t>
  </si>
  <si>
    <t>VNM.27.12.10_1</t>
  </si>
  <si>
    <t>Isushi Chân đế</t>
  </si>
  <si>
    <t>Isushi|Minh Khai, Hai Bà Trưng, Hà Nội</t>
  </si>
  <si>
    <t>23/584</t>
  </si>
  <si>
    <t>82/11159</t>
  </si>
  <si>
    <t>3/25</t>
  </si>
  <si>
    <t>Hinode City</t>
  </si>
  <si>
    <t>Vấn đề pháp lý nên khu thương mại chưa hoạt động</t>
  </si>
  <si>
    <t>210 Minh Khai , Minh Khai, Hai Bà Trưng, Hà Nội</t>
  </si>
  <si>
    <t>The Coffee House|Minh Khai, Hai Bà Trưng, Hà Nội</t>
  </si>
  <si>
    <t>Vĩnh Tuy</t>
  </si>
  <si>
    <t>Minh Khai, Thanh Nhàn, Thanh Nghị</t>
  </si>
  <si>
    <t>max 90tr</t>
  </si>
  <si>
    <t>standard
bãi đỗ xe bán kính 300m</t>
  </si>
  <si>
    <t>Vĩnh Tuy, Hai Bà Trưng, Hà Nội</t>
  </si>
  <si>
    <t>Minh Khai, Thanh Nhàn, Thanh Nghị, Vĩnh Tuy, Hai Bà Trưng, Hà Nội</t>
  </si>
  <si>
    <t>VNM.27.12.20_1</t>
  </si>
  <si>
    <t>Gogi House|Vĩnh Tuy, Hai Bà Trưng, Hà Nội</t>
  </si>
  <si>
    <t>33/584</t>
  </si>
  <si>
    <t>105/11159</t>
  </si>
  <si>
    <t>16/144</t>
  </si>
  <si>
    <t>300 - 360</t>
  </si>
  <si>
    <t>200tr</t>
  </si>
  <si>
    <t>Trong khu Times City, tìm trên mặt đất</t>
  </si>
  <si>
    <t>Union Pizza Chân đế</t>
  </si>
  <si>
    <t>Union Pizza|Vĩnh Tuy, Hai Bà Trưng, Hà Nội</t>
  </si>
  <si>
    <t>10UTNOBUD08</t>
  </si>
  <si>
    <t>Time city</t>
  </si>
  <si>
    <t>Vincom Mega Mall Times City</t>
  </si>
  <si>
    <t>Universal Tea|Vĩnh Tuy, Hai Bà Trưng, Hà Nội</t>
  </si>
  <si>
    <t>5/16</t>
  </si>
  <si>
    <t>10KKNOBUD09</t>
  </si>
  <si>
    <t>Kichi Kichi|Vĩnh Tuy, Hai Bà Trưng, Hà Nội</t>
  </si>
  <si>
    <t>11/107</t>
  </si>
  <si>
    <t>458 Đường Minh Khai</t>
  </si>
  <si>
    <t>có thể share với Yutang</t>
  </si>
  <si>
    <t>458 Đường Minh Khai, Vĩnh Tuy, Hai Bà Trưng, Hà Nội</t>
  </si>
  <si>
    <t>Mama's Bakery|Vincom Mega Mall Times City</t>
  </si>
  <si>
    <t>Lách ca lách cách</t>
  </si>
  <si>
    <t>Nguyễn Như Trinh</t>
  </si>
  <si>
    <t>458 Minh Khai</t>
  </si>
  <si>
    <t>yêu cầu reject khỏi plan cho LCLC</t>
  </si>
  <si>
    <t>458 Minh Khai, Vĩnh Tuy, Hai Bà Trưng, Hà Nội</t>
  </si>
  <si>
    <t>Lách ca lách cách Mall</t>
  </si>
  <si>
    <t>Lách ca lách cách|Vincom Mega Mall Times City</t>
  </si>
  <si>
    <t>2/14</t>
  </si>
  <si>
    <t>10UTNOBUD01</t>
  </si>
  <si>
    <t>Universal Tea|Vincom Mega Mall Times City</t>
  </si>
  <si>
    <t>Nguyễn Tiến Dũng
Vũ Đức Duy</t>
  </si>
  <si>
    <t>dọc T5, ưu tiên</t>
  </si>
  <si>
    <t>Yutang|Vincom Mega Mall Times City</t>
  </si>
  <si>
    <t>2/10</t>
  </si>
  <si>
    <t>Kim Liên</t>
  </si>
  <si>
    <t>Kim Liên, Đống Đa, Hà Nội</t>
  </si>
  <si>
    <t>Vincom Phạm Ngọc Thạch (trệt), Kim Liên, Đống Đa, Hà Nội</t>
  </si>
  <si>
    <t>VNM.27.7.5_1</t>
  </si>
  <si>
    <t>The Coffee House|Vincom Center Phạm Ngọc Thạch</t>
  </si>
  <si>
    <t>11/584</t>
  </si>
  <si>
    <t>48/11159</t>
  </si>
  <si>
    <t>10/81</t>
  </si>
  <si>
    <t>10UTNOBUD03</t>
  </si>
  <si>
    <t>Trung Hoà</t>
  </si>
  <si>
    <t>119 Đường Trần Duy Hưng</t>
  </si>
  <si>
    <t>Vincom Center Trần Duy Hưng</t>
  </si>
  <si>
    <t>Trung Hoà, Cầu Giấy, Hà Nội</t>
  </si>
  <si>
    <t>119 Đường Trần Duy Hưng, Trung Hoà, Cầu Giấy, Hà Nội</t>
  </si>
  <si>
    <t>VNM.27.5.7_1</t>
  </si>
  <si>
    <t>Universal Tea|Vincom Center Trần Duy Hưng</t>
  </si>
  <si>
    <t>68/584</t>
  </si>
  <si>
    <t>190/11159</t>
  </si>
  <si>
    <t>10/16</t>
  </si>
  <si>
    <t>10WYNOBUD01</t>
  </si>
  <si>
    <t>222 đường Trần Duy Hưng</t>
  </si>
  <si>
    <t>Go Thăng Long</t>
  </si>
  <si>
    <t>Go! Thăng Long</t>
  </si>
  <si>
    <t>222 đường Trần Duy Hưng, Trung Hoà, Cầu Giấy, Hà Nội</t>
  </si>
  <si>
    <t>Wow!Yakiniku|Go! Thăng Long</t>
  </si>
  <si>
    <t>2/2</t>
  </si>
  <si>
    <t>Trung Hoà - HĐT, Trung Hoà, Cầu Giấy, Hà Nội</t>
  </si>
  <si>
    <t>Dao Niu Guo|Trung Hoà, Cầu Giấy, Hà Nội</t>
  </si>
  <si>
    <t>Trần Duy Hưng/Hoàng Đạo Thúy</t>
  </si>
  <si>
    <t>Trần Duy Hưng/Hoàng Đạo Thúy, Trung Hoà, Cầu Giấy, Hà Nội</t>
  </si>
  <si>
    <t>Lách ca lách cách Shophouse</t>
  </si>
  <si>
    <t>Lách ca lách cách|Trung Hoà, Cầu Giấy, Hà Nội</t>
  </si>
  <si>
    <t>4/14</t>
  </si>
  <si>
    <t>10MTNOBUD02</t>
  </si>
  <si>
    <t>UDic Hoàng Đạo Thúy</t>
  </si>
  <si>
    <t>N04 UDIC Hoàng Đạo Thúy</t>
  </si>
  <si>
    <t>Do giá thuê cao so với mong muốn của BU (30 đô/m2)</t>
  </si>
  <si>
    <t>UDic Hoàng Đạo Thúy, Trung Hoà, Cầu Giấy, Hà Nội</t>
  </si>
  <si>
    <t>Man Tang Guo Chân đế</t>
  </si>
  <si>
    <t>Man Tang Guo|Trung Hoà, Cầu Giấy, Hà Nội</t>
  </si>
  <si>
    <t>10KKNOBUD10</t>
  </si>
  <si>
    <t>Hoàng Đạo Thúy</t>
  </si>
  <si>
    <t>Hoàng Đạo Thúy, Trung Hoà, Cầu Giấy, Hà Nội</t>
  </si>
  <si>
    <t>Kichi Kichi|Trung Hoà, Cầu Giấy, Hà Nội</t>
  </si>
  <si>
    <t>24/107</t>
  </si>
  <si>
    <t>10KKNOBUD11</t>
  </si>
  <si>
    <t>Bạch Đằng</t>
  </si>
  <si>
    <t>Bạch Đằng, Hai Bà Trưng, Hà Nội</t>
  </si>
  <si>
    <t>VNM.27.12.1_1</t>
  </si>
  <si>
    <t>Kichi Kichi|Bạch Đằng, Hai Bà Trưng, Hà Nội</t>
  </si>
  <si>
    <t>101/584</t>
  </si>
  <si>
    <t>320/11159</t>
  </si>
  <si>
    <t>40/107</t>
  </si>
  <si>
    <t>Quang Trung, Hà Đông, Hà Nội</t>
  </si>
  <si>
    <t>VNM.27.11.13_1</t>
  </si>
  <si>
    <t>Ashima|Aeon Mall Hà Đông</t>
  </si>
  <si>
    <t>85/584</t>
  </si>
  <si>
    <t>246/11159</t>
  </si>
  <si>
    <t>10GGNOBUD08</t>
  </si>
  <si>
    <t>Bồ Đề</t>
  </si>
  <si>
    <t>Nguyễn Văn Cừ hoặc Hồng Tiến hoặc Nguyễn Sơn</t>
  </si>
  <si>
    <t>323 Nguyễn Văn Cừ, Long Biên, Hà Nội</t>
  </si>
  <si>
    <t>70 - 80tr</t>
  </si>
  <si>
    <t>1 mặt sàn là tốt nhất
thay cho Mipec Long Bien
Đã khảo sát, đang chờ BOM visit site</t>
  </si>
  <si>
    <t>Bồ Đề, Long Biên, Hà Nội</t>
  </si>
  <si>
    <t>Nguyễn Văn Cừ hoặc Hồng Tiến hoặc Nguyễn Sơn, Bồ Đề, Long Biên, Hà Nội</t>
  </si>
  <si>
    <t>VNM.27.16.1_1</t>
  </si>
  <si>
    <t>Gogi House|Bồ Đề, Long Biên, Hà Nội</t>
  </si>
  <si>
    <t>137/584</t>
  </si>
  <si>
    <t>607/11159</t>
  </si>
  <si>
    <t>10MWNOBUD02</t>
  </si>
  <si>
    <t>Thạch Thất</t>
  </si>
  <si>
    <t>Thạch Hoà</t>
  </si>
  <si>
    <t>Kim Chung/Di Trạch
QL 21/ thế giới DĐ</t>
  </si>
  <si>
    <t>Khu công nghệ cao Hòa lạc</t>
  </si>
  <si>
    <t>đổi quận</t>
  </si>
  <si>
    <t>Thạch Hoà, Thạch Thất, Hà Nội</t>
  </si>
  <si>
    <t>Kim Chung/Di Trạch
QL 21/ thế giới DĐ, Thạch Hoà, Thạch Thất, Hà Nội</t>
  </si>
  <si>
    <t>VNM.27.26.19_1</t>
  </si>
  <si>
    <t>Manwah|Thạch Hoà, Thạch Thất, Hà Nội</t>
  </si>
  <si>
    <t>535/584</t>
  </si>
  <si>
    <t>5035/11159</t>
  </si>
  <si>
    <t>55/55</t>
  </si>
  <si>
    <t>10DNNOBUD05</t>
  </si>
  <si>
    <t>Văn Quán</t>
  </si>
  <si>
    <t>Trần Phú</t>
  </si>
  <si>
    <t>convert Hàng Cuốn
email NWS trước khi gia hạn convert</t>
  </si>
  <si>
    <t>Văn Quán, Hà Đông, Hà Nội</t>
  </si>
  <si>
    <t>Trần Phú, Văn Quán, Hà Đông, Hà Nội</t>
  </si>
  <si>
    <t>VNM.27.11.15_1</t>
  </si>
  <si>
    <t>Dao Niu Guo|Văn Quán, Hà Đông, Hà Nội</t>
  </si>
  <si>
    <t>86/584</t>
  </si>
  <si>
    <t>251/11159</t>
  </si>
  <si>
    <t>Thượng Đình</t>
  </si>
  <si>
    <t>72A Đường Nguyễn Trãi</t>
  </si>
  <si>
    <t>Thượng Đình, Thanh Xuân, Hà Nội</t>
  </si>
  <si>
    <t>72A Đường Nguyễn Trãi, Thượng Đình, Thanh Xuân, Hà Nội</t>
  </si>
  <si>
    <t>VNM.27.29.11_1</t>
  </si>
  <si>
    <t>Sumogoya|Vincom Mega Mall Royal City</t>
  </si>
  <si>
    <t>8/584</t>
  </si>
  <si>
    <t>37/11159</t>
  </si>
  <si>
    <t>ko đồng ý convert UT
R3, R4</t>
  </si>
  <si>
    <t>Yutang|Vincom Mega Mall Royal City</t>
  </si>
  <si>
    <t>1/10</t>
  </si>
  <si>
    <t>R6 - B1
mong muốn B2, khu vực FnB</t>
  </si>
  <si>
    <t>72A Đường Nguyễn Trãi (Royal City, B2, khu vực FnB), Thượng Đình, Thanh Xuân, Hà Nội</t>
  </si>
  <si>
    <t>The Coffee House|Vincom Mega Mall Royal City</t>
  </si>
  <si>
    <t>7/81</t>
  </si>
  <si>
    <t>10MTNOBUD03</t>
  </si>
  <si>
    <t>Thành Công</t>
  </si>
  <si>
    <t>14 Huỳnh Thúc Kháng</t>
  </si>
  <si>
    <t>Do số Thái Hà chuyển đổi từ Manwah --&gt; Dao Niu Gou</t>
  </si>
  <si>
    <t>Thành Công, Ba Đình, Hà Nội</t>
  </si>
  <si>
    <t>Huỳnh Thúc Kháng, Thành Công, Ba Đình, Hà Nội</t>
  </si>
  <si>
    <t>VNM.27.3.12_1</t>
  </si>
  <si>
    <t>Man Tang Guo Shophouse</t>
  </si>
  <si>
    <t>Man Tang Guo|Thành Công, Ba Đình, Hà Nội</t>
  </si>
  <si>
    <t>43/584</t>
  </si>
  <si>
    <t>125/11159</t>
  </si>
  <si>
    <t>1/4</t>
  </si>
  <si>
    <t>Phú Thượng</t>
  </si>
  <si>
    <t>Võ Chí Công</t>
  </si>
  <si>
    <t>Lotte Mall West Lake Hanoi</t>
  </si>
  <si>
    <t>Phú Thượng, Tây Hồ, Hà Nội</t>
  </si>
  <si>
    <t>Võ Chí Công, Phú Thượng, Tây Hồ, Hà Nội</t>
  </si>
  <si>
    <t>VNM.27.25.3_1</t>
  </si>
  <si>
    <t>Isushi|Lotte Mall West Lake Hanoi</t>
  </si>
  <si>
    <t>172/584</t>
  </si>
  <si>
    <t>966/11159</t>
  </si>
  <si>
    <t>10KKNOBUD06</t>
  </si>
  <si>
    <t>272 Đường Võ Chí Công</t>
  </si>
  <si>
    <t>sang quý 1 mới có thể mời offer
có thể di dời sang Thiso hoặc Taka</t>
  </si>
  <si>
    <t>272 Đường Võ Chí Công, Phú Thượng, Tây Hồ, Hà Nội</t>
  </si>
  <si>
    <t>Kichi Kichi|Lotte Mall West Lake Hanoi</t>
  </si>
  <si>
    <t>Có MB tầng 1, trước cửa KS</t>
  </si>
  <si>
    <t>Man Tang Guo|Lotte Mall West Lake Hanoi</t>
  </si>
  <si>
    <t>5/4</t>
  </si>
  <si>
    <t>SushiX</t>
  </si>
  <si>
    <t>Nguyễn Thị Xuân Quỳnh</t>
  </si>
  <si>
    <t>120tr</t>
  </si>
  <si>
    <t>SushiX Mall</t>
  </si>
  <si>
    <t>SushiX|Lotte Mall West Lake Hanoi</t>
  </si>
  <si>
    <t>4/3</t>
  </si>
  <si>
    <t>10UPNOBUD01</t>
  </si>
  <si>
    <t>Số 272, Đường Võ Chí Công</t>
  </si>
  <si>
    <t>Lotte Võ Chí Công</t>
  </si>
  <si>
    <t>Số 272, Đường Võ Chí Công, Phú Thượng, Tây Hồ, Hà Nội</t>
  </si>
  <si>
    <t>Union Pizza|Lotte Mall West Lake Hanoi</t>
  </si>
  <si>
    <t>The Coffee House|Lotte Mall West Lake Hanoi</t>
  </si>
  <si>
    <t>Phú Thượng - UDIC Westlake</t>
  </si>
  <si>
    <t>khu thưa dân cư</t>
  </si>
  <si>
    <t>1035 Đường Võ Chí Công, Phú Thượng, Tây Hồ, Hà Nội</t>
  </si>
  <si>
    <t>The Coffee House|Phú Thượng, Tây Hồ, Hà Nội</t>
  </si>
  <si>
    <t>10WYNOBUD02</t>
  </si>
  <si>
    <t>Wow!Yakiniku|Lotte Mall West Lake Hanoi</t>
  </si>
  <si>
    <t>10GGNOBUD09</t>
  </si>
  <si>
    <t>Nghĩa Đô</t>
  </si>
  <si>
    <t>Tô Hiệu</t>
  </si>
  <si>
    <t>Đường Tô Hiệu ngắn mà đã có site (191 Tô Hiệu)</t>
  </si>
  <si>
    <t>Nghĩa Đô, Cầu Giấy, Hà Nội</t>
  </si>
  <si>
    <t>Tô Hiệu, Nghĩa Đô, Cầu Giấy, Hà Nội</t>
  </si>
  <si>
    <t>VNM.27.5.4_1</t>
  </si>
  <si>
    <t>Gogi House|Nghĩa Đô, Cầu Giấy, Hà Nội</t>
  </si>
  <si>
    <t>58/584</t>
  </si>
  <si>
    <t>155/11159</t>
  </si>
  <si>
    <t>25/144</t>
  </si>
  <si>
    <t>Chủ cũ vẫn đang kinh doanh</t>
  </si>
  <si>
    <t>Shogun|Nghĩa Đô, Cầu Giấy, Hà Nội</t>
  </si>
  <si>
    <t>Hoàng Quốc Việt (khu vực có nhiều toà nhà văn phòng), Nghĩa Đô, Cầu Giấy, Hà Nội</t>
  </si>
  <si>
    <t>The Coffee House|Nghĩa Đô, Cầu Giấy, Hà Nội</t>
  </si>
  <si>
    <t>20/81</t>
  </si>
  <si>
    <t>09HNOCHNOBUD02</t>
  </si>
  <si>
    <t>Quảng An</t>
  </si>
  <si>
    <t>Xuân Diệu</t>
  </si>
  <si>
    <t>Quảng An, Tây Hồ, Hà Nội</t>
  </si>
  <si>
    <t>Xuân Diệu, Quảng An, Tây Hồ, Hà Nội</t>
  </si>
  <si>
    <t>VNM.27.25.4_1</t>
  </si>
  <si>
    <t>Chibo|Quảng An, Tây Hồ, Hà Nội</t>
  </si>
  <si>
    <t>166/584</t>
  </si>
  <si>
    <t>888/11159</t>
  </si>
  <si>
    <t>Sakura Yakiniku</t>
  </si>
  <si>
    <t>150tr</t>
  </si>
  <si>
    <t>&lt; 150tr</t>
  </si>
  <si>
    <t>SY</t>
  </si>
  <si>
    <t>Sakura Yakiniku Shophouse</t>
  </si>
  <si>
    <t>Sakura Yakiniku|Quảng An, Tây Hồ, Hà Nội</t>
  </si>
  <si>
    <t>Ngọc Lâm</t>
  </si>
  <si>
    <t>Convert từ BB Mipec</t>
  </si>
  <si>
    <t>Ngọc Lâm, Long Biên, Hà Nội</t>
  </si>
  <si>
    <t>Mipec Long Biên, Ngọc Lâm, Long Biên, Hà Nội</t>
  </si>
  <si>
    <t>VNM.27.16.7_1</t>
  </si>
  <si>
    <t>Dao Niu Guo|Ngọc Lâm, Long Biên, Hà Nội</t>
  </si>
  <si>
    <t>82/584</t>
  </si>
  <si>
    <t>234/11159</t>
  </si>
  <si>
    <t>Nguyễn Văn Cừ</t>
  </si>
  <si>
    <t>Lưu ý chỗ gửi xe</t>
  </si>
  <si>
    <t>Nguyễn Văn Cừ, Ngọc Lâm, Long Biên, Hà Nội</t>
  </si>
  <si>
    <t>Manwah|Ngọc Lâm, Long Biên, Hà Nội</t>
  </si>
  <si>
    <t>17/55</t>
  </si>
  <si>
    <t>10GGNOBUD10</t>
  </si>
  <si>
    <t>28 Nguyễn Sơn</t>
  </si>
  <si>
    <t>Ngọc Lâm, Ngọc Lâm, Long Biên, Hà Nội</t>
  </si>
  <si>
    <t>Gogi House|Ngọc Lâm, Long Biên, Hà Nội</t>
  </si>
  <si>
    <t>40/144</t>
  </si>
  <si>
    <t>10KKNOBUD12</t>
  </si>
  <si>
    <t>Vĩnh Phúc</t>
  </si>
  <si>
    <t>Vĩnh Phúc, Ba Đình, Hà Nội</t>
  </si>
  <si>
    <t>VNM.27.3.14_1</t>
  </si>
  <si>
    <t>Kichi Kichi|Vĩnh Phúc, Ba Đình, Hà Nội</t>
  </si>
  <si>
    <t>21/584</t>
  </si>
  <si>
    <t>77/11159</t>
  </si>
  <si>
    <t>10MMNOBUD02</t>
  </si>
  <si>
    <t>Quan Hoa</t>
  </si>
  <si>
    <t>100 - 120tr</t>
  </si>
  <si>
    <t>quét Cầu Giấy, BKX, trả lại thông tin vào 24/12/25 để chọn --&gt; Done
ưu tiên 2</t>
  </si>
  <si>
    <t>Quan Hoa, Cầu Giấy, Hà Nội</t>
  </si>
  <si>
    <t>VNM.27.5.6_1</t>
  </si>
  <si>
    <t>Mama's Bakery|Quan Hoa, Cầu Giấy, Hà Nội</t>
  </si>
  <si>
    <t>15/584</t>
  </si>
  <si>
    <t>63/11159</t>
  </si>
  <si>
    <t>10UPNOBUD02</t>
  </si>
  <si>
    <t>Quỳnh Mai</t>
  </si>
  <si>
    <t>Quỳnh Mai, Hai Bà Trưng, Hà Nội</t>
  </si>
  <si>
    <t>VNM.27.12.16_1</t>
  </si>
  <si>
    <t>Union Pizza|Quỳnh Mai, Hai Bà Trưng, Hà Nội</t>
  </si>
  <si>
    <t>6/584</t>
  </si>
  <si>
    <t>34/11159</t>
  </si>
  <si>
    <t>1/5</t>
  </si>
  <si>
    <t>10DNNOBUD02</t>
  </si>
  <si>
    <t>Quán Thánh</t>
  </si>
  <si>
    <t>19 Đặng Dung</t>
  </si>
  <si>
    <t>BU ko ưng</t>
  </si>
  <si>
    <t>Quán Thánh, Ba Đình, Hà Nội</t>
  </si>
  <si>
    <t>19 Đặng Dung, Quán Thánh, Ba Đình, Hà Nội</t>
  </si>
  <si>
    <t>VNM.27.3.11_1</t>
  </si>
  <si>
    <t>Dao Niu Guo|Quán Thánh, Ba Đình, Hà Nội</t>
  </si>
  <si>
    <t>115/584</t>
  </si>
  <si>
    <t>389/11159</t>
  </si>
  <si>
    <t>10SSNOBUD06</t>
  </si>
  <si>
    <t>Đại Kim</t>
  </si>
  <si>
    <t>62 BT4X2 Bắc Linh Đàm</t>
  </si>
  <si>
    <t>Nhãn chưa ưng do dân cư xung quanh ko phải target customer</t>
  </si>
  <si>
    <t>Đại Kim, Hoàng Mai, Hà Nội</t>
  </si>
  <si>
    <t>62 BT4X2 Bắc Linh Đàm, Đại Kim, Hoàng Mai, Hà Nội</t>
  </si>
  <si>
    <t>VNM.27.15.1_1</t>
  </si>
  <si>
    <t>Isushi|Đại Kim, Hoàng Mai, Hà Nội</t>
  </si>
  <si>
    <t>89/584</t>
  </si>
  <si>
    <t>264/11159</t>
  </si>
  <si>
    <t>10/25</t>
  </si>
  <si>
    <t>10WYNOBUD03</t>
  </si>
  <si>
    <t>Wow!Yakiniku|Dịch Vọng Hậu, Cầu Giấy, Hà Nội</t>
  </si>
  <si>
    <t>10PZNOBUD02</t>
  </si>
  <si>
    <t>Pizza360</t>
  </si>
  <si>
    <t>Convert từ Chả cá Vạn Vạn</t>
  </si>
  <si>
    <t>Pizza360 Mall</t>
  </si>
  <si>
    <t>Pizza360|Go! Thăng Long</t>
  </si>
  <si>
    <t>2/1</t>
  </si>
  <si>
    <t>8 Phan Đình Phùng</t>
  </si>
  <si>
    <t>Convert từ Universal Tea</t>
  </si>
  <si>
    <t>Union Pizza|Quán Thánh, Ba Đình, Hà Nội</t>
  </si>
  <si>
    <t>4/5</t>
  </si>
  <si>
    <t>Đa Tốn</t>
  </si>
  <si>
    <t>Ocean park</t>
  </si>
  <si>
    <t>Vincom Mega Mall Ocean Park</t>
  </si>
  <si>
    <t>Convert từ Chả cá Vạn Vạn Ocean park</t>
  </si>
  <si>
    <t>Đa Tốn, Gia Lâm, Hà Nội</t>
  </si>
  <si>
    <t>VNM.27.10.4_1</t>
  </si>
  <si>
    <t>Yutang|Vincom Mega Mall Ocean Park</t>
  </si>
  <si>
    <t>245/584</t>
  </si>
  <si>
    <t>1638/11159</t>
  </si>
  <si>
    <t>10KKNOBUD03</t>
  </si>
  <si>
    <t>Phạm Tuấn Anh
Dương Chí Cường</t>
  </si>
  <si>
    <t>Kichi Kichi|Bồ Đề, Long Biên, Hà Nội</t>
  </si>
  <si>
    <t>76/107</t>
  </si>
  <si>
    <t>TCHNOBUD10</t>
  </si>
  <si>
    <t>Điện Biên</t>
  </si>
  <si>
    <t>8B Lê Trực</t>
  </si>
  <si>
    <t>Do tuyển phố vắng</t>
  </si>
  <si>
    <t>Điện Biên, Ba Đình, Hà Nội</t>
  </si>
  <si>
    <t>VNM.27.3.3_1</t>
  </si>
  <si>
    <t>The Coffee House|Điện Biên, Ba Đình, Hà Nội</t>
  </si>
  <si>
    <t>114/584</t>
  </si>
  <si>
    <t>387/11159</t>
  </si>
  <si>
    <t>55/81</t>
  </si>
  <si>
    <t>Vĩnh Long</t>
  </si>
  <si>
    <t>VNM.61_1</t>
  </si>
  <si>
    <t>Tân Ngãi</t>
  </si>
  <si>
    <t>Quốc lộ 53</t>
  </si>
  <si>
    <t>TTTM SenseFesti Vĩnh Long</t>
  </si>
  <si>
    <t>chưa có thông tin, scan gửi lại</t>
  </si>
  <si>
    <t>Tân Ngãi, Vĩnh Long, Vĩnh Long</t>
  </si>
  <si>
    <t>VNM.61.7.10_1</t>
  </si>
  <si>
    <t>Gogi House|TTTM SenseFesti Vĩnh Long</t>
  </si>
  <si>
    <t>19/109</t>
  </si>
  <si>
    <t>2157/11159</t>
  </si>
  <si>
    <t>144/144</t>
  </si>
  <si>
    <t>10YTNOBUD01</t>
  </si>
  <si>
    <t>Hải Dương</t>
  </si>
  <si>
    <t>VNM.22_1</t>
  </si>
  <si>
    <t>Thạch Khôi</t>
  </si>
  <si>
    <t>Đại lộ Võ Nguyên Giáp</t>
  </si>
  <si>
    <t>Aeon Mall Hải Dương</t>
  </si>
  <si>
    <t>Ký t1 nhận MB t6, có MB nhưng MD không vào</t>
  </si>
  <si>
    <t>Thạch Khôi, Hải Dương, Hải Dương</t>
  </si>
  <si>
    <t>Đại lộ Võ Nguyên Giáp, Thạch Khôi, Hải Dương, Hải Dương</t>
  </si>
  <si>
    <t>VNM.22.5.16_1</t>
  </si>
  <si>
    <t>Yutang|Aeon Mall Hải Dương</t>
  </si>
  <si>
    <t>39/264</t>
  </si>
  <si>
    <t>2039/11159</t>
  </si>
  <si>
    <t>10SSNOBUD05</t>
  </si>
  <si>
    <t>Hải Phòng</t>
  </si>
  <si>
    <t>VNM.23_1</t>
  </si>
  <si>
    <t>Lê Chân</t>
  </si>
  <si>
    <t>Dư Hàng Kênh</t>
  </si>
  <si>
    <t>10 Đường Võ Nguyên Giáp</t>
  </si>
  <si>
    <t>Aeon Mall Hải Phòng Lê Chân</t>
  </si>
  <si>
    <t>Dư Hàng Kênh, Lê Chân, Hải Phòng</t>
  </si>
  <si>
    <t>10 Đường Võ Nguyên Giáp, Dư Hàng Kênh, Lê Chân, Hải Phòng</t>
  </si>
  <si>
    <t>VNM.23.11.6_1</t>
  </si>
  <si>
    <t>Isushi|Aeon Mall Hải Phòng Lê Chân</t>
  </si>
  <si>
    <t>21/224</t>
  </si>
  <si>
    <t>337/11159</t>
  </si>
  <si>
    <t>14/25</t>
  </si>
  <si>
    <t>10PZNOBUD01</t>
  </si>
  <si>
    <t>Aeon này có nhiều pizza với gà rán quá rồi, cân nhắc</t>
  </si>
  <si>
    <t>Pizza360|Aeon Mall Hải Phòng Lê Chân</t>
  </si>
  <si>
    <t>Sumogoya|Aeon Mall Hải Phòng Lê Chân</t>
  </si>
  <si>
    <t>10ASNOBUD01</t>
  </si>
  <si>
    <t>Kênh Dương</t>
  </si>
  <si>
    <t>10 đường Võ Nguyên Giáp</t>
  </si>
  <si>
    <t>Aeon Lê Chân Hải Phòng</t>
  </si>
  <si>
    <t>BU lưỡng lự/đợi MD đi visit</t>
  </si>
  <si>
    <t>Kênh Dương, Lê Chân, Hải Phòng</t>
  </si>
  <si>
    <t>10 đường Võ Nguyên Giáp, Kênh Dương, Lê Chân, Hải Phòng</t>
  </si>
  <si>
    <t>VNM.23.11.9_1</t>
  </si>
  <si>
    <t>Ashima|Aeon Mall Hải Phòng Lê Chân</t>
  </si>
  <si>
    <t>25/224</t>
  </si>
  <si>
    <t>385/11159</t>
  </si>
  <si>
    <t>8/9</t>
  </si>
  <si>
    <t>10YTNOBUD02</t>
  </si>
  <si>
    <t>Số 10 Đường Võ Nguyên Giáp</t>
  </si>
  <si>
    <t>t4 vào nhận MB</t>
  </si>
  <si>
    <t>Số 10 Đường Võ Nguyên Giáp, Kênh Dương, Lê Chân, Hải Phòng</t>
  </si>
  <si>
    <t>Yutang|Aeon Mall Hải Phòng Lê Chân</t>
  </si>
  <si>
    <t>5/10</t>
  </si>
  <si>
    <t>Đằng Giang</t>
  </si>
  <si>
    <t>203 Lạch Tray</t>
  </si>
  <si>
    <t>Đằng Giang, Ngô Quyền, Hải Phòng</t>
  </si>
  <si>
    <t>Lạch Tray (gần ĐH Hàng hải) , Đằng Giang, Ngô Quyền, Hải Phòng</t>
  </si>
  <si>
    <t>VNM.23.12.3_1</t>
  </si>
  <si>
    <t>The Coffee House|Đằng Giang, Ngô Quyền, Hải Phòng</t>
  </si>
  <si>
    <t>29/224</t>
  </si>
  <si>
    <t>466/11159</t>
  </si>
  <si>
    <t>Hải An</t>
  </si>
  <si>
    <t>Đằng Lâm</t>
  </si>
  <si>
    <t>Lê Hồng Phong, Văn Cao</t>
  </si>
  <si>
    <t>Hải Phòng, số 9 Lô 22B Lê Hồng Phong</t>
  </si>
  <si>
    <t>chủ nhà đổi ý không cho thuê</t>
  </si>
  <si>
    <t>Đằng Lâm, Hải An, Hải Phòng</t>
  </si>
  <si>
    <t>Lê Hồng Phong, Văn Cao, Đằng Lâm, Hải An, Hải Phòng</t>
  </si>
  <si>
    <t>VNM.23.7.3_1</t>
  </si>
  <si>
    <t>The Coffee House|Đằng Lâm, Hải An, Hải Phòng</t>
  </si>
  <si>
    <t>33/224</t>
  </si>
  <si>
    <t>506/11159</t>
  </si>
  <si>
    <t>59/81</t>
  </si>
  <si>
    <t>TCHNOBUD11</t>
  </si>
  <si>
    <t>Hàng Kênh</t>
  </si>
  <si>
    <t>Hồ Sen</t>
  </si>
  <si>
    <t>51 Hồ Sen, HP</t>
  </si>
  <si>
    <t>Diện tích không đủ</t>
  </si>
  <si>
    <t>Hàng Kênh, Lê Chân, Hải Phòng</t>
  </si>
  <si>
    <t>VNM.23.11.8_1</t>
  </si>
  <si>
    <t>The Coffee House|Hàng Kênh, Lê Chân, Hải Phòng</t>
  </si>
  <si>
    <t>4/224</t>
  </si>
  <si>
    <t>182/11159</t>
  </si>
  <si>
    <t>27/81</t>
  </si>
  <si>
    <t>Bình Thạnh</t>
  </si>
  <si>
    <t>Phường 19</t>
  </si>
  <si>
    <t>14B1 Ngo Tat To</t>
  </si>
  <si>
    <t>convert TCH</t>
  </si>
  <si>
    <t>Phường 19, Bình Thạnh, Hồ Chí Minh</t>
  </si>
  <si>
    <t>14B1 Ngo Tat To, Phường 19, Bình Thạnh, Hồ Chí Minh</t>
  </si>
  <si>
    <t>VNM.25.3.8_1</t>
  </si>
  <si>
    <t>Universal Tea|Phường 19, Bình Thạnh, Hồ Chí Minh</t>
  </si>
  <si>
    <t>22/322</t>
  </si>
  <si>
    <t>26/11159</t>
  </si>
  <si>
    <t>1/16</t>
  </si>
  <si>
    <t>30ASNOBUD02</t>
  </si>
  <si>
    <t>Nguyễn Cảnh Tùng</t>
  </si>
  <si>
    <t>Phường 22</t>
  </si>
  <si>
    <t>208 đường Nguyễn Hữu Cảnh</t>
  </si>
  <si>
    <t>Landmark 81</t>
  </si>
  <si>
    <t>Phường 22, Bình Thạnh, Hồ Chí Minh</t>
  </si>
  <si>
    <t>208 đường Nguyễn Hữu Cảnh, Phường 22, Bình Thạnh, Hồ Chí Minh</t>
  </si>
  <si>
    <t>VNM.25.3.11_1</t>
  </si>
  <si>
    <t>Ashima|Vincom Center Landmark 81</t>
  </si>
  <si>
    <t>33/322</t>
  </si>
  <si>
    <t>43/11159</t>
  </si>
  <si>
    <t>1/9</t>
  </si>
  <si>
    <t>30CJNOBUD01</t>
  </si>
  <si>
    <t>Quách Vĩnh Lộc</t>
  </si>
  <si>
    <t>60 đô</t>
  </si>
  <si>
    <t>đàm phán giá từ 80 đô xuống 60 đô</t>
  </si>
  <si>
    <t>Crystal Jade|Vincom Center Landmark 81</t>
  </si>
  <si>
    <t>không có</t>
  </si>
  <si>
    <t>Landmark, chi có 1 slot hơn 300 m2, 1tr8/m2, chưa kể phí dịch vụ</t>
  </si>
  <si>
    <t>Dao Niu Guo Mall</t>
  </si>
  <si>
    <t>Dao Niu Guo|Vincom Center Landmark 81</t>
  </si>
  <si>
    <t>Nguyễn Gia Trí - Chu Văn An</t>
  </si>
  <si>
    <t>hỏi lại A Giang</t>
  </si>
  <si>
    <t>Nguyễn Gia Trí - Chu Văn An, Phường 22, Bình Thạnh, Hồ Chí Minh</t>
  </si>
  <si>
    <t>Gogi House|Phường 22, Bình Thạnh, Hồ Chí Minh</t>
  </si>
  <si>
    <t>5/144</t>
  </si>
  <si>
    <t>Gogi House|Aeon Mall Đà Nẵng</t>
  </si>
  <si>
    <t>49/144</t>
  </si>
  <si>
    <t>The Landmark Tower</t>
  </si>
  <si>
    <t>1 slot quá to (348 m2, giá 1tr8/m2, phí dịch vụ 182k/m2), không phù hợp Kichi</t>
  </si>
  <si>
    <t>Kichi Kichi|The Landmark Tower</t>
  </si>
  <si>
    <t>5/107</t>
  </si>
  <si>
    <t>772 Điện Biên Phủ</t>
  </si>
  <si>
    <t>772 Điện Biên Phủ, Phường 22, Bình Thạnh, Hồ Chí Minh</t>
  </si>
  <si>
    <t>Lách ca lách cách|Vincom Center Landmark 81</t>
  </si>
  <si>
    <t>nếu không có, có thể đi xung quanh bên ngoài quanh bán kính 300m</t>
  </si>
  <si>
    <t>91 Nguyễn Hữu Cảnh, Phường 22, Bình Thạnh, Hồ Chí Minh</t>
  </si>
  <si>
    <t>The Coffee House|Phường 22, Bình Thạnh, Hồ Chí Minh</t>
  </si>
  <si>
    <t>Quận 8</t>
  </si>
  <si>
    <t>Phường 4</t>
  </si>
  <si>
    <t xml:space="preserve">Topaz </t>
  </si>
  <si>
    <t>Phường 4, Quận 8, Hồ Chí Minh</t>
  </si>
  <si>
    <t>Cao Lỗ, Tạ Quang Bửu, Phường 4, Quận 8, Hồ Chí Minh</t>
  </si>
  <si>
    <t>VNM.25.20.11_1</t>
  </si>
  <si>
    <t>The Coffee House|Phường 4, Quận 8, Hồ Chí Minh</t>
  </si>
  <si>
    <t>148/322</t>
  </si>
  <si>
    <t>265/11159</t>
  </si>
  <si>
    <t>41/81</t>
  </si>
  <si>
    <t>208 Đường Nguyễn Hữu Cảnh, Phường 22, Bình Thạnh, Hồ Chí Minh</t>
  </si>
  <si>
    <t>Gò Vấp</t>
  </si>
  <si>
    <t>Phường 14</t>
  </si>
  <si>
    <t>Emart Phan Huy Ích</t>
  </si>
  <si>
    <t>Phường 14, Gò Vấp, Hồ Chí Minh</t>
  </si>
  <si>
    <t>Phan Huy Ích, Phường 14, Gò Vấp, Hồ Chí Minh</t>
  </si>
  <si>
    <t>VNM.25.6.6_1</t>
  </si>
  <si>
    <t>The Coffee House|Emart Gò Vấp</t>
  </si>
  <si>
    <t>145/322</t>
  </si>
  <si>
    <t>260/11159</t>
  </si>
  <si>
    <t>TCHNOBUD06</t>
  </si>
  <si>
    <t>Quận 10</t>
  </si>
  <si>
    <t>Tam Đảo</t>
  </si>
  <si>
    <t>Phường 14, Quận 10, Hồ Chí Minh</t>
  </si>
  <si>
    <t>Tam Đảo, Phường 14, Quận 10, Hồ Chí Minh</t>
  </si>
  <si>
    <t>VNM.25.10.6_1</t>
  </si>
  <si>
    <t>The Coffee House|Phường 14, Quận 10, Hồ Chí Minh</t>
  </si>
  <si>
    <t>82/322</t>
  </si>
  <si>
    <t>127/11159</t>
  </si>
  <si>
    <t>18/81</t>
  </si>
  <si>
    <t>Phường 15</t>
  </si>
  <si>
    <t>gần bệnh viện Thống Nhất, quay về 3 tháng 2</t>
  </si>
  <si>
    <t>Phường 15, Quận 10, Hồ Chí Minh</t>
  </si>
  <si>
    <t>VNM.25.10.7_1</t>
  </si>
  <si>
    <t>Gogi House|Phường 15, Quận 10, Hồ Chí Minh</t>
  </si>
  <si>
    <t>62/322</t>
  </si>
  <si>
    <t>87/11159</t>
  </si>
  <si>
    <t>11/144</t>
  </si>
  <si>
    <t>Quận 11</t>
  </si>
  <si>
    <t>là Lotte Q11
hết mall thì ra ngoài, đối diện cũng được</t>
  </si>
  <si>
    <t>Phường 15, Quận 11, Hồ Chí Minh</t>
  </si>
  <si>
    <t>VNM.25.11.7_1</t>
  </si>
  <si>
    <t>Gogi House|Phường 15, Quận 11, Hồ Chí Minh</t>
  </si>
  <si>
    <t>115/322</t>
  </si>
  <si>
    <t>193/11159</t>
  </si>
  <si>
    <t>34/144</t>
  </si>
  <si>
    <t>Tân Sơn Nhì</t>
  </si>
  <si>
    <t>141-143 Tân Sơn Nhì</t>
  </si>
  <si>
    <t>Tân Sơn Nhì, Tân Phú, Hồ Chí Minh</t>
  </si>
  <si>
    <t>141-143 Tân Sơn Nhì, Tân Sơn Nhì, Tân Phú, Hồ Chí Minh</t>
  </si>
  <si>
    <t>VNM.25.23.8_1</t>
  </si>
  <si>
    <t>Universal Tea|Tân Sơn Nhì, Tân Phú, Hồ Chí Minh</t>
  </si>
  <si>
    <t>76/322</t>
  </si>
  <si>
    <t>111/11159</t>
  </si>
  <si>
    <t>6/16</t>
  </si>
  <si>
    <t>Flychef</t>
  </si>
  <si>
    <t>Phường 25</t>
  </si>
  <si>
    <t>Điện Biên Phủ</t>
  </si>
  <si>
    <t>Phường 25, Bình Thạnh, Hồ Chí Minh</t>
  </si>
  <si>
    <t>Điện Biên Phủ, Phường 25, Bình Thạnh, Hồ Chí Minh</t>
  </si>
  <si>
    <t>VNM.25.3.13_1</t>
  </si>
  <si>
    <t>Flychef Shophouse</t>
  </si>
  <si>
    <t>Flychef|Phường 25, Bình Thạnh, Hồ Chí Minh</t>
  </si>
  <si>
    <t>101/322</t>
  </si>
  <si>
    <t>164/11159</t>
  </si>
  <si>
    <t>75 Nguyen Van Thuong</t>
  </si>
  <si>
    <t>Nguyễn Thái Bình</t>
  </si>
  <si>
    <t>75 Nguyen Van Thuong, Phường 25, Bình Thạnh, Hồ Chí Minh</t>
  </si>
  <si>
    <t>Universal Tea|Phường 25, Bình Thạnh, Hồ Chí Minh</t>
  </si>
  <si>
    <t>Gần khu chợ Hòa Bình cuối đường Nguyễn Trãi</t>
  </si>
  <si>
    <t>Gần khu chợ Hòa Bình cuối đường Nguyễn Trãi, Nguyễn Cư Trinh, Quận 1, Hồ Chí Minh</t>
  </si>
  <si>
    <t>Gogi House|Nguyễn Cư Trinh, Quận 1, Hồ Chí Minh</t>
  </si>
  <si>
    <t>10GGNOBUD12</t>
  </si>
  <si>
    <t>tháng 6</t>
  </si>
  <si>
    <t>Gogi House|Aeon Mall Hải Dương</t>
  </si>
  <si>
    <t>Lê Thánh Tôn</t>
  </si>
  <si>
    <t>Lancaster Lê Thánh Tôn</t>
  </si>
  <si>
    <t>Tòa nhà mới, hứa hẹn vp, dân cư, khu phức hợp ăn uống - đã khảo sát sâu, đang xây dựng chưa xong</t>
  </si>
  <si>
    <t>Lê Thánh Tôn, Nguyễn Cư Trinh, Quận 1, Hồ Chí Minh</t>
  </si>
  <si>
    <t>Manwah|Nguyễn Cư Trinh, Quận 1, Hồ Chí Minh</t>
  </si>
  <si>
    <t>12/55</t>
  </si>
  <si>
    <t>30SGNOBUD01</t>
  </si>
  <si>
    <t>Nguyễn Lê Đức Thịnh</t>
  </si>
  <si>
    <t>Phạm Viết Chánh</t>
  </si>
  <si>
    <t>&lt; 100 tr</t>
  </si>
  <si>
    <t>Phạm Viết Chánh, Nguyễn Cư Trinh, Quận 1, Hồ Chí Minh</t>
  </si>
  <si>
    <t>Shogun|Nguyễn Cư Trinh, Quận 1, Hồ Chí Minh</t>
  </si>
  <si>
    <t>Phường 7</t>
  </si>
  <si>
    <t>Vòng xoay ngã 5 GV</t>
  </si>
  <si>
    <t>Số 1 Quang Trung
standard</t>
  </si>
  <si>
    <t>Phường 7, Gò Vấp, Hồ Chí Minh</t>
  </si>
  <si>
    <t>Vòng xoay ngã 5 GV, Phường 7, Gò Vấp, Hồ Chí Minh</t>
  </si>
  <si>
    <t>VNM.25.6.14_1</t>
  </si>
  <si>
    <t>Gogi House|Phường 7, Gò Vấp, Hồ Chí Minh</t>
  </si>
  <si>
    <t>50/322</t>
  </si>
  <si>
    <t>68/11159</t>
  </si>
  <si>
    <t>6/144</t>
  </si>
  <si>
    <t>Phường 10</t>
  </si>
  <si>
    <t>Site 1: 177 - 179 Quang Trung
Site 2: 136 - 140 Quang Trung</t>
  </si>
  <si>
    <t>mini
vị trí số 1 Quang Trung có ngang mt 8m, giá tầm 6000 hoặc 7000 đô
chuyển sang mall xung quanh đó
tìm thêm ngoài mini</t>
  </si>
  <si>
    <t>Phường 10, Gò Vấp, Hồ Chí Minh</t>
  </si>
  <si>
    <t>Quang Trung, Phường 10, Gò Vấp, Hồ Chí Minh</t>
  </si>
  <si>
    <t>VNM.25.6.2_1</t>
  </si>
  <si>
    <t>Kichi Kichi|Phường 10, Gò Vấp, Hồ Chí Minh</t>
  </si>
  <si>
    <t>142/322</t>
  </si>
  <si>
    <t>257/11159</t>
  </si>
  <si>
    <t>32/107</t>
  </si>
  <si>
    <t>771 Đường Phan Văn Trị</t>
  </si>
  <si>
    <t>771 Đường Phan Văn Trị, Phường 7, Gò Vấp, Hồ Chí Minh</t>
  </si>
  <si>
    <t>Universal Tea|Phường 7, Gò Vấp, Hồ Chí Minh</t>
  </si>
  <si>
    <t>4/16</t>
  </si>
  <si>
    <t>Tân Bình</t>
  </si>
  <si>
    <t>45 Trương Công Định</t>
  </si>
  <si>
    <t>TCH lấy tầng trệt, CloudPot lầu 2</t>
  </si>
  <si>
    <t>Phường 7, Tân Bình, Hồ Chí Minh</t>
  </si>
  <si>
    <t>Trương Công Định, Phường 7, Tân Bình, Hồ Chí Minh</t>
  </si>
  <si>
    <t>VNM.25.22.13_1</t>
  </si>
  <si>
    <t>The Coffee House|Phường 7, Tân Bình, Hồ Chí Minh</t>
  </si>
  <si>
    <t>67/322</t>
  </si>
  <si>
    <t>96/11159</t>
  </si>
  <si>
    <t>Đa Kao</t>
  </si>
  <si>
    <t>Lim Tower 3</t>
  </si>
  <si>
    <t>Đa Kao, Quận 1, Hồ Chí Minh</t>
  </si>
  <si>
    <t>Nguyễn Đình Chiểu/Nguyễn Bỉnh Khiêm, Đa Kao, Quận 1, Hồ Chí Minh</t>
  </si>
  <si>
    <t>VNM.25.13.6_1</t>
  </si>
  <si>
    <t>The Coffee House|Đa Kao, Quận 1, Hồ Chí Minh</t>
  </si>
  <si>
    <t>133/322</t>
  </si>
  <si>
    <t>235/11159</t>
  </si>
  <si>
    <t>38/81</t>
  </si>
  <si>
    <t>Mạc Đĩnh Chi</t>
  </si>
  <si>
    <t>30GGNOBUD01</t>
  </si>
  <si>
    <t>Tây Thạnh</t>
  </si>
  <si>
    <t>Pandora Trường Chinh SS</t>
  </si>
  <si>
    <t>Tây Thạnh, Tân Phú, Hồ Chí Minh</t>
  </si>
  <si>
    <t>VNM.25.23.11_1</t>
  </si>
  <si>
    <t>Gogi House|Pandora Trường Chinh SS</t>
  </si>
  <si>
    <t>180/322</t>
  </si>
  <si>
    <t>356/11159</t>
  </si>
  <si>
    <t>30ASNOBUD03</t>
  </si>
  <si>
    <t>547 – 549 Tạ Quang Bửu</t>
  </si>
  <si>
    <t>Parc Mall Q8</t>
  </si>
  <si>
    <t>đang offer tầng 5, mong muốn tầng 4
đầu mối miền Nam: anh Tùng</t>
  </si>
  <si>
    <t>Ashima|Parc Mall Q8</t>
  </si>
  <si>
    <t>Hiện có slot ở tầng 5, mong muốn tầng 4</t>
  </si>
  <si>
    <t>Chix Max|Parc Mall Q8</t>
  </si>
  <si>
    <t>đã khai trương</t>
  </si>
  <si>
    <t>Crystal Jade|Parc Mall Q8</t>
  </si>
  <si>
    <t>4/8</t>
  </si>
  <si>
    <t>547 - 549 Đường Tạ Quang Bửu</t>
  </si>
  <si>
    <t>Parcmall, đang chào MB</t>
  </si>
  <si>
    <t>Dao Niu Guo|Parc Mall Q8</t>
  </si>
  <si>
    <t>30MWNOBUD07</t>
  </si>
  <si>
    <t>Quận 5</t>
  </si>
  <si>
    <t>Trần Bình Trọng</t>
  </si>
  <si>
    <t>180 - 200 tr</t>
  </si>
  <si>
    <t>Phường 4, Quận 5, Hồ Chí Minh</t>
  </si>
  <si>
    <t>VNM.25.17.10_1</t>
  </si>
  <si>
    <t>Manwah|Phường 4, Quận 5, Hồ Chí Minh</t>
  </si>
  <si>
    <t>116/322</t>
  </si>
  <si>
    <t>194/11159</t>
  </si>
  <si>
    <t>13/55</t>
  </si>
  <si>
    <t>30SMNOBUD09</t>
  </si>
  <si>
    <t>Số 498, Đường Tạ Quang Bửu</t>
  </si>
  <si>
    <t>tầng 4</t>
  </si>
  <si>
    <t>Sumogoya|Parc Mall Q8</t>
  </si>
  <si>
    <t>Vào tầng 4 (hiện đang k có slot)</t>
  </si>
  <si>
    <t>Wow!Yakiniku|Parc Mall Q8</t>
  </si>
  <si>
    <t>20 Đường Cộng Hòa</t>
  </si>
  <si>
    <t>Lotte Mart Tân Bình</t>
  </si>
  <si>
    <t>Phường 4, Tân Bình, Hồ Chí Minh</t>
  </si>
  <si>
    <t>VNM.25.22.10_1</t>
  </si>
  <si>
    <t>Yutang|Lotte Mart Tân Bình</t>
  </si>
  <si>
    <t>84/322</t>
  </si>
  <si>
    <t>132/11159</t>
  </si>
  <si>
    <t>The Coffee House|Parc Mall Q8</t>
  </si>
  <si>
    <t>Bến Thành</t>
  </si>
  <si>
    <t>Phạm Ngũ Lão</t>
  </si>
  <si>
    <t>Bến Thành, Quận 1, Hồ Chí Minh</t>
  </si>
  <si>
    <t>VNM.25.13.2_1</t>
  </si>
  <si>
    <t>Kichi Kichi|Bến Thành, Quận 1, Hồ Chí Minh</t>
  </si>
  <si>
    <t>160/322</t>
  </si>
  <si>
    <t>295/11159</t>
  </si>
  <si>
    <t>30UTNOBUD01</t>
  </si>
  <si>
    <t>Universal Tea|Bến Thành, Quận 1, Hồ Chí Minh</t>
  </si>
  <si>
    <t>Saigon Centre</t>
  </si>
  <si>
    <t>The Coffee House|Saigon Centre</t>
  </si>
  <si>
    <t>30GGNOBUD04</t>
  </si>
  <si>
    <t>Cách Mạng Tháng 8</t>
  </si>
  <si>
    <t>69 Cách Mạng Tháng Tám Q1</t>
  </si>
  <si>
    <t>Đường có dải phân cách và bị chặn đường</t>
  </si>
  <si>
    <t>Gogi House|Bến Thành, Quận 1, Hồ Chí Minh</t>
  </si>
  <si>
    <t>Nguyễn Thái Bình, Quận 1, Hồ Chí Minh</t>
  </si>
  <si>
    <t>VNM.25.13.8_1</t>
  </si>
  <si>
    <t>Flychef|Nguyễn Thái Bình, Quận 1, Hồ Chí Minh</t>
  </si>
  <si>
    <t>163/322</t>
  </si>
  <si>
    <t>300/11159</t>
  </si>
  <si>
    <t>9/10</t>
  </si>
  <si>
    <t>30CKNOBUD01</t>
  </si>
  <si>
    <t>Thủ Đức</t>
  </si>
  <si>
    <t>Hiệp Bình Chánh</t>
  </si>
  <si>
    <t>240 - 242 đường Phạm Văn Đồng</t>
  </si>
  <si>
    <t>Wow hoặc Chixmax</t>
  </si>
  <si>
    <t>Hiệp Bình Chánh, Thủ Đức, Hồ Chí Minh</t>
  </si>
  <si>
    <t>VNM.25.24.3_1</t>
  </si>
  <si>
    <t>Chix Max|Giga Mall</t>
  </si>
  <si>
    <t>173/322</t>
  </si>
  <si>
    <t>322/11159</t>
  </si>
  <si>
    <t>Huỳnh Thị Xuân Hương</t>
  </si>
  <si>
    <t>Phạm Văn Đồng</t>
  </si>
  <si>
    <t>hoặc Giga Mall</t>
  </si>
  <si>
    <t>SushiX|Parc Mall Q8</t>
  </si>
  <si>
    <t>3/3</t>
  </si>
  <si>
    <t>30WYNOBUD04</t>
  </si>
  <si>
    <t>giá hiện tại đang 35 đô (bị cao)
hỗ trợ giá thêm về MB, deal giảm tối thiểu 2-3 đô/m2</t>
  </si>
  <si>
    <t>Wow!Yakiniku|Giga Mall</t>
  </si>
  <si>
    <t>The Coffee House|Giga Mall</t>
  </si>
  <si>
    <t>51/81</t>
  </si>
  <si>
    <t>Phường 13</t>
  </si>
  <si>
    <t>Hoàng Diệu</t>
  </si>
  <si>
    <t>khu nào đắt đỏ quá, có thể thu nhỏ diện tích</t>
  </si>
  <si>
    <t>Phường 13, Quận 4, Hồ Chí Minh</t>
  </si>
  <si>
    <t>VNM.25.16.4_1</t>
  </si>
  <si>
    <t>The Coffee House|Phường 13, Quận 4, Hồ Chí Minh</t>
  </si>
  <si>
    <t>174/322</t>
  </si>
  <si>
    <t>323/11159</t>
  </si>
  <si>
    <t>ETOWN Central</t>
  </si>
  <si>
    <t>nếu không có, có thể đi xung quanh bên ngoài quanh bán kính 300m
tệp khách sinh viên là chính, khách văn phòng không có nhiều</t>
  </si>
  <si>
    <t>Phường 12</t>
  </si>
  <si>
    <t>190 Hồng Bàng</t>
  </si>
  <si>
    <t>The Garden Mall</t>
  </si>
  <si>
    <t>convert từ MW
quý 1</t>
  </si>
  <si>
    <t>Phường 12, Quận 5, Hồ Chí Minh</t>
  </si>
  <si>
    <t>VNM.25.17.4_1</t>
  </si>
  <si>
    <t>Gogi House|The Garden Mall</t>
  </si>
  <si>
    <t>165/322</t>
  </si>
  <si>
    <t>309/11159</t>
  </si>
  <si>
    <t>50/144</t>
  </si>
  <si>
    <t>45 Duong So 5 - Cu xa Binh Thoi</t>
  </si>
  <si>
    <t>Phường 8, Quận 11, Hồ Chí Minh</t>
  </si>
  <si>
    <t>VNM.25.11.15_1</t>
  </si>
  <si>
    <t>Universal Tea|Phường 8, Quận 11, Hồ Chí Minh</t>
  </si>
  <si>
    <t>143/322</t>
  </si>
  <si>
    <t>258/11159</t>
  </si>
  <si>
    <t>13/16</t>
  </si>
  <si>
    <t>Quận 12</t>
  </si>
  <si>
    <t>Tân Chánh Hiệp</t>
  </si>
  <si>
    <t>Tân Chánh Hiệp, Quận 12, Hồ Chí Minh</t>
  </si>
  <si>
    <t>VNM.25.12.4_1</t>
  </si>
  <si>
    <t>The Coffee House|Tân Chánh Hiệp, Quận 12, Hồ Chí Minh</t>
  </si>
  <si>
    <t>194/322</t>
  </si>
  <si>
    <t>442/11159</t>
  </si>
  <si>
    <t>Quận 2</t>
  </si>
  <si>
    <t>Thảo Điền</t>
  </si>
  <si>
    <t>161 Võ Nguyên Giáp</t>
  </si>
  <si>
    <t>Vincom Mega Mall Thảo Điền</t>
  </si>
  <si>
    <t>Chiến lược đi dò đường, không mở ồ ạt, trước mắt mở trước 1 con để test trước</t>
  </si>
  <si>
    <t>Thảo Điền, Quận 2, Hồ Chí Minh</t>
  </si>
  <si>
    <t>VNM.25.14.10_1</t>
  </si>
  <si>
    <t>Chix Max|Vincom Mega Mall Thảo Điền</t>
  </si>
  <si>
    <t>198/322</t>
  </si>
  <si>
    <t>456/11159</t>
  </si>
  <si>
    <t>09HNOSKNOBUD01</t>
  </si>
  <si>
    <t>gần nhà hàng gyu shige</t>
  </si>
  <si>
    <t>Sakura Yakiniku|Thảo Điền, Quận 2, Hồ Chí Minh</t>
  </si>
  <si>
    <t>161 Xa lộ Hà Nội</t>
  </si>
  <si>
    <t>Lách ca lách cách|Vincom Mega Mall Thảo Điền</t>
  </si>
  <si>
    <t>8/14</t>
  </si>
  <si>
    <t>The Coffee House|Vincom Mega Mall Thảo Điền</t>
  </si>
  <si>
    <t>30DNNOBUD02</t>
  </si>
  <si>
    <t>Bình Tân</t>
  </si>
  <si>
    <t>Bình Trị Đông</t>
  </si>
  <si>
    <t>108 đường số 7</t>
  </si>
  <si>
    <t>Bình Trị Đông, Bình Tân, Hồ Chí Minh</t>
  </si>
  <si>
    <t>VNM.25.2.6_1</t>
  </si>
  <si>
    <t>Dao Niu Guo|Bình Trị Đông, Bình Tân, Hồ Chí Minh</t>
  </si>
  <si>
    <t>209/322</t>
  </si>
  <si>
    <t>517/11159</t>
  </si>
  <si>
    <t>1 Đường số 17A, Khu phố 11</t>
  </si>
  <si>
    <t>Reconvert từ Blue Bay</t>
  </si>
  <si>
    <t>Manwah|Aeon Mall Bình Tân</t>
  </si>
  <si>
    <t>38/55</t>
  </si>
  <si>
    <t>30ASNOBUD04</t>
  </si>
  <si>
    <t>Bến Nghé</t>
  </si>
  <si>
    <t>72 Lê Thánh Tôn</t>
  </si>
  <si>
    <t>Vincom Đồng Khởi</t>
  </si>
  <si>
    <t>Vincom Center Đồng Khởi</t>
  </si>
  <si>
    <t>Bến Nghé, Quận 1, Hồ Chí Minh</t>
  </si>
  <si>
    <t>VNM.25.13.1_1</t>
  </si>
  <si>
    <t>Ashima|Vincom Center Đồng Khởi</t>
  </si>
  <si>
    <t>216/322</t>
  </si>
  <si>
    <t>557/11159</t>
  </si>
  <si>
    <t>10/9</t>
  </si>
  <si>
    <t>22 Lê Thánh Tôn</t>
  </si>
  <si>
    <t>Lancaster/Sai Gon Center</t>
  </si>
  <si>
    <t>Lancaster/Sai Gon Center
1 trong 2 mall được nêu
diện tích: 200m2</t>
  </si>
  <si>
    <t>CloudPot|Saigon Centre</t>
  </si>
  <si>
    <t>30CJNOBUD02</t>
  </si>
  <si>
    <t>Crystal Jade|Vincom Center Đồng Khởi</t>
  </si>
  <si>
    <t>6/8</t>
  </si>
  <si>
    <t>72 Đường Lê Thánh Tôn và 45A Đường Lý Tự Trọng</t>
  </si>
  <si>
    <t>Pizza360|Vincom Center Đồng Khởi</t>
  </si>
  <si>
    <t>30UTNOBUD02</t>
  </si>
  <si>
    <t>Universal Tea|Bến Nghé, Quận 1, Hồ Chí Minh</t>
  </si>
  <si>
    <t>30CDNOBUD1</t>
  </si>
  <si>
    <t>65 Lê Lợi</t>
  </si>
  <si>
    <t>Takashimaya Vietnam</t>
  </si>
  <si>
    <t>61/81</t>
  </si>
  <si>
    <t>TCHNOBUD07</t>
  </si>
  <si>
    <t xml:space="preserve">Hai Bà Trưng </t>
  </si>
  <si>
    <t>The Coffee House|Bến Nghé, Quận 1, Hồ Chí Minh</t>
  </si>
  <si>
    <t>30PZNOBUD02</t>
  </si>
  <si>
    <t>Bình Trị Đông B</t>
  </si>
  <si>
    <t>Số 1 Đường số 17A, Khu phố 11</t>
  </si>
  <si>
    <t>thay thế Blue Bay nhưng mall reject</t>
  </si>
  <si>
    <t>Bình Trị Đông B, Bình Tân, Hồ Chí Minh</t>
  </si>
  <si>
    <t>VNM.25.2.8_1</t>
  </si>
  <si>
    <t>Pizza360|Aeon Mall Bình Tân</t>
  </si>
  <si>
    <t>223/322</t>
  </si>
  <si>
    <t>597/11159</t>
  </si>
  <si>
    <t>Số 1 đường số 17A, KP 11</t>
  </si>
  <si>
    <t>hơi nhiều BBQ</t>
  </si>
  <si>
    <t>Sumogoya|Aeon Mall Bình Tân</t>
  </si>
  <si>
    <t>8/11</t>
  </si>
  <si>
    <t>30ASNOBUD05</t>
  </si>
  <si>
    <t>Đường số 17A</t>
  </si>
  <si>
    <t>Ashima|Aeon Mall Bình Tân</t>
  </si>
  <si>
    <t>Wow!Yakiniku|Aeon Mall Bình Tân</t>
  </si>
  <si>
    <t>Chuyển từ Blue Bay</t>
  </si>
  <si>
    <t>Lách ca lách cách|Aeon Mall Bình Tân</t>
  </si>
  <si>
    <t>11/14</t>
  </si>
  <si>
    <t>The Coffee House|Aeon Mall Bình Tân</t>
  </si>
  <si>
    <t>64/81</t>
  </si>
  <si>
    <t>Hiệp Bình Phước</t>
  </si>
  <si>
    <t>Đặng Văn Bi</t>
  </si>
  <si>
    <t>Hiệp Bình Phước, Thủ Đức, Hồ Chí Minh</t>
  </si>
  <si>
    <t>VNM.25.24.4_1</t>
  </si>
  <si>
    <t>The Coffee House|Hiệp Bình Phước, Thủ Đức, Hồ Chí Minh</t>
  </si>
  <si>
    <t>230/322</t>
  </si>
  <si>
    <t>638/11159</t>
  </si>
  <si>
    <t>66/81</t>
  </si>
  <si>
    <t>30MWNOBUD02</t>
  </si>
  <si>
    <t>Phường 1</t>
  </si>
  <si>
    <t>RiverGate, Gold View, Hoàng Diệu, Khánh Hội</t>
  </si>
  <si>
    <t>180 - 220tr</t>
  </si>
  <si>
    <t>Phường 1, Quận 4, Hồ Chí Minh</t>
  </si>
  <si>
    <t>VNM.25.16.1_1</t>
  </si>
  <si>
    <t>47/322</t>
  </si>
  <si>
    <t>62/11159</t>
  </si>
  <si>
    <t>4/55</t>
  </si>
  <si>
    <t>281 Đường Lê Văn Sỹ</t>
  </si>
  <si>
    <t>Phường 1, Tân Bình, Hồ Chí Minh</t>
  </si>
  <si>
    <t>VNM.25.22.1_1</t>
  </si>
  <si>
    <t>Universal Tea|Phường 1, Tân Bình, Hồ Chí Minh</t>
  </si>
  <si>
    <t>38/322</t>
  </si>
  <si>
    <t>52/11159</t>
  </si>
  <si>
    <t>3/16</t>
  </si>
  <si>
    <t>Phường 1, Bình Thạnh, Hồ Chí Minh</t>
  </si>
  <si>
    <t>VNM.25.3.1_1</t>
  </si>
  <si>
    <t>The Coffee House|Phường 1, Bình Thạnh, Hồ Chí Minh</t>
  </si>
  <si>
    <t>88/322</t>
  </si>
  <si>
    <t>139/11159</t>
  </si>
  <si>
    <t>TNR The Gold View</t>
  </si>
  <si>
    <t>The Coffee House|Phường 1, Quận 4, Hồ Chí Minh</t>
  </si>
  <si>
    <t>30GGNOBUD05</t>
  </si>
  <si>
    <t>Bình Hưng Hoà B</t>
  </si>
  <si>
    <t>Nguyễn Thị Tú</t>
  </si>
  <si>
    <t>180-200</t>
  </si>
  <si>
    <t>229 Nguyễn Thị Tú-Bình Tân</t>
  </si>
  <si>
    <t>Đường hẹp</t>
  </si>
  <si>
    <t>Bình Hưng Hoà B, Bình Tân, Hồ Chí Minh</t>
  </si>
  <si>
    <t>VNM.25.2.5_1</t>
  </si>
  <si>
    <t>Gogi House|Bình Hưng Hoà B, Bình Tân, Hồ Chí Minh</t>
  </si>
  <si>
    <t>240/322</t>
  </si>
  <si>
    <t>768/11159</t>
  </si>
  <si>
    <t>121/144</t>
  </si>
  <si>
    <t>30KKNOBUD01</t>
  </si>
  <si>
    <t>Site 1: 42 Nguyễn Thị Tú
Site 2: 229 Nguyễn Thị Tú
Site 3: 293 Nguyễn Thị Tú</t>
  </si>
  <si>
    <t>đối diện KCN
mini</t>
  </si>
  <si>
    <t>Kichi Kichi|Bình Hưng Hoà B, Bình Tân, Hồ Chí Minh</t>
  </si>
  <si>
    <t>Trần Não, Nguyễn Duy Trinh</t>
  </si>
  <si>
    <t>An Khánh, Quận 2, Hồ Chí Minh</t>
  </si>
  <si>
    <t>VNM.25.14.1_1</t>
  </si>
  <si>
    <t>Gogi House|An Khánh, Quận 2, Hồ Chí Minh</t>
  </si>
  <si>
    <t>295/322</t>
  </si>
  <si>
    <t>3154/11159</t>
  </si>
  <si>
    <t>30SMNOBUD01</t>
  </si>
  <si>
    <t>Mai Chí Tho</t>
  </si>
  <si>
    <t>Thiso Mall Sala</t>
  </si>
  <si>
    <t>Sumogoya|Thiso Mall Sala</t>
  </si>
  <si>
    <t>12/11</t>
  </si>
  <si>
    <t>10SXNOBUD01</t>
  </si>
  <si>
    <t>SushiX|Thiso Mall Sala</t>
  </si>
  <si>
    <t>Lakeview Thủ Thiêm</t>
  </si>
  <si>
    <t>The Coffee House|An Khánh, Quận 2, Hồ Chí Minh</t>
  </si>
  <si>
    <t>82/81</t>
  </si>
  <si>
    <t>Hóc Môn</t>
  </si>
  <si>
    <t>Bà Điểm</t>
  </si>
  <si>
    <t>Bà Điểm, Hóc Môn, Hồ Chí Minh</t>
  </si>
  <si>
    <t>VNM.25.7.1_1</t>
  </si>
  <si>
    <t>The Coffee House|Bà Điểm, Hóc Môn, Hồ Chí Minh</t>
  </si>
  <si>
    <t>246/322</t>
  </si>
  <si>
    <t>812/11159</t>
  </si>
  <si>
    <t>242 Đường Nguyễn Văn Lượng</t>
  </si>
  <si>
    <t>Đang chia với Isushi
Hỗ trợ chi phí điện, hút (làm việc với tòa nhà)</t>
  </si>
  <si>
    <t>Wow!Yakiniku|Lotte Mart Gò Vấp</t>
  </si>
  <si>
    <t>làm việc vs mall để lấy slot cho Sumo</t>
  </si>
  <si>
    <t>Sumogoya|Lotte Mart Gò Vấp</t>
  </si>
  <si>
    <t>30SGNOBUD03</t>
  </si>
  <si>
    <t>Số 242, Đường Nguyễn Văn Lượng</t>
  </si>
  <si>
    <t>Lotte Gò Vấp</t>
  </si>
  <si>
    <t>Aeon Tân Phú/Vạn Hạnh Mall hiện đang full
Lotte Gò Vấp sẽ scan lại
ưu tiên mall trước, sau mới đến shophouse</t>
  </si>
  <si>
    <t>Shogun|Lotte Mart Gò Vấp</t>
  </si>
  <si>
    <t>Bình Chánh</t>
  </si>
  <si>
    <t>Bình Hưng</t>
  </si>
  <si>
    <t>Khu Phạm Thế Hiển</t>
  </si>
  <si>
    <t>Bình Hưng, Bình Chánh, Hồ Chí Minh</t>
  </si>
  <si>
    <t>VNM.25.1.3_1</t>
  </si>
  <si>
    <t>Gogi House|Bình Hưng, Bình Chánh, Hồ Chí Minh</t>
  </si>
  <si>
    <t>247/322</t>
  </si>
  <si>
    <t>826/11159</t>
  </si>
  <si>
    <t>124/144</t>
  </si>
  <si>
    <t>30GGNOBUD03</t>
  </si>
  <si>
    <t>Nhà Bè</t>
  </si>
  <si>
    <t>Phước Kiển</t>
  </si>
  <si>
    <t>902 Lê Văn Lương - Nhà Bè</t>
  </si>
  <si>
    <t>Trần thấp (2.5m)</t>
  </si>
  <si>
    <t>Phước Kiển, Nhà Bè, Hồ Chí Minh</t>
  </si>
  <si>
    <t>VNM.25.8.6_1</t>
  </si>
  <si>
    <t>Gogi House|Phước Kiển, Nhà Bè, Hồ Chí Minh</t>
  </si>
  <si>
    <t>253/322</t>
  </si>
  <si>
    <t>951/11159</t>
  </si>
  <si>
    <t>127/144</t>
  </si>
  <si>
    <t>30DNNOBUD05</t>
  </si>
  <si>
    <t>Quận 3</t>
  </si>
  <si>
    <t>Phường 6</t>
  </si>
  <si>
    <t>DNG Lê Quý Đôn Q3</t>
  </si>
  <si>
    <t>Convert MTG</t>
  </si>
  <si>
    <t>Phường 6, Quận 3, Hồ Chí Minh</t>
  </si>
  <si>
    <t>VNM.25.15.11_1</t>
  </si>
  <si>
    <t>Dao Niu Guo|Phường 6, Quận 3, Hồ Chí Minh</t>
  </si>
  <si>
    <t>159/322</t>
  </si>
  <si>
    <t>294/11159</t>
  </si>
  <si>
    <t>Vo Thi Sau, Pham Ngoc Thach</t>
  </si>
  <si>
    <t>Gogi House|Phường 6, Quận 3, Hồ Chí Minh</t>
  </si>
  <si>
    <t>162 - 164 Khánh Hội</t>
  </si>
  <si>
    <t>standard (nếu có)
còn không chuyển sang mini</t>
  </si>
  <si>
    <t>Phường 6, Quận 4, Hồ Chí Minh</t>
  </si>
  <si>
    <t>VNM.25.16.13_1</t>
  </si>
  <si>
    <t>Kichi Kichi|Phường 6, Quận 4, Hồ Chí Minh</t>
  </si>
  <si>
    <t>30/322</t>
  </si>
  <si>
    <t>40/11159</t>
  </si>
  <si>
    <t>30UTNOBUD03</t>
  </si>
  <si>
    <t>Universal Tea|Phường 6, Quận 3, Hồ Chí Minh</t>
  </si>
  <si>
    <t>Phường 9</t>
  </si>
  <si>
    <t>Võ Thị Sáu (đoạn Hai Bà Trưng, lấy khúc ngã 4), Hoàng Sa/Trường Sa</t>
  </si>
  <si>
    <t>Võ Thị Sáu (đoạn Hai Bà Trưng, lấy khúc ngã 4), Hoàng Sa/ Trường Sa
khu nào đắt đỏ quá, có thể thu nhỏ diện tích
mọi ng di chuyển nhanh, trục đường 1 chiều</t>
  </si>
  <si>
    <t>Phường 9, Quận 3, Hồ Chí Minh</t>
  </si>
  <si>
    <t>VNM.25.15.14_1</t>
  </si>
  <si>
    <t>The Coffee House|Phường 9, Quận 3, Hồ Chí Minh</t>
  </si>
  <si>
    <t>85/322</t>
  </si>
  <si>
    <t>134/11159</t>
  </si>
  <si>
    <t>Millennium Masteri</t>
  </si>
  <si>
    <t>Phường 9, Quận 4, Hồ Chí Minh</t>
  </si>
  <si>
    <t>VNM.25.16.15_1</t>
  </si>
  <si>
    <t>The Coffee House|Phường 9, Quận 4, Hồ Chí Minh</t>
  </si>
  <si>
    <t>20/322</t>
  </si>
  <si>
    <t>24/11159</t>
  </si>
  <si>
    <t>4/81</t>
  </si>
  <si>
    <t>30KKNOBUD03</t>
  </si>
  <si>
    <t>Lê Văn Lương</t>
  </si>
  <si>
    <t>Kichi Kichi|Phước Kiển, Nhà Bè, Hồ Chí Minh</t>
  </si>
  <si>
    <t>Thủ Thiêm</t>
  </si>
  <si>
    <t>Có slot, đang deal giá thuê, đợi MD phản hồi giá (4/3)</t>
  </si>
  <si>
    <t>Thủ Thiêm, Quận 2, Hồ Chí Minh</t>
  </si>
  <si>
    <t>VNM.25.14.11_1</t>
  </si>
  <si>
    <t>Ashima|Thiso Mall Sala</t>
  </si>
  <si>
    <t>258/322</t>
  </si>
  <si>
    <t>1079/11159</t>
  </si>
  <si>
    <t>Diện tích: 240m2</t>
  </si>
  <si>
    <t>CloudPot|Thiso Mall Sala</t>
  </si>
  <si>
    <t>16/17</t>
  </si>
  <si>
    <t>New
Tiền thuê 28 đô, đợi deal xuống 21 đô, đợi NWS</t>
  </si>
  <si>
    <t>Dao Niu Guo|Thiso Mall Sala</t>
  </si>
  <si>
    <t>5/6</t>
  </si>
  <si>
    <t>Lách ca lách cách|Thiso Mall Sala</t>
  </si>
  <si>
    <t>15/14</t>
  </si>
  <si>
    <t>hiện giá offer 26 đô, deal xuống 21 đô</t>
  </si>
  <si>
    <t>Wow!Yakiniku|Thiso Mall Sala</t>
  </si>
  <si>
    <t>nếu không có, có thể đi xung quanh bên ngoài quanh bán kính 300m
diện tích rộng hơn 200m2, giá thị trường cao hơn giá mong muốn hiện tại (100-120tr)
nếu diện tích cao --&gt; lấy diện tích nhỏ lại</t>
  </si>
  <si>
    <t>The Coffee House|Thủ Thiêm, Quận 2, Hồ Chí Minh</t>
  </si>
  <si>
    <t>79/81</t>
  </si>
  <si>
    <t>Cung đường ẩm thực Hoa, cần MW xuất hiện</t>
  </si>
  <si>
    <t>Phường 11, Quận 5, Hồ Chí Minh</t>
  </si>
  <si>
    <t>VNM.25.17.3_1</t>
  </si>
  <si>
    <t>Manwah|Phường 11, Quận 5, Hồ Chí Minh</t>
  </si>
  <si>
    <t>97/322</t>
  </si>
  <si>
    <t>159/11159</t>
  </si>
  <si>
    <t>9/55</t>
  </si>
  <si>
    <t>số 3C Ba Tháng Hai</t>
  </si>
  <si>
    <t>Phường 11, Quận 10, Hồ Chí Minh</t>
  </si>
  <si>
    <t>VNM.25.10.3_1</t>
  </si>
  <si>
    <t>The Coffee House|Vincom Plaza Ba Tháng Hai</t>
  </si>
  <si>
    <t>44/322</t>
  </si>
  <si>
    <t>59/11159</t>
  </si>
  <si>
    <t>30ASNOBUD01</t>
  </si>
  <si>
    <t>Quận 9</t>
  </si>
  <si>
    <t>Long Thạnh Mỹ</t>
  </si>
  <si>
    <t>512 đường Nguyễn Xiển</t>
  </si>
  <si>
    <t>Grand Park HCM</t>
  </si>
  <si>
    <t>Vincom Mega Mall Grand Park</t>
  </si>
  <si>
    <t>Long Thạnh Mỹ, Quận 9, Hồ Chí Minh</t>
  </si>
  <si>
    <t>VNM.25.21.4_1</t>
  </si>
  <si>
    <t>Ashima|Vincom Mega Mall Grand Park</t>
  </si>
  <si>
    <t>263/322</t>
  </si>
  <si>
    <t>1201/11159</t>
  </si>
  <si>
    <t>Đường D2A (Khu Đô Thị Vinhomes Grand Park)</t>
  </si>
  <si>
    <t>Chix Max|Vincom Mega Mall Grand Park</t>
  </si>
  <si>
    <t>30MWNOBUD03</t>
  </si>
  <si>
    <t>Nguyễn Xiển</t>
  </si>
  <si>
    <t>Vincom Grand park Q9</t>
  </si>
  <si>
    <t>Manwah|Vincom Mega Mall Grand Park</t>
  </si>
  <si>
    <t>54/55</t>
  </si>
  <si>
    <t>Lách ca lách cách|Vincom Mega Mall Grand Park</t>
  </si>
  <si>
    <t>30SMNOBUD08</t>
  </si>
  <si>
    <t>Đường Nguyễn Xiển và Đường Phước Thiện</t>
  </si>
  <si>
    <t>Sumogoya|Vincom Mega Mall Grand Park</t>
  </si>
  <si>
    <t>30WYNOBUD01</t>
  </si>
  <si>
    <t>Đường D2A, Khu đô thị Vinhomes Grand Park</t>
  </si>
  <si>
    <t>Wow!Yakiniku|Vincom Mega Mall Grand Park</t>
  </si>
  <si>
    <t>TCHNOBUD01</t>
  </si>
  <si>
    <t>Techcombank GrandPark HCM</t>
  </si>
  <si>
    <t>Số 6, Đường D1, Khu đô thị Vinhomes Grand Park, Phường Long Bình, Quận 9, TP. Hồ Chí Minh</t>
  </si>
  <si>
    <t>The Coffee House|Long Thạnh Mỹ, Quận 9, Hồ Chí Minh</t>
  </si>
  <si>
    <t>An Lợi Đông</t>
  </si>
  <si>
    <t>An Lợi Đông, Quận 2, Hồ Chí Minh</t>
  </si>
  <si>
    <t>VNM.25.14.2_1</t>
  </si>
  <si>
    <t>Chix Max|Thiso Mall Sala</t>
  </si>
  <si>
    <t>272/322</t>
  </si>
  <si>
    <t>1431/11159</t>
  </si>
  <si>
    <t>168 Đường Phan Văn Trị</t>
  </si>
  <si>
    <t>Phường 5, Gò Vấp, Hồ Chí Minh</t>
  </si>
  <si>
    <t>VNM.25.6.12_1</t>
  </si>
  <si>
    <t>Sumogoya|Emart Gò Vấp</t>
  </si>
  <si>
    <t>106/322</t>
  </si>
  <si>
    <t>176/11159</t>
  </si>
  <si>
    <t>Quận 7</t>
  </si>
  <si>
    <t>Tân Phong</t>
  </si>
  <si>
    <t>Phạm Văn Nghị</t>
  </si>
  <si>
    <t>Tân Phong, Quận 7, Hồ Chí Minh</t>
  </si>
  <si>
    <t>VNM.25.19.6_1</t>
  </si>
  <si>
    <t>Flychef|Tân Phong, Quận 7, Hồ Chí Minh</t>
  </si>
  <si>
    <t>218/322</t>
  </si>
  <si>
    <t>563/11159</t>
  </si>
  <si>
    <t>khu nào đắt đỏ quá, có thể thu nhỏ diện tích
đề xuất sang Phước Kiển</t>
  </si>
  <si>
    <t>The Coffee House|Tân Phong, Quận 7, Hồ Chí Minh</t>
  </si>
  <si>
    <t>62/81</t>
  </si>
  <si>
    <t>30CDNOBUD3</t>
  </si>
  <si>
    <t>1058 Đại lộ Nguyễn Văn Linh</t>
  </si>
  <si>
    <t>Vivo city</t>
  </si>
  <si>
    <t>Sc Vivocity</t>
  </si>
  <si>
    <t>Chixmax sẽ vào shop in shop với Cloud Pot nhé, timeline dự kiến: 15/04/2026</t>
  </si>
  <si>
    <t>CloudPot|Sc Vivocity</t>
  </si>
  <si>
    <t>Gần Nguyễn Thái Học</t>
  </si>
  <si>
    <t>gần chợ Bến Thành
standard</t>
  </si>
  <si>
    <t>Phạm Ngũ Lão, Quận 1, Hồ Chí Minh</t>
  </si>
  <si>
    <t>VNM.25.13.9_1</t>
  </si>
  <si>
    <t>Gogi House|Phạm Ngũ Lão, Quận 1, Hồ Chí Minh</t>
  </si>
  <si>
    <t>127/322</t>
  </si>
  <si>
    <t>220/11159</t>
  </si>
  <si>
    <t>38/144</t>
  </si>
  <si>
    <t>200 Đường 3 Tháng 2</t>
  </si>
  <si>
    <t>Khu chung cư Hà Đô, convert từ MW
quý 1</t>
  </si>
  <si>
    <t>Phường 12, Quận 10, Hồ Chí Minh</t>
  </si>
  <si>
    <t>VNM.25.10.4_1</t>
  </si>
  <si>
    <t>Gogi House|Phường 12, Quận 10, Hồ Chí Minh</t>
  </si>
  <si>
    <t>135/322</t>
  </si>
  <si>
    <t>239/11159</t>
  </si>
  <si>
    <t>41/144</t>
  </si>
  <si>
    <t>Quảng Ninh</t>
  </si>
  <si>
    <t>VNM.49_1</t>
  </si>
  <si>
    <t>Hạ Long</t>
  </si>
  <si>
    <t>Bãi Cháy</t>
  </si>
  <si>
    <t>Cái Lân</t>
  </si>
  <si>
    <t>quý 3, tháng 6</t>
  </si>
  <si>
    <t>Bãi Cháy, Hạ Long, Quảng Ninh</t>
  </si>
  <si>
    <t>VNM.49.7.2_1</t>
  </si>
  <si>
    <t>Gogi House|Aeon Mall Hạ Long</t>
  </si>
  <si>
    <t>19/186</t>
  </si>
  <si>
    <t>1086/11159</t>
  </si>
  <si>
    <t>134/144</t>
  </si>
  <si>
    <t>30SSNOBUD07</t>
  </si>
  <si>
    <t>Vạn Hạnh Mall</t>
  </si>
  <si>
    <t>Isushi|Vạn Hạnh Mall</t>
  </si>
  <si>
    <t>7/25</t>
  </si>
  <si>
    <t>Thanh Đa</t>
  </si>
  <si>
    <t>Phường 12, Bình Thạnh, Hồ Chí Minh</t>
  </si>
  <si>
    <t>VNM.25.3.3_1</t>
  </si>
  <si>
    <t>Kichi Kichi|Phường 12, Bình Thạnh, Hồ Chí Minh</t>
  </si>
  <si>
    <t>91/322</t>
  </si>
  <si>
    <t>144/11159</t>
  </si>
  <si>
    <t>798 Đường Sư Vạn Hạnh</t>
  </si>
  <si>
    <t>Universal Tea|Phường 12, Quận 10, Hồ Chí Minh</t>
  </si>
  <si>
    <t>12/16</t>
  </si>
  <si>
    <t>11 Đường Sư Vạn Hạnh</t>
  </si>
  <si>
    <t>Chuyển từ Hàng Cuốn</t>
  </si>
  <si>
    <t>Yutang|Vạn Hạnh Mall</t>
  </si>
  <si>
    <t>30SGNOBUD04</t>
  </si>
  <si>
    <t>Số 11, Đường Sư Vạn Hạnh</t>
  </si>
  <si>
    <t>Shogun|Vạn Hạnh Mall</t>
  </si>
  <si>
    <t>Nguyễn Ngọc Anh</t>
  </si>
  <si>
    <t>175B Cao Thắng nối dài</t>
  </si>
  <si>
    <t>Union Pizza|Phường 12, Quận 10, Hồ Chí Minh</t>
  </si>
  <si>
    <t>Offer nhưng giá cao quá nhãn không vô</t>
  </si>
  <si>
    <t>The Coffee House|Vạn Hạnh Mall</t>
  </si>
  <si>
    <t>40/81</t>
  </si>
  <si>
    <t>Hùng Vương Plaza</t>
  </si>
  <si>
    <t>The Coffee House|Phường 12, Quận 5, Hồ Chí Minh</t>
  </si>
  <si>
    <t>126 đường Hồng Bàng</t>
  </si>
  <si>
    <t>Parkson Hùng Vương Plaza</t>
  </si>
  <si>
    <t>The Coffee House|Hùng Vương Plaza</t>
  </si>
  <si>
    <t>Đang theo dõi</t>
  </si>
  <si>
    <t>Hiệp Thành, Quận 12, Hồ Chí Minh</t>
  </si>
  <si>
    <t>VNM.25.12.3_1</t>
  </si>
  <si>
    <t>The Coffee House|Hiệp Thành, Quận 12, Hồ Chí Minh</t>
  </si>
  <si>
    <t>231/322</t>
  </si>
  <si>
    <t>644/11159</t>
  </si>
  <si>
    <t>101 Tôn Dật Tiên</t>
  </si>
  <si>
    <t>điều kiện thuê không ổn (về pháp  lý trung gian)</t>
  </si>
  <si>
    <t>Tân Phú, Quận 7, Hồ Chí Minh</t>
  </si>
  <si>
    <t>VNM.25.19.7_1</t>
  </si>
  <si>
    <t>Ashima|Crescent Mall</t>
  </si>
  <si>
    <t>212/322</t>
  </si>
  <si>
    <t>533/11159</t>
  </si>
  <si>
    <t>Thanh Hóa</t>
  </si>
  <si>
    <t>VNM.57_1</t>
  </si>
  <si>
    <t>Quảng Thành</t>
  </si>
  <si>
    <t>Aeon Mall Thanh Hóa</t>
  </si>
  <si>
    <t>Quảng Thành, Thanh Hóa, Thanh Hóa</t>
  </si>
  <si>
    <t>VNM.57.21.31_1</t>
  </si>
  <si>
    <t>Gogi House|Aeon Mall Thanh Hóa</t>
  </si>
  <si>
    <t>71/635</t>
  </si>
  <si>
    <t>1928/11159</t>
  </si>
  <si>
    <t>Trần Quốc Nghĩa</t>
  </si>
  <si>
    <t>Khu PMH -Wan he niu 3km DNG/MTG
confirm lại sau</t>
  </si>
  <si>
    <t>Man Tang Guo|Tân Phú, Quận 7, Hồ Chí Minh</t>
  </si>
  <si>
    <t>30MWNOBUD04</t>
  </si>
  <si>
    <t>220 - 240tr</t>
  </si>
  <si>
    <t>Đối diện Crescent Mall</t>
  </si>
  <si>
    <t>Manwah|Tân Phú, Quận 7, Hồ Chí Minh</t>
  </si>
  <si>
    <t>Crescent mall</t>
  </si>
  <si>
    <t>Union Pizza|Crescent mall</t>
  </si>
  <si>
    <t>71 Đường Hoàng Văn Thái</t>
  </si>
  <si>
    <t>Universal Tea|Tân Phú, Quận 7, Hồ Chí Minh</t>
  </si>
  <si>
    <t>88 Song Hành</t>
  </si>
  <si>
    <t>khó tìm, hiện đã gần như full
tạm thơi hold lại</t>
  </si>
  <si>
    <t>An Phú, Quận 2, Hồ Chí Minh</t>
  </si>
  <si>
    <t>VNM.25.14.3_1</t>
  </si>
  <si>
    <t>Kichi Kichi|Estella Place</t>
  </si>
  <si>
    <t>228/322</t>
  </si>
  <si>
    <t>636/11159</t>
  </si>
  <si>
    <t>79/107</t>
  </si>
  <si>
    <t>TCHNOBUD08</t>
  </si>
  <si>
    <t>Gần tòa nhà chung cư
khu nào đắt đỏ quá, có thể thu nhỏ diện tích</t>
  </si>
  <si>
    <t>The Coffee House|An Phú, Quận 2, Hồ Chí Minh</t>
  </si>
  <si>
    <t>30WYNOBUD02</t>
  </si>
  <si>
    <t>Share với Manwah
check lại thời gian tái ký
gia hạn sửa chữa, áp concept</t>
  </si>
  <si>
    <t>Wow!Yakiniku|Estella Place</t>
  </si>
  <si>
    <t>30KKNOBUD02</t>
  </si>
  <si>
    <t>Tôn Dật Tiên</t>
  </si>
  <si>
    <t>xung quanh Crescent Mall
quét thông tin các chân đế</t>
  </si>
  <si>
    <t>Kichi Kichi|Tân Phong, Quận 7, Hồ Chí Minh</t>
  </si>
  <si>
    <t>30ASNOBUD06</t>
  </si>
  <si>
    <t>Sơn Kỳ</t>
  </si>
  <si>
    <t>Tân Thắng</t>
  </si>
  <si>
    <t>Aeon Mall Tân Phú</t>
  </si>
  <si>
    <t>Aeon Mall Tân Phú Celadon</t>
  </si>
  <si>
    <t>Sơn Kỳ, Tân Phú, Hồ Chí Minh</t>
  </si>
  <si>
    <t>VNM.25.23.6_1</t>
  </si>
  <si>
    <t>Ashima|Aeon Mall Tân Phú Celadon</t>
  </si>
  <si>
    <t>169/322</t>
  </si>
  <si>
    <t>316/11159</t>
  </si>
  <si>
    <t>30 đường Tân Thắng</t>
  </si>
  <si>
    <t>Convert HT, chưa được CĐT đồng ý</t>
  </si>
  <si>
    <t>Dao Niu Guo|Aeon Mall Tân Phú Celadon</t>
  </si>
  <si>
    <t>30SGNOBUD05</t>
  </si>
  <si>
    <t>Số 30, Đường Tân Thắng</t>
  </si>
  <si>
    <t>Shogun|Aeon Mall Tân Phú Celadon</t>
  </si>
  <si>
    <t>30 Đường Bờ Bao Tân Thắng</t>
  </si>
  <si>
    <t>ưu tiên số 1 cho Sumo</t>
  </si>
  <si>
    <t>Sumogoya|Aeon Mall Tân Phú Celadon</t>
  </si>
  <si>
    <t>Wow!Yakiniku|Aeon Mall Tân Phú Celadon</t>
  </si>
  <si>
    <t>The Coffee House|Aeon Mall Tân Phú Celadon</t>
  </si>
  <si>
    <t>50/81</t>
  </si>
  <si>
    <t>The Coffee House|Sơn Kỳ, Tân Phú, Hồ Chí Minh</t>
  </si>
  <si>
    <t>30YTNOBUD02</t>
  </si>
  <si>
    <t>Đợi tổ 33/MD phê duyệt</t>
  </si>
  <si>
    <t>Yutang|Aeon Mall Tân Phú Celadon</t>
  </si>
  <si>
    <t>30MWNOBUD05</t>
  </si>
  <si>
    <t>Lãnh Binh Thăng/Minh Phụng/Bình Thới</t>
  </si>
  <si>
    <t>160 - 200 tr</t>
  </si>
  <si>
    <t>Manwah|Phường 8, Quận 11, Hồ Chí Minh</t>
  </si>
  <si>
    <t>19/55</t>
  </si>
  <si>
    <t>30SGNOBUD02</t>
  </si>
  <si>
    <t>Phước Long B</t>
  </si>
  <si>
    <t>Trục đường có Gogi</t>
  </si>
  <si>
    <t>Phước Long B, Quận 9, Hồ Chí Minh</t>
  </si>
  <si>
    <t>VNM.25.21.9_1</t>
  </si>
  <si>
    <t>Shogun|Phước Long B, Quận 9, Hồ Chí Minh</t>
  </si>
  <si>
    <t>188/322</t>
  </si>
  <si>
    <t>402/11159</t>
  </si>
  <si>
    <t>30SMNOBUD02</t>
  </si>
  <si>
    <t>Tân Định</t>
  </si>
  <si>
    <t>200-250tr</t>
  </si>
  <si>
    <t>Tân Định, Quận 1, Hồ Chí Minh</t>
  </si>
  <si>
    <t>VNM.25.13.10_1</t>
  </si>
  <si>
    <t>Sumogoya|Tân Định, Quận 1, Hồ Chí Minh</t>
  </si>
  <si>
    <t>54/322</t>
  </si>
  <si>
    <t>75/11159</t>
  </si>
  <si>
    <t>Kiosk</t>
  </si>
  <si>
    <t>Hoàng Sa, Trường Sa</t>
  </si>
  <si>
    <t>Hoàng Sa, Trường Sa (tham khảo HL - mới mở thêm điểm thứ 3 trên cung này)
khu nào đắt đỏ quá, có thể thu nhỏ diện tích</t>
  </si>
  <si>
    <t>The Coffee House|Phường 12, Quận 10, Hồ Chí Minh</t>
  </si>
  <si>
    <t>30DNNOBUD04</t>
  </si>
  <si>
    <t>136 Hàm Nghi</t>
  </si>
  <si>
    <t>Đang đi cọc</t>
  </si>
  <si>
    <t>Dao Niu Guo|Bến Thành, Quận 1, Hồ Chí Minh</t>
  </si>
  <si>
    <t>30DNNOBUD07</t>
  </si>
  <si>
    <t>Nguyễn Thị Thập</t>
  </si>
  <si>
    <t>Convert từ LCLC</t>
  </si>
  <si>
    <t>Dao Niu Guo|Tân Phong, Quận 7, Hồ Chí Minh</t>
  </si>
  <si>
    <t>30DNNOBUD08</t>
  </si>
  <si>
    <t>Phú Nhuận</t>
  </si>
  <si>
    <t>Phường 2</t>
  </si>
  <si>
    <t>Phan Xích Long</t>
  </si>
  <si>
    <t>Phường 2, Phú Nhuận, Hồ Chí Minh</t>
  </si>
  <si>
    <t>VNM.25.9.9_1</t>
  </si>
  <si>
    <t>Dao Niu Guo|Phường 2, Phú Nhuận, Hồ Chí Minh</t>
  </si>
  <si>
    <t>90/322</t>
  </si>
  <si>
    <t>142/11159</t>
  </si>
  <si>
    <t>30DNNOBUD09</t>
  </si>
  <si>
    <t>Lê Văn Sĩ</t>
  </si>
  <si>
    <t>Convert từ Cloudpot</t>
  </si>
  <si>
    <t>Phường 14, Tân Bình, Hồ Chí Minh</t>
  </si>
  <si>
    <t>VNM.25.22.6_1</t>
  </si>
  <si>
    <t>Dao Niu Guo|Phường 14, Tân Bình, Hồ Chí Minh</t>
  </si>
  <si>
    <t>61/322</t>
  </si>
  <si>
    <t>86/11159</t>
  </si>
  <si>
    <t>Nguyễn Tri Phương</t>
  </si>
  <si>
    <t>Phường 8, Quận 10, Hồ Chí Minh</t>
  </si>
  <si>
    <t>VNM.25.10.14_1</t>
  </si>
  <si>
    <t>Dao Niu Guo|Phường 8, Quận 10, Hồ Chí Minh</t>
  </si>
  <si>
    <t>10/322</t>
  </si>
  <si>
    <t>14/11159</t>
  </si>
  <si>
    <t>30SMNOBUD03</t>
  </si>
  <si>
    <t>Convert từ Kpub Thiso mall</t>
  </si>
  <si>
    <t>11/11</t>
  </si>
  <si>
    <t>30SSNOBUD03</t>
  </si>
  <si>
    <t>Xuân Thủy, Thảo Điền, Sông Hàn, Trần Mão</t>
  </si>
  <si>
    <t>Isushi|Thảo Điền, Quận 2, Hồ Chí Minh</t>
  </si>
  <si>
    <t>83 Huỳnh Tấn Phát</t>
  </si>
  <si>
    <t>83 Huỳnh Tấn Phát - Nhà Bè</t>
  </si>
  <si>
    <t>Đang chờ anh Trí quyết định</t>
  </si>
  <si>
    <t>Nhà Bè, Nhà Bè, Hồ Chí Minh</t>
  </si>
  <si>
    <t>VNM.25.8.3_1</t>
  </si>
  <si>
    <t>Gogi House|Nhà Bè, Nhà Bè, Hồ Chí Minh</t>
  </si>
  <si>
    <t>248/322</t>
  </si>
  <si>
    <t>833/11159</t>
  </si>
  <si>
    <t>Đường Đồng nai</t>
  </si>
  <si>
    <t>TCHNOBUD13</t>
  </si>
  <si>
    <t>Nam Á Bank, đường cách mạng T8</t>
  </si>
  <si>
    <t>Nam Á Bank</t>
  </si>
  <si>
    <t>Phường 4, Quận 3, Hồ Chí Minh</t>
  </si>
  <si>
    <t>VNM.25.15.9_1</t>
  </si>
  <si>
    <t>The Coffee House|Phường 4, Quận 3, Hồ Chí Minh</t>
  </si>
  <si>
    <t>15/322</t>
  </si>
  <si>
    <t>19/11159</t>
  </si>
  <si>
    <t>số 285 Cách Mạng Tháng 8</t>
  </si>
  <si>
    <t>Viettel Complex Tower</t>
  </si>
  <si>
    <t>chưa khai trương, đang làm bản vẽ</t>
  </si>
  <si>
    <t>Số 968 Đường 3 Tháng 2</t>
  </si>
  <si>
    <t>LOTTE Mart Quận 11 (LOTTE Mart Phú Thọ)</t>
  </si>
  <si>
    <t>Lotte Mart Quận 11</t>
  </si>
  <si>
    <t>convert từ Blue Bay</t>
  </si>
  <si>
    <t>Lách ca lách cách|Lotte Mart Quận 11</t>
  </si>
  <si>
    <t>5/14</t>
  </si>
  <si>
    <t>30KKNOBUD08</t>
  </si>
  <si>
    <t>172- 174 Lê Văn Thọ, Gò Vấp Đối diện công viên Làng Hoa</t>
  </si>
  <si>
    <t>Phường 11, Gò Vấp, Hồ Chí Minh</t>
  </si>
  <si>
    <t>VNM.25.6.3_1</t>
  </si>
  <si>
    <t>Kichi Kichi|Phường 11, Gò Vấp, Hồ Chí Minh</t>
  </si>
  <si>
    <t>75/322</t>
  </si>
  <si>
    <t>110/11159</t>
  </si>
  <si>
    <t>30KKNOBUD09</t>
  </si>
  <si>
    <t xml:space="preserve">Site 1: 77 Nguyễn Thị Nhung
Site 2: 75 Nguyễn Thị Nhung
Site 3: 02 Nguyễn Thị Nhung
Site 4: 04 Nguyễn Thị Nhung
Site 5: 06 Nguyễn Thị Nhung
Site 6: 68 Đinh Thị Thi
Site 7: 29 Đinh Thị Thi
Site 7: </t>
  </si>
  <si>
    <t>Kichi Kichi|Hiệp Bình Phước, Thủ Đức, Hồ Chí Minh</t>
  </si>
  <si>
    <t>30KKNOBUD10</t>
  </si>
  <si>
    <t>Phường 3</t>
  </si>
  <si>
    <t>391A An Dương Vương vs Lê Hồng Phong Quận 5</t>
  </si>
  <si>
    <t>Phường 3, Quận 5, Hồ Chí Minh</t>
  </si>
  <si>
    <t>VNM.25.17.9_1</t>
  </si>
  <si>
    <t>Kichi Kichi|Phường 3, Quận 5, Hồ Chí Minh</t>
  </si>
  <si>
    <t>77/322</t>
  </si>
  <si>
    <t>115/11159</t>
  </si>
  <si>
    <t>12/107</t>
  </si>
  <si>
    <t>10GGNOBUD13</t>
  </si>
  <si>
    <t>Hưng Yên</t>
  </si>
  <si>
    <t>VNM.31_1</t>
  </si>
  <si>
    <t>Site 1: 9 Chùa Chuông, Lê Lợi, Hưng Yên
Site 2: 17 Chùa Chuông, Lê Lợi, Hưng Yên</t>
  </si>
  <si>
    <t>DF đã đo vẽ, sẽ gửi bản 2D, sau đó xử lý tiếp hợp đồng
NWS nhờ chủ nhà tự xin sửa chữa, để không mất phí thi công, khoảng 40-45 ngày
Lý do reject: Khu này trần thấp, traffic vắng, BU mong muốn về trục Điện Biên</t>
  </si>
  <si>
    <t>Lê Lợi, Hưng Yên, Hưng Yên</t>
  </si>
  <si>
    <t>VNM.31.2.9_1</t>
  </si>
  <si>
    <t>Gogi House|Lê Lợi, Hưng Yên, Hưng Yên</t>
  </si>
  <si>
    <t>2/161</t>
  </si>
  <si>
    <t>659/11159</t>
  </si>
  <si>
    <t>107/144</t>
  </si>
  <si>
    <t>Chùa Chuông, QL 39, Chu Mạnh Trinh</t>
  </si>
  <si>
    <t>Toàn site nhỏ, trần thấp, giá cao</t>
  </si>
  <si>
    <t>The Coffee House|Lê Lợi, Hưng Yên, Hưng Yên</t>
  </si>
  <si>
    <t>Khánh Hòa</t>
  </si>
  <si>
    <t>VNM.32_1</t>
  </si>
  <si>
    <t>Nha Trang</t>
  </si>
  <si>
    <t>Vạn Thạnh</t>
  </si>
  <si>
    <t>Vạn Thạnh, Nha Trang, Khánh Hòa</t>
  </si>
  <si>
    <t>VNM.32.6.12_1</t>
  </si>
  <si>
    <t>The Coffee House|Vạn Thạnh, Nha Trang, Khánh Hòa</t>
  </si>
  <si>
    <t>1/137</t>
  </si>
  <si>
    <t>146/11159</t>
  </si>
  <si>
    <t>Vĩnh Phước</t>
  </si>
  <si>
    <t>khu nào đắt đỏ quá, có thể thu nhỏ diện tích
Khu văn phòng, dân cư</t>
  </si>
  <si>
    <t>Vĩnh Phước, Nha Trang, Khánh Hòa</t>
  </si>
  <si>
    <t>VNM.32.6.20_1</t>
  </si>
  <si>
    <t>The Coffee House|Vĩnh Phước, Nha Trang, Khánh Hòa</t>
  </si>
  <si>
    <t>12/137</t>
  </si>
  <si>
    <t>666/11159</t>
  </si>
  <si>
    <t>30KKNOBUD05</t>
  </si>
  <si>
    <t>Kiên Giang</t>
  </si>
  <si>
    <t>VNM.33_1</t>
  </si>
  <si>
    <t>Phú Quốc</t>
  </si>
  <si>
    <t>Dương Đông</t>
  </si>
  <si>
    <t>Phú Quốc, Kiên Giang</t>
  </si>
  <si>
    <t>Dương Đông, Phú Quốc, Kiên Giang</t>
  </si>
  <si>
    <t>VNM.33.11.5_1</t>
  </si>
  <si>
    <t>Kichi Kichi|Dương Đông, Phú Quốc, Kiên Giang</t>
  </si>
  <si>
    <t>9/145</t>
  </si>
  <si>
    <t>1062/11159</t>
  </si>
  <si>
    <t>98/107</t>
  </si>
  <si>
    <t>Đà Lạt</t>
  </si>
  <si>
    <t>Dalat Nguyen Chi Thanh</t>
  </si>
  <si>
    <t>Phường 1, Đà Lạt, Lâm Đồng</t>
  </si>
  <si>
    <t>Số 3 Nguyễn Chí Thanh, Phường 2, Thành Phố đà lạt, tỉnh Lâm Đồng</t>
  </si>
  <si>
    <t>VNM.37.7.1_1</t>
  </si>
  <si>
    <t>The Coffee House|Phường 1, Đà Lạt, Lâm Đồng</t>
  </si>
  <si>
    <t>3/147</t>
  </si>
  <si>
    <t>742/11159</t>
  </si>
  <si>
    <t>68/81</t>
  </si>
  <si>
    <t>Convert từ Manwah Đà Lạt, 
bàn thêm, báo sau</t>
  </si>
  <si>
    <t>Phường 2, Đà Lạt, Lâm Đồng</t>
  </si>
  <si>
    <t>VNM.37.7.5_1</t>
  </si>
  <si>
    <t>Dao Niu Guo|Phường 2, Đà Lạt, Lâm Đồng</t>
  </si>
  <si>
    <t>1/147</t>
  </si>
  <si>
    <t>433/11159</t>
  </si>
  <si>
    <t>10GGNOBUD11</t>
  </si>
  <si>
    <t>Khu đô thị Vinhomes Smart City, Đại Mỗ, Nam Từ Liêm, Hà Nội</t>
  </si>
  <si>
    <t>Gogi House|Vincom Mega Mall Smart City</t>
  </si>
  <si>
    <t>120/144</t>
  </si>
  <si>
    <t>10GGNOBUD14</t>
  </si>
  <si>
    <t>Lạng Sơn</t>
  </si>
  <si>
    <t>VNM.35_1</t>
  </si>
  <si>
    <t>Đông Kinh</t>
  </si>
  <si>
    <t>Lý Thường Kiệt hoặc khu vực vincom</t>
  </si>
  <si>
    <t>7 - 10</t>
  </si>
  <si>
    <t>250 - 350</t>
  </si>
  <si>
    <t>30 - 45</t>
  </si>
  <si>
    <t>relocate site cũ, MD không đóng cửa (BU See mong muốn có 1 site bên ngoài để sắp tới nếu không đàm phán được giá thuê sẽ chuyển ra ngoài)</t>
  </si>
  <si>
    <t>Đông Kinh, Lạng Sơn, Lạng Sơn</t>
  </si>
  <si>
    <t>VNM.35.7.2_1</t>
  </si>
  <si>
    <t>Gogi House|Đông Kinh, Lạng Sơn, Lạng Sơn</t>
  </si>
  <si>
    <t>2/226</t>
  </si>
  <si>
    <t>688/11159</t>
  </si>
  <si>
    <t>10GGNOBUD15</t>
  </si>
  <si>
    <t>Lào Cai</t>
  </si>
  <si>
    <t>VNM.38_1</t>
  </si>
  <si>
    <t>Cốc Lếu</t>
  </si>
  <si>
    <t>An Dương Vương</t>
  </si>
  <si>
    <t>216 An Dương Vương</t>
  </si>
  <si>
    <t>relocate site cũ</t>
  </si>
  <si>
    <t>Cốc Lếu, Lào Cai, Lào Cai</t>
  </si>
  <si>
    <t>VNM.38.5.4_1</t>
  </si>
  <si>
    <t>Gogi House|Cốc Lếu, Lào Cai, Lào Cai</t>
  </si>
  <si>
    <t>1/164</t>
  </si>
  <si>
    <t>571/11159</t>
  </si>
  <si>
    <t>92/144</t>
  </si>
  <si>
    <t>10GGNOBUD16</t>
  </si>
  <si>
    <t>Kim Tân</t>
  </si>
  <si>
    <t>Đã offer nhưng MD hủy, do không đóng cửa site cũ</t>
  </si>
  <si>
    <t>Kim Tân, Lào Cai, Lào Cai</t>
  </si>
  <si>
    <t>VNM.38.5.9_1</t>
  </si>
  <si>
    <t>Gogi House|Kim Tân, Lào Cai, Lào Cai</t>
  </si>
  <si>
    <t>2/164</t>
  </si>
  <si>
    <t>641/11159</t>
  </si>
  <si>
    <t>103/144</t>
  </si>
  <si>
    <t>10GGNOBUD17</t>
  </si>
  <si>
    <t>Nam Định</t>
  </si>
  <si>
    <t>VNM.40_1</t>
  </si>
  <si>
    <t>Hải Hậu</t>
  </si>
  <si>
    <t>Yên Định</t>
  </si>
  <si>
    <t>250 - 300</t>
  </si>
  <si>
    <t>30-40tr</t>
  </si>
  <si>
    <t>mini
chưa confirm</t>
  </si>
  <si>
    <t>Yên Định, Hải Hậu, Nam Định</t>
  </si>
  <si>
    <t>VNM.40.2.35_1</t>
  </si>
  <si>
    <t>Gogi House|Yên Định, Hải Hậu, Nam Định</t>
  </si>
  <si>
    <t>23/227</t>
  </si>
  <si>
    <t>1187/11159</t>
  </si>
  <si>
    <t>136/144</t>
  </si>
  <si>
    <t>Ninh Bình</t>
  </si>
  <si>
    <t>VNM.42_1</t>
  </si>
  <si>
    <t>Tân Thành</t>
  </si>
  <si>
    <t>Khu vực TT TP</t>
  </si>
  <si>
    <t>Tân Thành, Ninh Bình, Ninh Bình</t>
  </si>
  <si>
    <t>VNM.42.5.12_1</t>
  </si>
  <si>
    <t>The Coffee House|Tân Thành, Ninh Bình, Ninh Bình</t>
  </si>
  <si>
    <t>3/145</t>
  </si>
  <si>
    <t>672/11159</t>
  </si>
  <si>
    <t>VNM.43_1</t>
  </si>
  <si>
    <t>Phan Rang-Tháp Chàm</t>
  </si>
  <si>
    <t>Thanh Sơn</t>
  </si>
  <si>
    <t>14 Lê Thánh Tông, Phan Rang - Tháp Chàm, Ninh Thuận</t>
  </si>
  <si>
    <t>đã chốt MB</t>
  </si>
  <si>
    <t>Thanh Sơn, Phan Rang-Tháp Chàm, Ninh Thuận</t>
  </si>
  <si>
    <t>VNM.43.5.15_1</t>
  </si>
  <si>
    <t>Gogi House|Thanh Sơn, Phan Rang-Tháp Chàm, Ninh Thuận</t>
  </si>
  <si>
    <t>2/65</t>
  </si>
  <si>
    <t>622/11159</t>
  </si>
  <si>
    <t>100/144</t>
  </si>
  <si>
    <t>14 Lê Thánh Tôn, Phan Rang - Tháp Chàm, Ninh Thuận</t>
  </si>
  <si>
    <t>Done</t>
  </si>
  <si>
    <t>Kichi Kichi|Thanh Sơn, Phan Rang-Tháp Chàm, Ninh Thuận</t>
  </si>
  <si>
    <t>77/107</t>
  </si>
  <si>
    <t>Quảng Ngãi</t>
  </si>
  <si>
    <t>VNM.48_1</t>
  </si>
  <si>
    <t>Chánh Lộ</t>
  </si>
  <si>
    <t>266 Phan Đình Phùng</t>
  </si>
  <si>
    <t>226 Phan Đình Phùng Quảng Ngãi</t>
  </si>
  <si>
    <t>Đang chốt lại giá, BOM đã chốt</t>
  </si>
  <si>
    <t>Chánh Lộ, Quảng Ngãi, Quảng Ngãi</t>
  </si>
  <si>
    <t>VNM.48.8.1_1</t>
  </si>
  <si>
    <t>Kichi Kichi|Chánh Lộ, Quảng Ngãi, Quảng Ngãi</t>
  </si>
  <si>
    <t>4/184</t>
  </si>
  <si>
    <t>732/11159</t>
  </si>
  <si>
    <t>86/107</t>
  </si>
  <si>
    <t>Hồng Gai</t>
  </si>
  <si>
    <t>Khu Bãi cháy</t>
  </si>
  <si>
    <t>Hồng Gai, Hạ Long, Quảng Ninh</t>
  </si>
  <si>
    <t>VNM.49.7.7_1</t>
  </si>
  <si>
    <t>The Coffee House|Hồng Gai, Hạ Long, Quảng Ninh</t>
  </si>
  <si>
    <t>7/186</t>
  </si>
  <si>
    <t>614/11159</t>
  </si>
  <si>
    <t>30GGNOBUD02</t>
  </si>
  <si>
    <t>Quận 6</t>
  </si>
  <si>
    <t>Satra Q6</t>
  </si>
  <si>
    <t>Satra - Centre Mall Võ Văn Kiệt</t>
  </si>
  <si>
    <t>site đẹp, traffic hơi ít
giá khoảng 60tr/tháng</t>
  </si>
  <si>
    <t>Phường 3, Quận 6, Hồ Chí Minh</t>
  </si>
  <si>
    <t>VNM.25.18.8_1</t>
  </si>
  <si>
    <t>Gogi House|Satra - Centre Mall Võ Văn Kiệt</t>
  </si>
  <si>
    <t>178/322</t>
  </si>
  <si>
    <t>343/11159</t>
  </si>
  <si>
    <t>58/144</t>
  </si>
  <si>
    <t>Isushi|Aeon Mall Hạ Long</t>
  </si>
  <si>
    <t>25/25</t>
  </si>
  <si>
    <t>Aeon Hạ Long</t>
  </si>
  <si>
    <t>Manwah|Aeon Mall Hạ Long</t>
  </si>
  <si>
    <t>53/55</t>
  </si>
  <si>
    <t>Kichi Kichi|Aeon Mall Hạ Long</t>
  </si>
  <si>
    <t>99/107</t>
  </si>
  <si>
    <t>10GGNOBUD18</t>
  </si>
  <si>
    <t>Sơn La</t>
  </si>
  <si>
    <t>VNM.52_1</t>
  </si>
  <si>
    <t>343 Chu Văn Thịnh</t>
  </si>
  <si>
    <t>Lý do reject: Tuyển phố không phù hợp, trục quốc lộ, dòng người di chuyển nhanh</t>
  </si>
  <si>
    <t>Tô Hiệu, Sơn La, Sơn La</t>
  </si>
  <si>
    <t>VNM.52.8.12_1</t>
  </si>
  <si>
    <t>Gogi House|Tô Hiệu, Sơn La, Sơn La</t>
  </si>
  <si>
    <t>2/204</t>
  </si>
  <si>
    <t>745/11159</t>
  </si>
  <si>
    <t>117/144</t>
  </si>
  <si>
    <t>10GGNOBUD19</t>
  </si>
  <si>
    <t>Quyết Thắng</t>
  </si>
  <si>
    <t>Sơn La, Pg131 SH Vincom Sơn La, Quyết Thắng</t>
  </si>
  <si>
    <t>Chờ BOM duyệt
BOM đề xuất quý 4 mới nhận</t>
  </si>
  <si>
    <t>Quyết Thắng, Sơn La, Sơn La</t>
  </si>
  <si>
    <t>VNM.52.8.11_1</t>
  </si>
  <si>
    <t>Gogi House|Quyết Thắng, Sơn La, Sơn La</t>
  </si>
  <si>
    <t>4/204</t>
  </si>
  <si>
    <t>830/11159</t>
  </si>
  <si>
    <t>10GGNOBUD20</t>
  </si>
  <si>
    <t>Thái Bình</t>
  </si>
  <si>
    <t>VNM.55_1</t>
  </si>
  <si>
    <t>Trần Lãm</t>
  </si>
  <si>
    <t>Lê Quý Đôn, Lê Lợi, Hai Bà Trưng</t>
  </si>
  <si>
    <t>200 - 250</t>
  </si>
  <si>
    <t>40-50tr</t>
  </si>
  <si>
    <t>mặt tiền 7-10m</t>
  </si>
  <si>
    <t>Trần Lãm, Thái Bình, Thái Bình</t>
  </si>
  <si>
    <t>VNM.55.5.15_1</t>
  </si>
  <si>
    <t>Gogi House|Trần Lãm, Thái Bình, Thái Bình</t>
  </si>
  <si>
    <t>7/286</t>
  </si>
  <si>
    <t>684/11159</t>
  </si>
  <si>
    <t>Đề Thám</t>
  </si>
  <si>
    <t>460 Lý Bôn</t>
  </si>
  <si>
    <t>Vincom Thái Bình</t>
  </si>
  <si>
    <t>Vincom Plaza Lý Bôn</t>
  </si>
  <si>
    <t>Tương tự, tỉnh lẻ sẽ đi trước TB để test, nếu ok mới đi các tỉnh khác</t>
  </si>
  <si>
    <t>Đề Thám, Thái Bình, Thái Bình</t>
  </si>
  <si>
    <t>VNM.55.5.2_1</t>
  </si>
  <si>
    <t>Chix Max|Vincom Plaza Lý Bôn</t>
  </si>
  <si>
    <t>3/286</t>
  </si>
  <si>
    <t>476/11159</t>
  </si>
  <si>
    <t>Lê Lợi, Trần Phú</t>
  </si>
  <si>
    <t>Điện Biên, Thanh Hóa, Thanh Hóa</t>
  </si>
  <si>
    <t>VNM.57.21.3_1</t>
  </si>
  <si>
    <t>The Coffee House|Điện Biên, Thanh Hóa, Thanh Hóa</t>
  </si>
  <si>
    <t>5/635</t>
  </si>
  <si>
    <t>393/11159</t>
  </si>
  <si>
    <t>10GGNOBUD01</t>
  </si>
  <si>
    <t>Liễu Giai</t>
  </si>
  <si>
    <t>Metropolis</t>
  </si>
  <si>
    <t>ưu tiên số 1 (nếu không chuyển Metropolis)
không còn slot nhỏ, chỉ còn slot to, nếu vào phải 1,2 nhãn kết hợp vs nhau
bàn giao tháng 4</t>
  </si>
  <si>
    <t>Liễu Giai, Cống Vị, Ba Đình, Hà Nội</t>
  </si>
  <si>
    <t>Gogi House|Vincom Center Metropolis</t>
  </si>
  <si>
    <t>18/144</t>
  </si>
  <si>
    <t>Kichi Kichi|Aeon Mall Thanh Hóa</t>
  </si>
  <si>
    <t>106/107</t>
  </si>
  <si>
    <t>10DNNOBUD08</t>
  </si>
  <si>
    <t>Cao Thắng</t>
  </si>
  <si>
    <t>Convert từ Hàng Cuốn Cao Thắng Thanh Hoá</t>
  </si>
  <si>
    <t>Dao Niu Guo|Điện Biên, Thanh Hóa, Thanh Hóa</t>
  </si>
  <si>
    <t>10MWNOBUD03</t>
  </si>
  <si>
    <t>Manwah|Aeon Mall Thanh Hóa</t>
  </si>
  <si>
    <t>30DNNOBUD10</t>
  </si>
  <si>
    <t>Thừa Thiên Huế</t>
  </si>
  <si>
    <t>VNM.54_1</t>
  </si>
  <si>
    <t>Huế</t>
  </si>
  <si>
    <t>An Đông</t>
  </si>
  <si>
    <t>8 Võ Nguyên Giáp</t>
  </si>
  <si>
    <t>Aeon Huế</t>
  </si>
  <si>
    <t>Aeon Mall Huế</t>
  </si>
  <si>
    <t>An Đông, Huế, Thừa Thiên Huế</t>
  </si>
  <si>
    <t>VNM.54.2.2_1</t>
  </si>
  <si>
    <t>Dao Niu Guo|Aeon Mall Huế</t>
  </si>
  <si>
    <t>21/152</t>
  </si>
  <si>
    <t>1011/11159</t>
  </si>
  <si>
    <t>Chợ Gạo</t>
  </si>
  <si>
    <t>Chợ Gạo, Chợ Gạo, Tiền Giang</t>
  </si>
  <si>
    <t>VNM.58.4.5_1</t>
  </si>
  <si>
    <t>Gogi House|Chợ Gạo, Chợ Gạo, Tiền Giang</t>
  </si>
  <si>
    <t>16/173</t>
  </si>
  <si>
    <t>1083/11159</t>
  </si>
  <si>
    <t>30CDNOBUD4</t>
  </si>
  <si>
    <t>Quảng trường Mỹ Tho</t>
  </si>
  <si>
    <t>CloudPot|Aeon Mall Mỹ Tho</t>
  </si>
  <si>
    <t>có slot, nhưng giá cao 1tr8/m2 chưa tính phí dịch vụ
bán giao tháng 4</t>
  </si>
  <si>
    <t>Gogi House|Vincom Center Landmark 81</t>
  </si>
  <si>
    <t>Kichi Kichi|Aeon Mall Mỹ Tho</t>
  </si>
  <si>
    <t>Mall này dự kiến 2027 mới khai trường</t>
  </si>
  <si>
    <t>Manwah|Aeon Mall Mỹ Tho</t>
  </si>
  <si>
    <t>30GGNOBUD09</t>
  </si>
  <si>
    <t>Trà Vinh</t>
  </si>
  <si>
    <t>VNM.59_1</t>
  </si>
  <si>
    <t>42 Nguyễn Thị Minh Khai</t>
  </si>
  <si>
    <t>Phường 7, Trà Vinh, Trà Vinh</t>
  </si>
  <si>
    <t>VNM.59.9.8_1</t>
  </si>
  <si>
    <t>Gogi House|Phường 7, Trà Vinh, Trà Vinh</t>
  </si>
  <si>
    <t>7/106</t>
  </si>
  <si>
    <t>1159/11159</t>
  </si>
  <si>
    <t>Tuyên Quang</t>
  </si>
  <si>
    <t>VNM.60_1</t>
  </si>
  <si>
    <t>Tân Quang</t>
  </si>
  <si>
    <t>Quang Trung, bờ hồ Vincom</t>
  </si>
  <si>
    <t>Tân Quang, Tuyên Quang, Tuyên Quang</t>
  </si>
  <si>
    <t>VNM.60.6.11_1</t>
  </si>
  <si>
    <t>Gogi House|Tân Quang, Tuyên Quang, Tuyên Quang</t>
  </si>
  <si>
    <t>2/141</t>
  </si>
  <si>
    <t>686/11159</t>
  </si>
  <si>
    <t>vướng pháp lý, có slot</t>
  </si>
  <si>
    <t>Gogi House|Crescent Mall</t>
  </si>
  <si>
    <t>85/144</t>
  </si>
  <si>
    <t>10DNNOBUD06</t>
  </si>
  <si>
    <t>VNM.62_1</t>
  </si>
  <si>
    <t>Vĩnh Yên</t>
  </si>
  <si>
    <t>Khai Quang</t>
  </si>
  <si>
    <t>136 Tôn Đức Thắng</t>
  </si>
  <si>
    <t>Convert từ MW Lê Thái Tổ</t>
  </si>
  <si>
    <t>Khai Quang, Vĩnh Yên, Vĩnh Phúc</t>
  </si>
  <si>
    <t>VNM.62.8.5_1</t>
  </si>
  <si>
    <t>Dao Niu Guo|Khai Quang, Vĩnh Yên, Vĩnh Phúc</t>
  </si>
  <si>
    <t>9/137</t>
  </si>
  <si>
    <t>1106/11159</t>
  </si>
  <si>
    <t>6/6</t>
  </si>
  <si>
    <t>10GGNOBUD21</t>
  </si>
  <si>
    <t>Yên Bái</t>
  </si>
  <si>
    <t>VNM.63_1</t>
  </si>
  <si>
    <t>Minh Tân</t>
  </si>
  <si>
    <t>760 Đường Điện Biên, phường Yên Bái, Tp Lào Cai</t>
  </si>
  <si>
    <t>Minh Tân, Yên Bái, Yên Bái</t>
  </si>
  <si>
    <t>VNM.63.8.7_1</t>
  </si>
  <si>
    <t>Gogi House|Minh Tân, Yên Bái, Yên Bái</t>
  </si>
  <si>
    <t>2/179</t>
  </si>
  <si>
    <t>819/11159</t>
  </si>
  <si>
    <t>Site tầng 2: 127m2, TOS 9%, 318k/m2, phí dịch vụ: 134k. Quảng cáo 49k
tiền thuê cơ sở: 63.600.000 VNĐ</t>
  </si>
  <si>
    <t>Site tầng 2: 212m2, tiền thuê 318k/m2, phí dịch vụ: 134k, TOS 9%, quảng cáo: 49k
tổng tiền thuê: 106.500.000 VNĐ/tháng</t>
  </si>
  <si>
    <t>Region</t>
  </si>
  <si>
    <t>SBU</t>
  </si>
  <si>
    <t>PC BUD</t>
  </si>
  <si>
    <t>Ngày dự kiến khới công</t>
  </si>
  <si>
    <t>Ngày dự kiến có sales trở lại</t>
  </si>
  <si>
    <t>FM</t>
  </si>
  <si>
    <t>Thời điểm trình</t>
  </si>
  <si>
    <t>CAPEX + Pre Op Ex</t>
  </si>
  <si>
    <t>CAPEX for consider</t>
  </si>
  <si>
    <t xml:space="preserve">Pre - Opening and Restoring exp </t>
  </si>
  <si>
    <t>NSO</t>
  </si>
  <si>
    <t>Reno</t>
  </si>
  <si>
    <t>Chi phí thiết kế</t>
  </si>
  <si>
    <t>Dự án CĐS</t>
  </si>
  <si>
    <t>CCDC</t>
  </si>
  <si>
    <t>Total Capex</t>
  </si>
  <si>
    <t>Total Capex exclude Other Exp</t>
  </si>
  <si>
    <t>Note</t>
  </si>
  <si>
    <t>Forecast Sales per FM</t>
  </si>
  <si>
    <t>BE Sales per FM</t>
  </si>
  <si>
    <t>CM per FM</t>
  </si>
  <si>
    <t>UC per FM</t>
  </si>
  <si>
    <t>Link FM</t>
  </si>
  <si>
    <t>Status_1</t>
  </si>
  <si>
    <t>Column31</t>
  </si>
  <si>
    <t>HO</t>
  </si>
  <si>
    <t>40HO105002</t>
  </si>
  <si>
    <t>Ban Giám đốc</t>
  </si>
  <si>
    <t>HO không có FM</t>
  </si>
  <si>
    <t>10AS503001</t>
  </si>
  <si>
    <t>Ashima Aeon Mall Hà Đông</t>
  </si>
  <si>
    <t>FM1</t>
  </si>
  <si>
    <t>FM1_ASM Aeon Hà Đông 09.12 1.xlsx</t>
  </si>
  <si>
    <t>10AS502901</t>
  </si>
  <si>
    <t>Ashima Vincom Center Metropolis</t>
  </si>
  <si>
    <t>FM1_ASM Metropolis_25.11.2025 1.xlsx</t>
  </si>
  <si>
    <t>30MW498401</t>
  </si>
  <si>
    <t>Manwah Aeon Bình Tân</t>
  </si>
  <si>
    <t>SS Aeon Bình Tân</t>
  </si>
  <si>
    <t>FM1_MW AEON BT MỞ RỘNG - TỔNG 470M2-final.xlsx</t>
  </si>
  <si>
    <t>No Budget</t>
  </si>
  <si>
    <t>30KK425801</t>
  </si>
  <si>
    <t>Kichi Kichi Cao Thắng Q3</t>
  </si>
  <si>
    <t>FM2</t>
  </si>
  <si>
    <t>Reno_KK Cao Thắng Q3_30KK4258</t>
  </si>
  <si>
    <t>30KK430001</t>
  </si>
  <si>
    <t>Kichi Kichi BigC Thủ Dầu Một Bình Dương</t>
  </si>
  <si>
    <t>FM1_ KK Go TDM Renovate.xlsx</t>
  </si>
  <si>
    <t>30KK503201</t>
  </si>
  <si>
    <t>Kichi Kichi Ninh Thuận</t>
  </si>
  <si>
    <t>FM1 KK NINH THUẬN (đã view với Fin).xlsx</t>
  </si>
  <si>
    <t>30KK428401</t>
  </si>
  <si>
    <t>Kichi Kichi An Dươnng Vương Q5</t>
  </si>
  <si>
    <t>Vote Tổ 33</t>
  </si>
  <si>
    <t>30KK427201</t>
  </si>
  <si>
    <t>Kichi Kichi Aeon Mall Q.Bình Tân</t>
  </si>
  <si>
    <t>10CK502801</t>
  </si>
  <si>
    <t>Chixmax Aeon Mall Hà Đông</t>
  </si>
  <si>
    <t>FM1_Chixmax Aeon Mall Hà Đông.xlsx</t>
  </si>
  <si>
    <t>30KK425901</t>
  </si>
  <si>
    <t>Kichi Kichi VC Đồng Khởi Q1</t>
  </si>
  <si>
    <t>FM1_KK VC ĐK (2) (1).xlsx</t>
  </si>
  <si>
    <t>30GG503101</t>
  </si>
  <si>
    <t>Gogi House Ninh Thuận</t>
  </si>
  <si>
    <t>FM1 GGH NINH THUẬN.xlsx</t>
  </si>
  <si>
    <t>30GG502601</t>
  </si>
  <si>
    <t>Gogi House Garden Mall</t>
  </si>
  <si>
    <t>1 phần MW Garden Mall</t>
  </si>
  <si>
    <t>FM GOGI GARDEN MALL - review v2.xlsx</t>
  </si>
  <si>
    <t>30GG502501</t>
  </si>
  <si>
    <t>Gogi House Viettell</t>
  </si>
  <si>
    <t>1 phần MW Viettel</t>
  </si>
  <si>
    <t>FM GOGI VIETTEL convert - review.xlsx</t>
  </si>
  <si>
    <t>10DN492901</t>
  </si>
  <si>
    <t>Dao Niu Guo Lê Đức Thọ</t>
  </si>
  <si>
    <t>FM Reno_DNG Lê Đức Thọ GĐ2-final.xlsx</t>
  </si>
  <si>
    <t>10DN501601</t>
  </si>
  <si>
    <t>Dao Niu Guo Trần Huy Liệu</t>
  </si>
  <si>
    <t>CD Trần Huy Liệu</t>
  </si>
  <si>
    <t>FM convert_DNG Trần Huy Liệu 23.1.26_final.xlsx</t>
  </si>
  <si>
    <t>10DN501501</t>
  </si>
  <si>
    <t>Dao Niu Guo Mipec Long Biên</t>
  </si>
  <si>
    <t>VX Mipec Long Biên</t>
  </si>
  <si>
    <t>FM1_Convert_DNG Mipec LB_v1_final.xlsx</t>
  </si>
  <si>
    <t>10DN501401</t>
  </si>
  <si>
    <t>Dao Niu Guo Lê Thái Tổ</t>
  </si>
  <si>
    <t>MW Lê Thái Tổ</t>
  </si>
  <si>
    <t>FM1 convert_DNG Lê Thái Tổ_v2 final.xlsx</t>
  </si>
  <si>
    <t>10DN501301</t>
  </si>
  <si>
    <t>Dao Niu Guo Thái Hà</t>
  </si>
  <si>
    <t>MW Thái Hà</t>
  </si>
  <si>
    <t>FM1 convert_DNG Thái Hà_v1 final.xlsx</t>
  </si>
  <si>
    <t>30YT498201</t>
  </si>
  <si>
    <t>Yutang Lotte 84 Mậu Thân CTH</t>
  </si>
  <si>
    <t>HC Lotte Cần Thơ</t>
  </si>
  <si>
    <t>FM1_Yutang Cần Thơ.xlsx</t>
  </si>
  <si>
    <t>10LC487901</t>
  </si>
  <si>
    <t>Lách Ca Lách Cách Aeon Long Biên</t>
  </si>
  <si>
    <t>30KK426801</t>
  </si>
  <si>
    <t>Kichi Kichi Aeon Mall Q.Tân Phú</t>
  </si>
  <si>
    <t>30KK426001</t>
  </si>
  <si>
    <t>Kichi Kichi Phan Xích Long Q.Phú Nhuận</t>
  </si>
  <si>
    <t>30KK432001</t>
  </si>
  <si>
    <t>Không FM_Reno nhỏ_Cải tạo mặt tiền</t>
  </si>
  <si>
    <t>30KK428101</t>
  </si>
  <si>
    <t>Kichi Kichi Nguyễn Ảnh Thủ Hiệp Thành</t>
  </si>
  <si>
    <t>30KK431401</t>
  </si>
  <si>
    <t>Kichi Kichi Nguyễn Văn Quá Q12</t>
  </si>
  <si>
    <t>30KK427601</t>
  </si>
  <si>
    <t>Kichi Kichi Nguyễn Hồng Đào Q.Tân Bình</t>
  </si>
  <si>
    <t>30KK431501</t>
  </si>
  <si>
    <t>Kichi Kichi Tân Sơn Nhì Q.Tân Phú</t>
  </si>
  <si>
    <t>30KK426101</t>
  </si>
  <si>
    <t>Kichi Kichi Nguyễn Trãi Q1</t>
  </si>
  <si>
    <t>30KK429401</t>
  </si>
  <si>
    <t>Kichi Kichi Phan Huy Ích Gò Vấp</t>
  </si>
  <si>
    <t>30KK426301</t>
  </si>
  <si>
    <t>Kichi Kichi Sư Vạn Hạnh Q10</t>
  </si>
  <si>
    <t>30KK428201</t>
  </si>
  <si>
    <t>Kichi Kichi Trần Não Thủ Đức</t>
  </si>
  <si>
    <t>10CV502001</t>
  </si>
  <si>
    <t>Chả cá Vạn Vạn GO! Thăng Long</t>
  </si>
  <si>
    <t>10VV530201</t>
  </si>
  <si>
    <t>Vuvuzela Trần Thái Tông Cầu giấy HN</t>
  </si>
  <si>
    <t>10IP476001</t>
  </si>
  <si>
    <t>Phở Inn Nội Bài</t>
  </si>
  <si>
    <t>30UP495401</t>
  </si>
  <si>
    <t>Union Pizza Xuân Thủy HCM</t>
  </si>
  <si>
    <t>10GG410001</t>
  </si>
  <si>
    <t>Gogi House BigC Thăng Long Cầu giấy HN</t>
  </si>
  <si>
    <t>Tổ 33</t>
  </si>
  <si>
    <t>Không FM_Reno nhỏ_Bổ sung PCCC</t>
  </si>
  <si>
    <t>10MW514001</t>
  </si>
  <si>
    <t>Không FM_Reno nhỏ_Chống thấm</t>
  </si>
  <si>
    <t>40HO105011</t>
  </si>
  <si>
    <t>Phòng Quản lý Dự án</t>
  </si>
  <si>
    <t>10CT652401</t>
  </si>
  <si>
    <t>Canteen Bạch Mai A11-2</t>
  </si>
  <si>
    <t>Nằm trong capex 2025</t>
  </si>
  <si>
    <t>30LC497501</t>
  </si>
  <si>
    <t>Lách Ca Lách Cách Cao Thắng HCM</t>
  </si>
  <si>
    <t>FM1_LCLC Cao Thắng_update 09.01.2026.xlsb</t>
  </si>
  <si>
    <t>10UN467501</t>
  </si>
  <si>
    <t>Universal Coffee Phan Đình Phùng</t>
  </si>
  <si>
    <t>30LC496401</t>
  </si>
  <si>
    <t>Lách Ca Lách Cách Lotte Mart Phú Thọ HCM</t>
  </si>
  <si>
    <t>BB Lotte Mart</t>
  </si>
  <si>
    <t>Capex bổ sung so với FM đã trình</t>
  </si>
  <si>
    <t>10LC496101</t>
  </si>
  <si>
    <t>Lách Ca Lách Lách Lê Hồng Phong HP</t>
  </si>
  <si>
    <t>10GG412901</t>
  </si>
  <si>
    <t>Gogi House Vincom Lý Bôn  Thái Bình</t>
  </si>
  <si>
    <t>Dự án DF</t>
  </si>
  <si>
    <t>4026DFSP001A</t>
  </si>
  <si>
    <t>Dự án Dynamic Pricing</t>
  </si>
  <si>
    <t>40HO105009</t>
  </si>
  <si>
    <t>Khối Công nghệ Thông tin</t>
  </si>
  <si>
    <t>30GG406701</t>
  </si>
  <si>
    <t>GoGi Trần Hưng Đạo Bình Thuận</t>
  </si>
  <si>
    <t>Không FM_Reno nhỏ</t>
  </si>
  <si>
    <t>30GG401501</t>
  </si>
  <si>
    <t>Gogi House Sensi City Cà Mau</t>
  </si>
  <si>
    <t>Không FM_Reno nhỏ_Cải tạo biển bảng</t>
  </si>
  <si>
    <t>30KK431301</t>
  </si>
  <si>
    <t>Kichi Kichi Hùynh Tấn Phát Q7</t>
  </si>
  <si>
    <t>30KK431901</t>
  </si>
  <si>
    <t>Kichi Kichi Đường Số 7 Q. Bình Tân</t>
  </si>
  <si>
    <t>30KK461401</t>
  </si>
  <si>
    <t>Kichi Kichi Nguyễn Văn Lạc Q.Bình Thạnh</t>
  </si>
  <si>
    <t>30KK464801</t>
  </si>
  <si>
    <t>Kichi Kichi Đặng Văn Bi Thủ Đức</t>
  </si>
  <si>
    <t>30KK430101</t>
  </si>
  <si>
    <t>Kichi Kichi Cách Mạng Tháng 8 Tây Ninh</t>
  </si>
  <si>
    <t>30KK429601</t>
  </si>
  <si>
    <t>Kichi Kichi Trần Hưng Đạo Bình Thuận</t>
  </si>
  <si>
    <t>Không FM_Reno nhỏ_Thay biển bảng</t>
  </si>
  <si>
    <t>30KK409801</t>
  </si>
  <si>
    <t>Kichi Kichi Sensi City Cà Mau</t>
  </si>
  <si>
    <t>30DN499701</t>
  </si>
  <si>
    <t>Dao Niu Guo Nguyễn Tri Phương HCM</t>
  </si>
  <si>
    <t>HT Nguyễn Tri Phương</t>
  </si>
  <si>
    <t>FM convert_ DNG Nguyễn Tri Phương (từ HT).xlsx</t>
  </si>
  <si>
    <t>10MW503401</t>
  </si>
  <si>
    <t>Manwah Aeon Thanh Hóa</t>
  </si>
  <si>
    <t>FM1 - MW AEON THANH HÓA_final.xlsx</t>
  </si>
  <si>
    <t>10LC496201</t>
  </si>
  <si>
    <t>Lách Ca Lách Lách Vinhome imperial HP</t>
  </si>
  <si>
    <t>Ateam</t>
  </si>
  <si>
    <t>10ZZASX001</t>
  </si>
  <si>
    <t>Ateam Ashima</t>
  </si>
  <si>
    <t>10GG420901</t>
  </si>
  <si>
    <t>Gogi House Tasco Long Biên Hà Nội</t>
  </si>
  <si>
    <t>Không FM_Reno nhỏ_Cải tạo hệ chụp hút</t>
  </si>
  <si>
    <t>10ZZSMX001</t>
  </si>
  <si>
    <t>Ateam Sumo</t>
  </si>
  <si>
    <t>30GG406101</t>
  </si>
  <si>
    <t>GoGi PG2 Tây Ninh</t>
  </si>
  <si>
    <t>10KK504201</t>
  </si>
  <si>
    <t>Kichi Kichi Aeon Mall  Hạ Long</t>
  </si>
  <si>
    <t>FM1 - KICHI AEON HẠ LONG (1).xlsx</t>
  </si>
  <si>
    <t>10GG504001</t>
  </si>
  <si>
    <t>GoGi House Hàng Bún</t>
  </si>
  <si>
    <t>Template_FM1 - GG Hàng Bún.xlsx</t>
  </si>
  <si>
    <t>10GG502701</t>
  </si>
  <si>
    <t>Gogi House Aeon Mall Hạ Long</t>
  </si>
  <si>
    <t>FM1 - GG Aeon Hạ Long.xlsx</t>
  </si>
  <si>
    <t>Mall yêu cầu chuyển đổi diện tích thuê</t>
  </si>
  <si>
    <t>30GG408101</t>
  </si>
  <si>
    <t>Extend_FM1_Gogi Go ĐN.Gia hạn HĐ giảm dt từ 280m2-222m2.xlsx</t>
  </si>
  <si>
    <t>FF</t>
  </si>
  <si>
    <t>30FF300204</t>
  </si>
  <si>
    <t>Kho Thực phẩm (Đông lạnh và lạnh)</t>
  </si>
  <si>
    <t>FF Không có FM</t>
  </si>
  <si>
    <t>30FF300201</t>
  </si>
  <si>
    <t>Bộ phận quản lý chung (VP)</t>
  </si>
  <si>
    <t>30FF300202</t>
  </si>
  <si>
    <t>Kho công cụ dụng cụ</t>
  </si>
  <si>
    <t>30FF300203</t>
  </si>
  <si>
    <t>Kho Thực phẩm khô/ Đồ uống</t>
  </si>
  <si>
    <t>30FF300221</t>
  </si>
  <si>
    <t>Kho - Tổ Bò</t>
  </si>
  <si>
    <t>30FF300223</t>
  </si>
  <si>
    <t>Kho - Tổ Gyoza</t>
  </si>
  <si>
    <t>30FF300224</t>
  </si>
  <si>
    <t>Kho - Tổ Thịt</t>
  </si>
  <si>
    <t>30FF300226</t>
  </si>
  <si>
    <t>Kho - Tổ Gia Vị</t>
  </si>
  <si>
    <t>30FF300227</t>
  </si>
  <si>
    <t>Kho - Tổ Sushi</t>
  </si>
  <si>
    <t>30FF300229</t>
  </si>
  <si>
    <t>Kho - Tổ Thịt Chill</t>
  </si>
  <si>
    <t>10GG413101</t>
  </si>
  <si>
    <t>Gogi House Hùng Vương Việt Trì  Phú Thọ</t>
  </si>
  <si>
    <t>Không FM_Reno nhỏ_Thay bảng biển</t>
  </si>
  <si>
    <t>10UP504401</t>
  </si>
  <si>
    <t>Union Pizza Phan Đình Phùng</t>
  </si>
  <si>
    <t>10GG412701</t>
  </si>
  <si>
    <t>Gogi House Đông A  Nam ĐỊnh</t>
  </si>
  <si>
    <t>10GG411701</t>
  </si>
  <si>
    <t>Gogi House Linh Đàm Hoàng Mai HN</t>
  </si>
  <si>
    <t>40HO105050</t>
  </si>
  <si>
    <t>Bộ phận Hệ thống Báo cáo Quản trị</t>
  </si>
  <si>
    <t>10CV492801</t>
  </si>
  <si>
    <t>Chả cá Vạn Vạn Ocean Park</t>
  </si>
  <si>
    <t>40HO105012</t>
  </si>
  <si>
    <t>Bộ phận Quán lý Tài sản &amp; Bảo trì</t>
  </si>
  <si>
    <t>40HO105026</t>
  </si>
  <si>
    <t>Phòng Marketing</t>
  </si>
  <si>
    <t>40HO105006</t>
  </si>
  <si>
    <t>Phòng Ẩm thực</t>
  </si>
  <si>
    <t>40HO105003</t>
  </si>
  <si>
    <t>Phòng Kế toán</t>
  </si>
  <si>
    <t>40HO105020</t>
  </si>
  <si>
    <t>Phòng Quản lý CSHT &amp; Vận hành DV CNTT</t>
  </si>
  <si>
    <t>40HO105007</t>
  </si>
  <si>
    <t>Phòng Phát triển &amp; Tối ưu Mặt bằng</t>
  </si>
  <si>
    <t>40HO105045</t>
  </si>
  <si>
    <t>Phòng Phát triển Nguồn Mặt bằng</t>
  </si>
  <si>
    <t>40HO105022</t>
  </si>
  <si>
    <t>Bộ phận Kinh tế XD &amp; Đấu thầu</t>
  </si>
  <si>
    <t>40HO105032</t>
  </si>
  <si>
    <t>Phòng Quản trị Rủi ro</t>
  </si>
  <si>
    <t>40HO105004</t>
  </si>
  <si>
    <t>Phòng Tài chính</t>
  </si>
  <si>
    <t>4023DFNCA17A</t>
  </si>
  <si>
    <t>Dự án nâng cấp G- Office</t>
  </si>
  <si>
    <t>4023DFSPM43A</t>
  </si>
  <si>
    <t>Dự án mới G - Mornitor</t>
  </si>
  <si>
    <t>4025DFSP004A</t>
  </si>
  <si>
    <t>Dự án Promotion and Loyalty</t>
  </si>
  <si>
    <t>10GG410101</t>
  </si>
  <si>
    <t>Gogi House Royal City Nguyễn Trãi TX HN</t>
  </si>
  <si>
    <t>Có trong Budget big game 2025: 200tr</t>
  </si>
  <si>
    <t>10PZ504701</t>
  </si>
  <si>
    <t>Pizza360 GO Thăng Long</t>
  </si>
  <si>
    <t>Vạn Vạn Thăng Long</t>
  </si>
  <si>
    <t>FM1_PZ360_GO Thăng Long_260226.xlsx</t>
  </si>
  <si>
    <t>10DN504501</t>
  </si>
  <si>
    <t>Dan Niu Guo Trần Phú</t>
  </si>
  <si>
    <t>Hàng Cuốn Trần Phú</t>
  </si>
  <si>
    <t>FM 1convert_DNG Trần Phú 2412025_final.xlsx</t>
  </si>
  <si>
    <t>10DN503901</t>
  </si>
  <si>
    <t>Dao Niu Guo Hạ Long</t>
  </si>
  <si>
    <t>Lách Cách Hạ Long</t>
  </si>
  <si>
    <t>30MW500301</t>
  </si>
  <si>
    <t>Mawah Aeon Mall Đà Nẵng</t>
  </si>
  <si>
    <t>FM1_MW Aeon Đà Nẵng_040925_final.xlsx</t>
  </si>
  <si>
    <t>30DN500601</t>
  </si>
  <si>
    <t>Dao Niu Guo Nguyễn Chí Thanh Lâm Đồng</t>
  </si>
  <si>
    <t>MW Đà Lạt</t>
  </si>
  <si>
    <t>FM1_Convert DNG Đà Lạt (từ MW)_(đã view Fin)_final.xlsx</t>
  </si>
  <si>
    <t>10DN504601</t>
  </si>
  <si>
    <t>Dan Niu Guo Thanh Hóa</t>
  </si>
  <si>
    <t>Hàng Cuốn Thanh Hóa</t>
  </si>
  <si>
    <t>FM1 Convert DNG Thanh Hóa (từ HC)_v3 final.xlsx</t>
  </si>
  <si>
    <t>30YT5011</t>
  </si>
  <si>
    <t>30YT501101</t>
  </si>
  <si>
    <t>Yutang Nguyễn Chí Thanh Lâm Đồng</t>
  </si>
  <si>
    <t>FM2_2025_ Yutang ĐL_Approved.xlsx</t>
  </si>
  <si>
    <t>30KK415201</t>
  </si>
  <si>
    <t>Kichi Kichi VC Xuân Khánh Cần Thơ</t>
  </si>
  <si>
    <t>Không FM_Reno nhỏ_Khoét lỗ nồi lẩu</t>
  </si>
  <si>
    <t>30KK430201</t>
  </si>
  <si>
    <t>Kichi Kichi Nguyễn Duy Trinh Thủ Đức</t>
  </si>
  <si>
    <t>30KK430901</t>
  </si>
  <si>
    <t>10CT479201</t>
  </si>
  <si>
    <t>Canteen Tô Hoa Đại Nam</t>
  </si>
  <si>
    <t>10HC474001</t>
  </si>
  <si>
    <t>Hàng Cuốn Aeon Hà Đông</t>
  </si>
  <si>
    <t>4023DFSPM51A</t>
  </si>
  <si>
    <t>Dự án Mis Report</t>
  </si>
  <si>
    <t>30ATGGKD001</t>
  </si>
  <si>
    <t>Kho đông cụm Ariana Nha Trang</t>
  </si>
  <si>
    <t>Không FM_Reno nhỏ_Sửa chữa</t>
  </si>
  <si>
    <t>10GG488301</t>
  </si>
  <si>
    <t>Gogi House Hanoi Center Nguyễn Thái Học</t>
  </si>
  <si>
    <t>10SM490701</t>
  </si>
  <si>
    <t>Sumo BBQ Aeon Cổ Linh Long Biên HN</t>
  </si>
  <si>
    <t>40HO105016</t>
  </si>
  <si>
    <t>Phòng Quản lý Phát triển Kinh doanh</t>
  </si>
  <si>
    <t>30KK424901</t>
  </si>
  <si>
    <t>Kichi Kichi VC Buôn Mê Thuột</t>
  </si>
  <si>
    <t>Không FM_Reno nhỏ_Khoét lỗ bàn lẩu</t>
  </si>
  <si>
    <t>30KK431001</t>
  </si>
  <si>
    <t>30KK425601</t>
  </si>
  <si>
    <t>Kichi Kichi Nguyễn Kim Gia Lai</t>
  </si>
  <si>
    <t>30KK429801</t>
  </si>
  <si>
    <t>Kichi Kichi VC Plaza Kon Tum</t>
  </si>
  <si>
    <t>10UP496601</t>
  </si>
  <si>
    <t>Union Pizza Vincom Bà Triệu</t>
  </si>
  <si>
    <t>Lò nướng điện</t>
  </si>
  <si>
    <t>10SS506401</t>
  </si>
  <si>
    <t>Ishushi Hạ Long</t>
  </si>
  <si>
    <t>FM1_Isushi Aeon mall Hạ Long (2).xlsx</t>
  </si>
  <si>
    <t>10KK503801</t>
  </si>
  <si>
    <t>Kichi Kichi Lacasta Gallery Văn Phú</t>
  </si>
  <si>
    <t>FM1_Template_NSO - Kichi Lacasta Gallery Văn Phú .xlsx</t>
  </si>
  <si>
    <t>30DN506701</t>
  </si>
  <si>
    <t>Dao Niu Guo Thống Nhất Vũng Tàu</t>
  </si>
  <si>
    <t>KP Vũng Tàu</t>
  </si>
  <si>
    <t>FM1 KP - Vũng Tàu conver DNG_v4_final.xlsx</t>
  </si>
  <si>
    <t>30SS505401</t>
  </si>
  <si>
    <t>Isushi 2/9 Đà Nẵng</t>
  </si>
  <si>
    <t>SSFM1 Template_FM_2.9 (1).xlsx</t>
  </si>
  <si>
    <t>30DN505501</t>
  </si>
  <si>
    <t>Dao Niu Guo 2/9 Đà Nẵng</t>
  </si>
  <si>
    <t>FM1 DNG 1 2.9 Hải Châu DNG_v1.xlsx</t>
  </si>
  <si>
    <t>30CD473701</t>
  </si>
  <si>
    <t>Cloud Pot Giga Mall Thủ Đức</t>
  </si>
  <si>
    <t>Không FM_Reno nhỏ_Ánh sáng đa điểm</t>
  </si>
  <si>
    <t>10KK503601</t>
  </si>
  <si>
    <t>Kichi Kichi Aeon Thanh Hóa</t>
  </si>
  <si>
    <t>FM1 - KICHI AEON THANH HÓA 3.xlsx</t>
  </si>
  <si>
    <t>30CD479501</t>
  </si>
  <si>
    <t>CloudPot Phan Xích Long</t>
  </si>
  <si>
    <t>Không FM_Reno nhỏ_Cải tạo hệ hút mùi</t>
  </si>
  <si>
    <t>10GG413201</t>
  </si>
  <si>
    <t>Gogi House Hồng Hà  Lào cai</t>
  </si>
  <si>
    <t>10KK506301</t>
  </si>
  <si>
    <t>Kichi Kichi Aeon Hải Dương</t>
  </si>
  <si>
    <t>FM1 - KICHI AEON HẢI DƯƠNG (1).xlsx</t>
  </si>
  <si>
    <t>10GG506201</t>
  </si>
  <si>
    <t>Gogi House Aeon Hải Dương</t>
  </si>
  <si>
    <t>FM1 - GG Aeon Hải Dương.xlsx</t>
  </si>
  <si>
    <t>10UP488101</t>
  </si>
  <si>
    <t>10LC484501</t>
  </si>
  <si>
    <t>Lách Ca Lách Cách The Loop IPH</t>
  </si>
  <si>
    <t>10LC484601</t>
  </si>
  <si>
    <t>Lách Ca Lách Cách Lotte Đào Tấn</t>
  </si>
  <si>
    <t>10VV530801</t>
  </si>
  <si>
    <t>Vuvuzela Nguyễn Trãi Thanh Xuân HN</t>
  </si>
  <si>
    <t>VV Nguyễn Trãi_FM_21102025.xlsx</t>
  </si>
  <si>
    <t>10MW504101</t>
  </si>
  <si>
    <t>Manwah Aeon Mall  Hạ Long</t>
  </si>
  <si>
    <t>FM1 - MW AEON HẠ LONG-v3-final.xlsx</t>
  </si>
  <si>
    <t>10SS505301</t>
  </si>
  <si>
    <t>Isushi Trần Thái Tông</t>
  </si>
  <si>
    <t>FM1_90 Trần Thái Tông_FC cmt 1.xlsx</t>
  </si>
  <si>
    <t>30GG507001</t>
  </si>
  <si>
    <t>Gogi House EZY CENTER Đồng Nai</t>
  </si>
  <si>
    <t>FM1_GG EZY NAQ._Dong Nai 05.03.26.xlsx</t>
  </si>
  <si>
    <t>30DN506901</t>
  </si>
  <si>
    <t>Dao Niu Guo EZY CENTER Đồng Nai</t>
  </si>
  <si>
    <t>FM1_DNG EZY NAQ._Dong Nai 05.03.26-final.xlsx</t>
  </si>
  <si>
    <t>30CD507101</t>
  </si>
  <si>
    <t>Cloud Pot  EZY CENTER Đồng Nai</t>
  </si>
  <si>
    <t>FM1_Cloud Pot EZY NAQ.Đong Nai.05.03.26.xlsx</t>
  </si>
  <si>
    <t>10GG412201</t>
  </si>
  <si>
    <t>Gogi House Aeon mall Cổ LinhLB HN</t>
  </si>
  <si>
    <t>Template_FM1 - Reno GG Aeon LB.xlsx</t>
  </si>
  <si>
    <t>30YT501001</t>
  </si>
  <si>
    <t>Yutang Vạn Hạnh Mall</t>
  </si>
  <si>
    <t>FM2 Yutang - Vạn Hạnh Mall_v2.xlsx</t>
  </si>
  <si>
    <t>30YT502101</t>
  </si>
  <si>
    <t>Yutang Grand Park</t>
  </si>
  <si>
    <t>FM1 Yutang - Vincom Grand Park Q9_v2 (VH.Dũng) - đã check - v2.xlsx</t>
  </si>
  <si>
    <t>10GG493701</t>
  </si>
  <si>
    <t>Gogi Tôn Đức Thắng Vĩnh Phúc</t>
  </si>
  <si>
    <t>Không FM_Reno nhỏ_Sửa chữa nhỏ</t>
  </si>
  <si>
    <t>10WY483001</t>
  </si>
  <si>
    <t>10MW511801</t>
  </si>
  <si>
    <t>Manwah Aeon mall Long Biên</t>
  </si>
  <si>
    <t>10MW512901</t>
  </si>
  <si>
    <t>Manwah Bigc Thăng Long,Hà Nội</t>
  </si>
  <si>
    <t>10WY507401</t>
  </si>
  <si>
    <t>Wow!Yakiniku Lotte Võ Chí Công</t>
  </si>
  <si>
    <t>FM1_Mini Lotte Vcc 18.01.2025 138m2 Fin 04.02 - TOS 13% - V2.xlsx</t>
  </si>
  <si>
    <t>10GG506601</t>
  </si>
  <si>
    <t>Gogi House Yên Bái</t>
  </si>
  <si>
    <t>Template_FM1 - GG Yên Bái.xlsx</t>
  </si>
  <si>
    <t>10GG505601</t>
  </si>
  <si>
    <t>Gogi House Lacasta Văn Phú</t>
  </si>
  <si>
    <t>FM1 - GG Văn Phú Lacasta, Hà Nội.xlsx</t>
  </si>
  <si>
    <t>30GG404801</t>
  </si>
  <si>
    <t>Gogi Đinh Tiên Hoàng Quận 1 HCM</t>
  </si>
  <si>
    <t>30GG407001</t>
  </si>
  <si>
    <t>GoGi SG Garden Nguyễn Huệ</t>
  </si>
  <si>
    <t>30GG403901</t>
  </si>
  <si>
    <t>Gogi House Sài Gòn Center Q1</t>
  </si>
  <si>
    <t>22072025 FM1 chibo Aeon HĐ.xlsx</t>
  </si>
  <si>
    <t>Đã đổ fund</t>
  </si>
  <si>
    <t>Note_1</t>
  </si>
  <si>
    <t>Status_2</t>
  </si>
  <si>
    <t>30CD500101</t>
  </si>
  <si>
    <t>Check</t>
  </si>
  <si>
    <t>Cloud Pot Aeon Mall Đà Nẵng</t>
  </si>
  <si>
    <t>Đã đổ Fund 2025</t>
  </si>
  <si>
    <t>30CJ499201</t>
  </si>
  <si>
    <t>Crystal Jade Parc Mall</t>
  </si>
  <si>
    <t>FM2 CJ PM_Q8 .xlsx</t>
  </si>
  <si>
    <t>10CK501801</t>
  </si>
  <si>
    <t>Chixmax Vincom Thái Bình</t>
  </si>
  <si>
    <t>FM_Chixmax_Vincom Thái Bình_21.11.2025_V2.xlsx</t>
  </si>
  <si>
    <t>Dao Niu Guo 2/9 Hải Châu Đà Nẵng</t>
  </si>
  <si>
    <t>Dao Niu Guo Đà Lạt</t>
  </si>
  <si>
    <t>Dn</t>
  </si>
  <si>
    <t>10DN499301</t>
  </si>
  <si>
    <t>Dao Niu Guo Tôn Đức Thắng Vĩnh Yên</t>
  </si>
  <si>
    <t>FM_convert Dao Niu Gou Vĩnh Yên 1.xlsx</t>
  </si>
  <si>
    <t>Dao Niu Guo Bắc Ninh</t>
  </si>
  <si>
    <t>Chưa có Costcenter nên chưa gửi thông tin đổ fund</t>
  </si>
  <si>
    <t>FM1 Convert DNG NĐĐ Bắc Ninh (từ SG)_v3_final.xlsx</t>
  </si>
  <si>
    <t>Dao Niu Guo Bà Rịa Vũng Tàu</t>
  </si>
  <si>
    <t>Kpub Vũng Tàu</t>
  </si>
  <si>
    <t>Dao Niu Guo Aeon Huế</t>
  </si>
  <si>
    <t>Cloud Pot Aeon Huế</t>
  </si>
  <si>
    <t>FM1_Convert DNG Aeon Huế (từ CD-KK)_v1.xlsx</t>
  </si>
  <si>
    <t>10DN5046</t>
  </si>
  <si>
    <t>Dao Niu Guo Cao Thắng Thanh Hóa</t>
  </si>
  <si>
    <t>30DN495801</t>
  </si>
  <si>
    <t>1. FM Convert HT-DNG VHM 29082025_v1.xlsx</t>
  </si>
  <si>
    <t>30DN496001</t>
  </si>
  <si>
    <t>3. FM Convert ISS-DNG Diamond 29082025_v1.xlsx</t>
  </si>
  <si>
    <t>Flychef Điện Biên Phủ HCM</t>
  </si>
  <si>
    <t>Thuộc TCH</t>
  </si>
  <si>
    <t>FM2_FC Dien Bien Phu_v3.xlsx</t>
  </si>
  <si>
    <t>Flychef Nguyễn Thái Bình HCM</t>
  </si>
  <si>
    <t>FM2_FC Nguyen Thai Binh_v1.xlsx</t>
  </si>
  <si>
    <t>Gogi House Aeon Thanh Hóa</t>
  </si>
  <si>
    <t>FM1 - GG AEON THANH HÓA.xlsx</t>
  </si>
  <si>
    <t>Gogi Viettel Building Đường 3.2</t>
  </si>
  <si>
    <t>Gogi Ninh Thuận</t>
  </si>
  <si>
    <t>FM2 GGH NINH THUẬN.xlsx</t>
  </si>
  <si>
    <t>Gogi Pandora Truong Chinh</t>
  </si>
  <si>
    <t>FM_ Gogi Pandora Trường Chinh 02.02.2026.xlsx</t>
  </si>
  <si>
    <t>30GG500001</t>
  </si>
  <si>
    <t>Gogi Aeon Mall Đà Nẵng</t>
  </si>
  <si>
    <t>FM1 GG - Aeon Đà Nẵng_approved.xlsx</t>
  </si>
  <si>
    <t>30KK500201</t>
  </si>
  <si>
    <t>Kichi Kichi Aeon Mall Đà Nẵng</t>
  </si>
  <si>
    <t>FM1 KK - Aeon Đà Nẵng (form mới 2025).xlsx</t>
  </si>
  <si>
    <t>10KK498701</t>
  </si>
  <si>
    <t>Kichi Kichi Hoàng Đạo Thúy</t>
  </si>
  <si>
    <t>KK_HĐT_Convert_v2010.xlsx</t>
  </si>
  <si>
    <t>FM2 KK NINH THUẬN Copy.xlsx</t>
  </si>
  <si>
    <t>Kichi Kichi Aeon Hạ Long</t>
  </si>
  <si>
    <t>LCLC Lotte Mart Phú Thọ HCM</t>
  </si>
  <si>
    <t>1. LCLC Lotte HCM _ FM_19122025 v2.xlsb</t>
  </si>
  <si>
    <t>Manwah Aeon Mall Đà Nẵng</t>
  </si>
  <si>
    <t>10PZ494401</t>
  </si>
  <si>
    <t>FM2_PZ360 Royal_14112025.xlsx</t>
  </si>
  <si>
    <t>30SM502301</t>
  </si>
  <si>
    <t>Sumo Grand Park HCM</t>
  </si>
  <si>
    <t>Chưa đổ fund</t>
  </si>
  <si>
    <t>FM_SM_Grand Park.xlsx</t>
  </si>
  <si>
    <t>Isushi 2.9 Đà Nẵng</t>
  </si>
  <si>
    <t>Isushi Aeon Hạ Long</t>
  </si>
  <si>
    <t>Isushi 90 Trần Thái Tông HN</t>
  </si>
  <si>
    <t>10SS498101</t>
  </si>
  <si>
    <t>Isushi Aeon Mall Hà Đông</t>
  </si>
  <si>
    <t>Đã đổ fund chi phí thiết kế</t>
  </si>
  <si>
    <t>FM 5 years_iSushi Aeon HĐ tầng 2.xlsx</t>
  </si>
  <si>
    <t>https://goldengatetradeservice-my.sharepoint.com/:x:/r/personal/chuong_nd_ggg_com_vn/_layouts/15/Doc.aspx?sourcedoc=%7B1731D71E-3D18-4025-8CB1-1BA23C1BB35D%7D&amp;file=FM_28082025_UP%20VIN%20BT%20FM2.xlsx&amp;action=default&amp;mobileredirect=true</t>
  </si>
  <si>
    <t>Wow Lotte Võ Chí Công</t>
  </si>
  <si>
    <t>Wow Go Thăng Long</t>
  </si>
  <si>
    <t>FM_WY_GO_slot_SX.xlsx</t>
  </si>
  <si>
    <t>30WY502401</t>
  </si>
  <si>
    <t>Wow Vincom Mega Mall Grand Park</t>
  </si>
  <si>
    <t>30YT500801</t>
  </si>
  <si>
    <t>Yutang Lotte Tân Bình</t>
  </si>
  <si>
    <t>FM1_Lotte Tân Bình_YT 4.xlsx</t>
  </si>
  <si>
    <t>30YT499501</t>
  </si>
  <si>
    <t>Yutang Bcon Dĩ An Bình Dương</t>
  </si>
  <si>
    <t>FM2_ YT Bcon Dĩ An BD_211125.xlsx</t>
  </si>
  <si>
    <t>30GG499401</t>
  </si>
  <si>
    <t>Gogi Bcon Dĩ An Bình Dương</t>
  </si>
  <si>
    <t>FM2_GG Bcon Binh Duong_approved.xlsx</t>
  </si>
  <si>
    <t>https://goldengatetradeservice-my.sharepoint.com/:x:/r/personal/chuong_nd_ggg_com_vn/_layouts/15/Doc.aspx?sourcedoc=%7B17048255-B84D-445E-9BE9-2E2E3CD6C7FE%7D&amp;file=FM2.1_07112025_UP%20Xuan%20Thuy.xlsx&amp;action=default&amp;mobileredirect=true</t>
  </si>
  <si>
    <t>FM1_Chả cá Go Thăng Long_v2.1.xlsx</t>
  </si>
  <si>
    <t>30GG500701</t>
  </si>
  <si>
    <t>FM1_Lotte Tân Bình_GG_convert_approved.xlsx</t>
  </si>
  <si>
    <t>30GG501201</t>
  </si>
  <si>
    <t>FM_Gogi Nguyễn Văn Lạc convert_approved.xlsx</t>
  </si>
  <si>
    <t>FM2 - GG Nguyễn Thái Học_approved.xlsx</t>
  </si>
  <si>
    <t>10KK485801</t>
  </si>
  <si>
    <t>FM2 Kichi New Nguyễn Thái Học_V2.xlsx</t>
  </si>
  <si>
    <t>30KK499601</t>
  </si>
  <si>
    <t>FM2_ KK Bcon Dĩ An BD_171125.xlsx</t>
  </si>
  <si>
    <t>10MW498901</t>
  </si>
  <si>
    <t>Manwah Bắc Giang</t>
  </si>
  <si>
    <t>FM Convert MWBG_16112025.xlsx</t>
  </si>
  <si>
    <t>22_12_FM_PHỞ INN x TCH Nội Bài T1_Gate6.xlsx</t>
  </si>
  <si>
    <t>Wow Yakiniku 90 Duy Tân</t>
  </si>
  <si>
    <t>https://goldengatetradeservice-my.sharepoint.com/:x:/g/personal/thang_td_ggg_com_vn/IQCFAByVjckRQaX0K5e2rvTGAS1Bi5sCnKVb9w2xJgCDISE</t>
  </si>
  <si>
    <t xml:space="preserve">Master hiện tại </t>
  </si>
  <si>
    <t>Plan NSO theo budget - code budget lấy theo budget - code PC lookup sang file tracking CAPEX</t>
  </si>
  <si>
    <t>Shop in shop với Daruma NVL tầng 2 (Chung code)</t>
  </si>
  <si>
    <t>30GGNOBUD11</t>
  </si>
  <si>
    <t>10CKNOBUD02</t>
  </si>
  <si>
    <t>10KKNOBUD13</t>
  </si>
  <si>
    <t>Nguyễn Văn Lạc</t>
  </si>
  <si>
    <t>Gogi House|Hồ Chí Minh</t>
  </si>
  <si>
    <t>10LC4779</t>
  </si>
  <si>
    <t>10DNNOBUD09</t>
  </si>
  <si>
    <t>30ATGGKD</t>
  </si>
  <si>
    <t>10Up4966</t>
  </si>
  <si>
    <t>10GGNOBUD22</t>
  </si>
  <si>
    <t>30DNNOBUD13</t>
  </si>
  <si>
    <t>30CDNOBUD06</t>
  </si>
  <si>
    <t>30YTNOBUD04</t>
  </si>
  <si>
    <t>Flow</t>
  </si>
  <si>
    <t>Cancel</t>
  </si>
  <si>
    <t>Active</t>
  </si>
  <si>
    <t xml:space="preserve">Closed </t>
  </si>
  <si>
    <t xml:space="preserve">Chờ mở - Đã lock site </t>
  </si>
  <si>
    <t>Chờ mở - Đang triển khai thi công</t>
  </si>
  <si>
    <t>1. Miền</t>
  </si>
  <si>
    <t>Mã code chính dự án</t>
  </si>
  <si>
    <t>Code budget</t>
  </si>
  <si>
    <t>2. Tên dự án</t>
  </si>
  <si>
    <t>Công việc</t>
  </si>
  <si>
    <t>3. Brand</t>
  </si>
  <si>
    <t>4. Loại hình dự án</t>
  </si>
  <si>
    <t>5. Vị trí</t>
  </si>
  <si>
    <t>Trạng thái thiết kế</t>
  </si>
  <si>
    <t>Tình trạng lập dự toán</t>
  </si>
  <si>
    <t>Tình trạng đấu thầu thi công</t>
  </si>
  <si>
    <t>Ngày kết thúc thi công theo kế hoạch</t>
  </si>
  <si>
    <t>Ngày bắt đầu thi công thực tế</t>
  </si>
  <si>
    <t>Ngày kết thúc thi công thực tế</t>
  </si>
  <si>
    <t>Tỉ lệ % hoàn thành thi công</t>
  </si>
  <si>
    <t>Tình trạng thi công</t>
  </si>
  <si>
    <t>NS</t>
  </si>
  <si>
    <t>DA0128</t>
  </si>
  <si>
    <t> </t>
  </si>
  <si>
    <t>Completed</t>
  </si>
  <si>
    <t>DA0005</t>
  </si>
  <si>
    <t xml:space="preserve">Dao Niu Guo Tân Phú </t>
  </si>
  <si>
    <t>On Hold</t>
  </si>
  <si>
    <t>Not Planned</t>
  </si>
  <si>
    <t>DA0006</t>
  </si>
  <si>
    <t>DA0007</t>
  </si>
  <si>
    <t>DA0008</t>
  </si>
  <si>
    <t>Dao Niu Guo Trương Công Định</t>
  </si>
  <si>
    <t>Convert từ Cloud Pot</t>
  </si>
  <si>
    <t>DA0052</t>
  </si>
  <si>
    <t>Dao Niu Guo Nguyễn Tri Phương</t>
  </si>
  <si>
    <t>tổng tiến độ thi công 36 ngày bao gồm nghỉ tết</t>
  </si>
  <si>
    <t>DA0058</t>
  </si>
  <si>
    <t>Dao Niu Guo Vĩnh Yên</t>
  </si>
  <si>
    <t>DA0141</t>
  </si>
  <si>
    <t>30DNNEW3</t>
  </si>
  <si>
    <t>Dao Niu Guo Lê Quý Đôn</t>
  </si>
  <si>
    <t>Convert từ Mantang Guo Lê Quý Đôn</t>
  </si>
  <si>
    <t>Cancelled</t>
  </si>
  <si>
    <t>DA0155</t>
  </si>
  <si>
    <t>Dao Niu Guo Đà lạt</t>
  </si>
  <si>
    <t>BU báo tạm ngưng</t>
  </si>
  <si>
    <t>DA0161</t>
  </si>
  <si>
    <t>Dao Niu Guo Thiso Mall Q2</t>
  </si>
  <si>
    <t>Combo dự án 1300m2</t>
  </si>
  <si>
    <t>DA0011</t>
  </si>
  <si>
    <t>30DNNOBUD03</t>
  </si>
  <si>
    <t>Dao Niu Guo Grand Park Q9</t>
  </si>
  <si>
    <t>DA0012</t>
  </si>
  <si>
    <t>Dao Niu Guo Lê Đức Thọ mở rộng</t>
  </si>
  <si>
    <t>Convert từ bếp Ateam</t>
  </si>
  <si>
    <t>DA0013</t>
  </si>
  <si>
    <t>Convert từ Manwah</t>
  </si>
  <si>
    <t>In Progress</t>
  </si>
  <si>
    <t>DA0015</t>
  </si>
  <si>
    <t>DA0014</t>
  </si>
  <si>
    <t>Convert từ Blue Bay</t>
  </si>
  <si>
    <t>DA0016</t>
  </si>
  <si>
    <t>DA0017</t>
  </si>
  <si>
    <t>Dao Niu Guo Hoàng Đạo Thúy</t>
  </si>
  <si>
    <t>DA0018</t>
  </si>
  <si>
    <t>Dao Niu Guo Đường số 7 Bình Tân</t>
  </si>
  <si>
    <t>DA0019</t>
  </si>
  <si>
    <t>Dao Niu Guo Nguyễn Thị Thập</t>
  </si>
  <si>
    <t>Convert từ Hàng Cuốn</t>
  </si>
  <si>
    <t>DA0020</t>
  </si>
  <si>
    <t>30DNNEW11</t>
  </si>
  <si>
    <t>Dao Niu Guo Phan Xích Long</t>
  </si>
  <si>
    <t>DA0021</t>
  </si>
  <si>
    <t>Dao Niu Guo Thanh Hóa</t>
  </si>
  <si>
    <t>DA0022</t>
  </si>
  <si>
    <t>DA0023</t>
  </si>
  <si>
    <t>Dao Niu Guo Trần Phú</t>
  </si>
  <si>
    <t>DA0024</t>
  </si>
  <si>
    <t>Dao Niu Guo đường 2/9, Hải Châu, Đà Nẵng</t>
  </si>
  <si>
    <t>DN0025</t>
  </si>
  <si>
    <t>Dao Niu Guo Thống Nhất, Vũng Tàu</t>
  </si>
  <si>
    <t>DN0026</t>
  </si>
  <si>
    <t>DN0027</t>
  </si>
  <si>
    <t>30DNNOBUD12</t>
  </si>
  <si>
    <t>DAO NIU GUO HÙNG VƯƠNG</t>
  </si>
  <si>
    <t> CONVERT TỪ HT (nhà hàng đã dừng HĐ)</t>
  </si>
  <si>
    <t>DN0028</t>
  </si>
  <si>
    <t>Dao Niu Guo Lê Văn Sỹ</t>
  </si>
  <si>
    <t>DN0029</t>
  </si>
  <si>
    <t>Convert từ Kichi + Cloud Pot</t>
  </si>
  <si>
    <t>DN0030</t>
  </si>
  <si>
    <t>DAONIUGUO EZY CENTER NGUYEN AI QUOC DONG NAI</t>
  </si>
  <si>
    <t>DN0031</t>
  </si>
  <si>
    <t>30DNNOBUD14</t>
  </si>
  <si>
    <t>Dao Niu Guo Lotte Q11</t>
  </si>
  <si>
    <t>TCH0001</t>
  </si>
  <si>
    <t>TCH + Flychef Nguyễn Văn Lộc</t>
  </si>
  <si>
    <t>TCH0002</t>
  </si>
  <si>
    <t>TCH HNI Can 8 Khu nha N1 Du An Xuan La Xuan Dinh</t>
  </si>
  <si>
    <t>TCH0003</t>
  </si>
  <si>
    <t>TCH HNI 30 Hao Nam</t>
  </si>
  <si>
    <t>TCH0004</t>
  </si>
  <si>
    <t>TCH HYN B65 Pho Truc</t>
  </si>
  <si>
    <t>TCH0005</t>
  </si>
  <si>
    <t>TCH HNI 60 Vu Pham Ham</t>
  </si>
  <si>
    <t>TCH0006</t>
  </si>
  <si>
    <t>TCH HNI CT1-A-01 Gamuda Gardens</t>
  </si>
  <si>
    <t>TCH0007</t>
  </si>
  <si>
    <t>TCH Sig 101 Ton Dat Tien (Crescent Mall)</t>
  </si>
  <si>
    <t xml:space="preserve">Linh báo tạm ngưng đến khi có thông tin </t>
  </si>
  <si>
    <t>TCH(K) &amp; UP</t>
  </si>
  <si>
    <t>TCH0008</t>
  </si>
  <si>
    <t>TCH HCM 175B Cao Thang noi dai</t>
  </si>
  <si>
    <t>TCH &amp; UP</t>
  </si>
  <si>
    <t>TCH0009</t>
  </si>
  <si>
    <t>TCH HNI So 1-2 Thai Ha</t>
  </si>
  <si>
    <t>TCH0010</t>
  </si>
  <si>
    <t>TCH HCM 71 Hoang Van Thai</t>
  </si>
  <si>
    <t>TCH0011</t>
  </si>
  <si>
    <t>TCH HCM 141-143 Tan Son Nhi</t>
  </si>
  <si>
    <t>TCH0012</t>
  </si>
  <si>
    <t>TCH HCM 403 Phan Huy Ich</t>
  </si>
  <si>
    <t>TCH0013</t>
  </si>
  <si>
    <t>TCH HCM 771 Phan Van Tri</t>
  </si>
  <si>
    <t>TCH0014</t>
  </si>
  <si>
    <t>TCH HCM 75 duong D1 UT 75 NGUYỄN VĂN THƯƠNG (D1)</t>
  </si>
  <si>
    <t>TCH0015</t>
  </si>
  <si>
    <t>TCH HCM 45 Duong So 5 - Cu xa Binh Thoi</t>
  </si>
  <si>
    <t>TCH0016</t>
  </si>
  <si>
    <t>TCH HCM 14B1 Ngo Tat To</t>
  </si>
  <si>
    <t>TCH0017</t>
  </si>
  <si>
    <t>TCH HCM 670 Nguyen Duy Trinh</t>
  </si>
  <si>
    <t>TCH0018</t>
  </si>
  <si>
    <t>TCH HCM 57 Xuan Thuy</t>
  </si>
  <si>
    <t>TCH0019</t>
  </si>
  <si>
    <t>TCH HCM 64A Lu Gia</t>
  </si>
  <si>
    <t>Cosmetic</t>
  </si>
  <si>
    <t>TCH0020</t>
  </si>
  <si>
    <t>TCH HCM 25A duong Dong Nai</t>
  </si>
  <si>
    <t>TCH0021</t>
  </si>
  <si>
    <t>TCH HCM 492 Nguyen Thi Thap</t>
  </si>
  <si>
    <t>Đang chờ duyệt phát sinh, dự kiến tiến độ bàn giao qua tết</t>
  </si>
  <si>
    <t>TCH0022</t>
  </si>
  <si>
    <t>TCH HCM 4-6 Ap Bac</t>
  </si>
  <si>
    <t>TCH0023</t>
  </si>
  <si>
    <t>TCH HCM 51 Le Trung Nghia</t>
  </si>
  <si>
    <t>TCH0024</t>
  </si>
  <si>
    <t>TCH HCM 190B1 Phan Van Tri</t>
  </si>
  <si>
    <t>Nhà hàng bàn giao MB ngày 20/1/26</t>
  </si>
  <si>
    <t>TCH0025</t>
  </si>
  <si>
    <t>TCH HCM 02 Dong Da</t>
  </si>
  <si>
    <t>TCH0026</t>
  </si>
  <si>
    <t>TCH HCM Homyland Riverside</t>
  </si>
  <si>
    <t>TCH0027</t>
  </si>
  <si>
    <t>TCH HCM 178 Hau Giang</t>
  </si>
  <si>
    <t>ĐTXD thông báo 14/1/26, đầu tuần nhà thầu báo lại tiến độ</t>
  </si>
  <si>
    <t>TCH0028</t>
  </si>
  <si>
    <t xml:space="preserve">TCH HCM 6A Ngo Thoi Nhiem </t>
  </si>
  <si>
    <t>TCH0029</t>
  </si>
  <si>
    <t>TCH HCM 17 Mai Chi Tho</t>
  </si>
  <si>
    <t>dự kiến tuần này xin phép xong</t>
  </si>
  <si>
    <t>TCH0030</t>
  </si>
  <si>
    <t>TCH HCM 359 Do Xuan Hop</t>
  </si>
  <si>
    <t>7/2/26 inox mới bàn giao</t>
  </si>
  <si>
    <t>TCH0031</t>
  </si>
  <si>
    <t>TCH TNH 295 Duong 30/4</t>
  </si>
  <si>
    <t>TCH0032</t>
  </si>
  <si>
    <t>TCH HCM 111-113 Binh Phu</t>
  </si>
  <si>
    <t> ĐTXD thông báo thầu 11/3, qua tuần họp kickoff sẽ báo lại tiến độ</t>
  </si>
  <si>
    <t>TCH0033</t>
  </si>
  <si>
    <t>TCH HCM 68 Huynh Van Banh</t>
  </si>
  <si>
    <t>TCH0034</t>
  </si>
  <si>
    <t>TCH BRU 5 Ba Cu</t>
  </si>
  <si>
    <t>TCH0035</t>
  </si>
  <si>
    <t>TCH KHA 44 Tran Phu</t>
  </si>
  <si>
    <t>TCH0036</t>
  </si>
  <si>
    <t>TCH HCM So 1 Hoa Su</t>
  </si>
  <si>
    <t>TCH0037</t>
  </si>
  <si>
    <t>TCH HCM 66E Hoang Dieu 2</t>
  </si>
  <si>
    <t>TCH0038</t>
  </si>
  <si>
    <t>TCH HCM 114 Duong 9A - Trung Son</t>
  </si>
  <si>
    <t>Đã họp Kickoff, hiện đang tiến hành trình duyệt phát sinh theo y/c TK, Ops, AMM, thực tế,.... Tiến độ dự kiến báo lại sau, NCC báo duyệt phát sinh mới tiến hành làm và gửi tiến độ thi công cụ thể</t>
  </si>
  <si>
    <t>TCH0039</t>
  </si>
  <si>
    <t>TCH DNI R132 Vo Thi Sau</t>
  </si>
  <si>
    <t>Chưa nhận được thông báo thầu</t>
  </si>
  <si>
    <t>TCH0040</t>
  </si>
  <si>
    <t>TCH BDG Hikari Binh Duong</t>
  </si>
  <si>
    <t>TCH0041</t>
  </si>
  <si>
    <t>TCH HCM 35-37 Duong 41</t>
  </si>
  <si>
    <t>TCH0042</t>
  </si>
  <si>
    <t>TCH HCM 116-118 Duong So 51</t>
  </si>
  <si>
    <t> ĐTXD thông báo thầu 12/3, qua tuần họp kickoff sẽ báo lại tiến độ</t>
  </si>
  <si>
    <t>TCH0043</t>
  </si>
  <si>
    <t>TCH HCM 93/5B Nguyen Anh Thu</t>
  </si>
  <si>
    <t>TCH0044</t>
  </si>
  <si>
    <t>TCH HCM 281 Le van Sy</t>
  </si>
  <si>
    <t>Flagship</t>
  </si>
  <si>
    <t>TCH0045</t>
  </si>
  <si>
    <t>TCH HCM 798 Su Van Hanh</t>
  </si>
  <si>
    <t>TCH0046</t>
  </si>
  <si>
    <t xml:space="preserve">TCH HCM 9-11 Duong so 22 </t>
  </si>
  <si>
    <t>Chưa có thiết kế</t>
  </si>
  <si>
    <t>TCH0047</t>
  </si>
  <si>
    <t>TCH KHA 01 Tran Hung Dao</t>
  </si>
  <si>
    <t>TCH0048</t>
  </si>
  <si>
    <t>TCH HPG AEON Le Chan</t>
  </si>
  <si>
    <t> Thi công Phá dỡ, hoàn trả mặt bằng. Tiến độ thực hiện: 10 ngày từ 28/02 - 10/03/2026 (Chỉ thi công ban đêm từ 23h00 đến 07h00 sáng hôm sau, không được phép thi công ban ngày)</t>
  </si>
  <si>
    <t>TCH0049</t>
  </si>
  <si>
    <t>TCH HPG So 15 Tran Phu</t>
  </si>
  <si>
    <t>TCH0050</t>
  </si>
  <si>
    <t>TCH HNI The Five Residences 345 Doi Can</t>
  </si>
  <si>
    <t>TCH0051</t>
  </si>
  <si>
    <t>TCH HNI Tang 1 458 Minh Khai</t>
  </si>
  <si>
    <t>TCH0052</t>
  </si>
  <si>
    <t>TCH HNI 92 Le Thanh Nghi</t>
  </si>
  <si>
    <t>TCH0053</t>
  </si>
  <si>
    <t>TCH HNI Vincom Mega Mall Ocean Park</t>
  </si>
  <si>
    <t>TCH0054</t>
  </si>
  <si>
    <t>TCH HNI Vincom Mega Mall Smart City</t>
  </si>
  <si>
    <t>TCH0055</t>
  </si>
  <si>
    <t>TCH HNI Rice City Linh Dam</t>
  </si>
  <si>
    <t>TCH0056</t>
  </si>
  <si>
    <t>TCH HNI 17T3 Hoang Dao Thuy</t>
  </si>
  <si>
    <t>TCH0057</t>
  </si>
  <si>
    <t>TCH HNI Discovery Complex 302 Cau Giay</t>
  </si>
  <si>
    <t>TCH0058</t>
  </si>
  <si>
    <t>TCH HNI 72 Tran Nguyen Dan</t>
  </si>
  <si>
    <t>TCH0059</t>
  </si>
  <si>
    <t>TCH HNI V3-Van Phu Victoria-CT9</t>
  </si>
  <si>
    <t>TCH0060</t>
  </si>
  <si>
    <t>TCH HNI 349 Vu Tong Phan</t>
  </si>
  <si>
    <t>TCH0061</t>
  </si>
  <si>
    <t>TCH HNI Chelsea Residences</t>
  </si>
  <si>
    <t>TCH0062</t>
  </si>
  <si>
    <t>TCH HNI Khu DTM Trung Yen</t>
  </si>
  <si>
    <t>TCH0063</t>
  </si>
  <si>
    <t>TCH HCM 141 Nguyễn Thái Bình</t>
  </si>
  <si>
    <t>TCH &amp; FC</t>
  </si>
  <si>
    <t>TCH0064</t>
  </si>
  <si>
    <t>TCH HNI NO2-D12 The Park Home</t>
  </si>
  <si>
    <t>TCH0065</t>
  </si>
  <si>
    <t>TCH HCM 469 Dien Bien Phu</t>
  </si>
  <si>
    <t>TCH + FC + Mama</t>
  </si>
  <si>
    <t>TCH0066</t>
  </si>
  <si>
    <t>TCH KHA Big C Go Nha Trang</t>
  </si>
  <si>
    <t>TCH0067</t>
  </si>
  <si>
    <t>TCH HCM 682 Tran Hung Dao</t>
  </si>
  <si>
    <t>TCH0068</t>
  </si>
  <si>
    <t>TCH HCM 16/3 Hoang Viet (Út Tịch)</t>
  </si>
  <si>
    <t>TCH0069</t>
  </si>
  <si>
    <t>TCH HCM 18 Hong Ha</t>
  </si>
  <si>
    <t>OPS bàn giao MB 26/03/26</t>
  </si>
  <si>
    <t>TCH0070</t>
  </si>
  <si>
    <t>TCH HNI 23M Hai Ba Trung</t>
  </si>
  <si>
    <t>TCH0071</t>
  </si>
  <si>
    <t>TCH HCM 258 Nguyen Van Luong</t>
  </si>
  <si>
    <t>TCH0072</t>
  </si>
  <si>
    <t>TCH HCM 223 Vo Van Tan</t>
  </si>
  <si>
    <t>nhà thầu Tân Sao Mộc không đảm bảo tiến độ, ảnh hưởng đến tiến độ chung</t>
  </si>
  <si>
    <t>TCH0073</t>
  </si>
  <si>
    <t>TCH HCM 1056 Hau Giang</t>
  </si>
  <si>
    <t> ĐTXD thông báo thầu 16/3, họp kickoff sẽ báo lại tiến độ</t>
  </si>
  <si>
    <t>TCH0074</t>
  </si>
  <si>
    <t>TCH HCM 184 To Hieu</t>
  </si>
  <si>
    <t>TCH0075</t>
  </si>
  <si>
    <t>TCH HNI 02 Ho Tung Mau</t>
  </si>
  <si>
    <t>TCH0076</t>
  </si>
  <si>
    <t>TCH HCM 116 To Ngoc Van</t>
  </si>
  <si>
    <t>ĐTXD thông báo 17/1/26, đã họp kickoff chờ báo lại tiến độ</t>
  </si>
  <si>
    <t>TCH0077</t>
  </si>
  <si>
    <t>TCH HCM R1-72 Khu R20 Sky Garden</t>
  </si>
  <si>
    <t>TCH0078</t>
  </si>
  <si>
    <t>TCH HCM 46 Le Thiet</t>
  </si>
  <si>
    <t>TCH0079</t>
  </si>
  <si>
    <t>TCH Mạc Đĩnh Chi</t>
  </si>
  <si>
    <t>TCH0080</t>
  </si>
  <si>
    <t>TCH Đà Lạt</t>
  </si>
  <si>
    <t>TCH0081</t>
  </si>
  <si>
    <t>TCH Toko Bắc Ninh</t>
  </si>
  <si>
    <t>TCH0082</t>
  </si>
  <si>
    <t>The Coffee House Goldmark Hồ Tùng Mậu</t>
  </si>
  <si>
    <t>TCH0083</t>
  </si>
  <si>
    <t>TCHNEW003</t>
  </si>
  <si>
    <t>TCH Nguyễn Tri Phương</t>
  </si>
  <si>
    <t>thi công 2 giai đoạn, tổng tiến độ 36 ngày bao gồm nghỉ tết</t>
  </si>
  <si>
    <t>TCH0084</t>
  </si>
  <si>
    <t>TCH Grand Park Q9</t>
  </si>
  <si>
    <t xml:space="preserve">BQL yêu cầu ngừng thi công từ 13/3 tới hôm nay 19/3 vẫn chưa cho thi công lại. Lý do: Chưa duyệt xong hồ sơ PCCC.
Ngày 18/03 TCB đã gửi hồ sơ PCCC của TCB và TCH cho BQL, đang chờ BQL phản hồi để GGG vào thi công.
</t>
  </si>
  <si>
    <t>TCH0085</t>
  </si>
  <si>
    <t>TCH Peal View Hoàng Câu</t>
  </si>
  <si>
    <t>TCH0086</t>
  </si>
  <si>
    <t>TCH 3 thang 2 Q11</t>
  </si>
  <si>
    <t>Mở mới</t>
  </si>
  <si>
    <t>TCH0087</t>
  </si>
  <si>
    <t>TCH GOLDCOAST NHA TRANG</t>
  </si>
  <si>
    <t>TCH0088</t>
  </si>
  <si>
    <t xml:space="preserve">TCH TRƯƠNG CÔNG ĐỊNH </t>
  </si>
  <si>
    <t>TCH0089</t>
  </si>
  <si>
    <t>TCH EZY BIÊN HÒA ĐỒNG NAI</t>
  </si>
  <si>
    <t>TCH0090</t>
  </si>
  <si>
    <t>TCH Vạn Hạnh Mall</t>
  </si>
  <si>
    <t>Đề xuất outsource thiết kế</t>
  </si>
  <si>
    <t>TCH0091</t>
  </si>
  <si>
    <t>TCH Hoàng Văn Thái</t>
  </si>
  <si>
    <t>TCH0092</t>
  </si>
  <si>
    <t>TCH Ngô Tất Tố</t>
  </si>
  <si>
    <t>TCH0093</t>
  </si>
  <si>
    <t>TCH Nguyễn Văn Thương</t>
  </si>
  <si>
    <t>Đề xuất outsource thiết kế. BU kỳ vọng thi công trong tháng 4/2026</t>
  </si>
  <si>
    <t>TCH0094</t>
  </si>
  <si>
    <t>TCH Lê Thái Tổ</t>
  </si>
  <si>
    <t>Mặt tiền. Bắt đầu từ 2025</t>
  </si>
  <si>
    <t>DA0047</t>
  </si>
  <si>
    <t>Gogi House Aeonmall Long Biên</t>
  </si>
  <si>
    <t>Reno cả nhà hàng</t>
  </si>
  <si>
    <t>DA0113</t>
  </si>
  <si>
    <t>Gogi Hanoi Center</t>
  </si>
  <si>
    <t>Dự án mở mới</t>
  </si>
  <si>
    <t>Gogi Hà Nam</t>
  </si>
  <si>
    <t>Gogi Aeon Thanh Khê Đà Nẵng</t>
  </si>
  <si>
    <t>Gogi Royal</t>
  </si>
  <si>
    <t>PCCC+ thi công</t>
  </si>
  <si>
    <t>Gogi Thái Bình</t>
  </si>
  <si>
    <t>DA0060</t>
  </si>
  <si>
    <t>Gogi Ninh Bình</t>
  </si>
  <si>
    <t>DA0153</t>
  </si>
  <si>
    <t>Gogi Lotte Tân Bình</t>
  </si>
  <si>
    <t>Gogi Trà Vinh</t>
  </si>
  <si>
    <t>30GGNEW84</t>
  </si>
  <si>
    <t>Gogi Trần Nhân Tông, Phan Rang, Ninh Thuận</t>
  </si>
  <si>
    <t>Gogi Lào Cai</t>
  </si>
  <si>
    <t>Gogi Quảng Ngãi mở rộng tầng thượng</t>
  </si>
  <si>
    <t>BU báo tạm dừng làm tầng 3. chỉ làm các mục phát sinh : cửa cuốn, vách
ngăn..vv</t>
  </si>
  <si>
    <t>Gogi Viettel</t>
  </si>
  <si>
    <t>Đang chờ điều chỉnh BV XP và PCCC.
Tiến độ dự kiến 40 – 45 ngày sau khi ký HĐ với nhà thầu.
Đang chờ nhà thầu gửi lại BOQ cập nhật và tiến độ chi tiết.</t>
  </si>
  <si>
    <t>Đang chờ điều chỉnh BV XP và PCCC.</t>
  </si>
  <si>
    <t>DA0025</t>
  </si>
  <si>
    <t>Gogi The Garden Mall</t>
  </si>
  <si>
    <t>Đang xin phép, chờ bổ sung thêm pccc.
Tiến độ thi công : nhà thầu báo 40-45 ngày sau khi ký HĐ.
Ngân sách : đang vượt, BU + TK đang điều chỉnh lại.</t>
  </si>
  <si>
    <t>Đang xin phép, chờ bổ sung thêm pccc.</t>
  </si>
  <si>
    <t>DA0026</t>
  </si>
  <si>
    <t>Gogi Nguyễn Văn Lạc</t>
  </si>
  <si>
    <t>Tiến độ thi công : nhà thầu báo 40-45 ngày sau khi ký HĐ.</t>
  </si>
  <si>
    <t>DA0027</t>
  </si>
  <si>
    <t>Gogi BigC Đồng Nai</t>
  </si>
  <si>
    <t>Ngân sách : đang vượt, BU + TK đang điều chỉnh lại.</t>
  </si>
  <si>
    <t>Relocate</t>
  </si>
  <si>
    <t>DA0028</t>
  </si>
  <si>
    <t>DA0029</t>
  </si>
  <si>
    <t>Gogi Lacasta Văn Phú</t>
  </si>
  <si>
    <t>DA0030</t>
  </si>
  <si>
    <t>Gogi Hàng Bún</t>
  </si>
  <si>
    <t>27/02 trả HS hoàn thiện kiến trúc
Cơ điện, XDCB_BOH: phá dỡ xong thì làm luôn</t>
  </si>
  <si>
    <t>DA0031</t>
  </si>
  <si>
    <t>Gogi Phan Thiết</t>
  </si>
  <si>
    <t>DA0032</t>
  </si>
  <si>
    <t>Gogi Bùi Thị Xuân</t>
  </si>
  <si>
    <t>DA0033</t>
  </si>
  <si>
    <t>Gogi Savico</t>
  </si>
  <si>
    <t>Decor diện tường</t>
  </si>
  <si>
    <t>DA0034</t>
  </si>
  <si>
    <t>Gogi Tràng Tiền Palaza</t>
  </si>
  <si>
    <t>Ưu tiên</t>
  </si>
  <si>
    <t>DA0035</t>
  </si>
  <si>
    <t>Gogi Aeon Mall Bình Tân</t>
  </si>
  <si>
    <t>Đang xin phép tòa nhà</t>
  </si>
  <si>
    <t>DA0036</t>
  </si>
  <si>
    <t>Gogi SG Garden Nguyễn Huệ</t>
  </si>
  <si>
    <t>Thiết kế phối cảnh 3D cải tạo lại hình ảnh trong và ngoài nhà hàng (dựa trên hiện trạng có sẵn).
Triển khai hồ sơ bản vẽ thi công chi tiết.
Lập bảng chỉ định vật liệu và dự toán thi công sơ bộ.</t>
  </si>
  <si>
    <t>DA0037</t>
  </si>
  <si>
    <t>Gogi Sai Gon Center</t>
  </si>
  <si>
    <t>DA0038</t>
  </si>
  <si>
    <t>Gogi Đường Số 41</t>
  </si>
  <si>
    <t>DA0039</t>
  </si>
  <si>
    <t>Gogi Lê Văn Sỹ</t>
  </si>
  <si>
    <t>DA0040</t>
  </si>
  <si>
    <t>Gogi Vivo</t>
  </si>
  <si>
    <t>DA0041</t>
  </si>
  <si>
    <t>Gogi Vincom Đồng Khởi</t>
  </si>
  <si>
    <t>DA0042</t>
  </si>
  <si>
    <t>Gogi Nguyễn Kim Q3</t>
  </si>
  <si>
    <t>DA0043</t>
  </si>
  <si>
    <t>Gogi Vạn Hạnh Mall</t>
  </si>
  <si>
    <t>DA0044</t>
  </si>
  <si>
    <t>Gogi Đinh Tiên Hoàng</t>
  </si>
  <si>
    <t>Thiết kế lại toàn bộ diện mạo mặt tiền. ( yêu cầu nổi bật so với mặt tiền hiện trạng )
Thiết kế phương án Cosmetic trong nhà hàng . ( vật liệu, ánh sáng, nội thất, chi tiết décor .v.v…)
Aota/91studio/Sawadee.</t>
  </si>
  <si>
    <t>DA0045</t>
  </si>
  <si>
    <t>Gogi Bình Phú Q6</t>
  </si>
  <si>
    <t>DA0046</t>
  </si>
  <si>
    <t>Gogi Đường số 7</t>
  </si>
  <si>
    <t>Gogi Huỳnh Tấn Phát</t>
  </si>
  <si>
    <t>DA0048</t>
  </si>
  <si>
    <t>Gogi Nguyễn Tri Phương</t>
  </si>
  <si>
    <t>DA0049</t>
  </si>
  <si>
    <t>Gogi Phú Mỹ Hưng</t>
  </si>
  <si>
    <t>DA0050</t>
  </si>
  <si>
    <t>Gogi Trần Hưng Đạo</t>
  </si>
  <si>
    <t>DA0051</t>
  </si>
  <si>
    <t>Gogi Lê Văn Quới</t>
  </si>
  <si>
    <t>Gogi Parc Mall</t>
  </si>
  <si>
    <t>DA0053</t>
  </si>
  <si>
    <t>Gogi VC Đà Nẵng</t>
  </si>
  <si>
    <t>DA0054</t>
  </si>
  <si>
    <t>Gogi Nguyễn Văn Linh</t>
  </si>
  <si>
    <t>Làm lại mặt tiền đồng bộ KK, cải tạo nhỏ một số hạng mục</t>
  </si>
  <si>
    <t>DA0055</t>
  </si>
  <si>
    <t>Gogi Vincom Sóc Trăng</t>
  </si>
  <si>
    <t>DA0056</t>
  </si>
  <si>
    <t>Gogi Sensi City Cà Mau</t>
  </si>
  <si>
    <t>DA0057</t>
  </si>
  <si>
    <t>Gogi Hàm Nghi</t>
  </si>
  <si>
    <t>Gogi Trần Thái Tông</t>
  </si>
  <si>
    <t>DA0059</t>
  </si>
  <si>
    <t>Gogi Vạn Phúc Hà Đông</t>
  </si>
  <si>
    <t>Gogi Linh Đàm</t>
  </si>
  <si>
    <t>DA0061</t>
  </si>
  <si>
    <t>Gogi Tô Hiệu</t>
  </si>
  <si>
    <t>DA0062</t>
  </si>
  <si>
    <t>Gogi Võ Thị Sáu</t>
  </si>
  <si>
    <t>DA0063</t>
  </si>
  <si>
    <t>Gogi Tây Ninh</t>
  </si>
  <si>
    <t>OPS đổi PA thi công không đóng cửa nên chờ duyệt lại chi phí</t>
  </si>
  <si>
    <t>DA0064</t>
  </si>
  <si>
    <t>Gogi VC Biên Hòa ĐN</t>
  </si>
  <si>
    <t>DA0066</t>
  </si>
  <si>
    <t>Gogi Vĩnh Yên</t>
  </si>
  <si>
    <t>Thay biển, sửa một vài hạng mục nhỏ bên trong</t>
  </si>
  <si>
    <t>DA0067</t>
  </si>
  <si>
    <t>30GG4131</t>
  </si>
  <si>
    <t>Gogi Phú Thọ</t>
  </si>
  <si>
    <t>Thay biển</t>
  </si>
  <si>
    <t>DA0069</t>
  </si>
  <si>
    <t>Gogi VC Hạ Long QN</t>
  </si>
  <si>
    <t>DA0070</t>
  </si>
  <si>
    <t>Gogi Time Garden HL QN</t>
  </si>
  <si>
    <t>DA0071</t>
  </si>
  <si>
    <t>Gogi Cao Lãnh - Đồng Tháp</t>
  </si>
  <si>
    <t>DA0072</t>
  </si>
  <si>
    <t>Gogi Mỹ Tho - Tiền Giang</t>
  </si>
  <si>
    <t>DA0073</t>
  </si>
  <si>
    <t>Gogi Vincom Long Xuyên</t>
  </si>
  <si>
    <t>DA0074</t>
  </si>
  <si>
    <t>Gogi Nguyễn Kim BD</t>
  </si>
  <si>
    <t>DA0075</t>
  </si>
  <si>
    <t>Gogi VC Buôn Mê Thuột</t>
  </si>
  <si>
    <t>DA0076</t>
  </si>
  <si>
    <t>Gogi Nguyễn Kim Gia Lai</t>
  </si>
  <si>
    <t>DA0077</t>
  </si>
  <si>
    <t>Gogi Kon Tum</t>
  </si>
  <si>
    <t>DA0078</t>
  </si>
  <si>
    <t>Gogi Đường 30/4 BD</t>
  </si>
  <si>
    <t>DA0079</t>
  </si>
  <si>
    <t>Gogi Aeon Mall BD</t>
  </si>
  <si>
    <t>DA0080</t>
  </si>
  <si>
    <t>Gogi Sora Bình Dương</t>
  </si>
  <si>
    <t>DA0081</t>
  </si>
  <si>
    <t>Gogi Ariyana Khánh Hòa</t>
  </si>
  <si>
    <t>sửa cùng đợt Kichi Khánh Hòa</t>
  </si>
  <si>
    <t>DA0082</t>
  </si>
  <si>
    <t>Gogi Lotte Nha Trang</t>
  </si>
  <si>
    <t>DA0083</t>
  </si>
  <si>
    <t>Gogi Estella Song Hành</t>
  </si>
  <si>
    <t>DA0084</t>
  </si>
  <si>
    <t>Gogi Nguyễn Hồng Đào</t>
  </si>
  <si>
    <t>·       Thiết kế lại toàn bộ diện mạo mặt tiền. ( yêu cầu nổi bật so với mặt tiền hiện trạng )
·       Thiết kế phương án Cosmetic trong nhà hàng . ( vật liệu, ánh sáng, nội thất, chi tiết décor .v.v…)
Aota/91studio/Sawadee.</t>
  </si>
  <si>
    <t>DA0085</t>
  </si>
  <si>
    <t>Gogi Tân Sơn Nhì</t>
  </si>
  <si>
    <t>DA0086</t>
  </si>
  <si>
    <t>Gogi VC Lê Văn Việt</t>
  </si>
  <si>
    <t>DA0087</t>
  </si>
  <si>
    <t>Gogi VC Nguyễn Xí</t>
  </si>
  <si>
    <t>DA0088</t>
  </si>
  <si>
    <t>DA0089</t>
  </si>
  <si>
    <t>Gogi Yên Bái</t>
  </si>
  <si>
    <t>Nhà lắp ghép. 11/02 anh Vương gửi lại thông tin về kết cấu này</t>
  </si>
  <si>
    <t>DA0090</t>
  </si>
  <si>
    <t>Gogi Aeon Thanh Hóa</t>
  </si>
  <si>
    <t>DA0091</t>
  </si>
  <si>
    <t>Gogi Aeon Hạ Long</t>
  </si>
  <si>
    <t>Gogi Hanoi Center (Mặt tiền)</t>
  </si>
  <si>
    <t>Mặt tiền</t>
  </si>
  <si>
    <t>reno</t>
  </si>
  <si>
    <t>Gogi Go Thăng Long (Mặt tiền)</t>
  </si>
  <si>
    <t>Gogi Nguyễn Thị Thập Q7</t>
  </si>
  <si>
    <t>Gogi Nguyễn Văn Cừ</t>
  </si>
  <si>
    <t>thiết kế inhouse</t>
  </si>
  <si>
    <t>Gogi Xuân La</t>
  </si>
  <si>
    <t>NW không deal được hợp đồng thuê=&gt; hủy dự án</t>
  </si>
  <si>
    <t>30GGNEW07</t>
  </si>
  <si>
    <t>Gogi Lotte Q11</t>
  </si>
  <si>
    <t>Gogi Aeon Hải Dương</t>
  </si>
  <si>
    <t>Gogi Phan Xích Long</t>
  </si>
  <si>
    <t>Gogi Go Trường Chinh</t>
  </si>
  <si>
    <t>Isushi Aeon Mall Tân Phú</t>
  </si>
  <si>
    <t>13/3 họp kickoff, đang tiến hành xin phép</t>
  </si>
  <si>
    <t>DA0156</t>
  </si>
  <si>
    <t>Isushi Thái Hà</t>
  </si>
  <si>
    <t>Cải tạo phòng VIP</t>
  </si>
  <si>
    <t>DA0166</t>
  </si>
  <si>
    <t>Chuyển vị trí</t>
  </si>
  <si>
    <t>Isushi 90 Trần Thái Tông</t>
  </si>
  <si>
    <t>30SSNEW17</t>
  </si>
  <si>
    <t>Isushi đường 2/9, Hải Châu, Đà Nẵng</t>
  </si>
  <si>
    <t>SS0006</t>
  </si>
  <si>
    <t>Isushi Hoàng Đạo Thúy</t>
  </si>
  <si>
    <t>Mặt tiền, làm bên trong</t>
  </si>
  <si>
    <t>SS0007</t>
  </si>
  <si>
    <t>Isushi Aeon Mall Hạ Long</t>
  </si>
  <si>
    <t>SS0008</t>
  </si>
  <si>
    <t>Isushi - Phan Đình Phùng</t>
  </si>
  <si>
    <t> cải tạo lắp đặt mái tôn và chống thấm</t>
  </si>
  <si>
    <t>DA0112</t>
  </si>
  <si>
    <t>Kichi Hanoi Center</t>
  </si>
  <si>
    <t>Kichi</t>
  </si>
  <si>
    <t>Kichi Aeon Thanh Khê Đà Nẵng</t>
  </si>
  <si>
    <t>Kichi Vincom Trần Duy Hưng</t>
  </si>
  <si>
    <t>Flagships</t>
  </si>
  <si>
    <t>Kichi Vincom Đồng Khởi</t>
  </si>
  <si>
    <t>Kichi Phú Mỹ Hưng</t>
  </si>
  <si>
    <t>Kichi Nguyễn Sơn</t>
  </si>
  <si>
    <t>Làm lại mặt tiền/ thay toàn bộ tôn chống dột, sơn sửa trần vách FOH, trần bếp</t>
  </si>
  <si>
    <t>Kichi Nguyễn Xí</t>
  </si>
  <si>
    <t>làm lại mặt tiền/ kết hợp reno chống thấm bếp =&gt; hiện tại đã thấm xuống hầm xe tòa nhà</t>
  </si>
  <si>
    <t>Kichi Cao Thắng</t>
  </si>
  <si>
    <t>6/1 nhận thông báo nhà thầu, 8/1 họp kichoff, đầu tuần nhà thầu cập nhật BOQ và báo lại tiến độ thi công</t>
  </si>
  <si>
    <t>Kichi Tây Ninh</t>
  </si>
  <si>
    <t>Ngân sách reno 1,5 tỷ</t>
  </si>
  <si>
    <t>Kichi Aeon Huế</t>
  </si>
  <si>
    <t>Cải tạo tăng nhận diện, thêm quầy line, thêm vách ra chuyền, thêm vách hành lang, lắp thêm bàn gia đình</t>
  </si>
  <si>
    <t>Kichi Nguyễn Duy Trinh</t>
  </si>
  <si>
    <t>Làm lại mặt tiền, chống dột thấm trần</t>
  </si>
  <si>
    <t>Kichi Vincom Long Xuyen An Giang</t>
  </si>
  <si>
    <t>Layout lại khu bếp, cải tạo quầy line</t>
  </si>
  <si>
    <t>Kichi Mỹ Tho</t>
  </si>
  <si>
    <t>Làm mới mặt tiền, menu board. Sửa trần dột + cải tạo quầy BF line</t>
  </si>
  <si>
    <t>Kichi Đường 30/4 BD</t>
  </si>
  <si>
    <t>Làm mới vách, cột, quầy bar/thu ngân</t>
  </si>
  <si>
    <t>Kichi Tân Sơn Nhì</t>
  </si>
  <si>
    <t>TK báo tạm ngưng</t>
  </si>
  <si>
    <t>Kichi Nguyễn Ảnh Thủ 2</t>
  </si>
  <si>
    <t>Kichi Phan Thiết</t>
  </si>
  <si>
    <t>Kichi Nguyễn Thị Thập</t>
  </si>
  <si>
    <t>Kichi BigC Thủ Dầu Một</t>
  </si>
  <si>
    <t>DA0092</t>
  </si>
  <si>
    <t>Kichi Nguyễn Văn Linh</t>
  </si>
  <si>
    <t>DA0093</t>
  </si>
  <si>
    <t>DA0094</t>
  </si>
  <si>
    <t>Kichi Nguyễn Trãi HCM</t>
  </si>
  <si>
    <t>thi công và bàn giao  trước  tết</t>
  </si>
  <si>
    <t>DA0095</t>
  </si>
  <si>
    <t>Kichi Trần Não HCM</t>
  </si>
  <si>
    <t>DA0096</t>
  </si>
  <si>
    <t>Kichi Nguyễn Văn Lạc BT</t>
  </si>
  <si>
    <t>DA0097</t>
  </si>
  <si>
    <t>Kichi Đặng Văn Bi</t>
  </si>
  <si>
    <t>DA0098</t>
  </si>
  <si>
    <t>Kichi Huỳnh Tấn Phát</t>
  </si>
  <si>
    <t>DA0099</t>
  </si>
  <si>
    <t>Kichi Sư Vạn Hạnh</t>
  </si>
  <si>
    <t>DA0100</t>
  </si>
  <si>
    <t>Kichi Nguyễn Hồng Đào (Mặt tiền)</t>
  </si>
  <si>
    <t>DA0101</t>
  </si>
  <si>
    <t>Kichi Phan Huy Ích</t>
  </si>
  <si>
    <t>DA0102</t>
  </si>
  <si>
    <t>Kichi Bình Phú</t>
  </si>
  <si>
    <t>DA0103</t>
  </si>
  <si>
    <t>Kichi Nguyễn Văn Quá</t>
  </si>
  <si>
    <t>DA0104</t>
  </si>
  <si>
    <t>Kichi DDS7 Bình Tân</t>
  </si>
  <si>
    <t>DA0105</t>
  </si>
  <si>
    <t>Kichi Lê Thị Hà</t>
  </si>
  <si>
    <t>DA0116</t>
  </si>
  <si>
    <t>Kichi Phan Xích Long</t>
  </si>
  <si>
    <t>DA0117</t>
  </si>
  <si>
    <t>DA0118</t>
  </si>
  <si>
    <t>Kichi Aeon Tân Phú</t>
  </si>
  <si>
    <t>DA0119</t>
  </si>
  <si>
    <t>Kichi Aeon Bình Tân</t>
  </si>
  <si>
    <t>DA0120</t>
  </si>
  <si>
    <t>DA0121</t>
  </si>
  <si>
    <t>Kichi Royal city</t>
  </si>
  <si>
    <t>Kichi Trà Vinh</t>
  </si>
  <si>
    <t>Kichi Trần Nhân Tông, Phan Rang, Ninh Thuận</t>
  </si>
  <si>
    <t>Kichi Metropolis Liễu Giai</t>
  </si>
  <si>
    <t>Kichi VC Sóc Trăng</t>
  </si>
  <si>
    <t>Kichi Lacasta Văn Phú</t>
  </si>
  <si>
    <t>Kichi Aeon Thanh Hóa</t>
  </si>
  <si>
    <t>Kichi Aeon Hạ Long</t>
  </si>
  <si>
    <t>Kichi Sư Vạn Hạnh (Nội thất)</t>
  </si>
  <si>
    <t>Nội thất bên trong</t>
  </si>
  <si>
    <t>Kichi Nguyễn Ảnh Thủ 2 (Nội thất)</t>
  </si>
  <si>
    <t>Kichi Nguyễn Hồng Đào (Nội thất)</t>
  </si>
  <si>
    <t>Kichi Nguyễn Trãi HCM (Nội thất)</t>
  </si>
  <si>
    <t>Kichi Aeon Hải Dương</t>
  </si>
  <si>
    <t>Kichi Quảng Ngãi</t>
  </si>
  <si>
    <t>Manwah Aeon Thanh Khê Đà Nẵng</t>
  </si>
  <si>
    <t>DA0109</t>
  </si>
  <si>
    <t>30MWNEW7</t>
  </si>
  <si>
    <t>Manwah Grand Park Q9</t>
  </si>
  <si>
    <t>In progress</t>
  </si>
  <si>
    <t>Manwah Vincom Đà Nẵng</t>
  </si>
  <si>
    <t>Cải tạo thêm phòng VIP</t>
  </si>
  <si>
    <t>nhà thầu đang xin phép với tòa nhà, qua tết triển khai</t>
  </si>
  <si>
    <t>MANWAH LOTTE CẦN THƠ</t>
  </si>
  <si>
    <t>Manwah Aeon Hạ Long</t>
  </si>
  <si>
    <t>MW0011</t>
  </si>
  <si>
    <t>Chống thấm</t>
  </si>
  <si>
    <t>MW0012</t>
  </si>
  <si>
    <t>Manwah The Garden Mall</t>
  </si>
  <si>
    <t>MW0013</t>
  </si>
  <si>
    <t>Manwah An Giang</t>
  </si>
  <si>
    <t>cải tạo mặt tiền, làm mới hệ tủ quầy, layout lại BOH,...</t>
  </si>
  <si>
    <t>Sumo BBQ Aeonmall Long Biên</t>
  </si>
  <si>
    <t>Sumo</t>
  </si>
  <si>
    <t>DA0135</t>
  </si>
  <si>
    <t>Lách Tách IPH</t>
  </si>
  <si>
    <t>Lách Cách</t>
  </si>
  <si>
    <t>DA0138</t>
  </si>
  <si>
    <t>UT Sư Vạn Hạnh</t>
  </si>
  <si>
    <t>ĐTXD thông báo 16/3/26, họp kickoff báo lại tiến độ</t>
  </si>
  <si>
    <t>DA0147</t>
  </si>
  <si>
    <t>LCLC Cao Thắng</t>
  </si>
  <si>
    <t>DA0152</t>
  </si>
  <si>
    <t>convert từ Hàng Cuốn</t>
  </si>
  <si>
    <t>DA0003</t>
  </si>
  <si>
    <t>Cloud Pot Aeon Thanh Khê Đà Nẵng</t>
  </si>
  <si>
    <t>Cloud Pot</t>
  </si>
  <si>
    <t>DA0009</t>
  </si>
  <si>
    <t>Daruma Nguyễn Văn Lộc</t>
  </si>
  <si>
    <t>Cải tạo tầng 2 khu vực ko sử dụng</t>
  </si>
  <si>
    <t>Phở Inn Thái Phiên</t>
  </si>
  <si>
    <t>Phở Inn</t>
  </si>
  <si>
    <t>YuTang Lotte Cần Thơ</t>
  </si>
  <si>
    <t>Sakura</t>
  </si>
  <si>
    <t>Global</t>
  </si>
  <si>
    <t>pass</t>
  </si>
  <si>
    <t>MamMam Kenya</t>
  </si>
  <si>
    <t>MamMam</t>
  </si>
  <si>
    <t>Wow Yakiniku Kenya</t>
  </si>
  <si>
    <t>10IPNOBUD01</t>
  </si>
  <si>
    <t>Phở Inn ga T1 Sân bay Nội Bài</t>
  </si>
  <si>
    <t>Vướng xin phép thi công</t>
  </si>
  <si>
    <t>Văn phòng BOM và HOD</t>
  </si>
  <si>
    <t>Others</t>
  </si>
  <si>
    <t>DA0065</t>
  </si>
  <si>
    <t>Union Pizza Thái Hà</t>
  </si>
  <si>
    <t>Convert từ TCH</t>
  </si>
  <si>
    <t>Canteen Đại học Đại Nam</t>
  </si>
  <si>
    <t>Canteen</t>
  </si>
  <si>
    <t>Relocation</t>
  </si>
  <si>
    <t>Yutang Đà Lạt</t>
  </si>
  <si>
    <t>Kpub Phan Xích Long</t>
  </si>
  <si>
    <t>Cải tạo</t>
  </si>
  <si>
    <t>Kpub</t>
  </si>
  <si>
    <t>DA0108</t>
  </si>
  <si>
    <t>DA0110</t>
  </si>
  <si>
    <t>SushiX Grand Park Q9</t>
  </si>
  <si>
    <t>DA0154</t>
  </si>
  <si>
    <t>DA0157</t>
  </si>
  <si>
    <t>Wow Yakiniku Lotte Gò Vấp</t>
  </si>
  <si>
    <t>Convert 1 phần từ Isushi, chung BOH</t>
  </si>
  <si>
    <t>DA0159</t>
  </si>
  <si>
    <t>Ashima Thiso Mall Q2</t>
  </si>
  <si>
    <t>DA0160</t>
  </si>
  <si>
    <t>Cloud Pot Thiso Mall Q2</t>
  </si>
  <si>
    <t>DA0162</t>
  </si>
  <si>
    <t>SushiX Thiso Mall Q2</t>
  </si>
  <si>
    <t>DA0163</t>
  </si>
  <si>
    <t>Sumo Thiso Mall Q2</t>
  </si>
  <si>
    <t>DA0164</t>
  </si>
  <si>
    <t>Wow Yakiniku Thiso Mall Q2</t>
  </si>
  <si>
    <t>DA0165</t>
  </si>
  <si>
    <t>Shogun Nguyễn Văn Lộc</t>
  </si>
  <si>
    <t>Cải tạo lại mặt tiền</t>
  </si>
  <si>
    <t>Cloud Pot DDS7 Bình Tân</t>
  </si>
  <si>
    <t>Sumo Grand Park Q9</t>
  </si>
  <si>
    <t>Wow Yakiniku Grand Park Q9</t>
  </si>
  <si>
    <t>Chixmax</t>
  </si>
  <si>
    <t>Ashima Metropolis Liễu Giai</t>
  </si>
  <si>
    <t>Chả Cá Go Thăng Long</t>
  </si>
  <si>
    <t>Convert từ Bập Bùng</t>
  </si>
  <si>
    <t>Mama's Bakery Aeon Long Biên</t>
  </si>
  <si>
    <t>Mama</t>
  </si>
  <si>
    <t>Wow Yakiniku Aeon Long Biên</t>
  </si>
  <si>
    <t>Yutang Grand Park Q9</t>
  </si>
  <si>
    <t>Wow Yakiniku Go Thăng Long</t>
  </si>
  <si>
    <t>Union Pizza Trung Hòa Nhân Chính</t>
  </si>
  <si>
    <t>Ashima Aeon Hà Đông</t>
  </si>
  <si>
    <t>Sumo Văn Phú</t>
  </si>
  <si>
    <t>Crystal Jade Xuân Khánh Cần Thơ</t>
  </si>
  <si>
    <t>On hold</t>
  </si>
  <si>
    <t>Thiết kế Office, Canteen  RnD cho NFF Tiên Tiến</t>
  </si>
  <si>
    <t>Chixmax Aeon Hà Đông</t>
  </si>
  <si>
    <t>Cloudpot Phan Xích Long</t>
  </si>
  <si>
    <t>CẢI TẠO THÔNG GIÓ TẦNG 3</t>
  </si>
  <si>
    <t>Thay biển bảng</t>
  </si>
  <si>
    <t>WoW Yakiniku Duy Tân</t>
  </si>
  <si>
    <t>Cloudpot Giga Mall</t>
  </si>
  <si>
    <t>Ánh sáng đa điểm</t>
  </si>
  <si>
    <t>Nhà máy chế biến thực phẩm Hòa Bình</t>
  </si>
  <si>
    <t>Ashima Triệu Việt Vương</t>
  </si>
  <si>
    <t>Ashima Giang Văn Minh</t>
  </si>
  <si>
    <t>Bổ sung thêm đèn</t>
  </si>
  <si>
    <t>WoW Yakiniku Times City</t>
  </si>
  <si>
    <t>Thi công bổ sung máy lạnh</t>
  </si>
  <si>
    <t>Wow Yakiniku Lotte Võ Chí Công</t>
  </si>
  <si>
    <t>Canteen FTU</t>
  </si>
  <si>
    <t>cải tạo khu indoor, outdoor và minimart</t>
  </si>
  <si>
    <t>Mama's Bakery Aeon Hà Đông</t>
  </si>
  <si>
    <t>Yutang BigC Thủ Dầu Một</t>
  </si>
  <si>
    <t>Chixmax Kenya</t>
  </si>
  <si>
    <t>Pizza 360 Go Thăng Long</t>
  </si>
  <si>
    <t>Convert từ Chả cá</t>
  </si>
  <si>
    <t>Chixmax Aeon Hải Dương</t>
  </si>
  <si>
    <t>CLOUD POT BIGC ĐỒNG NAI</t>
  </si>
  <si>
    <t>Đang xin phép</t>
  </si>
  <si>
    <t>NgonYa Trung Hòa</t>
  </si>
  <si>
    <t>Cải tạo hình ảnh mặt tiền và đề xuất cosmetic nội thất</t>
  </si>
  <si>
    <t>WOW Aeon Bình Tân</t>
  </si>
  <si>
    <t>Convert từ Bluebay</t>
  </si>
  <si>
    <t>10WMNEW01</t>
  </si>
  <si>
    <t>Woomaster Aeon Hà Đông</t>
  </si>
  <si>
    <t>Woomaster</t>
  </si>
  <si>
    <t>Tình trạng (network)</t>
  </si>
  <si>
    <t>Tình trạng (PMO)</t>
  </si>
  <si>
    <t>Code from network + PMO</t>
  </si>
  <si>
    <t>Vlookup code master</t>
  </si>
  <si>
    <t>6060102</t>
  </si>
  <si>
    <t>1010906</t>
  </si>
  <si>
    <t>Tên site</t>
  </si>
  <si>
    <t>x</t>
  </si>
  <si>
    <t>ACTUAL</t>
  </si>
  <si>
    <t>Openning date (type)</t>
  </si>
  <si>
    <t>Actual</t>
  </si>
  <si>
    <t>Forecast</t>
  </si>
  <si>
    <t>Closing date (type)</t>
  </si>
  <si>
    <t>Jan</t>
  </si>
  <si>
    <t>Feb</t>
  </si>
  <si>
    <t>March</t>
  </si>
  <si>
    <t>April</t>
  </si>
  <si>
    <t>June</t>
  </si>
  <si>
    <t>July</t>
  </si>
  <si>
    <t>August</t>
  </si>
  <si>
    <t xml:space="preserve">Openning date </t>
  </si>
  <si>
    <t>Sept</t>
  </si>
  <si>
    <t>Oct</t>
  </si>
  <si>
    <t>Nov</t>
  </si>
  <si>
    <t>Dec</t>
  </si>
  <si>
    <t>No of stores</t>
  </si>
  <si>
    <t>May</t>
  </si>
  <si>
    <t xml:space="preserve"> </t>
  </si>
  <si>
    <t>Đã thiết kế nhưng bị mall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</si>
</sst>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1010000]d/m/yyyy;@"/>
    <numFmt numFmtId="166" formatCode="dd/mm/yyyy;@"/>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Arial"/>
      <family val="2"/>
    </font>
    <font>
      <sz val="8"/>
      <color theme="1"/>
      <name val="Cambria"/>
      <family val="1"/>
    </font>
    <font>
      <b/>
      <sz val="8"/>
      <color theme="0"/>
      <name val="Cambria"/>
      <family val="1"/>
    </font>
    <font>
      <b/>
      <i/>
      <sz val="8"/>
      <color theme="0"/>
      <name val="Cambria"/>
      <family val="1"/>
    </font>
    <font>
      <b/>
      <sz val="8"/>
      <name val="Cambria"/>
      <family val="1"/>
    </font>
    <font>
      <sz val="11"/>
      <color theme="1"/>
      <name val="Lato"/>
      <family val="2"/>
    </font>
    <font>
      <sz val="8"/>
      <name val="Cambria"/>
      <family val="1"/>
    </font>
    <font>
      <b/>
      <sz val="9"/>
      <color indexed="81"/>
      <name val="Tahoma"/>
      <family val="2"/>
    </font>
    <font>
      <sz val="9"/>
      <color indexed="81"/>
      <name val="Tahoma"/>
      <family val="2"/>
    </font>
    <font>
      <b/>
      <u/>
      <sz val="8"/>
      <color theme="1"/>
      <name val="Cambria"/>
      <family val="1"/>
    </font>
    <font>
      <sz val="10"/>
      <color theme="1"/>
      <name val="Cambria"/>
      <family val="1"/>
    </font>
    <font>
      <sz val="10"/>
      <name val="Cambria"/>
      <family val="1"/>
    </font>
    <font>
      <b/>
      <i/>
      <sz val="10"/>
      <color theme="1"/>
      <name val="Cambria"/>
      <family val="1"/>
    </font>
    <font>
      <sz val="10"/>
      <color theme="1"/>
      <name val="Times New Roman"/>
      <family val="1"/>
    </font>
    <font>
      <b/>
      <sz val="10"/>
      <color theme="1"/>
      <name val="Times New Roman"/>
      <family val="1"/>
    </font>
    <font>
      <sz val="8"/>
      <color theme="1"/>
      <name val="Calibri"/>
      <family val="2"/>
      <scheme val="minor"/>
    </font>
    <font>
      <sz val="8"/>
      <color theme="1"/>
      <name val="Times New Roman"/>
      <family val="1"/>
    </font>
    <font>
      <b/>
      <sz val="8"/>
      <color theme="1"/>
      <name val="Times New Roman"/>
      <family val="1"/>
    </font>
    <font>
      <sz val="8"/>
      <name val="Times New Roman"/>
      <family val="1"/>
    </font>
    <font>
      <b/>
      <i/>
      <sz val="8"/>
      <color theme="1"/>
      <name val="Times New Roman"/>
      <family val="1"/>
    </font>
    <font>
      <sz val="9"/>
      <color indexed="81"/>
      <name val="Tahoma"/>
      <charset val="1"/>
    </font>
    <font>
      <b/>
      <sz val="9"/>
      <color indexed="81"/>
      <name val="Tahoma"/>
      <charset val="1"/>
    </font>
  </fonts>
  <fills count="8">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E2EFDA"/>
        <bgColor indexed="64"/>
      </patternFill>
    </fill>
    <fill>
      <patternFill patternType="solid">
        <fgColor theme="9" tint="0.79998168889431442"/>
        <bgColor theme="9"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rgb="FFA9D08E"/>
      </top>
      <bottom style="thin">
        <color rgb="FFA9D08E"/>
      </bottom>
      <diagonal/>
    </border>
    <border>
      <left/>
      <right/>
      <top style="thin">
        <color theme="9" tint="0.39997558519241921"/>
      </top>
      <bottom style="thin">
        <color theme="9" tint="0.3999755851924192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indexed="64"/>
      </bottom>
      <diagonal/>
    </border>
  </borders>
  <cellStyleXfs count="8">
    <xf numFmtId="0" fontId="0" fillId="0" borderId="0"/>
    <xf numFmtId="0" fontId="3" fillId="0" borderId="0"/>
    <xf numFmtId="164" fontId="1" fillId="0" borderId="0" applyFont="0" applyFill="0" applyBorder="0" applyAlignment="0" applyProtection="0"/>
    <xf numFmtId="164" fontId="1" fillId="0" borderId="0" applyFont="0" applyFill="0" applyBorder="0" applyAlignment="0" applyProtection="0"/>
    <xf numFmtId="164" fontId="8" fillId="0" borderId="0" applyFont="0" applyFill="0" applyBorder="0" applyAlignment="0" applyProtection="0"/>
    <xf numFmtId="164" fontId="3" fillId="0" borderId="0" applyFont="0" applyFill="0" applyBorder="0" applyAlignment="0" applyProtection="0"/>
    <xf numFmtId="0" fontId="1" fillId="0" borderId="0"/>
    <xf numFmtId="0" fontId="1" fillId="0" borderId="0"/>
  </cellStyleXfs>
  <cellXfs count="74">
    <xf numFmtId="0" fontId="0" fillId="0" borderId="0" xfId="0"/>
    <xf numFmtId="0" fontId="4" fillId="0" borderId="0" xfId="1" applyFont="1"/>
    <xf numFmtId="15" fontId="4" fillId="0" borderId="0" xfId="2" applyNumberFormat="1" applyFont="1"/>
    <xf numFmtId="165" fontId="4" fillId="0" borderId="0" xfId="2" applyNumberFormat="1" applyFont="1"/>
    <xf numFmtId="15" fontId="4" fillId="0" borderId="0" xfId="1" applyNumberFormat="1" applyFont="1"/>
    <xf numFmtId="0" fontId="5" fillId="2" borderId="0" xfId="0" applyFont="1" applyFill="1" applyAlignment="1">
      <alignment horizontal="left" vertical="center"/>
    </xf>
    <xf numFmtId="0" fontId="4" fillId="2" borderId="0" xfId="0" applyFont="1" applyFill="1"/>
    <xf numFmtId="165" fontId="4" fillId="2" borderId="0" xfId="0" applyNumberFormat="1" applyFont="1" applyFill="1"/>
    <xf numFmtId="17" fontId="6" fillId="2" borderId="0" xfId="0" applyNumberFormat="1" applyFont="1" applyFill="1" applyAlignment="1">
      <alignment horizontal="left" vertical="center"/>
    </xf>
    <xf numFmtId="164" fontId="4" fillId="0" borderId="0" xfId="3" applyFont="1" applyFill="1" applyBorder="1"/>
    <xf numFmtId="164" fontId="4" fillId="0" borderId="0" xfId="3" applyFont="1"/>
    <xf numFmtId="0" fontId="7" fillId="3" borderId="0" xfId="1" applyFont="1" applyFill="1" applyAlignment="1">
      <alignment horizontal="center" vertical="center" wrapText="1"/>
    </xf>
    <xf numFmtId="15" fontId="7" fillId="3" borderId="0" xfId="2" applyNumberFormat="1" applyFont="1" applyFill="1" applyAlignment="1">
      <alignment horizontal="center" vertical="center" wrapText="1"/>
    </xf>
    <xf numFmtId="165" fontId="7" fillId="3" borderId="0" xfId="2" applyNumberFormat="1" applyFont="1" applyFill="1" applyAlignment="1">
      <alignment horizontal="center" vertical="center" wrapText="1"/>
    </xf>
    <xf numFmtId="15" fontId="7" fillId="3" borderId="0" xfId="4" applyNumberFormat="1" applyFont="1" applyFill="1" applyBorder="1" applyAlignment="1">
      <alignment horizontal="center" vertical="center" wrapText="1"/>
    </xf>
    <xf numFmtId="15" fontId="7" fillId="3" borderId="0" xfId="5" applyNumberFormat="1" applyFont="1" applyFill="1" applyAlignment="1">
      <alignment horizontal="center" vertical="center" wrapText="1"/>
    </xf>
    <xf numFmtId="0" fontId="4" fillId="0" borderId="0" xfId="1" applyFont="1" applyAlignment="1">
      <alignment wrapText="1"/>
    </xf>
    <xf numFmtId="0" fontId="4" fillId="0" borderId="0" xfId="6" applyFont="1"/>
    <xf numFmtId="14" fontId="4" fillId="0" borderId="0" xfId="6" applyNumberFormat="1" applyFont="1"/>
    <xf numFmtId="165" fontId="4" fillId="0" borderId="0" xfId="6" applyNumberFormat="1" applyFont="1"/>
    <xf numFmtId="165" fontId="4" fillId="4" borderId="0" xfId="6" applyNumberFormat="1" applyFont="1" applyFill="1"/>
    <xf numFmtId="0" fontId="4" fillId="4" borderId="0" xfId="6" applyFont="1" applyFill="1"/>
    <xf numFmtId="14" fontId="4" fillId="4" borderId="0" xfId="6" applyNumberFormat="1" applyFont="1" applyFill="1"/>
    <xf numFmtId="0" fontId="4" fillId="4" borderId="0" xfId="1" applyFont="1" applyFill="1"/>
    <xf numFmtId="15" fontId="4" fillId="4" borderId="0" xfId="1" applyNumberFormat="1" applyFont="1" applyFill="1"/>
    <xf numFmtId="0" fontId="4" fillId="5" borderId="0" xfId="6" applyFont="1" applyFill="1"/>
    <xf numFmtId="14" fontId="4" fillId="5" borderId="0" xfId="6" applyNumberFormat="1" applyFont="1" applyFill="1"/>
    <xf numFmtId="165" fontId="4" fillId="5" borderId="0" xfId="6" applyNumberFormat="1" applyFont="1" applyFill="1"/>
    <xf numFmtId="0" fontId="4" fillId="5" borderId="0" xfId="1" applyFont="1" applyFill="1"/>
    <xf numFmtId="15" fontId="4" fillId="5" borderId="0" xfId="1" applyNumberFormat="1" applyFont="1" applyFill="1"/>
    <xf numFmtId="165" fontId="4" fillId="0" borderId="0" xfId="2" applyNumberFormat="1" applyFont="1" applyFill="1"/>
    <xf numFmtId="15" fontId="4" fillId="0" borderId="0" xfId="2" applyNumberFormat="1" applyFont="1" applyFill="1"/>
    <xf numFmtId="0" fontId="4" fillId="4" borderId="1" xfId="6" applyFont="1" applyFill="1" applyBorder="1"/>
    <xf numFmtId="165" fontId="4" fillId="4" borderId="0" xfId="2" applyNumberFormat="1" applyFont="1" applyFill="1"/>
    <xf numFmtId="15" fontId="4" fillId="4" borderId="0" xfId="2" applyNumberFormat="1" applyFont="1" applyFill="1"/>
    <xf numFmtId="0" fontId="4" fillId="6" borderId="2" xfId="6" applyFont="1" applyFill="1" applyBorder="1"/>
    <xf numFmtId="0" fontId="4" fillId="0" borderId="2" xfId="6" applyFont="1" applyBorder="1"/>
    <xf numFmtId="165" fontId="4" fillId="0" borderId="0" xfId="1" applyNumberFormat="1" applyFont="1"/>
    <xf numFmtId="0" fontId="4" fillId="0" borderId="0" xfId="7" applyFont="1"/>
    <xf numFmtId="0" fontId="4" fillId="0" borderId="0" xfId="0" applyFont="1"/>
    <xf numFmtId="0" fontId="4" fillId="0" borderId="1" xfId="6" applyFont="1" applyBorder="1"/>
    <xf numFmtId="49" fontId="4" fillId="0" borderId="0" xfId="1" applyNumberFormat="1" applyFont="1" applyAlignment="1">
      <alignment horizontal="left"/>
    </xf>
    <xf numFmtId="49" fontId="4" fillId="0" borderId="0" xfId="6" applyNumberFormat="1" applyFont="1" applyAlignment="1">
      <alignment horizontal="left"/>
    </xf>
    <xf numFmtId="0" fontId="4" fillId="0" borderId="0" xfId="6" quotePrefix="1" applyFont="1"/>
    <xf numFmtId="165" fontId="4" fillId="0" borderId="0" xfId="2" quotePrefix="1" applyNumberFormat="1" applyFont="1"/>
    <xf numFmtId="0" fontId="4" fillId="0" borderId="0" xfId="6" applyFont="1" applyAlignment="1">
      <alignment horizontal="left"/>
    </xf>
    <xf numFmtId="0" fontId="4" fillId="0" borderId="0" xfId="1" quotePrefix="1" applyFont="1"/>
    <xf numFmtId="49" fontId="4" fillId="0" borderId="0" xfId="0" applyNumberFormat="1" applyFont="1"/>
    <xf numFmtId="0" fontId="9" fillId="0" borderId="0" xfId="0" applyFont="1" applyAlignment="1">
      <alignment horizontal="left" vertical="center"/>
    </xf>
    <xf numFmtId="0" fontId="4" fillId="0" borderId="0" xfId="6" applyFont="1" applyAlignment="1">
      <alignment vertical="center"/>
    </xf>
    <xf numFmtId="0" fontId="0" fillId="7" borderId="3" xfId="0" applyFont="1" applyFill="1" applyBorder="1"/>
    <xf numFmtId="0" fontId="0" fillId="0" borderId="3" xfId="0" applyFont="1" applyBorder="1"/>
    <xf numFmtId="0" fontId="0" fillId="0" borderId="0" xfId="0" applyNumberFormat="1"/>
    <xf numFmtId="0" fontId="2" fillId="0" borderId="0" xfId="0" applyFont="1" applyAlignment="1">
      <alignment horizontal="center"/>
    </xf>
    <xf numFmtId="0" fontId="12" fillId="0" borderId="0" xfId="1" applyFont="1"/>
    <xf numFmtId="0" fontId="13" fillId="0" borderId="4" xfId="0" applyFont="1" applyBorder="1"/>
    <xf numFmtId="0" fontId="13" fillId="0" borderId="0" xfId="0" applyFont="1"/>
    <xf numFmtId="0" fontId="13" fillId="0" borderId="6" xfId="0" applyFont="1" applyBorder="1" applyAlignment="1">
      <alignment wrapText="1"/>
    </xf>
    <xf numFmtId="0" fontId="13" fillId="0" borderId="6" xfId="0" applyFont="1" applyBorder="1"/>
    <xf numFmtId="0" fontId="14" fillId="0" borderId="6" xfId="0" applyFont="1" applyBorder="1"/>
    <xf numFmtId="0" fontId="15" fillId="0" borderId="7" xfId="0" applyFont="1" applyBorder="1"/>
    <xf numFmtId="0" fontId="16" fillId="0" borderId="0" xfId="0" applyFont="1" applyAlignment="1">
      <alignment wrapText="1"/>
    </xf>
    <xf numFmtId="0" fontId="16" fillId="0" borderId="0" xfId="0" applyFont="1"/>
    <xf numFmtId="166" fontId="17" fillId="0" borderId="0" xfId="0" applyNumberFormat="1" applyFont="1" applyAlignment="1">
      <alignment wrapText="1"/>
    </xf>
    <xf numFmtId="0" fontId="18" fillId="0" borderId="0" xfId="0" applyFont="1"/>
    <xf numFmtId="15" fontId="19" fillId="0" borderId="0" xfId="0" applyNumberFormat="1" applyFont="1"/>
    <xf numFmtId="0" fontId="20" fillId="0" borderId="5" xfId="0" applyFont="1" applyBorder="1" applyAlignment="1">
      <alignment horizontal="center"/>
    </xf>
    <xf numFmtId="0" fontId="20" fillId="0" borderId="0" xfId="0" applyFont="1" applyFill="1" applyBorder="1" applyAlignment="1">
      <alignment horizontal="center"/>
    </xf>
    <xf numFmtId="0" fontId="19" fillId="0" borderId="0" xfId="0" applyFont="1" applyAlignment="1">
      <alignment wrapText="1"/>
    </xf>
    <xf numFmtId="166" fontId="20" fillId="0" borderId="0" xfId="0" applyNumberFormat="1" applyFont="1" applyAlignment="1">
      <alignment wrapText="1"/>
    </xf>
    <xf numFmtId="0" fontId="19" fillId="0" borderId="0" xfId="0" applyFont="1"/>
    <xf numFmtId="0" fontId="19" fillId="0" borderId="0" xfId="0" applyFont="1" applyAlignment="1">
      <alignment vertical="center"/>
    </xf>
    <xf numFmtId="0" fontId="21" fillId="0" borderId="0" xfId="0" applyFont="1"/>
    <xf numFmtId="0" fontId="22" fillId="0" borderId="8" xfId="0" applyFont="1" applyBorder="1"/>
  </cellXfs>
  <cellStyles count="8">
    <cellStyle name="Comma 2" xfId="2" xr:uid="{F507C090-B1F8-49C6-8E99-6FA65B1A2FAB}"/>
    <cellStyle name="Comma 2 2" xfId="3" xr:uid="{89A3DA69-7BC0-4954-8889-8E9839AEC8F6}"/>
    <cellStyle name="Comma 3" xfId="4" xr:uid="{C883EA4A-497E-43B2-BAF2-F765ED1B708E}"/>
    <cellStyle name="Comma 4 2" xfId="5" xr:uid="{D1A2067F-F8B4-4DD1-A9C5-3E8D2DBE05D1}"/>
    <cellStyle name="Normal" xfId="0" builtinId="0"/>
    <cellStyle name="Normal 2" xfId="6" xr:uid="{7D065147-05B8-4106-B92B-47B38CDE71EA}"/>
    <cellStyle name="Normal 5" xfId="7" xr:uid="{7D2D980F-71A7-4547-8E21-C9BB51CADAA2}"/>
    <cellStyle name="Normal 6 2" xfId="1" xr:uid="{AB2836EE-8557-4B00-A5E2-42B699E2E3B2}"/>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11" xr16:uid="{E6DDECF1-3BDB-4ECD-90CF-3B3239070C12}"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0" xr16:uid="{521C62FB-5E3A-4BC7-8ACD-DE4E9C153827}" autoFormatId="16" applyNumberFormats="0" applyBorderFormats="0" applyFontFormats="0" applyPatternFormats="0" applyAlignmentFormats="0" applyWidthHeightFormats="0">
  <queryTableRefresh nextId="53" unboundColumnsRight="1">
    <queryTableFields count="49">
      <queryTableField id="1" name="ID" tableColumnId="1"/>
      <queryTableField id="2" name="Code Budget" tableColumnId="2"/>
      <queryTableField id="4" name="Tên brand" tableColumnId="4"/>
      <queryTableField id="5" name="BU See" tableColumnId="5"/>
      <queryTableField id="6" name="Năm offer MB" tableColumnId="6"/>
      <queryTableField id="7" name="Quý offer MB" tableColumnId="7"/>
      <queryTableField id="8" name="Tháng offer MB" tableColumnId="8"/>
      <queryTableField id="9" name="Tháng Khai trương dự kiến" tableColumnId="9"/>
      <queryTableField id="10" name="Tháng Khai trương thực tế" tableColumnId="10"/>
      <queryTableField id="11" name="Vùng" tableColumnId="11"/>
      <queryTableField id="12" name="Miền" tableColumnId="12"/>
      <queryTableField id="13" name="Tỉnh, TP" tableColumnId="13"/>
      <queryTableField id="14" name="Mã tỉnh 2024" tableColumnId="14"/>
      <queryTableField id="15" name="Quận, huyện" tableColumnId="15"/>
      <queryTableField id="16" name="Phường, xã" tableColumnId="16"/>
      <queryTableField id="17" name="Trục đường chính" tableColumnId="17"/>
      <queryTableField id="18" name="Loại hình" tableColumnId="18"/>
      <queryTableField id="19" name="Mặt tiền_x000a_(m)" tableColumnId="19"/>
      <queryTableField id="20" name="Mặt tiền_x000a_(chuẩn hóa)" tableColumnId="20"/>
      <queryTableField id="21" name="Diện tích_x000a_(m2)" tableColumnId="21"/>
      <queryTableField id="22" name="Diện tích_x000a_(chuẩn hóa)" tableColumnId="22"/>
      <queryTableField id="23" name="Số lượng site plan" tableColumnId="23"/>
      <queryTableField id="24" name="Plan/out of plan" tableColumnId="24"/>
      <queryTableField id="25" name="Tên mall/site" tableColumnId="25"/>
      <queryTableField id="26" name="Tên mall_x000a_(chuẩn hóa)" tableColumnId="26"/>
      <queryTableField id="27" name="Giá thuê lấy từ std format" tableColumnId="27"/>
      <queryTableField id="28" name="Giá thuê mong muốn" tableColumnId="28"/>
      <queryTableField id="29" name="New/Convert/Share" tableColumnId="29"/>
      <queryTableField id="30" name="Tình trạng" tableColumnId="30"/>
      <queryTableField id="31" name="Ngày ký HĐ" tableColumnId="31"/>
      <queryTableField id="32" name="Count" tableColumnId="32"/>
      <queryTableField id="33" name="Ghi chú" tableColumnId="33"/>
      <queryTableField id="34" name="Phường tự thêm" tableColumnId="34"/>
      <queryTableField id="35" name="Viết tắt brand" tableColumnId="35"/>
      <queryTableField id="36" name="Date" tableColumnId="36"/>
      <queryTableField id="37" name="Tháng offer" tableColumnId="37"/>
      <queryTableField id="38" name="Address" tableColumnId="38"/>
      <queryTableField id="39" name="Địa chỉ đầy đủ" tableColumnId="39"/>
      <queryTableField id="40" name="Mã phường 2024" tableColumnId="40"/>
      <queryTableField id="41" name="Brand and Type format" tableColumnId="41"/>
      <queryTableField id="42" name="Key" tableColumnId="42"/>
      <queryTableField id="43" name="Mật độ tầng lớp tiêu dùng người/km2" tableColumnId="43"/>
      <queryTableField id="44" name="Ranking phường theo tỉnh 2024" tableColumnId="44"/>
      <queryTableField id="45" name="Ranking phường toàn quốc 2024" tableColumnId="45"/>
      <queryTableField id="46" name="Số lượng cửa hàng hoạt động" tableColumnId="46"/>
      <queryTableField id="47" name="Ranking theo brands" tableColumnId="47"/>
      <queryTableField id="48" name="Daily Sales forecast (mil) - NW" tableColumnId="48"/>
      <queryTableField id="49" name="Giá thuê" tableColumnId="49"/>
      <queryTableField id="52" dataBound="0" tableColumnId="5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1664B5D2-D05E-41E4-A3FA-0A2D5D7E28E5}" autoFormatId="16" applyNumberFormats="0" applyBorderFormats="0" applyFontFormats="0" applyPatternFormats="0" applyAlignmentFormats="0" applyWidthHeightFormats="0">
  <queryTableRefresh nextId="35">
    <queryTableFields count="34">
      <queryTableField id="1" name="Region" tableColumnId="1"/>
      <queryTableField id="2" name="SBU" tableColumnId="2"/>
      <queryTableField id="3" name="BR" tableColumnId="3"/>
      <queryTableField id="4" name="PC BUD" tableColumnId="4"/>
      <queryTableField id="5" name="PC" tableColumnId="5"/>
      <queryTableField id="6" name="Đã đổ fund" tableColumnId="6"/>
      <queryTableField id="7" name="Store" tableColumnId="7"/>
      <queryTableField id="8" name="Ngày dự kiến khới công" tableColumnId="8"/>
      <queryTableField id="9" name="Ngày dự kiến có sales trở lại" tableColumnId="9"/>
      <queryTableField id="10" name="Note" tableColumnId="10"/>
      <queryTableField id="11" name="Convert from" tableColumnId="11"/>
      <queryTableField id="12" name="FM" tableColumnId="12"/>
      <queryTableField id="13" name="Status" tableColumnId="13"/>
      <queryTableField id="14" name="Thời điểm trình" tableColumnId="14"/>
      <queryTableField id="15" name="CAPEX + Pre Op Ex" tableColumnId="15"/>
      <queryTableField id="16" name="CAPEX for consider" tableColumnId="16"/>
      <queryTableField id="17" name="Pre - Opening and Restoring exp " tableColumnId="17"/>
      <queryTableField id="18" name="NSO" tableColumnId="18"/>
      <queryTableField id="19" name="Convert" tableColumnId="19"/>
      <queryTableField id="20" name="Reno" tableColumnId="20"/>
      <queryTableField id="21" name="Chi phí thiết kế" tableColumnId="21"/>
      <queryTableField id="22" name="Dự án CĐS" tableColumnId="22"/>
      <queryTableField id="23" name="CCDC" tableColumnId="23"/>
      <queryTableField id="24" name="Note_1" tableColumnId="24"/>
      <queryTableField id="25" name="Forecast Sales per FM" tableColumnId="25"/>
      <queryTableField id="26" name="BE Sales per FM" tableColumnId="26"/>
      <queryTableField id="27" name="CM per FM" tableColumnId="27"/>
      <queryTableField id="28" name="UC per FM" tableColumnId="28"/>
      <queryTableField id="29" name="Link FM" tableColumnId="29"/>
      <queryTableField id="30" name="Status_2" tableColumnId="30"/>
      <queryTableField id="31" name="Total Capex" tableColumnId="31"/>
      <queryTableField id="32" name="Total Capex exclude Other Exp" tableColumnId="32"/>
      <queryTableField id="33" name="Status_1" tableColumnId="33"/>
      <queryTableField id="34" name="Column31" tableColumnId="3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3ADFF252-26B8-4913-8DA9-1A8BFF90E6FD}" autoFormatId="16" applyNumberFormats="0" applyBorderFormats="0" applyFontFormats="0" applyPatternFormats="0" applyAlignmentFormats="0" applyWidthHeightFormats="0">
  <queryTableRefresh nextId="31">
    <queryTableFields count="30">
      <queryTableField id="1" name="Region" tableColumnId="1"/>
      <queryTableField id="2" name="SBU" tableColumnId="2"/>
      <queryTableField id="3" name="BR" tableColumnId="3"/>
      <queryTableField id="4" name="PC BUD" tableColumnId="4"/>
      <queryTableField id="5" name="PC" tableColumnId="5"/>
      <queryTableField id="6" name="Store" tableColumnId="6"/>
      <queryTableField id="7" name="Ngày dự kiến khới công" tableColumnId="7"/>
      <queryTableField id="8" name="Ngày dự kiến có sales trở lại" tableColumnId="8"/>
      <queryTableField id="9" name="Convert from" tableColumnId="9"/>
      <queryTableField id="10" name="FM" tableColumnId="10"/>
      <queryTableField id="11" name="Status" tableColumnId="11"/>
      <queryTableField id="12" name="Thời điểm trình" tableColumnId="12"/>
      <queryTableField id="13" name="CAPEX + Pre Op Ex" tableColumnId="13"/>
      <queryTableField id="14" name="CAPEX for consider" tableColumnId="14"/>
      <queryTableField id="15" name="Pre - Opening and Restoring exp " tableColumnId="15"/>
      <queryTableField id="16" name="NSO" tableColumnId="16"/>
      <queryTableField id="17" name="Convert" tableColumnId="17"/>
      <queryTableField id="18" name="Reno" tableColumnId="18"/>
      <queryTableField id="19" name="Chi phí thiết kế" tableColumnId="19"/>
      <queryTableField id="20" name="Dự án CĐS" tableColumnId="20"/>
      <queryTableField id="21" name="CCDC" tableColumnId="21"/>
      <queryTableField id="22" name="Total Capex" tableColumnId="22"/>
      <queryTableField id="23" name="Total Capex exclude Other Exp" tableColumnId="23"/>
      <queryTableField id="24" name="Note" tableColumnId="24"/>
      <queryTableField id="25" name="Forecast Sales per FM" tableColumnId="25"/>
      <queryTableField id="26" name="BE Sales per FM" tableColumnId="26"/>
      <queryTableField id="27" name="CM per FM" tableColumnId="27"/>
      <queryTableField id="28" name="UC per FM" tableColumnId="28"/>
      <queryTableField id="29" name="Link FM" tableColumnId="29"/>
      <queryTableField id="30" name="Status_1" tableColumnId="3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D932A5F-9A78-4FE7-ACBB-62F16A11B388}" autoFormatId="16" applyNumberFormats="0" applyBorderFormats="0" applyFontFormats="0" applyPatternFormats="0" applyAlignmentFormats="0" applyWidthHeightFormats="0">
  <queryTableRefresh nextId="32">
    <queryTableFields count="31">
      <queryTableField id="1" name="Region" tableColumnId="1"/>
      <queryTableField id="2" name="SBU" tableColumnId="2"/>
      <queryTableField id="3" name="BR" tableColumnId="3"/>
      <queryTableField id="4" name="PC BUD" tableColumnId="4"/>
      <queryTableField id="5" name="PC" tableColumnId="5"/>
      <queryTableField id="6" name="Store" tableColumnId="6"/>
      <queryTableField id="7" name="Ngày dự kiến khới công" tableColumnId="7"/>
      <queryTableField id="8" name="Ngày dự kiến có sales trở lại" tableColumnId="8"/>
      <queryTableField id="9" name="Convert from" tableColumnId="9"/>
      <queryTableField id="10" name="FM" tableColumnId="10"/>
      <queryTableField id="11" name="Status" tableColumnId="11"/>
      <queryTableField id="12" name="Thời điểm trình" tableColumnId="12"/>
      <queryTableField id="13" name="CAPEX + Pre Op Ex" tableColumnId="13"/>
      <queryTableField id="14" name="CAPEX for consider" tableColumnId="14"/>
      <queryTableField id="15" name="Pre - Opening and Restoring exp " tableColumnId="15"/>
      <queryTableField id="16" name="NSO" tableColumnId="16"/>
      <queryTableField id="17" name="Convert" tableColumnId="17"/>
      <queryTableField id="18" name="Reno" tableColumnId="18"/>
      <queryTableField id="19" name="Chi phí thiết kế" tableColumnId="19"/>
      <queryTableField id="20" name="Dự án CĐS" tableColumnId="20"/>
      <queryTableField id="21" name="CCDC" tableColumnId="21"/>
      <queryTableField id="22" name="Total Capex" tableColumnId="22"/>
      <queryTableField id="23" name="Total Capex exclude Other Exp" tableColumnId="23"/>
      <queryTableField id="24" name="Note" tableColumnId="24"/>
      <queryTableField id="25" name="Forecast Sales per FM" tableColumnId="25"/>
      <queryTableField id="26" name="BE Sales per FM" tableColumnId="26"/>
      <queryTableField id="27" name="CM per FM" tableColumnId="27"/>
      <queryTableField id="28" name="UC per FM" tableColumnId="28"/>
      <queryTableField id="29" name="Link FM" tableColumnId="29"/>
      <queryTableField id="30" name="Status_1" tableColumnId="30"/>
      <queryTableField id="31" name="Column31" tableColumnId="3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9" xr16:uid="{036B8149-8241-442A-A606-29B8FD962DBD}"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8" xr16:uid="{22900714-50C6-4AFB-A33D-A12CD5C189D4}"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7" xr16:uid="{14A925F9-0489-4F05-AC63-BBAB87DF42D0}"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6" xr16:uid="{0215926F-8A1C-4A1C-965A-7583A16E990C}"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5" xr16:uid="{BC0A5049-18DE-4FB8-96C1-B6288B265957}"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3" xr16:uid="{5C16EA68-5D38-44FB-98BC-DF1D63E65C41}" autoFormatId="16" applyNumberFormats="0" applyBorderFormats="0" applyFontFormats="0" applyPatternFormats="0" applyAlignmentFormats="0" applyWidthHeightFormats="0">
  <queryTableRefresh nextId="17">
    <queryTableFields count="16">
      <queryTableField id="1" name="1. Miền" tableColumnId="1"/>
      <queryTableField id="2" name="Mã code chính dự án" tableColumnId="2"/>
      <queryTableField id="3" name="Code budget" tableColumnId="3"/>
      <queryTableField id="4" name="2. Tên dự án" tableColumnId="4"/>
      <queryTableField id="5" name="Công việc" tableColumnId="5"/>
      <queryTableField id="6" name="3. Brand" tableColumnId="6"/>
      <queryTableField id="7" name="4. Loại hình dự án" tableColumnId="7"/>
      <queryTableField id="8" name="5. Vị trí" tableColumnId="8"/>
      <queryTableField id="9" name="Trạng thái thiết kế" tableColumnId="9"/>
      <queryTableField id="10" name="Tình trạng lập dự toán" tableColumnId="10"/>
      <queryTableField id="11" name="Tình trạng đấu thầu thi công" tableColumnId="11"/>
      <queryTableField id="12" name="Ngày kết thúc thi công theo kế hoạch" tableColumnId="12"/>
      <queryTableField id="13" name="Ngày bắt đầu thi công thực tế" tableColumnId="13"/>
      <queryTableField id="14" name="Ngày kết thúc thi công thực tế" tableColumnId="14"/>
      <queryTableField id="15" name="Tỉ lệ % hoàn thành thi công" tableColumnId="15"/>
      <queryTableField id="16" name="Tình trạng thi công"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4780B5-E94F-4A0C-9BF7-DB3318B7E0CF}" name="TCH" displayName="TCH" ref="A1:P354" tableType="queryTable" totalsRowShown="0">
  <autoFilter ref="A1:P354" xr:uid="{EB4780B5-E94F-4A0C-9BF7-DB3318B7E0CF}"/>
  <tableColumns count="16">
    <tableColumn id="1" xr3:uid="{A47C3B28-7872-40A6-935C-682B162ED1E3}" uniqueName="1" name="1. Miền" queryTableFieldId="1"/>
    <tableColumn id="2" xr3:uid="{1DF42A40-EB18-4CEF-91FA-DAB2593A07AF}" uniqueName="2" name="Mã code chính dự án" queryTableFieldId="2"/>
    <tableColumn id="3" xr3:uid="{AF9183F3-8231-47C9-AE0A-CCBF0D232B75}" uniqueName="3" name="Code budget" queryTableFieldId="3" dataDxfId="99"/>
    <tableColumn id="4" xr3:uid="{1B8DD3D9-2F6A-4088-8DC4-8BECC720C3AC}" uniqueName="4" name="2. Tên dự án" queryTableFieldId="4"/>
    <tableColumn id="5" xr3:uid="{D8E8F015-6196-4A65-96BD-774F2E569741}" uniqueName="5" name="Công việc" queryTableFieldId="5"/>
    <tableColumn id="6" xr3:uid="{872DCF15-D65C-4150-AE83-65515E76558D}" uniqueName="6" name="3. Brand" queryTableFieldId="6"/>
    <tableColumn id="7" xr3:uid="{9E3105BD-0BB4-4E7B-A1F4-F1FBBFBB2F5E}" uniqueName="7" name="4. Loại hình dự án" queryTableFieldId="7"/>
    <tableColumn id="8" xr3:uid="{8B601D65-008F-4649-AF23-1DA255DA5A95}" uniqueName="8" name="5. Vị trí" queryTableFieldId="8"/>
    <tableColumn id="9" xr3:uid="{6F85748C-FE3A-4EB1-9739-39DDD212D352}" uniqueName="9" name="Trạng thái thiết kế" queryTableFieldId="9"/>
    <tableColumn id="10" xr3:uid="{80AF21CA-9DB3-4993-9B84-D05E44724D92}" uniqueName="10" name="Tình trạng lập dự toán" queryTableFieldId="10"/>
    <tableColumn id="11" xr3:uid="{55986F97-984A-42A2-BDEA-262DE225F631}" uniqueName="11" name="Tình trạng đấu thầu thi công" queryTableFieldId="11"/>
    <tableColumn id="12" xr3:uid="{81F6A9AA-4ED2-4C84-85EE-AB2E996EDF12}" uniqueName="12" name="Ngày kết thúc thi công theo kế hoạch" queryTableFieldId="12"/>
    <tableColumn id="13" xr3:uid="{99810F20-599A-4255-A6CC-CE202237836C}" uniqueName="13" name="Ngày bắt đầu thi công thực tế" queryTableFieldId="13"/>
    <tableColumn id="14" xr3:uid="{502826B1-27A9-4BE1-8845-4B134A712E34}" uniqueName="14" name="Ngày kết thúc thi công thực tế" queryTableFieldId="14"/>
    <tableColumn id="15" xr3:uid="{2256237F-C533-4144-AAFE-650853EC7789}" uniqueName="15" name="Tỉ lệ % hoàn thành thi công" queryTableFieldId="15"/>
    <tableColumn id="16" xr3:uid="{0AB562B4-7F4B-42D6-BDF6-69CE58C23676}" uniqueName="16" name="Tình trạng thi công"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E99D7-38A9-4D28-972F-39CADB1CE785}" name="Plan_2026" displayName="Plan_2026" ref="A1:AW402" tableType="queryTable" totalsRowShown="0">
  <autoFilter ref="A1:AW402" xr:uid="{5E3E99D7-38A9-4D28-972F-39CADB1CE785}">
    <filterColumn colId="2">
      <filters>
        <filter val="The Coffee House"/>
      </filters>
    </filterColumn>
    <filterColumn colId="28">
      <filters>
        <filter val="Đã ký"/>
      </filters>
    </filterColumn>
  </autoFilter>
  <tableColumns count="49">
    <tableColumn id="1" xr3:uid="{8F3A1C7A-970E-48A6-9EC9-646B29D8ADA3}" uniqueName="1" name="ID" queryTableFieldId="1"/>
    <tableColumn id="2" xr3:uid="{ECF26810-BA83-4E8A-BBC2-039C9826290E}" uniqueName="2" name="Code Budget" queryTableFieldId="2"/>
    <tableColumn id="4" xr3:uid="{27648DA9-C039-4183-A7C0-D984A1575230}" uniqueName="4" name="Tên brand" queryTableFieldId="4"/>
    <tableColumn id="5" xr3:uid="{53166E44-DF91-4013-AB02-41D138C236E7}" uniqueName="5" name="BU See" queryTableFieldId="5"/>
    <tableColumn id="6" xr3:uid="{23EEFDEC-6FC7-46AF-A4C2-3E29B66BE6A5}" uniqueName="6" name="Năm offer MB" queryTableFieldId="6"/>
    <tableColumn id="7" xr3:uid="{9C86D8EB-BCA4-4FD5-959B-527F0B29A0BF}" uniqueName="7" name="Quý offer MB" queryTableFieldId="7"/>
    <tableColumn id="8" xr3:uid="{5D4438A9-10C9-4175-976E-803B973B9460}" uniqueName="8" name="Tháng offer MB" queryTableFieldId="8"/>
    <tableColumn id="9" xr3:uid="{7CFCEF28-99E9-43A8-AA53-B4755A6DDBB9}" uniqueName="9" name="Tháng Khai trương dự kiến" queryTableFieldId="9"/>
    <tableColumn id="10" xr3:uid="{2C450B68-C047-4A75-B41B-4369C0EA3B57}" uniqueName="10" name="Tháng Khai trương thực tế" queryTableFieldId="10"/>
    <tableColumn id="11" xr3:uid="{FFFF7208-9F50-4BEA-9493-C0E44CCB9703}" uniqueName="11" name="Vùng" queryTableFieldId="11"/>
    <tableColumn id="12" xr3:uid="{FB7E1EA9-F389-4ACB-B9F5-5B0AE31AAC15}" uniqueName="12" name="Miền" queryTableFieldId="12"/>
    <tableColumn id="13" xr3:uid="{A0CFBC4B-84F0-43C6-A72F-9A822FFF4EFA}" uniqueName="13" name="Tỉnh, TP" queryTableFieldId="13"/>
    <tableColumn id="14" xr3:uid="{5A079699-5456-4E58-A6C5-843CC3CF4BA6}" uniqueName="14" name="Mã tỉnh 2024" queryTableFieldId="14"/>
    <tableColumn id="15" xr3:uid="{48D8120C-F036-429A-A307-FAEAFE4EA3C3}" uniqueName="15" name="Quận, huyện" queryTableFieldId="15"/>
    <tableColumn id="16" xr3:uid="{4B22F859-CA96-4DF4-B55B-04F18F146CBF}" uniqueName="16" name="Phường, xã" queryTableFieldId="16"/>
    <tableColumn id="17" xr3:uid="{541DF663-1C7D-435C-BF73-CD2DD4C044A5}" uniqueName="17" name="Trục đường chính" queryTableFieldId="17"/>
    <tableColumn id="18" xr3:uid="{BB1240F1-1FB2-4BFC-80B2-2B1910D25595}" uniqueName="18" name="Loại hình" queryTableFieldId="18"/>
    <tableColumn id="19" xr3:uid="{661B9365-14B2-4BE5-8959-94F72D1B7A71}" uniqueName="19" name="Mặt tiền_x000a_(m)" queryTableFieldId="19"/>
    <tableColumn id="20" xr3:uid="{E8C05236-4A42-4455-9747-E2E50350DDD5}" uniqueName="20" name="Mặt tiền_x000a_(chuẩn hóa)" queryTableFieldId="20"/>
    <tableColumn id="21" xr3:uid="{C7973452-1051-46B0-BFA2-8E08FF1D3572}" uniqueName="21" name="Diện tích_x000a_(m2)" queryTableFieldId="21"/>
    <tableColumn id="22" xr3:uid="{F5D2DE85-646D-4DB2-AAC9-94F2E4901BD9}" uniqueName="22" name="Diện tích_x000a_(chuẩn hóa)" queryTableFieldId="22"/>
    <tableColumn id="23" xr3:uid="{F7202472-FA74-4394-90BC-F7693DD7CAE5}" uniqueName="23" name="Số lượng site plan" queryTableFieldId="23"/>
    <tableColumn id="24" xr3:uid="{45ED11E4-DE93-4853-A4C1-8C7655C20DC5}" uniqueName="24" name="Plan/out of plan" queryTableFieldId="24"/>
    <tableColumn id="25" xr3:uid="{2D15BEBF-2D5D-4F31-BD86-6A3434EC38A0}" uniqueName="25" name="Tên mall/site" queryTableFieldId="25"/>
    <tableColumn id="26" xr3:uid="{C5A8AA7E-7221-453F-8677-91710505482F}" uniqueName="26" name="Tên mall_x000a_(chuẩn hóa)" queryTableFieldId="26"/>
    <tableColumn id="27" xr3:uid="{BE895BAD-2F08-4074-84F5-90AD548E8189}" uniqueName="27" name="Giá thuê lấy từ std format" queryTableFieldId="27"/>
    <tableColumn id="28" xr3:uid="{9E2401B7-3105-4CD4-873D-42CA887A52F2}" uniqueName="28" name="Giá thuê mong muốn" queryTableFieldId="28"/>
    <tableColumn id="29" xr3:uid="{4B1E5031-4685-49A9-9D80-95F30AC0779C}" uniqueName="29" name="New/Convert/Share" queryTableFieldId="29"/>
    <tableColumn id="30" xr3:uid="{4B0EE2D9-3E45-4534-A846-B367D894C8DF}" uniqueName="30" name="Tình trạng" queryTableFieldId="30"/>
    <tableColumn id="31" xr3:uid="{3322A35E-D4AC-4BE6-B0A0-6F80E87460BD}" uniqueName="31" name="Ngày ký HĐ" queryTableFieldId="31"/>
    <tableColumn id="32" xr3:uid="{C7EE2E6C-F8DA-470C-9C1A-2232F3337A84}" uniqueName="32" name="Count" queryTableFieldId="32"/>
    <tableColumn id="33" xr3:uid="{586B2845-11C8-42FD-8F0A-59710FBE6F00}" uniqueName="33" name="Ghi chú" queryTableFieldId="33"/>
    <tableColumn id="34" xr3:uid="{9E9C8A22-8CF1-4D9D-89C9-54D8BCBAAC73}" uniqueName="34" name="Phường tự thêm" queryTableFieldId="34"/>
    <tableColumn id="35" xr3:uid="{65856214-F96C-415C-8A4A-3B0FA2C3FDFB}" uniqueName="35" name="Viết tắt brand" queryTableFieldId="35"/>
    <tableColumn id="36" xr3:uid="{93C8B47C-D083-4B4A-8D4C-175247F53D23}" uniqueName="36" name="Date" queryTableFieldId="36"/>
    <tableColumn id="37" xr3:uid="{6216A78D-E607-481D-9FAD-74EB965E7BA1}" uniqueName="37" name="Tháng offer" queryTableFieldId="37"/>
    <tableColumn id="38" xr3:uid="{8BF87F84-1A09-4FE0-98C6-E43012AC920E}" uniqueName="38" name="Address" queryTableFieldId="38"/>
    <tableColumn id="39" xr3:uid="{F80993E8-E29F-403D-B35D-336B7BDF3F88}" uniqueName="39" name="Địa chỉ đầy đủ" queryTableFieldId="39"/>
    <tableColumn id="40" xr3:uid="{B729C7E7-BBFB-45EC-9230-EC8DC1DA8F16}" uniqueName="40" name="Mã phường 2024" queryTableFieldId="40"/>
    <tableColumn id="41" xr3:uid="{5B046472-B891-47C8-A003-E79A136257CF}" uniqueName="41" name="Brand and Type format" queryTableFieldId="41"/>
    <tableColumn id="42" xr3:uid="{FC4B1A87-4414-4930-BD68-1E4326C76000}" uniqueName="42" name="Key" queryTableFieldId="42"/>
    <tableColumn id="43" xr3:uid="{DC68B9E4-1315-47C9-BA62-CC950CFEBE4B}" uniqueName="43" name="Mật độ tầng lớp tiêu dùng người/km2" queryTableFieldId="43"/>
    <tableColumn id="44" xr3:uid="{880F553F-F6C9-48D0-BC92-76ED2324187A}" uniqueName="44" name="Ranking phường theo tỉnh 2024" queryTableFieldId="44"/>
    <tableColumn id="45" xr3:uid="{C99A36A2-B25A-4B05-81CF-097A06713811}" uniqueName="45" name="Ranking phường toàn quốc 2024" queryTableFieldId="45"/>
    <tableColumn id="46" xr3:uid="{85B73A71-A637-459A-A2BD-1C115D07AEDA}" uniqueName="46" name="Số lượng cửa hàng hoạt động" queryTableFieldId="46"/>
    <tableColumn id="47" xr3:uid="{ED5CD6BD-DC55-4282-9A49-7801547144DC}" uniqueName="47" name="Ranking theo brands" queryTableFieldId="47"/>
    <tableColumn id="48" xr3:uid="{9736B672-A38A-4D05-827F-4C497432F7DF}" uniqueName="48" name="Daily Sales forecast (mil) - NW" queryTableFieldId="48"/>
    <tableColumn id="49" xr3:uid="{A190BA6D-FF6B-4FE0-8D22-CA2F41316C18}" uniqueName="49" name="Giá thuê" queryTableFieldId="49"/>
    <tableColumn id="52" xr3:uid="{8BC9FE57-A25B-4355-AFFA-9CAF9077BE9F}" uniqueName="52" name="Tên site" queryTableFieldId="52" dataDxfId="98">
      <calculatedColumnFormula>Plan_2026[[#This Row],[Tên brand]]&amp;" "&amp;Plan_2026[[#This Row],[Trục đường chính]]&amp;Plan_2026[[#This Row],[Tên mall
(chuẩn hóa)]]&amp;Plan_2026[[#This Row],[Địa chỉ đầy đủ]]</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944263-2023-4E25-8C14-59E2D980C6D8}" name="For_consider" displayName="For_consider" ref="A1:AH209" tableType="queryTable" totalsRowShown="0">
  <autoFilter ref="A1:AH209" xr:uid="{BF944263-2023-4E25-8C14-59E2D980C6D8}"/>
  <tableColumns count="34">
    <tableColumn id="1" xr3:uid="{EAF468BC-4626-4148-B790-9491DEBB9F65}" uniqueName="1" name="Region" queryTableFieldId="1"/>
    <tableColumn id="2" xr3:uid="{68019371-28C7-4207-A8FA-2530D1AAD02A}" uniqueName="2" name="SBU" queryTableFieldId="2"/>
    <tableColumn id="3" xr3:uid="{CFB6AF77-ECD5-49BF-A002-6FB7D59C195D}" uniqueName="3" name="BR" queryTableFieldId="3"/>
    <tableColumn id="4" xr3:uid="{6A5D887A-F8B8-448A-BA87-362A9EE971E8}" uniqueName="4" name="PC BUD" queryTableFieldId="4"/>
    <tableColumn id="5" xr3:uid="{FA353F95-AAF3-4626-910C-929EC180B302}" uniqueName="5" name="PC" queryTableFieldId="5"/>
    <tableColumn id="6" xr3:uid="{2E66D324-A7DC-4A04-AFE6-895F2CD57FD7}" uniqueName="6" name="Đã đổ fund" queryTableFieldId="6"/>
    <tableColumn id="7" xr3:uid="{69A24C12-B853-4E0A-AD47-040BD3D179BC}" uniqueName="7" name="Store" queryTableFieldId="7"/>
    <tableColumn id="8" xr3:uid="{CBA420EA-87EB-4438-BE28-4C232C3A6538}" uniqueName="8" name="Ngày dự kiến khới công" queryTableFieldId="8"/>
    <tableColumn id="9" xr3:uid="{F9AB4A7F-94CF-4020-AAB3-CE999FDC4A11}" uniqueName="9" name="Ngày dự kiến có sales trở lại" queryTableFieldId="9"/>
    <tableColumn id="10" xr3:uid="{2E1B9103-971D-4253-965C-7224BF7778D2}" uniqueName="10" name="Note" queryTableFieldId="10"/>
    <tableColumn id="11" xr3:uid="{397179A4-E9BA-47DC-9171-31CD8837CA0C}" uniqueName="11" name="Convert from" queryTableFieldId="11"/>
    <tableColumn id="12" xr3:uid="{51C369F7-70B3-482B-9103-DD4B426C2921}" uniqueName="12" name="FM" queryTableFieldId="12"/>
    <tableColumn id="13" xr3:uid="{EF16C5A6-C49C-4F08-835D-A87DCA40025F}" uniqueName="13" name="Status" queryTableFieldId="13"/>
    <tableColumn id="14" xr3:uid="{1E1B6EB8-AA53-4799-946F-3A3BB3ECA329}" uniqueName="14" name="Thời điểm trình" queryTableFieldId="14"/>
    <tableColumn id="15" xr3:uid="{B452BB05-573A-42C9-8329-34E19ED05962}" uniqueName="15" name="CAPEX + Pre Op Ex" queryTableFieldId="15"/>
    <tableColumn id="16" xr3:uid="{9997B674-7D0C-47B9-B0DA-2EF21F43FFB4}" uniqueName="16" name="CAPEX for consider" queryTableFieldId="16"/>
    <tableColumn id="17" xr3:uid="{8E3A49B2-05EF-4ABC-8225-3B3F23AD09DA}" uniqueName="17" name="Pre - Opening and Restoring exp " queryTableFieldId="17"/>
    <tableColumn id="18" xr3:uid="{1220D00F-9FB1-4BC1-81B2-DB93FA9DDBE8}" uniqueName="18" name="NSO" queryTableFieldId="18"/>
    <tableColumn id="19" xr3:uid="{59E39739-4B77-424A-BBE2-9B5004C8F3F9}" uniqueName="19" name="Convert" queryTableFieldId="19"/>
    <tableColumn id="20" xr3:uid="{AE72D6EC-A5EF-4060-910F-DF94C6DB8122}" uniqueName="20" name="Reno" queryTableFieldId="20"/>
    <tableColumn id="21" xr3:uid="{265EFA08-F38F-420C-A941-431A469FBBC5}" uniqueName="21" name="Chi phí thiết kế" queryTableFieldId="21"/>
    <tableColumn id="22" xr3:uid="{A4130E79-CA37-43C1-8236-29264E8A10FB}" uniqueName="22" name="Dự án CĐS" queryTableFieldId="22"/>
    <tableColumn id="23" xr3:uid="{E8AC1D79-B42E-4692-A206-78E2B7B44F36}" uniqueName="23" name="CCDC" queryTableFieldId="23"/>
    <tableColumn id="24" xr3:uid="{3553467B-18B2-4D4E-8557-E6CC14FDDA25}" uniqueName="24" name="Note_1" queryTableFieldId="24"/>
    <tableColumn id="25" xr3:uid="{CF626037-8389-46A8-9384-62C618AF93DB}" uniqueName="25" name="Forecast Sales per FM" queryTableFieldId="25"/>
    <tableColumn id="26" xr3:uid="{1C792706-F4A8-4755-985E-ECEF5D366CBA}" uniqueName="26" name="BE Sales per FM" queryTableFieldId="26"/>
    <tableColumn id="27" xr3:uid="{041866EE-7597-4192-8A21-8D8C466A553F}" uniqueName="27" name="CM per FM" queryTableFieldId="27"/>
    <tableColumn id="28" xr3:uid="{2F3786C7-F13E-48EA-9867-76D5DC0814BE}" uniqueName="28" name="UC per FM" queryTableFieldId="28"/>
    <tableColumn id="29" xr3:uid="{7DB18970-A563-43E9-BC97-16192E0A151B}" uniqueName="29" name="Link FM" queryTableFieldId="29"/>
    <tableColumn id="30" xr3:uid="{3E443126-3A8F-4F89-AE9C-A6ABB2597846}" uniqueName="30" name="Status_2" queryTableFieldId="30"/>
    <tableColumn id="31" xr3:uid="{0C939DE7-9231-49CE-9920-D17DF17973DD}" uniqueName="31" name="Total Capex" queryTableFieldId="31"/>
    <tableColumn id="32" xr3:uid="{8FB46952-B775-4CCF-B724-EE3278B74356}" uniqueName="32" name="Total Capex exclude Other Exp" queryTableFieldId="32"/>
    <tableColumn id="33" xr3:uid="{76161C38-252C-46BB-B22B-E900A3F7680F}" uniqueName="33" name="Status_1" queryTableFieldId="33"/>
    <tableColumn id="34" xr3:uid="{54B8D82E-39CB-4581-9A77-31DF80D93056}" uniqueName="34" name="Column31" queryTableFieldId="3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C27459-6924-4D7D-AB38-D525FE50E358}" name="Detail_Capex_2026_Sumibi" displayName="Detail_Capex_2026_Sumibi" ref="A1:AD2" tableType="queryTable" totalsRowShown="0">
  <autoFilter ref="A1:AD2" xr:uid="{EDC27459-6924-4D7D-AB38-D525FE50E358}"/>
  <tableColumns count="30">
    <tableColumn id="1" xr3:uid="{EAEF32AE-8DD7-431E-A7CC-7565DD88993D}" uniqueName="1" name="Region" queryTableFieldId="1"/>
    <tableColumn id="2" xr3:uid="{A9898C62-8D87-4610-AE5B-E9D5DF983557}" uniqueName="2" name="SBU" queryTableFieldId="2"/>
    <tableColumn id="3" xr3:uid="{B325FB33-1A80-483F-8EEB-F8CCEB2D24AA}" uniqueName="3" name="BR" queryTableFieldId="3"/>
    <tableColumn id="4" xr3:uid="{D76E744E-963F-47E5-85AE-357EF00672FE}" uniqueName="4" name="PC BUD" queryTableFieldId="4"/>
    <tableColumn id="5" xr3:uid="{B68AA9D4-B4D9-4CF0-BAB1-59DBBEC73A59}" uniqueName="5" name="PC" queryTableFieldId="5"/>
    <tableColumn id="6" xr3:uid="{C5209F7B-B3CB-46A1-8382-AB9E7E437A2E}" uniqueName="6" name="Store" queryTableFieldId="6"/>
    <tableColumn id="7" xr3:uid="{AA916C0B-17A4-4EEF-ACC8-6D00F1DE0404}" uniqueName="7" name="Ngày dự kiến khới công" queryTableFieldId="7"/>
    <tableColumn id="8" xr3:uid="{16692050-F07B-4B7E-B0D6-0170B622EBA8}" uniqueName="8" name="Ngày dự kiến có sales trở lại" queryTableFieldId="8"/>
    <tableColumn id="9" xr3:uid="{855348B2-7A3D-4C2E-9780-9FFD7C9E55B0}" uniqueName="9" name="Convert from" queryTableFieldId="9"/>
    <tableColumn id="10" xr3:uid="{F37283E9-1421-4025-AEC0-77AA2EA12196}" uniqueName="10" name="FM" queryTableFieldId="10"/>
    <tableColumn id="11" xr3:uid="{16AD91B1-A74B-479C-81A3-B8F0AA9DC958}" uniqueName="11" name="Status" queryTableFieldId="11"/>
    <tableColumn id="12" xr3:uid="{7E83160B-3F30-4A97-9128-5564A4D07B19}" uniqueName="12" name="Thời điểm trình" queryTableFieldId="12"/>
    <tableColumn id="13" xr3:uid="{126F4894-6ACC-4D41-B9B8-65776142499A}" uniqueName="13" name="CAPEX + Pre Op Ex" queryTableFieldId="13"/>
    <tableColumn id="14" xr3:uid="{12D8073A-77D8-4011-89B3-45DFAE4FFA58}" uniqueName="14" name="CAPEX for consider" queryTableFieldId="14"/>
    <tableColumn id="15" xr3:uid="{C4F07AAB-7879-411E-8A44-88A7AF6E42FD}" uniqueName="15" name="Pre - Opening and Restoring exp " queryTableFieldId="15"/>
    <tableColumn id="16" xr3:uid="{AAE71DF1-454A-47ED-9BD0-AEF186676FD2}" uniqueName="16" name="NSO" queryTableFieldId="16"/>
    <tableColumn id="17" xr3:uid="{21A3249D-EC72-4455-935E-A618C5E69764}" uniqueName="17" name="Convert" queryTableFieldId="17"/>
    <tableColumn id="18" xr3:uid="{E23D2557-B643-41AA-9E2E-67D47D2CF505}" uniqueName="18" name="Reno" queryTableFieldId="18"/>
    <tableColumn id="19" xr3:uid="{ED4F70C6-4286-44B3-8A56-6BE16330D0F5}" uniqueName="19" name="Chi phí thiết kế" queryTableFieldId="19"/>
    <tableColumn id="20" xr3:uid="{E4E25006-24D1-4C69-9348-C789E364426E}" uniqueName="20" name="Dự án CĐS" queryTableFieldId="20"/>
    <tableColumn id="21" xr3:uid="{8020EE33-A1C7-4B62-8239-5747E7070C72}" uniqueName="21" name="CCDC" queryTableFieldId="21"/>
    <tableColumn id="22" xr3:uid="{8AFC094A-E7E3-4C4F-8EFC-AF5E5676CB7D}" uniqueName="22" name="Total Capex" queryTableFieldId="22"/>
    <tableColumn id="23" xr3:uid="{DAEE285F-CC03-41D6-A97F-4EB9FBCCF2F1}" uniqueName="23" name="Total Capex exclude Other Exp" queryTableFieldId="23"/>
    <tableColumn id="24" xr3:uid="{3DEBBEA7-5DA7-4AE7-ACF3-75A6C2F4E299}" uniqueName="24" name="Note" queryTableFieldId="24"/>
    <tableColumn id="25" xr3:uid="{4DA9E8E2-B69F-4694-AF94-2B7211E33CEA}" uniqueName="25" name="Forecast Sales per FM" queryTableFieldId="25"/>
    <tableColumn id="26" xr3:uid="{000991BC-51B6-40E9-A473-C45C765142FC}" uniqueName="26" name="BE Sales per FM" queryTableFieldId="26"/>
    <tableColumn id="27" xr3:uid="{2CCC1DBE-BBDD-4C9C-B687-7FE9E179E077}" uniqueName="27" name="CM per FM" queryTableFieldId="27"/>
    <tableColumn id="28" xr3:uid="{A147D532-3BDE-47E9-89EF-1ED3F535854B}" uniqueName="28" name="UC per FM" queryTableFieldId="28"/>
    <tableColumn id="29" xr3:uid="{6C3C72A7-E2CF-4CAE-9449-F48E9D2A3995}" uniqueName="29" name="Link FM" queryTableFieldId="29"/>
    <tableColumn id="30" xr3:uid="{6FB6C06E-FAC3-4B93-9F52-B35E7BF38244}" uniqueName="30" name="Status_1" queryTableField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C0EA18-93EC-4E5A-843D-6048B259392B}" name="Detail_Capex_2026" displayName="Detail_Capex_2026" ref="A1:AE153" tableType="queryTable" totalsRowShown="0">
  <autoFilter ref="A1:AE153" xr:uid="{62C0EA18-93EC-4E5A-843D-6048B259392B}"/>
  <tableColumns count="31">
    <tableColumn id="1" xr3:uid="{4C0ED383-2928-4994-8F0F-661DF300AE92}" uniqueName="1" name="Region" queryTableFieldId="1"/>
    <tableColumn id="2" xr3:uid="{5C03B406-9F76-4C2B-A4FC-4BAC1D10CEC4}" uniqueName="2" name="SBU" queryTableFieldId="2"/>
    <tableColumn id="3" xr3:uid="{C033CC9B-3413-4145-A8B9-9A59D20681AF}" uniqueName="3" name="BR" queryTableFieldId="3"/>
    <tableColumn id="4" xr3:uid="{BD2C2798-0048-4DD9-B384-47911A612417}" uniqueName="4" name="PC BUD" queryTableFieldId="4"/>
    <tableColumn id="5" xr3:uid="{EDD3CAD2-46C3-4DF4-9DC5-43383456FC54}" uniqueName="5" name="PC" queryTableFieldId="5"/>
    <tableColumn id="6" xr3:uid="{7B6A4D94-580F-4EE8-850A-B8948BA3D840}" uniqueName="6" name="Store" queryTableFieldId="6"/>
    <tableColumn id="7" xr3:uid="{49E6D471-E198-4900-B859-18C409906C9A}" uniqueName="7" name="Ngày dự kiến khới công" queryTableFieldId="7"/>
    <tableColumn id="8" xr3:uid="{441BA80E-DE9C-4866-9A2E-11BF99B8611A}" uniqueName="8" name="Ngày dự kiến có sales trở lại" queryTableFieldId="8"/>
    <tableColumn id="9" xr3:uid="{96A381C7-B18E-4A54-9706-CD0D441FA312}" uniqueName="9" name="Convert from" queryTableFieldId="9"/>
    <tableColumn id="10" xr3:uid="{B9B45362-ECA4-4C7F-9BA3-F6687E969940}" uniqueName="10" name="FM" queryTableFieldId="10"/>
    <tableColumn id="11" xr3:uid="{3B8A1B05-1197-49C8-92DC-CA1D93CD1100}" uniqueName="11" name="Status" queryTableFieldId="11"/>
    <tableColumn id="12" xr3:uid="{78B31764-6D57-439C-9BC5-8FE9B581628C}" uniqueName="12" name="Thời điểm trình" queryTableFieldId="12"/>
    <tableColumn id="13" xr3:uid="{7A931AA2-F429-4468-9760-1BB09FC1D426}" uniqueName="13" name="CAPEX + Pre Op Ex" queryTableFieldId="13"/>
    <tableColumn id="14" xr3:uid="{2CFD0909-8B6E-4027-AABC-A56FFBE9E4AB}" uniqueName="14" name="CAPEX for consider" queryTableFieldId="14"/>
    <tableColumn id="15" xr3:uid="{15742DB1-CDFE-4D15-B562-1064CBC53E16}" uniqueName="15" name="Pre - Opening and Restoring exp " queryTableFieldId="15"/>
    <tableColumn id="16" xr3:uid="{C652FF12-7D6D-4A94-BB84-E92F3BB1FEBD}" uniqueName="16" name="NSO" queryTableFieldId="16"/>
    <tableColumn id="17" xr3:uid="{34DBA809-763F-4905-8E57-357F18357340}" uniqueName="17" name="Convert" queryTableFieldId="17"/>
    <tableColumn id="18" xr3:uid="{0868482B-CD72-4A08-87F7-8BF5C558842F}" uniqueName="18" name="Reno" queryTableFieldId="18"/>
    <tableColumn id="19" xr3:uid="{DFBBB8E3-557F-4FA7-8BE8-2ABF7CC1C218}" uniqueName="19" name="Chi phí thiết kế" queryTableFieldId="19"/>
    <tableColumn id="20" xr3:uid="{EBA39EF3-BBA0-40F3-B334-334437B1B85C}" uniqueName="20" name="Dự án CĐS" queryTableFieldId="20"/>
    <tableColumn id="21" xr3:uid="{2DEB6207-F88E-4260-8D63-BB26CAAAEA37}" uniqueName="21" name="CCDC" queryTableFieldId="21"/>
    <tableColumn id="22" xr3:uid="{3FEC8A57-4501-4C04-9C3D-5724569205C9}" uniqueName="22" name="Total Capex" queryTableFieldId="22"/>
    <tableColumn id="23" xr3:uid="{754FE316-5F34-47CD-8D95-9CD94CB4BB9D}" uniqueName="23" name="Total Capex exclude Other Exp" queryTableFieldId="23"/>
    <tableColumn id="24" xr3:uid="{5570AD9A-301F-450D-9C11-DF1A4792AC6F}" uniqueName="24" name="Note" queryTableFieldId="24"/>
    <tableColumn id="25" xr3:uid="{4DFE4242-06F2-4DEE-A80C-71704DD58151}" uniqueName="25" name="Forecast Sales per FM" queryTableFieldId="25"/>
    <tableColumn id="26" xr3:uid="{542E91BC-29AF-434B-9C04-2A94E2C43843}" uniqueName="26" name="BE Sales per FM" queryTableFieldId="26"/>
    <tableColumn id="27" xr3:uid="{B76F6819-E7B9-4D88-8FF1-C8030169DD8B}" uniqueName="27" name="CM per FM" queryTableFieldId="27"/>
    <tableColumn id="28" xr3:uid="{19B7A962-4CE5-426E-8E18-BF5504845F6B}" uniqueName="28" name="UC per FM" queryTableFieldId="28"/>
    <tableColumn id="29" xr3:uid="{13D25438-2C21-416C-9B8D-593D0CF63235}" uniqueName="29" name="Link FM" queryTableFieldId="29"/>
    <tableColumn id="30" xr3:uid="{4EAEEF29-86EC-4F87-AF39-DBEB2DB3CA4D}" uniqueName="30" name="Status_1" queryTableFieldId="30"/>
    <tableColumn id="31" xr3:uid="{DA55D0BC-5715-4FCB-9861-CE540A6FF86D}" uniqueName="31" name="Column31" queryTableFieldId="3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3FD7E88-F220-403E-A054-8E0F8928A33F}" name="Others" displayName="Others" ref="A1:P69" tableType="queryTable" totalsRowShown="0">
  <autoFilter ref="A1:P69" xr:uid="{93FD7E88-F220-403E-A054-8E0F8928A33F}"/>
  <tableColumns count="16">
    <tableColumn id="1" xr3:uid="{D4DE7AF2-9FE6-4DED-A13F-22F1096F2E5E}" uniqueName="1" name="1. Miền" queryTableFieldId="1"/>
    <tableColumn id="2" xr3:uid="{83D64112-261A-4AF7-BA3B-C4F094C2EACA}" uniqueName="2" name="Mã code chính dự án" queryTableFieldId="2"/>
    <tableColumn id="3" xr3:uid="{C72539C7-E46E-4A4B-8DCF-B5227B47A7B5}" uniqueName="3" name="Code budget" queryTableFieldId="3"/>
    <tableColumn id="4" xr3:uid="{E0DBBA35-3725-4494-9521-05C2BA19A9C1}" uniqueName="4" name="2. Tên dự án" queryTableFieldId="4"/>
    <tableColumn id="5" xr3:uid="{3307DD03-C096-4218-8513-24E5D296443E}" uniqueName="5" name="Công việc" queryTableFieldId="5"/>
    <tableColumn id="6" xr3:uid="{C5E563F6-22DC-4445-AF3A-1808ED4DDCBF}" uniqueName="6" name="3. Brand" queryTableFieldId="6"/>
    <tableColumn id="7" xr3:uid="{3CACEC08-9324-4BDD-8048-1ABD435974B6}" uniqueName="7" name="4. Loại hình dự án" queryTableFieldId="7"/>
    <tableColumn id="8" xr3:uid="{C09B229D-4773-4596-9E50-8CE4D3028CCD}" uniqueName="8" name="5. Vị trí" queryTableFieldId="8"/>
    <tableColumn id="9" xr3:uid="{38481D93-F44D-42F0-928B-149B41FA790B}" uniqueName="9" name="Trạng thái thiết kế" queryTableFieldId="9"/>
    <tableColumn id="10" xr3:uid="{B780B377-84BD-4FF7-864F-370131675C48}" uniqueName="10" name="Tình trạng lập dự toán" queryTableFieldId="10"/>
    <tableColumn id="11" xr3:uid="{12010C2B-DB3C-42A4-8285-707FB3313B34}" uniqueName="11" name="Tình trạng đấu thầu thi công" queryTableFieldId="11"/>
    <tableColumn id="12" xr3:uid="{C47F0BB2-0E9A-4F9E-98A7-1FECD6BDB734}" uniqueName="12" name="Ngày kết thúc thi công theo kế hoạch" queryTableFieldId="12"/>
    <tableColumn id="13" xr3:uid="{4E68F814-5E2E-48BD-ADDF-78DB28B2BC14}" uniqueName="13" name="Ngày bắt đầu thi công thực tế" queryTableFieldId="13"/>
    <tableColumn id="14" xr3:uid="{76997B41-5120-4592-A19B-90F3ECAFCC9C}" uniqueName="14" name="Ngày kết thúc thi công thực tế" queryTableFieldId="14"/>
    <tableColumn id="15" xr3:uid="{81AA23AE-7643-4639-84AA-A403E0BE1DEF}" uniqueName="15" name="Tỉ lệ % hoàn thành thi công" queryTableFieldId="15"/>
    <tableColumn id="16" xr3:uid="{1608AE49-862C-44C2-8358-84B4C6705946}" uniqueName="16" name="Tình trạng thi công" queryTableFieldId="1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1FAB0A1-B4B9-4D18-8316-8520E209F91A}" name="Manwah" displayName="Manwah" ref="A1:P14" tableType="queryTable" totalsRowShown="0">
  <autoFilter ref="A1:P14" xr:uid="{91FAB0A1-B4B9-4D18-8316-8520E209F91A}"/>
  <tableColumns count="16">
    <tableColumn id="1" xr3:uid="{890D51D5-CF26-49DA-98CE-AEDB02682539}" uniqueName="1" name="1. Miền" queryTableFieldId="1"/>
    <tableColumn id="2" xr3:uid="{86686CFE-5CC1-49F0-9FB3-BD42550D618C}" uniqueName="2" name="Mã code chính dự án" queryTableFieldId="2"/>
    <tableColumn id="3" xr3:uid="{6889A6CE-4201-4D78-908D-85647BDCF1D3}" uniqueName="3" name="Code budget" queryTableFieldId="3"/>
    <tableColumn id="4" xr3:uid="{0DB0299F-7FA7-492B-8EC2-58886538F967}" uniqueName="4" name="2. Tên dự án" queryTableFieldId="4"/>
    <tableColumn id="5" xr3:uid="{81D7D8C0-133D-456A-B47C-A36E570EFE56}" uniqueName="5" name="Công việc" queryTableFieldId="5"/>
    <tableColumn id="6" xr3:uid="{2E54B514-8A59-4C0C-A83C-15F5294E9788}" uniqueName="6" name="3. Brand" queryTableFieldId="6"/>
    <tableColumn id="7" xr3:uid="{AEDB7659-1C07-4440-B4DC-27283AB1C63B}" uniqueName="7" name="4. Loại hình dự án" queryTableFieldId="7"/>
    <tableColumn id="8" xr3:uid="{702FAA93-7567-49C8-8C1C-B9B49451D82D}" uniqueName="8" name="5. Vị trí" queryTableFieldId="8"/>
    <tableColumn id="9" xr3:uid="{D7072F0A-2497-4962-A914-FC12B6FFBE0D}" uniqueName="9" name="Trạng thái thiết kế" queryTableFieldId="9"/>
    <tableColumn id="10" xr3:uid="{837CF99D-605B-4AD2-B9EC-79988D332E15}" uniqueName="10" name="Tình trạng lập dự toán" queryTableFieldId="10"/>
    <tableColumn id="11" xr3:uid="{F85F85BA-524E-44EC-B8CA-1CE59A4C9966}" uniqueName="11" name="Tình trạng đấu thầu thi công" queryTableFieldId="11"/>
    <tableColumn id="12" xr3:uid="{23766147-6213-4D25-8A25-143B39125D95}" uniqueName="12" name="Ngày kết thúc thi công theo kế hoạch" queryTableFieldId="12"/>
    <tableColumn id="13" xr3:uid="{05DAF5FB-42B8-4E42-94D1-C70A74472E47}" uniqueName="13" name="Ngày bắt đầu thi công thực tế" queryTableFieldId="13"/>
    <tableColumn id="14" xr3:uid="{2DB710BB-6ACE-4426-B191-81AA196D7809}" uniqueName="14" name="Ngày kết thúc thi công thực tế" queryTableFieldId="14"/>
    <tableColumn id="15" xr3:uid="{44825062-5A3F-417B-8116-AFCF86E41B0E}" uniqueName="15" name="Tỉ lệ % hoàn thành thi công" queryTableFieldId="15"/>
    <tableColumn id="16" xr3:uid="{9D4A6D03-1FD9-4955-AA49-97F2920F00FA}" uniqueName="16" name="Tình trạng thi công" queryTableFieldId="1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909E18-6A0D-43FE-BCF7-EA16BE8BD2F4}" name="Kichi" displayName="Kichi" ref="A1:P53" tableType="queryTable" totalsRowShown="0">
  <autoFilter ref="A1:P53" xr:uid="{9F909E18-6A0D-43FE-BCF7-EA16BE8BD2F4}"/>
  <tableColumns count="16">
    <tableColumn id="1" xr3:uid="{CA89B5B5-2712-4A1F-84CE-3A8B67EA7498}" uniqueName="1" name="1. Miền" queryTableFieldId="1"/>
    <tableColumn id="2" xr3:uid="{872F2085-837C-4259-AEFC-D34382ED4C45}" uniqueName="2" name="Mã code chính dự án" queryTableFieldId="2"/>
    <tableColumn id="3" xr3:uid="{FF2EFC25-A2C9-48F1-949A-D3BE4DEA4195}" uniqueName="3" name="Code budget" queryTableFieldId="3"/>
    <tableColumn id="4" xr3:uid="{0E2275D4-4D49-44C3-907C-4B9BFC4E0300}" uniqueName="4" name="2. Tên dự án" queryTableFieldId="4"/>
    <tableColumn id="5" xr3:uid="{F60B5185-B3E0-46CB-BA78-9D2F0837AAF5}" uniqueName="5" name="Công việc" queryTableFieldId="5"/>
    <tableColumn id="6" xr3:uid="{28A0CE1F-43CB-4CF5-864C-0A1D2581A605}" uniqueName="6" name="3. Brand" queryTableFieldId="6"/>
    <tableColumn id="7" xr3:uid="{650E16D0-CC80-425B-AF05-E10C37506379}" uniqueName="7" name="4. Loại hình dự án" queryTableFieldId="7"/>
    <tableColumn id="8" xr3:uid="{AE864CD0-15C9-4DA1-8EF7-816B5F9A40B3}" uniqueName="8" name="5. Vị trí" queryTableFieldId="8"/>
    <tableColumn id="9" xr3:uid="{792B485B-3C29-4614-8BBB-CF8258AED75B}" uniqueName="9" name="Trạng thái thiết kế" queryTableFieldId="9"/>
    <tableColumn id="10" xr3:uid="{B0EC0DA5-F4A8-4115-90DE-781A97DB2098}" uniqueName="10" name="Tình trạng lập dự toán" queryTableFieldId="10"/>
    <tableColumn id="11" xr3:uid="{98B7325E-5CCE-4E19-A4F0-BC65F7CFB5C7}" uniqueName="11" name="Tình trạng đấu thầu thi công" queryTableFieldId="11"/>
    <tableColumn id="12" xr3:uid="{FC19748F-A524-49C9-BE7B-C3A2B32D0092}" uniqueName="12" name="Ngày kết thúc thi công theo kế hoạch" queryTableFieldId="12"/>
    <tableColumn id="13" xr3:uid="{A7653129-91A4-4820-BD7E-71C2C231F7F1}" uniqueName="13" name="Ngày bắt đầu thi công thực tế" queryTableFieldId="13"/>
    <tableColumn id="14" xr3:uid="{C8D0B9D8-05B3-445C-B877-07A6BD5E9D47}" uniqueName="14" name="Ngày kết thúc thi công thực tế" queryTableFieldId="14"/>
    <tableColumn id="15" xr3:uid="{377F679A-71F1-4663-92A7-AF9773A8FA92}" uniqueName="15" name="Tỉ lệ % hoàn thành thi công" queryTableFieldId="15"/>
    <tableColumn id="16" xr3:uid="{DA2D5D0D-8BDE-4089-B4CB-662DA3305E08}" uniqueName="16" name="Tình trạng thi công" queryTableFieldId="1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7C26474-3B0A-433D-ADC7-DCBB08AB39C7}" name="Isushi" displayName="Isushi" ref="A1:P9" tableType="queryTable" totalsRowShown="0">
  <autoFilter ref="A1:P9" xr:uid="{57C26474-3B0A-433D-ADC7-DCBB08AB39C7}"/>
  <tableColumns count="16">
    <tableColumn id="1" xr3:uid="{60EAA9F3-F2A1-4FFC-B4DA-6D950FA3201B}" uniqueName="1" name="1. Miền" queryTableFieldId="1"/>
    <tableColumn id="2" xr3:uid="{1335EBAD-D717-476A-95C4-C4A181F56853}" uniqueName="2" name="Mã code chính dự án" queryTableFieldId="2"/>
    <tableColumn id="3" xr3:uid="{07BEEC1F-7108-4CB7-95AF-E4835F636D3D}" uniqueName="3" name="Code budget" queryTableFieldId="3"/>
    <tableColumn id="4" xr3:uid="{7EECDC80-B5ED-4524-A47D-827652CBFFDD}" uniqueName="4" name="2. Tên dự án" queryTableFieldId="4"/>
    <tableColumn id="5" xr3:uid="{C2B427AE-8DEB-48F6-9F9A-CB59EC09FE41}" uniqueName="5" name="Công việc" queryTableFieldId="5"/>
    <tableColumn id="6" xr3:uid="{C91F8644-FD78-40C1-AFB6-341916A68333}" uniqueName="6" name="3. Brand" queryTableFieldId="6"/>
    <tableColumn id="7" xr3:uid="{7C9461C1-06CB-4CEF-A928-F0CD35E82E6D}" uniqueName="7" name="4. Loại hình dự án" queryTableFieldId="7"/>
    <tableColumn id="8" xr3:uid="{37E2370C-1554-4D87-B106-C8E84F0D45E3}" uniqueName="8" name="5. Vị trí" queryTableFieldId="8"/>
    <tableColumn id="9" xr3:uid="{4BAF9F17-1341-4116-B25A-A1D377A43E68}" uniqueName="9" name="Trạng thái thiết kế" queryTableFieldId="9"/>
    <tableColumn id="10" xr3:uid="{44A0F1F9-65B0-4999-A51D-74423223FE90}" uniqueName="10" name="Tình trạng lập dự toán" queryTableFieldId="10"/>
    <tableColumn id="11" xr3:uid="{5334D88C-82E7-4ADD-A457-E0C40183873D}" uniqueName="11" name="Tình trạng đấu thầu thi công" queryTableFieldId="11"/>
    <tableColumn id="12" xr3:uid="{1B9A828B-C23E-473F-A17D-64771E7417E6}" uniqueName="12" name="Ngày kết thúc thi công theo kế hoạch" queryTableFieldId="12"/>
    <tableColumn id="13" xr3:uid="{370F537C-0010-4DCF-AE40-7AA86498BEE6}" uniqueName="13" name="Ngày bắt đầu thi công thực tế" queryTableFieldId="13"/>
    <tableColumn id="14" xr3:uid="{CCC385BB-D33C-4C91-B49F-EE19717ACA94}" uniqueName="14" name="Ngày kết thúc thi công thực tế" queryTableFieldId="14"/>
    <tableColumn id="15" xr3:uid="{BF3865B9-8D9C-427C-A4F6-E265ED6B1846}" uniqueName="15" name="Tỉ lệ % hoàn thành thi công" queryTableFieldId="15"/>
    <tableColumn id="16" xr3:uid="{7268096A-9997-4A8A-A5CB-59ACBB4C5CAE}" uniqueName="16" name="Tình trạng thi công" queryTableFieldId="1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7D0FB6-C4B0-4270-BBD6-93E161619D78}" name="Gogi" displayName="Gogi" ref="A1:P88" tableType="queryTable" totalsRowShown="0">
  <autoFilter ref="A1:P88" xr:uid="{307D0FB6-C4B0-4270-BBD6-93E161619D78}"/>
  <tableColumns count="16">
    <tableColumn id="1" xr3:uid="{13A9973C-B285-4B46-9812-D76A85AA5CF1}" uniqueName="1" name="1. Miền" queryTableFieldId="1"/>
    <tableColumn id="2" xr3:uid="{CC7DFED2-B13D-415F-A2FD-9E2F4093AD15}" uniqueName="2" name="Mã code chính dự án" queryTableFieldId="2"/>
    <tableColumn id="3" xr3:uid="{3FF6E5A2-F34E-47DE-BF35-8423F60EECE4}" uniqueName="3" name="Code budget" queryTableFieldId="3"/>
    <tableColumn id="4" xr3:uid="{A8AC34AF-067A-43E9-B9EA-D090F6B7D6BA}" uniqueName="4" name="2. Tên dự án" queryTableFieldId="4"/>
    <tableColumn id="5" xr3:uid="{825021A3-5E96-4527-85E4-DE37F2325A55}" uniqueName="5" name="Công việc" queryTableFieldId="5"/>
    <tableColumn id="6" xr3:uid="{89E84322-36AD-47EA-B0E2-8D2CD8771C2B}" uniqueName="6" name="3. Brand" queryTableFieldId="6"/>
    <tableColumn id="7" xr3:uid="{52D526ED-96BC-4789-945F-421DCECCCD62}" uniqueName="7" name="4. Loại hình dự án" queryTableFieldId="7"/>
    <tableColumn id="8" xr3:uid="{A681217B-8984-4D5B-ABA2-407BAD0E4F62}" uniqueName="8" name="5. Vị trí" queryTableFieldId="8"/>
    <tableColumn id="9" xr3:uid="{C34AFCB5-C733-424F-99C1-E4039E8C055E}" uniqueName="9" name="Trạng thái thiết kế" queryTableFieldId="9"/>
    <tableColumn id="10" xr3:uid="{CDEC24D3-0DE8-4031-8280-0056A241BFB9}" uniqueName="10" name="Tình trạng lập dự toán" queryTableFieldId="10"/>
    <tableColumn id="11" xr3:uid="{14582643-589E-492B-B094-E3471C41781C}" uniqueName="11" name="Tình trạng đấu thầu thi công" queryTableFieldId="11"/>
    <tableColumn id="12" xr3:uid="{EAF7A895-5F6E-48FF-AE32-FF78370A5B5A}" uniqueName="12" name="Ngày kết thúc thi công theo kế hoạch" queryTableFieldId="12"/>
    <tableColumn id="13" xr3:uid="{2D7F41E6-4D9B-4D13-8425-192E433BA71A}" uniqueName="13" name="Ngày bắt đầu thi công thực tế" queryTableFieldId="13"/>
    <tableColumn id="14" xr3:uid="{C0E7B865-71BC-48CF-9CFD-774F5B2475AC}" uniqueName="14" name="Ngày kết thúc thi công thực tế" queryTableFieldId="14"/>
    <tableColumn id="15" xr3:uid="{B9CFA753-0713-4BDB-8876-6D7B094EE536}" uniqueName="15" name="Tỉ lệ % hoàn thành thi công" queryTableFieldId="15"/>
    <tableColumn id="16" xr3:uid="{3541AA55-33EA-41C2-BE91-9CFBECEE46A7}" uniqueName="16" name="Tình trạng thi công" queryTableFieldId="1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238901-F0EB-476B-A7AE-9657B46E1333}" name="DNG" displayName="DNG" ref="A1:P32" tableType="queryTable" totalsRowShown="0">
  <autoFilter ref="A1:P32" xr:uid="{74238901-F0EB-476B-A7AE-9657B46E1333}"/>
  <tableColumns count="16">
    <tableColumn id="1" xr3:uid="{412B10B8-ED3D-4213-AB50-7EE8B358C98E}" uniqueName="1" name="1. Miền" queryTableFieldId="1"/>
    <tableColumn id="2" xr3:uid="{2B74BBBD-A925-45C1-8526-4015BC9295C6}" uniqueName="2" name="Mã code chính dự án" queryTableFieldId="2"/>
    <tableColumn id="3" xr3:uid="{09FE7740-AFA6-4960-9B0D-8F151653764C}" uniqueName="3" name="Code budget" queryTableFieldId="3"/>
    <tableColumn id="4" xr3:uid="{073C50D3-9C4B-4BE0-A8C6-55DB83802F7D}" uniqueName="4" name="2. Tên dự án" queryTableFieldId="4"/>
    <tableColumn id="5" xr3:uid="{35AE0F3D-0A47-4131-9D80-0ED6D1EE2AA8}" uniqueName="5" name="Công việc" queryTableFieldId="5"/>
    <tableColumn id="6" xr3:uid="{8B647D39-D2A8-4F53-B844-2ACE9258AC1E}" uniqueName="6" name="3. Brand" queryTableFieldId="6"/>
    <tableColumn id="7" xr3:uid="{2888AE95-A9FC-47F6-9BA3-F98E5DA88F3A}" uniqueName="7" name="4. Loại hình dự án" queryTableFieldId="7"/>
    <tableColumn id="8" xr3:uid="{8454BAFF-C80E-4383-9696-18CD5A20354A}" uniqueName="8" name="5. Vị trí" queryTableFieldId="8"/>
    <tableColumn id="9" xr3:uid="{9072EF05-BFEE-4BF6-8525-F0A5EA5C8A25}" uniqueName="9" name="Trạng thái thiết kế" queryTableFieldId="9"/>
    <tableColumn id="10" xr3:uid="{1016A542-F709-4CD8-80C9-43A5AD579224}" uniqueName="10" name="Tình trạng lập dự toán" queryTableFieldId="10"/>
    <tableColumn id="11" xr3:uid="{B11ECFED-4669-4C19-B676-DC1FA19965B9}" uniqueName="11" name="Tình trạng đấu thầu thi công" queryTableFieldId="11"/>
    <tableColumn id="12" xr3:uid="{84F102A3-6962-4941-B4C3-2D40F5E62ACA}" uniqueName="12" name="Ngày kết thúc thi công theo kế hoạch" queryTableFieldId="12"/>
    <tableColumn id="13" xr3:uid="{2B620937-638B-41CB-A42B-214E693EB2A1}" uniqueName="13" name="Ngày bắt đầu thi công thực tế" queryTableFieldId="13"/>
    <tableColumn id="14" xr3:uid="{D180DAB7-9FD6-48F2-A411-6DDC23B941A3}" uniqueName="14" name="Ngày kết thúc thi công thực tế" queryTableFieldId="14"/>
    <tableColumn id="15" xr3:uid="{EC656BE1-15DA-4739-9E87-50910B5DE238}" uniqueName="15" name="Tỉ lệ % hoàn thành thi công" queryTableFieldId="15"/>
    <tableColumn id="16" xr3:uid="{02DBC2E9-5702-489F-9BEA-6B25E36DD95E}" uniqueName="16" name="Tình trạng thi công"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7A616-F03C-4DE6-9250-6BEBF81259EA}">
  <sheetPr filterMode="1"/>
  <dimension ref="A1:Z1447"/>
  <sheetViews>
    <sheetView workbookViewId="0">
      <pane xSplit="2" ySplit="5" topLeftCell="N1408" activePane="bottomRight" state="frozen"/>
      <selection pane="topRight" activeCell="C1" sqref="C1"/>
      <selection pane="bottomLeft" activeCell="A6" sqref="A6"/>
      <selection pane="bottomRight" activeCell="N1408" sqref="N1408:W1408"/>
    </sheetView>
  </sheetViews>
  <sheetFormatPr defaultColWidth="9.453125" defaultRowHeight="10.5" x14ac:dyDescent="0.25"/>
  <cols>
    <col min="1" max="1" width="6.1796875" style="1" bestFit="1" customWidth="1"/>
    <col min="2" max="2" width="14.1796875" style="1" customWidth="1"/>
    <col min="3" max="3" width="9.81640625" style="1" customWidth="1"/>
    <col min="4" max="4" width="8.36328125" style="1" customWidth="1"/>
    <col min="5" max="5" width="18.1796875" style="1" customWidth="1"/>
    <col min="6" max="6" width="20.26953125" style="1" customWidth="1"/>
    <col min="7" max="7" width="20.6328125" style="1" bestFit="1" customWidth="1"/>
    <col min="8" max="8" width="23.1796875" style="1" bestFit="1" customWidth="1"/>
    <col min="9" max="9" width="3.90625" style="1" customWidth="1"/>
    <col min="10" max="10" width="4.7265625" style="1" bestFit="1" customWidth="1"/>
    <col min="11" max="11" width="13.26953125" style="1" customWidth="1"/>
    <col min="12" max="14" width="13.08984375" style="2" customWidth="1"/>
    <col min="15" max="15" width="14.7265625" style="2" customWidth="1"/>
    <col min="16" max="20" width="13.08984375" style="3" customWidth="1"/>
    <col min="21" max="21" width="16.90625" style="4" customWidth="1"/>
    <col min="22" max="22" width="8.6328125" style="4" customWidth="1"/>
    <col min="23" max="23" width="13.36328125" style="1" bestFit="1" customWidth="1"/>
    <col min="24" max="24" width="9.453125" style="1"/>
    <col min="25" max="25" width="11" style="1" bestFit="1" customWidth="1"/>
    <col min="26" max="16384" width="9.453125" style="1"/>
  </cols>
  <sheetData>
    <row r="1" spans="2:25" ht="6.75" customHeight="1" x14ac:dyDescent="0.25"/>
    <row r="2" spans="2:25" ht="15.75" customHeight="1" x14ac:dyDescent="0.25">
      <c r="B2" s="5" t="s">
        <v>0</v>
      </c>
      <c r="C2" s="6"/>
      <c r="D2" s="6"/>
      <c r="E2" s="6"/>
      <c r="F2" s="6"/>
      <c r="G2" s="6"/>
      <c r="H2" s="6"/>
      <c r="I2" s="6"/>
      <c r="J2" s="6"/>
      <c r="K2" s="6"/>
      <c r="L2" s="6"/>
      <c r="M2" s="6"/>
      <c r="N2" s="6"/>
      <c r="O2" s="6"/>
      <c r="P2" s="7"/>
      <c r="Q2" s="7"/>
      <c r="R2" s="7"/>
      <c r="S2" s="7"/>
      <c r="T2" s="7"/>
      <c r="U2" s="6"/>
      <c r="V2" s="6"/>
      <c r="W2" s="6"/>
    </row>
    <row r="3" spans="2:25" x14ac:dyDescent="0.25">
      <c r="B3" s="8">
        <v>46081</v>
      </c>
      <c r="C3" s="6"/>
      <c r="D3" s="6"/>
      <c r="E3" s="6"/>
      <c r="F3" s="6"/>
      <c r="G3" s="6"/>
      <c r="H3" s="6"/>
      <c r="I3" s="6"/>
      <c r="J3" s="6"/>
      <c r="K3" s="6"/>
      <c r="L3" s="6"/>
      <c r="M3" s="6"/>
      <c r="N3" s="6"/>
      <c r="O3" s="6"/>
      <c r="P3" s="7"/>
      <c r="Q3" s="7"/>
      <c r="R3" s="7"/>
      <c r="S3" s="7"/>
      <c r="T3" s="7"/>
      <c r="U3" s="6"/>
      <c r="V3" s="6"/>
      <c r="W3" s="6"/>
    </row>
    <row r="4" spans="2:25" ht="10.4" customHeight="1" x14ac:dyDescent="0.25">
      <c r="U4" s="9"/>
      <c r="V4" s="10"/>
    </row>
    <row r="5" spans="2:25" s="16" customFormat="1" ht="24.75" customHeight="1" x14ac:dyDescent="0.25">
      <c r="B5" s="11" t="s">
        <v>1</v>
      </c>
      <c r="C5" s="11" t="s">
        <v>2</v>
      </c>
      <c r="D5" s="11" t="s">
        <v>3</v>
      </c>
      <c r="E5" s="11" t="s">
        <v>4</v>
      </c>
      <c r="F5" s="11" t="s">
        <v>6677</v>
      </c>
      <c r="G5" s="11" t="s">
        <v>6678</v>
      </c>
      <c r="H5" s="11" t="s">
        <v>5</v>
      </c>
      <c r="I5" s="11" t="s">
        <v>6</v>
      </c>
      <c r="J5" s="11" t="s">
        <v>7</v>
      </c>
      <c r="K5" s="11" t="s">
        <v>8</v>
      </c>
      <c r="L5" s="12" t="s">
        <v>9</v>
      </c>
      <c r="M5" s="12" t="s">
        <v>6686</v>
      </c>
      <c r="N5" s="12" t="s">
        <v>10</v>
      </c>
      <c r="O5" s="12" t="s">
        <v>11</v>
      </c>
      <c r="P5" s="13" t="s">
        <v>12</v>
      </c>
      <c r="Q5" s="13" t="s">
        <v>6689</v>
      </c>
      <c r="R5" s="13" t="s">
        <v>13</v>
      </c>
      <c r="S5" s="13" t="s">
        <v>14</v>
      </c>
      <c r="T5" s="13" t="s">
        <v>15</v>
      </c>
      <c r="U5" s="14" t="s">
        <v>16</v>
      </c>
      <c r="V5" s="15" t="s">
        <v>17</v>
      </c>
      <c r="W5" s="11" t="s">
        <v>18</v>
      </c>
    </row>
    <row r="6" spans="2:25" ht="11.25" hidden="1" customHeight="1" x14ac:dyDescent="0.25">
      <c r="B6" s="17" t="s">
        <v>19</v>
      </c>
      <c r="C6" s="17" t="s">
        <v>19</v>
      </c>
      <c r="D6" s="17" t="s">
        <v>20</v>
      </c>
      <c r="E6" s="17" t="s">
        <v>21</v>
      </c>
      <c r="F6" s="17"/>
      <c r="G6" s="17"/>
      <c r="H6" s="17" t="s">
        <v>22</v>
      </c>
      <c r="I6" s="17" t="s">
        <v>23</v>
      </c>
      <c r="J6" s="17" t="s">
        <v>24</v>
      </c>
      <c r="K6" s="17" t="s">
        <v>25</v>
      </c>
      <c r="L6" s="18">
        <v>38933</v>
      </c>
      <c r="M6" s="18" t="s">
        <v>6687</v>
      </c>
      <c r="N6" s="18"/>
      <c r="O6" s="18"/>
      <c r="P6" s="19">
        <v>44348</v>
      </c>
      <c r="Q6" s="19" t="s">
        <v>6687</v>
      </c>
      <c r="R6" s="19"/>
      <c r="S6" s="19"/>
      <c r="T6" s="19"/>
      <c r="U6" s="18"/>
      <c r="V6" s="17" t="s">
        <v>23</v>
      </c>
      <c r="W6" s="17" t="s">
        <v>26</v>
      </c>
      <c r="Y6" s="4"/>
    </row>
    <row r="7" spans="2:25" ht="11.25" hidden="1" customHeight="1" x14ac:dyDescent="0.25">
      <c r="B7" s="17" t="s">
        <v>27</v>
      </c>
      <c r="C7" s="17" t="s">
        <v>27</v>
      </c>
      <c r="D7" s="17" t="s">
        <v>20</v>
      </c>
      <c r="E7" s="17" t="s">
        <v>28</v>
      </c>
      <c r="F7" s="17"/>
      <c r="G7" s="17"/>
      <c r="H7" s="17" t="s">
        <v>29</v>
      </c>
      <c r="I7" s="17" t="s">
        <v>23</v>
      </c>
      <c r="J7" s="17" t="s">
        <v>24</v>
      </c>
      <c r="K7" s="17" t="s">
        <v>25</v>
      </c>
      <c r="L7" s="18">
        <v>39022</v>
      </c>
      <c r="M7" s="18" t="s">
        <v>6687</v>
      </c>
      <c r="N7" s="18"/>
      <c r="O7" s="18"/>
      <c r="P7" s="19"/>
      <c r="Q7" s="19"/>
      <c r="R7" s="19"/>
      <c r="S7" s="19"/>
      <c r="T7" s="19"/>
      <c r="U7" s="18">
        <v>43677</v>
      </c>
      <c r="V7" s="17" t="s">
        <v>23</v>
      </c>
      <c r="W7" s="17" t="s">
        <v>26</v>
      </c>
      <c r="Y7" s="4"/>
    </row>
    <row r="8" spans="2:25" ht="11.25" hidden="1" customHeight="1" x14ac:dyDescent="0.25">
      <c r="B8" s="17" t="s">
        <v>30</v>
      </c>
      <c r="C8" s="17" t="s">
        <v>30</v>
      </c>
      <c r="D8" s="17" t="s">
        <v>20</v>
      </c>
      <c r="E8" s="17" t="s">
        <v>28</v>
      </c>
      <c r="F8" s="17"/>
      <c r="G8" s="17"/>
      <c r="H8" s="17" t="s">
        <v>31</v>
      </c>
      <c r="I8" s="17" t="s">
        <v>23</v>
      </c>
      <c r="J8" s="17" t="s">
        <v>24</v>
      </c>
      <c r="K8" s="17" t="s">
        <v>25</v>
      </c>
      <c r="L8" s="18">
        <v>39479</v>
      </c>
      <c r="M8" s="18" t="s">
        <v>6687</v>
      </c>
      <c r="N8" s="18"/>
      <c r="O8" s="18"/>
      <c r="P8" s="19"/>
      <c r="Q8" s="19"/>
      <c r="R8" s="19"/>
      <c r="S8" s="19"/>
      <c r="T8" s="19"/>
      <c r="U8" s="18"/>
      <c r="V8" s="17" t="s">
        <v>23</v>
      </c>
      <c r="W8" s="17" t="s">
        <v>26</v>
      </c>
      <c r="Y8" s="4"/>
    </row>
    <row r="9" spans="2:25" ht="11.25" hidden="1" customHeight="1" x14ac:dyDescent="0.25">
      <c r="B9" s="17" t="s">
        <v>32</v>
      </c>
      <c r="C9" s="17" t="s">
        <v>32</v>
      </c>
      <c r="D9" s="17" t="s">
        <v>20</v>
      </c>
      <c r="E9" s="17" t="s">
        <v>28</v>
      </c>
      <c r="F9" s="17"/>
      <c r="G9" s="17"/>
      <c r="H9" s="17" t="s">
        <v>33</v>
      </c>
      <c r="I9" s="17" t="s">
        <v>23</v>
      </c>
      <c r="J9" s="17" t="s">
        <v>34</v>
      </c>
      <c r="K9" s="17" t="s">
        <v>35</v>
      </c>
      <c r="L9" s="18">
        <v>39845</v>
      </c>
      <c r="M9" s="18" t="s">
        <v>6687</v>
      </c>
      <c r="N9" s="18"/>
      <c r="O9" s="18"/>
      <c r="P9" s="19"/>
      <c r="Q9" s="19"/>
      <c r="R9" s="19"/>
      <c r="S9" s="19"/>
      <c r="T9" s="19"/>
      <c r="U9" s="18"/>
      <c r="V9" s="17" t="s">
        <v>23</v>
      </c>
      <c r="W9" s="17" t="s">
        <v>26</v>
      </c>
      <c r="Y9" s="4"/>
    </row>
    <row r="10" spans="2:25" ht="11.25" hidden="1" customHeight="1" x14ac:dyDescent="0.25">
      <c r="B10" s="17" t="s">
        <v>36</v>
      </c>
      <c r="C10" s="17" t="s">
        <v>36</v>
      </c>
      <c r="D10" s="17" t="s">
        <v>20</v>
      </c>
      <c r="E10" s="17" t="s">
        <v>21</v>
      </c>
      <c r="F10" s="17"/>
      <c r="G10" s="17"/>
      <c r="H10" s="17" t="s">
        <v>37</v>
      </c>
      <c r="I10" s="17" t="s">
        <v>23</v>
      </c>
      <c r="J10" s="17" t="s">
        <v>34</v>
      </c>
      <c r="K10" s="17" t="s">
        <v>35</v>
      </c>
      <c r="L10" s="18">
        <v>39965</v>
      </c>
      <c r="M10" s="18" t="s">
        <v>6687</v>
      </c>
      <c r="N10" s="18"/>
      <c r="O10" s="18"/>
      <c r="P10" s="19">
        <v>44651</v>
      </c>
      <c r="Q10" s="19" t="s">
        <v>6687</v>
      </c>
      <c r="R10" s="19"/>
      <c r="S10" s="19"/>
      <c r="T10" s="19"/>
      <c r="U10" s="18"/>
      <c r="V10" s="17" t="s">
        <v>23</v>
      </c>
      <c r="W10" s="17" t="s">
        <v>26</v>
      </c>
      <c r="Y10" s="4"/>
    </row>
    <row r="11" spans="2:25" ht="11.25" hidden="1" customHeight="1" x14ac:dyDescent="0.25">
      <c r="B11" s="17" t="s">
        <v>38</v>
      </c>
      <c r="C11" s="17" t="s">
        <v>38</v>
      </c>
      <c r="D11" s="17" t="s">
        <v>20</v>
      </c>
      <c r="E11" s="17" t="s">
        <v>21</v>
      </c>
      <c r="F11" s="17"/>
      <c r="G11" s="17"/>
      <c r="H11" s="17" t="s">
        <v>39</v>
      </c>
      <c r="I11" s="17" t="s">
        <v>23</v>
      </c>
      <c r="J11" s="17" t="s">
        <v>34</v>
      </c>
      <c r="K11" s="17" t="s">
        <v>35</v>
      </c>
      <c r="L11" s="18">
        <v>40087</v>
      </c>
      <c r="M11" s="18" t="s">
        <v>6687</v>
      </c>
      <c r="N11" s="18"/>
      <c r="O11" s="18"/>
      <c r="P11" s="19">
        <v>45519</v>
      </c>
      <c r="Q11" s="19" t="s">
        <v>6687</v>
      </c>
      <c r="R11" s="19" t="s">
        <v>40</v>
      </c>
      <c r="S11" s="19"/>
      <c r="T11" s="19"/>
      <c r="U11" s="18"/>
      <c r="V11" s="17" t="s">
        <v>23</v>
      </c>
      <c r="W11" s="17" t="s">
        <v>26</v>
      </c>
      <c r="Y11" s="4"/>
    </row>
    <row r="12" spans="2:25" ht="11.25" hidden="1" customHeight="1" x14ac:dyDescent="0.25">
      <c r="B12" s="17" t="s">
        <v>41</v>
      </c>
      <c r="C12" s="17" t="s">
        <v>41</v>
      </c>
      <c r="D12" s="17" t="s">
        <v>20</v>
      </c>
      <c r="E12" s="17" t="s">
        <v>28</v>
      </c>
      <c r="F12" s="17"/>
      <c r="G12" s="17"/>
      <c r="H12" s="17" t="s">
        <v>42</v>
      </c>
      <c r="I12" s="17" t="s">
        <v>23</v>
      </c>
      <c r="J12" s="17" t="s">
        <v>34</v>
      </c>
      <c r="K12" s="17" t="s">
        <v>35</v>
      </c>
      <c r="L12" s="18">
        <v>40087</v>
      </c>
      <c r="M12" s="18" t="s">
        <v>6687</v>
      </c>
      <c r="N12" s="18"/>
      <c r="O12" s="18"/>
      <c r="P12" s="19"/>
      <c r="Q12" s="19"/>
      <c r="R12" s="19"/>
      <c r="S12" s="19"/>
      <c r="T12" s="19"/>
      <c r="U12" s="18"/>
      <c r="V12" s="17" t="s">
        <v>23</v>
      </c>
      <c r="W12" s="17" t="s">
        <v>26</v>
      </c>
      <c r="Y12" s="4"/>
    </row>
    <row r="13" spans="2:25" ht="11.25" hidden="1" customHeight="1" x14ac:dyDescent="0.25">
      <c r="B13" s="17" t="s">
        <v>43</v>
      </c>
      <c r="C13" s="17" t="s">
        <v>43</v>
      </c>
      <c r="D13" s="17" t="s">
        <v>20</v>
      </c>
      <c r="E13" s="17" t="s">
        <v>21</v>
      </c>
      <c r="F13" s="17"/>
      <c r="G13" s="17"/>
      <c r="H13" s="17" t="s">
        <v>44</v>
      </c>
      <c r="I13" s="17" t="s">
        <v>23</v>
      </c>
      <c r="J13" s="17" t="s">
        <v>34</v>
      </c>
      <c r="K13" s="17" t="s">
        <v>35</v>
      </c>
      <c r="L13" s="18">
        <v>40148</v>
      </c>
      <c r="M13" s="18" t="s">
        <v>6687</v>
      </c>
      <c r="N13" s="18"/>
      <c r="O13" s="18"/>
      <c r="P13" s="19"/>
      <c r="Q13" s="19"/>
      <c r="R13" s="19"/>
      <c r="S13" s="19"/>
      <c r="T13" s="19"/>
      <c r="U13" s="18"/>
      <c r="V13" s="17" t="s">
        <v>23</v>
      </c>
      <c r="W13" s="17" t="s">
        <v>26</v>
      </c>
      <c r="Y13" s="4"/>
    </row>
    <row r="14" spans="2:25" ht="11.25" hidden="1" customHeight="1" x14ac:dyDescent="0.25">
      <c r="B14" s="17" t="s">
        <v>45</v>
      </c>
      <c r="C14" s="17" t="s">
        <v>45</v>
      </c>
      <c r="D14" s="17" t="s">
        <v>20</v>
      </c>
      <c r="E14" s="17" t="s">
        <v>21</v>
      </c>
      <c r="F14" s="17"/>
      <c r="G14" s="17"/>
      <c r="H14" s="17" t="s">
        <v>46</v>
      </c>
      <c r="I14" s="17" t="s">
        <v>23</v>
      </c>
      <c r="J14" s="17" t="s">
        <v>34</v>
      </c>
      <c r="K14" s="17" t="s">
        <v>35</v>
      </c>
      <c r="L14" s="18">
        <v>40458</v>
      </c>
      <c r="M14" s="18" t="s">
        <v>6687</v>
      </c>
      <c r="N14" s="18"/>
      <c r="O14" s="18"/>
      <c r="P14" s="19">
        <v>45432</v>
      </c>
      <c r="Q14" s="19" t="s">
        <v>6687</v>
      </c>
      <c r="R14" s="19" t="s">
        <v>47</v>
      </c>
      <c r="S14" s="19" t="s">
        <v>48</v>
      </c>
      <c r="T14" s="19"/>
      <c r="U14" s="18"/>
      <c r="V14" s="17" t="s">
        <v>23</v>
      </c>
      <c r="W14" s="17" t="s">
        <v>26</v>
      </c>
      <c r="Y14" s="4"/>
    </row>
    <row r="15" spans="2:25" ht="11.25" hidden="1" customHeight="1" x14ac:dyDescent="0.25">
      <c r="B15" s="17" t="s">
        <v>49</v>
      </c>
      <c r="C15" s="17" t="s">
        <v>49</v>
      </c>
      <c r="D15" s="17" t="s">
        <v>20</v>
      </c>
      <c r="E15" s="17" t="s">
        <v>28</v>
      </c>
      <c r="F15" s="17"/>
      <c r="G15" s="17"/>
      <c r="H15" s="17" t="s">
        <v>50</v>
      </c>
      <c r="I15" s="17" t="s">
        <v>23</v>
      </c>
      <c r="J15" s="17" t="s">
        <v>51</v>
      </c>
      <c r="K15" s="17" t="s">
        <v>52</v>
      </c>
      <c r="L15" s="18">
        <v>40555</v>
      </c>
      <c r="M15" s="18" t="s">
        <v>6687</v>
      </c>
      <c r="N15" s="18"/>
      <c r="O15" s="18"/>
      <c r="P15" s="19"/>
      <c r="Q15" s="19"/>
      <c r="R15" s="19"/>
      <c r="S15" s="19"/>
      <c r="T15" s="19"/>
      <c r="U15" s="18"/>
      <c r="V15" s="17" t="s">
        <v>23</v>
      </c>
      <c r="W15" s="17" t="s">
        <v>26</v>
      </c>
      <c r="Y15" s="4"/>
    </row>
    <row r="16" spans="2:25" ht="11.25" hidden="1" customHeight="1" x14ac:dyDescent="0.25">
      <c r="B16" s="17" t="s">
        <v>53</v>
      </c>
      <c r="C16" s="17" t="s">
        <v>53</v>
      </c>
      <c r="D16" s="17" t="s">
        <v>20</v>
      </c>
      <c r="E16" s="17" t="s">
        <v>21</v>
      </c>
      <c r="F16" s="17"/>
      <c r="G16" s="17"/>
      <c r="H16" s="17" t="s">
        <v>54</v>
      </c>
      <c r="I16" s="17" t="s">
        <v>23</v>
      </c>
      <c r="J16" s="17" t="s">
        <v>51</v>
      </c>
      <c r="K16" s="17" t="s">
        <v>52</v>
      </c>
      <c r="L16" s="18">
        <v>40673</v>
      </c>
      <c r="M16" s="18" t="s">
        <v>6687</v>
      </c>
      <c r="N16" s="18"/>
      <c r="O16" s="18"/>
      <c r="P16" s="19">
        <v>44287</v>
      </c>
      <c r="Q16" s="19" t="s">
        <v>6687</v>
      </c>
      <c r="R16" s="19"/>
      <c r="S16" s="19"/>
      <c r="T16" s="19"/>
      <c r="U16" s="18"/>
      <c r="V16" s="17" t="s">
        <v>23</v>
      </c>
      <c r="W16" s="17" t="s">
        <v>26</v>
      </c>
      <c r="Y16" s="4"/>
    </row>
    <row r="17" spans="2:25" ht="11.25" hidden="1" customHeight="1" x14ac:dyDescent="0.25">
      <c r="B17" s="17" t="s">
        <v>55</v>
      </c>
      <c r="C17" s="17" t="s">
        <v>55</v>
      </c>
      <c r="D17" s="17" t="s">
        <v>20</v>
      </c>
      <c r="E17" s="17" t="s">
        <v>21</v>
      </c>
      <c r="F17" s="17"/>
      <c r="G17" s="17"/>
      <c r="H17" s="17" t="s">
        <v>56</v>
      </c>
      <c r="I17" s="17" t="s">
        <v>23</v>
      </c>
      <c r="J17" s="17" t="s">
        <v>51</v>
      </c>
      <c r="K17" s="17" t="s">
        <v>52</v>
      </c>
      <c r="L17" s="18">
        <v>40754</v>
      </c>
      <c r="M17" s="18" t="s">
        <v>6687</v>
      </c>
      <c r="N17" s="18"/>
      <c r="O17" s="18"/>
      <c r="P17" s="19">
        <v>44081</v>
      </c>
      <c r="Q17" s="19" t="s">
        <v>6687</v>
      </c>
      <c r="R17" s="19"/>
      <c r="S17" s="19"/>
      <c r="T17" s="19"/>
      <c r="U17" s="18"/>
      <c r="V17" s="17" t="s">
        <v>23</v>
      </c>
      <c r="W17" s="17" t="s">
        <v>26</v>
      </c>
      <c r="Y17" s="4"/>
    </row>
    <row r="18" spans="2:25" ht="11.25" hidden="1" customHeight="1" x14ac:dyDescent="0.25">
      <c r="B18" s="17" t="s">
        <v>57</v>
      </c>
      <c r="C18" s="17" t="s">
        <v>57</v>
      </c>
      <c r="D18" s="17" t="s">
        <v>20</v>
      </c>
      <c r="E18" s="17" t="s">
        <v>21</v>
      </c>
      <c r="F18" s="17"/>
      <c r="G18" s="17"/>
      <c r="H18" s="17" t="s">
        <v>58</v>
      </c>
      <c r="I18" s="17" t="s">
        <v>23</v>
      </c>
      <c r="J18" s="17" t="s">
        <v>51</v>
      </c>
      <c r="K18" s="17" t="s">
        <v>52</v>
      </c>
      <c r="L18" s="18">
        <v>40893</v>
      </c>
      <c r="M18" s="18" t="s">
        <v>6687</v>
      </c>
      <c r="N18" s="18"/>
      <c r="O18" s="18"/>
      <c r="P18" s="19">
        <v>45551</v>
      </c>
      <c r="Q18" s="19" t="s">
        <v>6687</v>
      </c>
      <c r="R18" s="19" t="s">
        <v>40</v>
      </c>
      <c r="S18" s="19"/>
      <c r="T18" s="19"/>
      <c r="U18" s="18"/>
      <c r="V18" s="17" t="s">
        <v>23</v>
      </c>
      <c r="W18" s="17" t="s">
        <v>26</v>
      </c>
      <c r="Y18" s="4"/>
    </row>
    <row r="19" spans="2:25" ht="11.25" hidden="1" customHeight="1" x14ac:dyDescent="0.25">
      <c r="B19" s="17" t="s">
        <v>59</v>
      </c>
      <c r="C19" s="17" t="s">
        <v>59</v>
      </c>
      <c r="D19" s="17" t="s">
        <v>20</v>
      </c>
      <c r="E19" s="17" t="s">
        <v>28</v>
      </c>
      <c r="F19" s="17"/>
      <c r="G19" s="17"/>
      <c r="H19" s="17" t="s">
        <v>60</v>
      </c>
      <c r="I19" s="17" t="s">
        <v>23</v>
      </c>
      <c r="J19" s="17" t="s">
        <v>61</v>
      </c>
      <c r="K19" s="17" t="s">
        <v>62</v>
      </c>
      <c r="L19" s="18">
        <v>40990</v>
      </c>
      <c r="M19" s="18" t="s">
        <v>6687</v>
      </c>
      <c r="N19" s="18"/>
      <c r="O19" s="18"/>
      <c r="P19" s="19"/>
      <c r="Q19" s="19"/>
      <c r="R19" s="19"/>
      <c r="S19" s="19"/>
      <c r="T19" s="19"/>
      <c r="U19" s="18">
        <v>43618</v>
      </c>
      <c r="V19" s="17" t="s">
        <v>23</v>
      </c>
      <c r="W19" s="17" t="s">
        <v>26</v>
      </c>
      <c r="Y19" s="4"/>
    </row>
    <row r="20" spans="2:25" ht="11.25" hidden="1" customHeight="1" x14ac:dyDescent="0.25">
      <c r="B20" s="17" t="s">
        <v>63</v>
      </c>
      <c r="C20" s="17" t="s">
        <v>63</v>
      </c>
      <c r="D20" s="17" t="s">
        <v>20</v>
      </c>
      <c r="E20" s="17" t="s">
        <v>21</v>
      </c>
      <c r="F20" s="17"/>
      <c r="G20" s="17"/>
      <c r="H20" s="17" t="s">
        <v>64</v>
      </c>
      <c r="I20" s="17" t="s">
        <v>23</v>
      </c>
      <c r="J20" s="17" t="s">
        <v>65</v>
      </c>
      <c r="K20" s="17" t="s">
        <v>66</v>
      </c>
      <c r="L20" s="18">
        <v>41162</v>
      </c>
      <c r="M20" s="18" t="s">
        <v>6687</v>
      </c>
      <c r="N20" s="18"/>
      <c r="O20" s="18"/>
      <c r="P20" s="19">
        <v>45513</v>
      </c>
      <c r="Q20" s="19" t="s">
        <v>6687</v>
      </c>
      <c r="R20" s="19" t="s">
        <v>47</v>
      </c>
      <c r="S20" s="19" t="s">
        <v>67</v>
      </c>
      <c r="T20" s="19"/>
      <c r="U20" s="18">
        <v>44720</v>
      </c>
      <c r="V20" s="17" t="s">
        <v>23</v>
      </c>
      <c r="W20" s="17" t="s">
        <v>26</v>
      </c>
      <c r="Y20" s="4"/>
    </row>
    <row r="21" spans="2:25" ht="11.25" hidden="1" customHeight="1" x14ac:dyDescent="0.25">
      <c r="B21" s="17" t="s">
        <v>68</v>
      </c>
      <c r="C21" s="17" t="s">
        <v>68</v>
      </c>
      <c r="D21" s="17" t="s">
        <v>20</v>
      </c>
      <c r="E21" s="17" t="s">
        <v>21</v>
      </c>
      <c r="F21" s="17"/>
      <c r="G21" s="17"/>
      <c r="H21" s="17" t="s">
        <v>69</v>
      </c>
      <c r="I21" s="17" t="s">
        <v>23</v>
      </c>
      <c r="J21" s="17" t="s">
        <v>70</v>
      </c>
      <c r="K21" s="17" t="s">
        <v>71</v>
      </c>
      <c r="L21" s="18">
        <v>41275</v>
      </c>
      <c r="M21" s="18" t="s">
        <v>6687</v>
      </c>
      <c r="N21" s="18"/>
      <c r="O21" s="18"/>
      <c r="P21" s="19">
        <v>43901</v>
      </c>
      <c r="Q21" s="19" t="s">
        <v>6687</v>
      </c>
      <c r="R21" s="19"/>
      <c r="S21" s="19"/>
      <c r="T21" s="19"/>
      <c r="U21" s="18"/>
      <c r="V21" s="17" t="s">
        <v>23</v>
      </c>
      <c r="W21" s="17" t="s">
        <v>26</v>
      </c>
      <c r="Y21" s="4"/>
    </row>
    <row r="22" spans="2:25" ht="11.25" hidden="1" customHeight="1" x14ac:dyDescent="0.25">
      <c r="B22" s="17" t="s">
        <v>72</v>
      </c>
      <c r="C22" s="17" t="s">
        <v>72</v>
      </c>
      <c r="D22" s="17" t="s">
        <v>20</v>
      </c>
      <c r="E22" s="17" t="s">
        <v>21</v>
      </c>
      <c r="F22" s="17"/>
      <c r="G22" s="17"/>
      <c r="H22" s="17" t="s">
        <v>73</v>
      </c>
      <c r="I22" s="17" t="s">
        <v>23</v>
      </c>
      <c r="J22" s="17" t="s">
        <v>34</v>
      </c>
      <c r="K22" s="17" t="s">
        <v>35</v>
      </c>
      <c r="L22" s="18">
        <v>41379</v>
      </c>
      <c r="M22" s="18" t="s">
        <v>6687</v>
      </c>
      <c r="N22" s="18"/>
      <c r="O22" s="18"/>
      <c r="P22" s="19">
        <v>45271</v>
      </c>
      <c r="Q22" s="19" t="s">
        <v>6687</v>
      </c>
      <c r="R22" s="19"/>
      <c r="S22" s="19"/>
      <c r="T22" s="19"/>
      <c r="U22" s="18"/>
      <c r="V22" s="17" t="s">
        <v>23</v>
      </c>
      <c r="W22" s="17" t="s">
        <v>26</v>
      </c>
      <c r="Y22" s="4"/>
    </row>
    <row r="23" spans="2:25" ht="11.25" hidden="1" customHeight="1" x14ac:dyDescent="0.25">
      <c r="B23" s="17" t="s">
        <v>74</v>
      </c>
      <c r="C23" s="17" t="s">
        <v>74</v>
      </c>
      <c r="D23" s="17" t="s">
        <v>20</v>
      </c>
      <c r="E23" s="17" t="s">
        <v>28</v>
      </c>
      <c r="F23" s="17"/>
      <c r="G23" s="17"/>
      <c r="H23" s="17" t="s">
        <v>75</v>
      </c>
      <c r="I23" s="17" t="s">
        <v>23</v>
      </c>
      <c r="J23" s="17" t="s">
        <v>76</v>
      </c>
      <c r="K23" s="17" t="s">
        <v>77</v>
      </c>
      <c r="L23" s="18">
        <v>41438</v>
      </c>
      <c r="M23" s="18" t="s">
        <v>6687</v>
      </c>
      <c r="N23" s="18"/>
      <c r="O23" s="18"/>
      <c r="P23" s="19"/>
      <c r="Q23" s="19"/>
      <c r="R23" s="19"/>
      <c r="S23" s="19"/>
      <c r="T23" s="19"/>
      <c r="U23" s="18"/>
      <c r="V23" s="17" t="s">
        <v>23</v>
      </c>
      <c r="W23" s="17" t="s">
        <v>26</v>
      </c>
      <c r="Y23" s="4"/>
    </row>
    <row r="24" spans="2:25" ht="11.25" hidden="1" customHeight="1" x14ac:dyDescent="0.25">
      <c r="B24" s="17" t="s">
        <v>78</v>
      </c>
      <c r="C24" s="17" t="s">
        <v>78</v>
      </c>
      <c r="D24" s="17" t="s">
        <v>20</v>
      </c>
      <c r="E24" s="17" t="s">
        <v>28</v>
      </c>
      <c r="F24" s="17"/>
      <c r="G24" s="17"/>
      <c r="H24" s="17" t="s">
        <v>79</v>
      </c>
      <c r="I24" s="17" t="s">
        <v>23</v>
      </c>
      <c r="J24" s="17" t="s">
        <v>76</v>
      </c>
      <c r="K24" s="17" t="s">
        <v>77</v>
      </c>
      <c r="L24" s="18">
        <v>41544</v>
      </c>
      <c r="M24" s="18" t="s">
        <v>6687</v>
      </c>
      <c r="N24" s="18"/>
      <c r="O24" s="18"/>
      <c r="P24" s="19"/>
      <c r="Q24" s="19"/>
      <c r="R24" s="19"/>
      <c r="S24" s="19"/>
      <c r="T24" s="19"/>
      <c r="U24" s="18"/>
      <c r="V24" s="17" t="s">
        <v>23</v>
      </c>
      <c r="W24" s="17" t="s">
        <v>26</v>
      </c>
      <c r="Y24" s="4"/>
    </row>
    <row r="25" spans="2:25" ht="11.25" hidden="1" customHeight="1" x14ac:dyDescent="0.25">
      <c r="B25" s="17" t="s">
        <v>80</v>
      </c>
      <c r="C25" s="17" t="s">
        <v>80</v>
      </c>
      <c r="D25" s="17" t="s">
        <v>20</v>
      </c>
      <c r="E25" s="17" t="s">
        <v>28</v>
      </c>
      <c r="F25" s="17"/>
      <c r="G25" s="17"/>
      <c r="H25" s="17" t="s">
        <v>81</v>
      </c>
      <c r="I25" s="17" t="s">
        <v>23</v>
      </c>
      <c r="J25" s="17" t="s">
        <v>34</v>
      </c>
      <c r="K25" s="17" t="s">
        <v>35</v>
      </c>
      <c r="L25" s="18">
        <v>41557</v>
      </c>
      <c r="M25" s="18" t="s">
        <v>6687</v>
      </c>
      <c r="N25" s="18"/>
      <c r="O25" s="18"/>
      <c r="P25" s="19"/>
      <c r="Q25" s="19"/>
      <c r="R25" s="19"/>
      <c r="S25" s="19"/>
      <c r="T25" s="19"/>
      <c r="U25" s="18"/>
      <c r="V25" s="17" t="s">
        <v>23</v>
      </c>
      <c r="W25" s="17" t="s">
        <v>26</v>
      </c>
      <c r="Y25" s="4"/>
    </row>
    <row r="26" spans="2:25" ht="11.25" hidden="1" customHeight="1" x14ac:dyDescent="0.25">
      <c r="B26" s="17" t="s">
        <v>82</v>
      </c>
      <c r="C26" s="17" t="s">
        <v>82</v>
      </c>
      <c r="D26" s="17" t="s">
        <v>20</v>
      </c>
      <c r="E26" s="17" t="s">
        <v>21</v>
      </c>
      <c r="F26" s="17"/>
      <c r="G26" s="17"/>
      <c r="H26" s="17" t="s">
        <v>83</v>
      </c>
      <c r="I26" s="17" t="s">
        <v>23</v>
      </c>
      <c r="J26" s="17" t="s">
        <v>51</v>
      </c>
      <c r="K26" s="17" t="s">
        <v>52</v>
      </c>
      <c r="L26" s="18">
        <v>41557</v>
      </c>
      <c r="M26" s="18" t="s">
        <v>6687</v>
      </c>
      <c r="N26" s="18"/>
      <c r="O26" s="18"/>
      <c r="P26" s="19">
        <v>44091</v>
      </c>
      <c r="Q26" s="19" t="s">
        <v>6687</v>
      </c>
      <c r="R26" s="19"/>
      <c r="S26" s="19"/>
      <c r="T26" s="19"/>
      <c r="U26" s="18"/>
      <c r="V26" s="17" t="s">
        <v>23</v>
      </c>
      <c r="W26" s="17" t="s">
        <v>26</v>
      </c>
      <c r="Y26" s="4"/>
    </row>
    <row r="27" spans="2:25" ht="11.25" hidden="1" customHeight="1" x14ac:dyDescent="0.25">
      <c r="B27" s="17" t="s">
        <v>84</v>
      </c>
      <c r="C27" s="17" t="s">
        <v>84</v>
      </c>
      <c r="D27" s="17" t="s">
        <v>20</v>
      </c>
      <c r="E27" s="17" t="s">
        <v>28</v>
      </c>
      <c r="F27" s="17"/>
      <c r="G27" s="17"/>
      <c r="H27" s="17" t="s">
        <v>85</v>
      </c>
      <c r="I27" s="17" t="s">
        <v>23</v>
      </c>
      <c r="J27" s="17" t="s">
        <v>76</v>
      </c>
      <c r="K27" s="17" t="s">
        <v>77</v>
      </c>
      <c r="L27" s="18">
        <v>41639</v>
      </c>
      <c r="M27" s="18" t="s">
        <v>6687</v>
      </c>
      <c r="N27" s="18"/>
      <c r="O27" s="18"/>
      <c r="P27" s="19"/>
      <c r="Q27" s="19"/>
      <c r="R27" s="19"/>
      <c r="S27" s="19"/>
      <c r="T27" s="19"/>
      <c r="U27" s="18"/>
      <c r="V27" s="17" t="s">
        <v>23</v>
      </c>
      <c r="W27" s="17" t="s">
        <v>26</v>
      </c>
      <c r="Y27" s="4"/>
    </row>
    <row r="28" spans="2:25" ht="11.25" hidden="1" customHeight="1" x14ac:dyDescent="0.25">
      <c r="B28" s="17" t="s">
        <v>86</v>
      </c>
      <c r="C28" s="17" t="s">
        <v>86</v>
      </c>
      <c r="D28" s="17" t="s">
        <v>20</v>
      </c>
      <c r="E28" s="17" t="s">
        <v>21</v>
      </c>
      <c r="F28" s="17"/>
      <c r="G28" s="17"/>
      <c r="H28" s="17" t="s">
        <v>87</v>
      </c>
      <c r="I28" s="17" t="s">
        <v>88</v>
      </c>
      <c r="J28" s="17" t="s">
        <v>89</v>
      </c>
      <c r="K28" s="17" t="s">
        <v>87</v>
      </c>
      <c r="L28" s="18">
        <v>41640</v>
      </c>
      <c r="M28" s="18" t="s">
        <v>6687</v>
      </c>
      <c r="N28" s="18"/>
      <c r="O28" s="18"/>
      <c r="P28" s="19">
        <v>46066</v>
      </c>
      <c r="Q28" s="19" t="s">
        <v>6687</v>
      </c>
      <c r="R28" s="19"/>
      <c r="S28" s="19"/>
      <c r="T28" s="19"/>
      <c r="U28" s="18"/>
      <c r="V28" s="17" t="s">
        <v>88</v>
      </c>
      <c r="W28" s="17" t="s">
        <v>26</v>
      </c>
      <c r="Y28" s="4"/>
    </row>
    <row r="29" spans="2:25" ht="11.25" hidden="1" customHeight="1" x14ac:dyDescent="0.25">
      <c r="B29" s="17" t="s">
        <v>90</v>
      </c>
      <c r="C29" s="17" t="s">
        <v>90</v>
      </c>
      <c r="D29" s="17" t="s">
        <v>20</v>
      </c>
      <c r="E29" s="17" t="s">
        <v>21</v>
      </c>
      <c r="F29" s="17"/>
      <c r="G29" s="17"/>
      <c r="H29" s="17" t="s">
        <v>91</v>
      </c>
      <c r="I29" s="17" t="s">
        <v>23</v>
      </c>
      <c r="J29" s="17" t="s">
        <v>51</v>
      </c>
      <c r="K29" s="17" t="s">
        <v>52</v>
      </c>
      <c r="L29" s="18">
        <v>41652</v>
      </c>
      <c r="M29" s="18" t="s">
        <v>6687</v>
      </c>
      <c r="N29" s="18"/>
      <c r="O29" s="18"/>
      <c r="P29" s="19">
        <v>45418</v>
      </c>
      <c r="Q29" s="19" t="s">
        <v>6687</v>
      </c>
      <c r="R29" s="19" t="s">
        <v>40</v>
      </c>
      <c r="S29" s="19"/>
      <c r="T29" s="19"/>
      <c r="U29" s="18"/>
      <c r="V29" s="17" t="s">
        <v>23</v>
      </c>
      <c r="W29" s="17" t="s">
        <v>26</v>
      </c>
      <c r="Y29" s="4"/>
    </row>
    <row r="30" spans="2:25" ht="11.25" hidden="1" customHeight="1" x14ac:dyDescent="0.25">
      <c r="B30" s="17" t="s">
        <v>92</v>
      </c>
      <c r="C30" s="17" t="s">
        <v>92</v>
      </c>
      <c r="D30" s="17" t="s">
        <v>20</v>
      </c>
      <c r="E30" s="17" t="s">
        <v>28</v>
      </c>
      <c r="F30" s="17"/>
      <c r="G30" s="17"/>
      <c r="H30" s="17" t="s">
        <v>93</v>
      </c>
      <c r="I30" s="17" t="s">
        <v>23</v>
      </c>
      <c r="J30" s="17" t="s">
        <v>94</v>
      </c>
      <c r="K30" s="17" t="s">
        <v>95</v>
      </c>
      <c r="L30" s="18">
        <v>41679</v>
      </c>
      <c r="M30" s="18" t="s">
        <v>6687</v>
      </c>
      <c r="N30" s="18"/>
      <c r="O30" s="18"/>
      <c r="P30" s="19"/>
      <c r="Q30" s="19"/>
      <c r="R30" s="19"/>
      <c r="S30" s="19"/>
      <c r="T30" s="19"/>
      <c r="U30" s="18"/>
      <c r="V30" s="17" t="s">
        <v>23</v>
      </c>
      <c r="W30" s="17" t="s">
        <v>26</v>
      </c>
      <c r="Y30" s="4"/>
    </row>
    <row r="31" spans="2:25" hidden="1" x14ac:dyDescent="0.25">
      <c r="B31" s="17" t="s">
        <v>96</v>
      </c>
      <c r="C31" s="17" t="s">
        <v>96</v>
      </c>
      <c r="D31" s="17" t="s">
        <v>20</v>
      </c>
      <c r="E31" s="17" t="s">
        <v>21</v>
      </c>
      <c r="F31" s="17"/>
      <c r="G31" s="17"/>
      <c r="H31" s="17" t="s">
        <v>97</v>
      </c>
      <c r="I31" s="17" t="s">
        <v>23</v>
      </c>
      <c r="J31" s="17" t="s">
        <v>76</v>
      </c>
      <c r="K31" s="17" t="s">
        <v>77</v>
      </c>
      <c r="L31" s="18">
        <v>41725</v>
      </c>
      <c r="M31" s="18" t="s">
        <v>6687</v>
      </c>
      <c r="N31" s="18"/>
      <c r="O31" s="18"/>
      <c r="P31" s="19">
        <v>44362</v>
      </c>
      <c r="Q31" s="19" t="s">
        <v>6687</v>
      </c>
      <c r="R31" s="19"/>
      <c r="S31" s="19"/>
      <c r="T31" s="19"/>
      <c r="U31" s="18"/>
      <c r="V31" s="17" t="s">
        <v>23</v>
      </c>
      <c r="W31" s="17" t="s">
        <v>26</v>
      </c>
      <c r="Y31" s="4"/>
    </row>
    <row r="32" spans="2:25" ht="11.25" hidden="1" customHeight="1" x14ac:dyDescent="0.25">
      <c r="B32" s="17" t="s">
        <v>98</v>
      </c>
      <c r="C32" s="17" t="s">
        <v>98</v>
      </c>
      <c r="D32" s="17" t="s">
        <v>20</v>
      </c>
      <c r="E32" s="17" t="s">
        <v>21</v>
      </c>
      <c r="F32" s="17"/>
      <c r="G32" s="17"/>
      <c r="H32" s="17" t="s">
        <v>99</v>
      </c>
      <c r="I32" s="17" t="s">
        <v>23</v>
      </c>
      <c r="J32" s="17" t="s">
        <v>94</v>
      </c>
      <c r="K32" s="17" t="s">
        <v>95</v>
      </c>
      <c r="L32" s="18">
        <v>41751</v>
      </c>
      <c r="M32" s="18" t="s">
        <v>6687</v>
      </c>
      <c r="N32" s="18"/>
      <c r="O32" s="18"/>
      <c r="P32" s="19">
        <v>45458</v>
      </c>
      <c r="Q32" s="19" t="s">
        <v>6687</v>
      </c>
      <c r="R32" s="19" t="s">
        <v>40</v>
      </c>
      <c r="S32" s="19"/>
      <c r="T32" s="19"/>
      <c r="U32" s="18"/>
      <c r="V32" s="17" t="s">
        <v>23</v>
      </c>
      <c r="W32" s="17" t="s">
        <v>26</v>
      </c>
      <c r="Y32" s="4"/>
    </row>
    <row r="33" spans="2:25" ht="11.25" hidden="1" customHeight="1" x14ac:dyDescent="0.25">
      <c r="B33" s="17" t="s">
        <v>100</v>
      </c>
      <c r="C33" s="17" t="s">
        <v>100</v>
      </c>
      <c r="D33" s="17" t="s">
        <v>20</v>
      </c>
      <c r="E33" s="17" t="s">
        <v>21</v>
      </c>
      <c r="F33" s="17"/>
      <c r="G33" s="17"/>
      <c r="H33" s="17" t="s">
        <v>101</v>
      </c>
      <c r="I33" s="17" t="s">
        <v>23</v>
      </c>
      <c r="J33" s="17" t="s">
        <v>76</v>
      </c>
      <c r="K33" s="17" t="s">
        <v>77</v>
      </c>
      <c r="L33" s="18">
        <v>41806</v>
      </c>
      <c r="M33" s="18" t="s">
        <v>6687</v>
      </c>
      <c r="N33" s="18"/>
      <c r="O33" s="18"/>
      <c r="P33" s="19">
        <v>44530</v>
      </c>
      <c r="Q33" s="19" t="s">
        <v>6687</v>
      </c>
      <c r="R33" s="19"/>
      <c r="S33" s="19"/>
      <c r="T33" s="19"/>
      <c r="U33" s="18"/>
      <c r="V33" s="17" t="s">
        <v>23</v>
      </c>
      <c r="W33" s="17" t="s">
        <v>26</v>
      </c>
      <c r="Y33" s="4"/>
    </row>
    <row r="34" spans="2:25" ht="11.25" hidden="1" customHeight="1" x14ac:dyDescent="0.25">
      <c r="B34" s="17" t="s">
        <v>102</v>
      </c>
      <c r="C34" s="17" t="s">
        <v>102</v>
      </c>
      <c r="D34" s="17" t="s">
        <v>20</v>
      </c>
      <c r="E34" s="17" t="s">
        <v>21</v>
      </c>
      <c r="F34" s="17"/>
      <c r="G34" s="17"/>
      <c r="H34" s="17" t="s">
        <v>103</v>
      </c>
      <c r="I34" s="17" t="s">
        <v>23</v>
      </c>
      <c r="J34" s="17" t="s">
        <v>51</v>
      </c>
      <c r="K34" s="17" t="s">
        <v>52</v>
      </c>
      <c r="L34" s="18">
        <v>41855</v>
      </c>
      <c r="M34" s="18" t="s">
        <v>6687</v>
      </c>
      <c r="N34" s="18"/>
      <c r="O34" s="18"/>
      <c r="P34" s="19">
        <v>45593</v>
      </c>
      <c r="Q34" s="19" t="s">
        <v>6687</v>
      </c>
      <c r="R34" s="19" t="s">
        <v>40</v>
      </c>
      <c r="S34" s="19"/>
      <c r="T34" s="19"/>
      <c r="U34" s="18">
        <v>43733</v>
      </c>
      <c r="V34" s="17" t="s">
        <v>23</v>
      </c>
      <c r="W34" s="17" t="s">
        <v>26</v>
      </c>
      <c r="Y34" s="4"/>
    </row>
    <row r="35" spans="2:25" ht="11.25" hidden="1" customHeight="1" x14ac:dyDescent="0.25">
      <c r="B35" s="17" t="s">
        <v>104</v>
      </c>
      <c r="C35" s="17" t="s">
        <v>104</v>
      </c>
      <c r="D35" s="17" t="s">
        <v>20</v>
      </c>
      <c r="E35" s="17" t="s">
        <v>28</v>
      </c>
      <c r="F35" s="17"/>
      <c r="G35" s="17"/>
      <c r="H35" s="17" t="s">
        <v>105</v>
      </c>
      <c r="I35" s="17" t="s">
        <v>106</v>
      </c>
      <c r="J35" s="17" t="s">
        <v>76</v>
      </c>
      <c r="K35" s="17" t="s">
        <v>77</v>
      </c>
      <c r="L35" s="18">
        <v>41931</v>
      </c>
      <c r="M35" s="18" t="s">
        <v>6687</v>
      </c>
      <c r="N35" s="18"/>
      <c r="O35" s="18"/>
      <c r="P35" s="19"/>
      <c r="Q35" s="19"/>
      <c r="R35" s="19"/>
      <c r="S35" s="19"/>
      <c r="T35" s="19"/>
      <c r="U35" s="18"/>
      <c r="V35" s="17" t="s">
        <v>106</v>
      </c>
      <c r="W35" s="17" t="s">
        <v>107</v>
      </c>
      <c r="Y35" s="4"/>
    </row>
    <row r="36" spans="2:25" ht="11.25" hidden="1" customHeight="1" x14ac:dyDescent="0.25">
      <c r="B36" s="17" t="s">
        <v>108</v>
      </c>
      <c r="C36" s="17" t="s">
        <v>108</v>
      </c>
      <c r="D36" s="17" t="s">
        <v>20</v>
      </c>
      <c r="E36" s="17" t="s">
        <v>28</v>
      </c>
      <c r="F36" s="17"/>
      <c r="G36" s="17"/>
      <c r="H36" s="17" t="s">
        <v>109</v>
      </c>
      <c r="I36" s="17" t="s">
        <v>23</v>
      </c>
      <c r="J36" s="17" t="s">
        <v>76</v>
      </c>
      <c r="K36" s="17" t="s">
        <v>77</v>
      </c>
      <c r="L36" s="18">
        <v>42000</v>
      </c>
      <c r="M36" s="18" t="s">
        <v>6687</v>
      </c>
      <c r="N36" s="18"/>
      <c r="O36" s="18"/>
      <c r="P36" s="19"/>
      <c r="Q36" s="19"/>
      <c r="R36" s="19"/>
      <c r="S36" s="19"/>
      <c r="T36" s="19"/>
      <c r="U36" s="18"/>
      <c r="V36" s="17" t="s">
        <v>23</v>
      </c>
      <c r="W36" s="17" t="s">
        <v>26</v>
      </c>
      <c r="Y36" s="4"/>
    </row>
    <row r="37" spans="2:25" ht="11.25" hidden="1" customHeight="1" x14ac:dyDescent="0.25">
      <c r="B37" s="17" t="s">
        <v>110</v>
      </c>
      <c r="C37" s="17" t="s">
        <v>110</v>
      </c>
      <c r="D37" s="17" t="s">
        <v>20</v>
      </c>
      <c r="E37" s="17" t="s">
        <v>21</v>
      </c>
      <c r="F37" s="17"/>
      <c r="G37" s="17"/>
      <c r="H37" s="17" t="s">
        <v>111</v>
      </c>
      <c r="I37" s="17" t="s">
        <v>23</v>
      </c>
      <c r="J37" s="17" t="s">
        <v>112</v>
      </c>
      <c r="K37" s="17" t="s">
        <v>113</v>
      </c>
      <c r="L37" s="18">
        <v>43709</v>
      </c>
      <c r="M37" s="18" t="s">
        <v>6687</v>
      </c>
      <c r="N37" s="18"/>
      <c r="O37" s="18"/>
      <c r="P37" s="19">
        <v>45658</v>
      </c>
      <c r="Q37" s="19" t="s">
        <v>6687</v>
      </c>
      <c r="R37" s="19" t="s">
        <v>40</v>
      </c>
      <c r="S37" s="19"/>
      <c r="T37" s="19"/>
      <c r="U37" s="18"/>
      <c r="V37" s="17" t="s">
        <v>23</v>
      </c>
      <c r="W37" s="17" t="s">
        <v>26</v>
      </c>
      <c r="Y37" s="4"/>
    </row>
    <row r="38" spans="2:25" ht="11.25" hidden="1" customHeight="1" x14ac:dyDescent="0.25">
      <c r="B38" s="17" t="s">
        <v>114</v>
      </c>
      <c r="C38" s="17" t="s">
        <v>114</v>
      </c>
      <c r="D38" s="17" t="s">
        <v>20</v>
      </c>
      <c r="E38" s="17" t="s">
        <v>28</v>
      </c>
      <c r="F38" s="17"/>
      <c r="G38" s="17"/>
      <c r="H38" s="17" t="s">
        <v>115</v>
      </c>
      <c r="I38" s="17" t="s">
        <v>23</v>
      </c>
      <c r="J38" s="17" t="s">
        <v>94</v>
      </c>
      <c r="K38" s="17" t="s">
        <v>95</v>
      </c>
      <c r="L38" s="18">
        <v>42017</v>
      </c>
      <c r="M38" s="18" t="s">
        <v>6687</v>
      </c>
      <c r="N38" s="18"/>
      <c r="O38" s="18"/>
      <c r="P38" s="19"/>
      <c r="Q38" s="19"/>
      <c r="R38" s="19"/>
      <c r="S38" s="19"/>
      <c r="T38" s="19"/>
      <c r="U38" s="18">
        <v>43976</v>
      </c>
      <c r="V38" s="17" t="s">
        <v>23</v>
      </c>
      <c r="W38" s="17" t="s">
        <v>26</v>
      </c>
      <c r="Y38" s="4"/>
    </row>
    <row r="39" spans="2:25" ht="11.25" hidden="1" customHeight="1" x14ac:dyDescent="0.25">
      <c r="B39" s="17" t="s">
        <v>116</v>
      </c>
      <c r="C39" s="17" t="s">
        <v>116</v>
      </c>
      <c r="D39" s="17" t="s">
        <v>20</v>
      </c>
      <c r="E39" s="17" t="s">
        <v>28</v>
      </c>
      <c r="F39" s="17"/>
      <c r="G39" s="17"/>
      <c r="H39" s="17" t="s">
        <v>117</v>
      </c>
      <c r="I39" s="17" t="s">
        <v>23</v>
      </c>
      <c r="J39" s="17" t="s">
        <v>76</v>
      </c>
      <c r="K39" s="17" t="s">
        <v>77</v>
      </c>
      <c r="L39" s="18">
        <v>42035</v>
      </c>
      <c r="M39" s="18" t="s">
        <v>6687</v>
      </c>
      <c r="N39" s="18"/>
      <c r="O39" s="18"/>
      <c r="P39" s="19"/>
      <c r="Q39" s="19"/>
      <c r="R39" s="19"/>
      <c r="S39" s="19"/>
      <c r="T39" s="19"/>
      <c r="U39" s="18"/>
      <c r="V39" s="17" t="s">
        <v>23</v>
      </c>
      <c r="W39" s="17" t="s">
        <v>26</v>
      </c>
      <c r="Y39" s="4"/>
    </row>
    <row r="40" spans="2:25" ht="11.25" hidden="1" customHeight="1" x14ac:dyDescent="0.25">
      <c r="B40" s="17" t="s">
        <v>118</v>
      </c>
      <c r="C40" s="17" t="s">
        <v>118</v>
      </c>
      <c r="D40" s="17" t="s">
        <v>20</v>
      </c>
      <c r="E40" s="17" t="s">
        <v>21</v>
      </c>
      <c r="F40" s="17"/>
      <c r="G40" s="17"/>
      <c r="H40" s="17" t="s">
        <v>119</v>
      </c>
      <c r="I40" s="17" t="s">
        <v>23</v>
      </c>
      <c r="J40" s="17" t="s">
        <v>120</v>
      </c>
      <c r="K40" s="17" t="s">
        <v>121</v>
      </c>
      <c r="L40" s="18">
        <v>42092</v>
      </c>
      <c r="M40" s="18" t="s">
        <v>6687</v>
      </c>
      <c r="N40" s="18"/>
      <c r="O40" s="18"/>
      <c r="P40" s="19">
        <v>44927</v>
      </c>
      <c r="Q40" s="19" t="s">
        <v>6687</v>
      </c>
      <c r="R40" s="19"/>
      <c r="S40" s="19"/>
      <c r="T40" s="19"/>
      <c r="U40" s="18"/>
      <c r="V40" s="17" t="s">
        <v>23</v>
      </c>
      <c r="W40" s="17" t="s">
        <v>26</v>
      </c>
      <c r="Y40" s="4"/>
    </row>
    <row r="41" spans="2:25" ht="11.25" hidden="1" customHeight="1" x14ac:dyDescent="0.25">
      <c r="B41" s="17" t="s">
        <v>122</v>
      </c>
      <c r="C41" s="17" t="s">
        <v>122</v>
      </c>
      <c r="D41" s="17" t="s">
        <v>20</v>
      </c>
      <c r="E41" s="17" t="s">
        <v>21</v>
      </c>
      <c r="F41" s="17"/>
      <c r="G41" s="17"/>
      <c r="H41" s="17" t="s">
        <v>123</v>
      </c>
      <c r="I41" s="17" t="s">
        <v>23</v>
      </c>
      <c r="J41" s="17" t="s">
        <v>124</v>
      </c>
      <c r="K41" s="17" t="s">
        <v>125</v>
      </c>
      <c r="L41" s="18">
        <v>42121</v>
      </c>
      <c r="M41" s="18" t="s">
        <v>6687</v>
      </c>
      <c r="N41" s="18"/>
      <c r="O41" s="18"/>
      <c r="P41" s="19">
        <v>43900</v>
      </c>
      <c r="Q41" s="19" t="s">
        <v>6687</v>
      </c>
      <c r="R41" s="19"/>
      <c r="S41" s="19"/>
      <c r="T41" s="19"/>
      <c r="U41" s="18"/>
      <c r="V41" s="17" t="s">
        <v>23</v>
      </c>
      <c r="W41" s="17" t="s">
        <v>26</v>
      </c>
      <c r="Y41" s="4"/>
    </row>
    <row r="42" spans="2:25" hidden="1" x14ac:dyDescent="0.25">
      <c r="B42" s="17" t="s">
        <v>126</v>
      </c>
      <c r="C42" s="17" t="s">
        <v>126</v>
      </c>
      <c r="D42" s="17" t="s">
        <v>20</v>
      </c>
      <c r="E42" s="17" t="s">
        <v>21</v>
      </c>
      <c r="F42" s="17"/>
      <c r="G42" s="17"/>
      <c r="H42" s="17" t="s">
        <v>127</v>
      </c>
      <c r="I42" s="17" t="s">
        <v>23</v>
      </c>
      <c r="J42" s="17" t="s">
        <v>70</v>
      </c>
      <c r="K42" s="17" t="s">
        <v>71</v>
      </c>
      <c r="L42" s="18">
        <v>42197</v>
      </c>
      <c r="M42" s="18" t="s">
        <v>6687</v>
      </c>
      <c r="N42" s="18"/>
      <c r="O42" s="18"/>
      <c r="P42" s="19">
        <v>43811</v>
      </c>
      <c r="Q42" s="19" t="s">
        <v>6687</v>
      </c>
      <c r="R42" s="19"/>
      <c r="S42" s="19"/>
      <c r="T42" s="19"/>
      <c r="U42" s="18"/>
      <c r="V42" s="17" t="s">
        <v>23</v>
      </c>
      <c r="W42" s="17" t="s">
        <v>26</v>
      </c>
      <c r="Y42" s="4"/>
    </row>
    <row r="43" spans="2:25" ht="11.25" hidden="1" customHeight="1" x14ac:dyDescent="0.25">
      <c r="B43" s="17" t="s">
        <v>128</v>
      </c>
      <c r="C43" s="17" t="s">
        <v>128</v>
      </c>
      <c r="D43" s="17" t="s">
        <v>20</v>
      </c>
      <c r="E43" s="17" t="s">
        <v>21</v>
      </c>
      <c r="F43" s="17"/>
      <c r="G43" s="17"/>
      <c r="H43" s="17" t="s">
        <v>129</v>
      </c>
      <c r="I43" s="17" t="s">
        <v>23</v>
      </c>
      <c r="J43" s="17" t="s">
        <v>120</v>
      </c>
      <c r="K43" s="17" t="s">
        <v>121</v>
      </c>
      <c r="L43" s="18">
        <v>42210</v>
      </c>
      <c r="M43" s="18" t="s">
        <v>6687</v>
      </c>
      <c r="N43" s="18"/>
      <c r="O43" s="18"/>
      <c r="P43" s="19">
        <v>43983</v>
      </c>
      <c r="Q43" s="19" t="s">
        <v>6687</v>
      </c>
      <c r="R43" s="19"/>
      <c r="S43" s="19"/>
      <c r="T43" s="19"/>
      <c r="U43" s="18"/>
      <c r="V43" s="17" t="s">
        <v>23</v>
      </c>
      <c r="W43" s="17" t="s">
        <v>26</v>
      </c>
      <c r="Y43" s="4"/>
    </row>
    <row r="44" spans="2:25" ht="11.25" hidden="1" customHeight="1" x14ac:dyDescent="0.25">
      <c r="B44" s="17" t="s">
        <v>130</v>
      </c>
      <c r="C44" s="17" t="s">
        <v>130</v>
      </c>
      <c r="D44" s="17" t="s">
        <v>20</v>
      </c>
      <c r="E44" s="17" t="s">
        <v>21</v>
      </c>
      <c r="F44" s="17"/>
      <c r="G44" s="17"/>
      <c r="H44" s="17" t="s">
        <v>131</v>
      </c>
      <c r="I44" s="17" t="s">
        <v>23</v>
      </c>
      <c r="J44" s="17" t="s">
        <v>70</v>
      </c>
      <c r="K44" s="17" t="s">
        <v>71</v>
      </c>
      <c r="L44" s="18">
        <v>42249</v>
      </c>
      <c r="M44" s="18" t="s">
        <v>6687</v>
      </c>
      <c r="N44" s="18"/>
      <c r="O44" s="18"/>
      <c r="P44" s="19">
        <v>44266</v>
      </c>
      <c r="Q44" s="19" t="s">
        <v>6687</v>
      </c>
      <c r="R44" s="19"/>
      <c r="S44" s="19"/>
      <c r="T44" s="19"/>
      <c r="U44" s="18"/>
      <c r="V44" s="17" t="s">
        <v>23</v>
      </c>
      <c r="W44" s="17" t="s">
        <v>26</v>
      </c>
      <c r="Y44" s="4"/>
    </row>
    <row r="45" spans="2:25" ht="11.25" hidden="1" customHeight="1" x14ac:dyDescent="0.25">
      <c r="B45" s="17" t="s">
        <v>132</v>
      </c>
      <c r="C45" s="17" t="s">
        <v>132</v>
      </c>
      <c r="D45" s="17" t="s">
        <v>20</v>
      </c>
      <c r="E45" s="17" t="s">
        <v>21</v>
      </c>
      <c r="F45" s="17"/>
      <c r="G45" s="17"/>
      <c r="H45" s="17" t="s">
        <v>133</v>
      </c>
      <c r="I45" s="17" t="s">
        <v>23</v>
      </c>
      <c r="J45" s="17" t="s">
        <v>76</v>
      </c>
      <c r="K45" s="17" t="s">
        <v>77</v>
      </c>
      <c r="L45" s="18">
        <v>42249</v>
      </c>
      <c r="M45" s="18" t="s">
        <v>6687</v>
      </c>
      <c r="N45" s="18"/>
      <c r="O45" s="18"/>
      <c r="P45" s="19">
        <v>45137</v>
      </c>
      <c r="Q45" s="19" t="s">
        <v>6687</v>
      </c>
      <c r="R45" s="19"/>
      <c r="S45" s="19"/>
      <c r="T45" s="19"/>
      <c r="U45" s="18"/>
      <c r="V45" s="17" t="s">
        <v>23</v>
      </c>
      <c r="W45" s="17" t="s">
        <v>26</v>
      </c>
      <c r="Y45" s="4"/>
    </row>
    <row r="46" spans="2:25" ht="11.25" hidden="1" customHeight="1" x14ac:dyDescent="0.25">
      <c r="B46" s="17" t="s">
        <v>134</v>
      </c>
      <c r="C46" s="17" t="s">
        <v>134</v>
      </c>
      <c r="D46" s="17" t="s">
        <v>20</v>
      </c>
      <c r="E46" s="17" t="s">
        <v>21</v>
      </c>
      <c r="F46" s="17"/>
      <c r="G46" s="17"/>
      <c r="H46" s="17" t="s">
        <v>135</v>
      </c>
      <c r="I46" s="17" t="s">
        <v>23</v>
      </c>
      <c r="J46" s="17" t="s">
        <v>76</v>
      </c>
      <c r="K46" s="17" t="s">
        <v>77</v>
      </c>
      <c r="L46" s="18">
        <v>42267</v>
      </c>
      <c r="M46" s="18" t="s">
        <v>6687</v>
      </c>
      <c r="N46" s="18"/>
      <c r="O46" s="18"/>
      <c r="P46" s="19">
        <v>44322</v>
      </c>
      <c r="Q46" s="19" t="s">
        <v>6687</v>
      </c>
      <c r="R46" s="19"/>
      <c r="S46" s="19"/>
      <c r="T46" s="19"/>
      <c r="U46" s="18"/>
      <c r="V46" s="17" t="s">
        <v>23</v>
      </c>
      <c r="W46" s="17" t="s">
        <v>26</v>
      </c>
      <c r="Y46" s="4"/>
    </row>
    <row r="47" spans="2:25" ht="11.25" hidden="1" customHeight="1" x14ac:dyDescent="0.25">
      <c r="B47" s="17" t="s">
        <v>136</v>
      </c>
      <c r="C47" s="17" t="s">
        <v>136</v>
      </c>
      <c r="D47" s="17" t="s">
        <v>20</v>
      </c>
      <c r="E47" s="17" t="s">
        <v>21</v>
      </c>
      <c r="F47" s="17"/>
      <c r="G47" s="17"/>
      <c r="H47" s="17" t="s">
        <v>137</v>
      </c>
      <c r="I47" s="17" t="s">
        <v>23</v>
      </c>
      <c r="J47" s="17" t="s">
        <v>120</v>
      </c>
      <c r="K47" s="17" t="s">
        <v>121</v>
      </c>
      <c r="L47" s="18">
        <v>42270</v>
      </c>
      <c r="M47" s="18" t="s">
        <v>6687</v>
      </c>
      <c r="N47" s="18"/>
      <c r="O47" s="18"/>
      <c r="P47" s="3">
        <v>44748</v>
      </c>
      <c r="Q47" s="19" t="s">
        <v>6687</v>
      </c>
      <c r="R47" s="19"/>
      <c r="T47" s="19"/>
      <c r="U47" s="18">
        <v>43709</v>
      </c>
      <c r="V47" s="17" t="s">
        <v>23</v>
      </c>
      <c r="W47" s="17" t="s">
        <v>26</v>
      </c>
      <c r="Y47" s="4"/>
    </row>
    <row r="48" spans="2:25" ht="11.25" hidden="1" customHeight="1" x14ac:dyDescent="0.25">
      <c r="B48" s="17" t="s">
        <v>138</v>
      </c>
      <c r="C48" s="17" t="s">
        <v>138</v>
      </c>
      <c r="D48" s="17" t="s">
        <v>20</v>
      </c>
      <c r="E48" s="17" t="s">
        <v>21</v>
      </c>
      <c r="F48" s="17"/>
      <c r="G48" s="17"/>
      <c r="H48" s="17" t="s">
        <v>139</v>
      </c>
      <c r="I48" s="17" t="s">
        <v>140</v>
      </c>
      <c r="J48" s="17" t="s">
        <v>141</v>
      </c>
      <c r="K48" s="17" t="s">
        <v>142</v>
      </c>
      <c r="L48" s="18">
        <v>42275</v>
      </c>
      <c r="M48" s="18" t="s">
        <v>6687</v>
      </c>
      <c r="N48" s="18"/>
      <c r="O48" s="18"/>
      <c r="P48" s="19">
        <v>44543</v>
      </c>
      <c r="Q48" s="19" t="s">
        <v>6687</v>
      </c>
      <c r="R48" s="19"/>
      <c r="S48" s="19"/>
      <c r="T48" s="19"/>
      <c r="U48" s="18"/>
      <c r="V48" s="17" t="s">
        <v>140</v>
      </c>
      <c r="W48" s="17" t="s">
        <v>107</v>
      </c>
      <c r="Y48" s="4"/>
    </row>
    <row r="49" spans="2:25" ht="11.25" hidden="1" customHeight="1" x14ac:dyDescent="0.25">
      <c r="B49" s="17" t="s">
        <v>143</v>
      </c>
      <c r="C49" s="17" t="s">
        <v>143</v>
      </c>
      <c r="D49" s="17" t="s">
        <v>20</v>
      </c>
      <c r="E49" s="17" t="s">
        <v>21</v>
      </c>
      <c r="F49" s="17"/>
      <c r="G49" s="17"/>
      <c r="H49" s="17" t="s">
        <v>144</v>
      </c>
      <c r="I49" s="17" t="s">
        <v>140</v>
      </c>
      <c r="J49" s="17" t="s">
        <v>120</v>
      </c>
      <c r="K49" s="17" t="s">
        <v>121</v>
      </c>
      <c r="L49" s="18">
        <v>42277</v>
      </c>
      <c r="M49" s="18" t="s">
        <v>6687</v>
      </c>
      <c r="N49" s="18"/>
      <c r="O49" s="18"/>
      <c r="P49" s="19">
        <v>44104</v>
      </c>
      <c r="Q49" s="19" t="s">
        <v>6687</v>
      </c>
      <c r="R49" s="19"/>
      <c r="S49" s="19"/>
      <c r="T49" s="19"/>
      <c r="U49" s="18"/>
      <c r="V49" s="17" t="s">
        <v>140</v>
      </c>
      <c r="W49" s="17" t="s">
        <v>107</v>
      </c>
      <c r="Y49" s="4"/>
    </row>
    <row r="50" spans="2:25" ht="11.25" hidden="1" customHeight="1" x14ac:dyDescent="0.25">
      <c r="B50" s="17" t="s">
        <v>145</v>
      </c>
      <c r="C50" s="17" t="s">
        <v>145</v>
      </c>
      <c r="D50" s="17" t="s">
        <v>20</v>
      </c>
      <c r="E50" s="17" t="s">
        <v>21</v>
      </c>
      <c r="F50" s="17"/>
      <c r="G50" s="17"/>
      <c r="H50" s="17" t="s">
        <v>146</v>
      </c>
      <c r="I50" s="17" t="s">
        <v>140</v>
      </c>
      <c r="J50" s="17" t="s">
        <v>124</v>
      </c>
      <c r="K50" s="17" t="s">
        <v>125</v>
      </c>
      <c r="L50" s="18">
        <v>42277</v>
      </c>
      <c r="M50" s="18" t="s">
        <v>6687</v>
      </c>
      <c r="N50" s="18"/>
      <c r="O50" s="18"/>
      <c r="P50" s="19">
        <v>44544</v>
      </c>
      <c r="Q50" s="19" t="s">
        <v>6687</v>
      </c>
      <c r="R50" s="19"/>
      <c r="S50" s="19"/>
      <c r="T50" s="19"/>
      <c r="U50" s="18"/>
      <c r="V50" s="17" t="s">
        <v>140</v>
      </c>
      <c r="W50" s="17" t="s">
        <v>107</v>
      </c>
      <c r="Y50" s="4"/>
    </row>
    <row r="51" spans="2:25" ht="11.25" hidden="1" customHeight="1" x14ac:dyDescent="0.25">
      <c r="B51" s="17" t="s">
        <v>147</v>
      </c>
      <c r="C51" s="17" t="s">
        <v>147</v>
      </c>
      <c r="D51" s="17" t="s">
        <v>20</v>
      </c>
      <c r="E51" s="17" t="s">
        <v>21</v>
      </c>
      <c r="F51" s="17"/>
      <c r="G51" s="17"/>
      <c r="H51" s="17" t="s">
        <v>148</v>
      </c>
      <c r="I51" s="17" t="s">
        <v>23</v>
      </c>
      <c r="J51" s="17" t="s">
        <v>120</v>
      </c>
      <c r="K51" s="17" t="s">
        <v>121</v>
      </c>
      <c r="L51" s="18">
        <v>42305</v>
      </c>
      <c r="M51" s="18" t="s">
        <v>6687</v>
      </c>
      <c r="N51" s="18"/>
      <c r="O51" s="18"/>
      <c r="P51" s="19">
        <v>44958</v>
      </c>
      <c r="Q51" s="19" t="s">
        <v>6687</v>
      </c>
      <c r="R51" s="19"/>
      <c r="S51" s="19"/>
      <c r="T51" s="19"/>
      <c r="U51" s="18"/>
      <c r="V51" s="17" t="s">
        <v>23</v>
      </c>
      <c r="W51" s="17" t="s">
        <v>26</v>
      </c>
      <c r="Y51" s="4"/>
    </row>
    <row r="52" spans="2:25" ht="11.25" hidden="1" customHeight="1" x14ac:dyDescent="0.25">
      <c r="B52" s="17" t="s">
        <v>149</v>
      </c>
      <c r="C52" s="17" t="s">
        <v>149</v>
      </c>
      <c r="D52" s="17" t="s">
        <v>20</v>
      </c>
      <c r="E52" s="17" t="s">
        <v>28</v>
      </c>
      <c r="F52" s="17"/>
      <c r="G52" s="17"/>
      <c r="H52" s="17" t="s">
        <v>150</v>
      </c>
      <c r="I52" s="17" t="s">
        <v>23</v>
      </c>
      <c r="J52" s="17" t="s">
        <v>34</v>
      </c>
      <c r="K52" s="17" t="s">
        <v>35</v>
      </c>
      <c r="L52" s="18">
        <v>42305</v>
      </c>
      <c r="M52" s="18" t="s">
        <v>6687</v>
      </c>
      <c r="N52" s="18"/>
      <c r="O52" s="18"/>
      <c r="P52" s="19"/>
      <c r="Q52" s="19"/>
      <c r="R52" s="19"/>
      <c r="S52" s="19"/>
      <c r="T52" s="19"/>
      <c r="U52" s="18"/>
      <c r="V52" s="17" t="s">
        <v>23</v>
      </c>
      <c r="W52" s="17" t="s">
        <v>26</v>
      </c>
      <c r="Y52" s="4"/>
    </row>
    <row r="53" spans="2:25" ht="11.25" hidden="1" customHeight="1" x14ac:dyDescent="0.25">
      <c r="B53" s="17" t="s">
        <v>151</v>
      </c>
      <c r="C53" s="17" t="s">
        <v>151</v>
      </c>
      <c r="D53" s="17" t="s">
        <v>20</v>
      </c>
      <c r="E53" s="17" t="s">
        <v>28</v>
      </c>
      <c r="F53" s="17"/>
      <c r="G53" s="17"/>
      <c r="H53" s="17" t="s">
        <v>152</v>
      </c>
      <c r="I53" s="17" t="s">
        <v>23</v>
      </c>
      <c r="J53" s="17" t="s">
        <v>76</v>
      </c>
      <c r="K53" s="17" t="s">
        <v>77</v>
      </c>
      <c r="L53" s="18">
        <v>42306</v>
      </c>
      <c r="M53" s="18" t="s">
        <v>6687</v>
      </c>
      <c r="N53" s="18"/>
      <c r="O53" s="18"/>
      <c r="P53" s="20"/>
      <c r="Q53" s="20"/>
      <c r="R53" s="20"/>
      <c r="S53" s="20"/>
      <c r="T53" s="19"/>
      <c r="U53" s="18"/>
      <c r="V53" s="17" t="s">
        <v>23</v>
      </c>
      <c r="W53" s="17" t="s">
        <v>26</v>
      </c>
      <c r="Y53" s="4"/>
    </row>
    <row r="54" spans="2:25" ht="11.25" hidden="1" customHeight="1" x14ac:dyDescent="0.25">
      <c r="B54" s="17" t="s">
        <v>153</v>
      </c>
      <c r="C54" s="17" t="s">
        <v>153</v>
      </c>
      <c r="D54" s="17" t="s">
        <v>20</v>
      </c>
      <c r="E54" s="17" t="s">
        <v>28</v>
      </c>
      <c r="F54" s="17"/>
      <c r="G54" s="17"/>
      <c r="H54" s="17" t="s">
        <v>154</v>
      </c>
      <c r="I54" s="17" t="s">
        <v>23</v>
      </c>
      <c r="J54" s="17" t="s">
        <v>76</v>
      </c>
      <c r="K54" s="17" t="s">
        <v>77</v>
      </c>
      <c r="L54" s="18">
        <v>42318</v>
      </c>
      <c r="M54" s="18" t="s">
        <v>6687</v>
      </c>
      <c r="N54" s="18"/>
      <c r="O54" s="18"/>
      <c r="P54" s="19"/>
      <c r="Q54" s="19"/>
      <c r="R54" s="19"/>
      <c r="S54" s="19"/>
      <c r="T54" s="19"/>
      <c r="U54" s="18"/>
      <c r="V54" s="17" t="s">
        <v>23</v>
      </c>
      <c r="W54" s="17" t="s">
        <v>26</v>
      </c>
      <c r="Y54" s="4"/>
    </row>
    <row r="55" spans="2:25" ht="11.25" hidden="1" customHeight="1" x14ac:dyDescent="0.25">
      <c r="B55" s="17" t="s">
        <v>155</v>
      </c>
      <c r="C55" s="17" t="s">
        <v>155</v>
      </c>
      <c r="D55" s="17" t="s">
        <v>20</v>
      </c>
      <c r="E55" s="17" t="s">
        <v>21</v>
      </c>
      <c r="F55" s="17"/>
      <c r="G55" s="17"/>
      <c r="H55" s="17" t="s">
        <v>156</v>
      </c>
      <c r="I55" s="17" t="s">
        <v>23</v>
      </c>
      <c r="J55" s="17" t="s">
        <v>70</v>
      </c>
      <c r="K55" s="17" t="s">
        <v>71</v>
      </c>
      <c r="L55" s="18">
        <v>42328</v>
      </c>
      <c r="M55" s="18" t="s">
        <v>6687</v>
      </c>
      <c r="N55" s="18"/>
      <c r="O55" s="18"/>
      <c r="P55" s="19">
        <v>45249</v>
      </c>
      <c r="Q55" s="19" t="s">
        <v>6687</v>
      </c>
      <c r="R55" s="19" t="s">
        <v>40</v>
      </c>
      <c r="S55" s="19"/>
      <c r="T55" s="19"/>
      <c r="U55" s="18"/>
      <c r="V55" s="17" t="s">
        <v>23</v>
      </c>
      <c r="W55" s="17" t="s">
        <v>26</v>
      </c>
      <c r="Y55" s="4"/>
    </row>
    <row r="56" spans="2:25" ht="11.25" hidden="1" customHeight="1" x14ac:dyDescent="0.25">
      <c r="B56" s="17" t="s">
        <v>157</v>
      </c>
      <c r="C56" s="17" t="s">
        <v>157</v>
      </c>
      <c r="D56" s="17" t="s">
        <v>20</v>
      </c>
      <c r="E56" s="17" t="s">
        <v>21</v>
      </c>
      <c r="F56" s="17"/>
      <c r="G56" s="17"/>
      <c r="H56" s="17" t="s">
        <v>158</v>
      </c>
      <c r="I56" s="17" t="s">
        <v>23</v>
      </c>
      <c r="J56" s="17" t="s">
        <v>120</v>
      </c>
      <c r="K56" s="17" t="s">
        <v>121</v>
      </c>
      <c r="L56" s="18">
        <v>42328</v>
      </c>
      <c r="M56" s="18" t="s">
        <v>6687</v>
      </c>
      <c r="N56" s="18"/>
      <c r="O56" s="18"/>
      <c r="P56" s="19">
        <v>45227</v>
      </c>
      <c r="Q56" s="19" t="s">
        <v>6687</v>
      </c>
      <c r="R56" s="19"/>
      <c r="S56" s="19"/>
      <c r="T56" s="19"/>
      <c r="U56" s="18"/>
      <c r="V56" s="17" t="s">
        <v>23</v>
      </c>
      <c r="W56" s="17" t="s">
        <v>26</v>
      </c>
      <c r="Y56" s="4"/>
    </row>
    <row r="57" spans="2:25" ht="11.25" hidden="1" customHeight="1" x14ac:dyDescent="0.25">
      <c r="B57" s="17" t="s">
        <v>159</v>
      </c>
      <c r="C57" s="17" t="s">
        <v>159</v>
      </c>
      <c r="D57" s="17" t="s">
        <v>20</v>
      </c>
      <c r="E57" s="17" t="s">
        <v>21</v>
      </c>
      <c r="F57" s="17"/>
      <c r="G57" s="17"/>
      <c r="H57" s="17" t="s">
        <v>160</v>
      </c>
      <c r="I57" s="17" t="s">
        <v>140</v>
      </c>
      <c r="J57" s="17" t="s">
        <v>76</v>
      </c>
      <c r="K57" s="17" t="s">
        <v>161</v>
      </c>
      <c r="L57" s="18">
        <v>43914</v>
      </c>
      <c r="M57" s="18" t="s">
        <v>6687</v>
      </c>
      <c r="N57" s="18"/>
      <c r="O57" s="18"/>
      <c r="P57" s="19">
        <v>45658</v>
      </c>
      <c r="Q57" s="19" t="s">
        <v>6687</v>
      </c>
      <c r="R57" s="19" t="s">
        <v>40</v>
      </c>
      <c r="S57" s="19"/>
      <c r="T57" s="19"/>
      <c r="U57" s="18"/>
      <c r="V57" s="17" t="s">
        <v>140</v>
      </c>
      <c r="W57" s="17" t="s">
        <v>107</v>
      </c>
      <c r="Y57" s="4"/>
    </row>
    <row r="58" spans="2:25" ht="11.25" hidden="1" customHeight="1" x14ac:dyDescent="0.25">
      <c r="B58" s="17" t="s">
        <v>162</v>
      </c>
      <c r="C58" s="17" t="s">
        <v>162</v>
      </c>
      <c r="D58" s="17" t="s">
        <v>20</v>
      </c>
      <c r="E58" s="17" t="s">
        <v>21</v>
      </c>
      <c r="F58" s="17"/>
      <c r="G58" s="17"/>
      <c r="H58" s="17" t="s">
        <v>163</v>
      </c>
      <c r="I58" s="17" t="s">
        <v>140</v>
      </c>
      <c r="J58" s="17" t="s">
        <v>112</v>
      </c>
      <c r="K58" s="17" t="s">
        <v>113</v>
      </c>
      <c r="L58" s="18">
        <v>43914</v>
      </c>
      <c r="M58" s="18" t="s">
        <v>6687</v>
      </c>
      <c r="N58" s="18"/>
      <c r="O58" s="18"/>
      <c r="P58" s="19">
        <v>45658</v>
      </c>
      <c r="Q58" s="19" t="s">
        <v>6687</v>
      </c>
      <c r="R58" s="19" t="s">
        <v>40</v>
      </c>
      <c r="S58" s="19"/>
      <c r="T58" s="19"/>
      <c r="U58" s="18"/>
      <c r="V58" s="17" t="s">
        <v>140</v>
      </c>
      <c r="W58" s="17" t="s">
        <v>107</v>
      </c>
      <c r="Y58" s="4"/>
    </row>
    <row r="59" spans="2:25" ht="11.25" hidden="1" customHeight="1" x14ac:dyDescent="0.25">
      <c r="B59" s="17" t="s">
        <v>164</v>
      </c>
      <c r="C59" s="17" t="s">
        <v>164</v>
      </c>
      <c r="D59" s="17" t="s">
        <v>20</v>
      </c>
      <c r="E59" s="17" t="s">
        <v>28</v>
      </c>
      <c r="F59" s="17"/>
      <c r="G59" s="17"/>
      <c r="H59" s="17" t="s">
        <v>165</v>
      </c>
      <c r="I59" s="17" t="s">
        <v>23</v>
      </c>
      <c r="J59" s="17" t="s">
        <v>34</v>
      </c>
      <c r="K59" s="17" t="s">
        <v>35</v>
      </c>
      <c r="L59" s="18">
        <v>42353</v>
      </c>
      <c r="M59" s="18" t="s">
        <v>6687</v>
      </c>
      <c r="N59" s="18"/>
      <c r="O59" s="18"/>
      <c r="P59" s="19"/>
      <c r="Q59" s="19"/>
      <c r="R59" s="19"/>
      <c r="S59" s="19"/>
      <c r="T59" s="19"/>
      <c r="U59" s="18">
        <v>44488</v>
      </c>
      <c r="V59" s="17" t="s">
        <v>23</v>
      </c>
      <c r="W59" s="17" t="s">
        <v>26</v>
      </c>
      <c r="Y59" s="4"/>
    </row>
    <row r="60" spans="2:25" ht="11.25" hidden="1" customHeight="1" x14ac:dyDescent="0.25">
      <c r="B60" s="17" t="s">
        <v>166</v>
      </c>
      <c r="C60" s="17" t="s">
        <v>166</v>
      </c>
      <c r="D60" s="17" t="s">
        <v>20</v>
      </c>
      <c r="E60" s="17" t="s">
        <v>21</v>
      </c>
      <c r="F60" s="17"/>
      <c r="G60" s="17"/>
      <c r="H60" s="17" t="s">
        <v>167</v>
      </c>
      <c r="I60" s="17" t="s">
        <v>23</v>
      </c>
      <c r="J60" s="17" t="s">
        <v>141</v>
      </c>
      <c r="K60" s="17" t="s">
        <v>142</v>
      </c>
      <c r="L60" s="18">
        <v>42353</v>
      </c>
      <c r="M60" s="18" t="s">
        <v>6687</v>
      </c>
      <c r="N60" s="18"/>
      <c r="O60" s="18"/>
      <c r="P60" s="19">
        <v>44362</v>
      </c>
      <c r="Q60" s="19" t="s">
        <v>6687</v>
      </c>
      <c r="R60" s="19"/>
      <c r="S60" s="19"/>
      <c r="T60" s="19"/>
      <c r="U60" s="18"/>
      <c r="V60" s="17" t="s">
        <v>23</v>
      </c>
      <c r="W60" s="17" t="s">
        <v>26</v>
      </c>
      <c r="Y60" s="4"/>
    </row>
    <row r="61" spans="2:25" ht="11.25" hidden="1" customHeight="1" x14ac:dyDescent="0.25">
      <c r="B61" s="17" t="s">
        <v>168</v>
      </c>
      <c r="C61" s="17" t="s">
        <v>168</v>
      </c>
      <c r="D61" s="17" t="s">
        <v>20</v>
      </c>
      <c r="E61" s="17" t="s">
        <v>28</v>
      </c>
      <c r="F61" s="17"/>
      <c r="G61" s="17"/>
      <c r="H61" s="17" t="s">
        <v>169</v>
      </c>
      <c r="I61" s="17" t="s">
        <v>23</v>
      </c>
      <c r="J61" s="17" t="s">
        <v>61</v>
      </c>
      <c r="K61" s="17" t="s">
        <v>62</v>
      </c>
      <c r="L61" s="18">
        <v>42490</v>
      </c>
      <c r="M61" s="18" t="s">
        <v>6687</v>
      </c>
      <c r="N61" s="18"/>
      <c r="O61" s="18"/>
      <c r="P61" s="19"/>
      <c r="Q61" s="19"/>
      <c r="R61" s="19"/>
      <c r="S61" s="19"/>
      <c r="T61" s="19"/>
      <c r="U61" s="18"/>
      <c r="V61" s="17" t="s">
        <v>23</v>
      </c>
      <c r="W61" s="17" t="s">
        <v>26</v>
      </c>
      <c r="Y61" s="4"/>
    </row>
    <row r="62" spans="2:25" ht="11.25" hidden="1" customHeight="1" x14ac:dyDescent="0.25">
      <c r="B62" s="17" t="s">
        <v>170</v>
      </c>
      <c r="C62" s="17" t="s">
        <v>170</v>
      </c>
      <c r="D62" s="17" t="s">
        <v>20</v>
      </c>
      <c r="E62" s="17" t="s">
        <v>21</v>
      </c>
      <c r="F62" s="17"/>
      <c r="G62" s="17"/>
      <c r="H62" s="17" t="s">
        <v>171</v>
      </c>
      <c r="I62" s="17" t="s">
        <v>23</v>
      </c>
      <c r="J62" s="17" t="s">
        <v>76</v>
      </c>
      <c r="K62" s="17" t="s">
        <v>77</v>
      </c>
      <c r="L62" s="18">
        <v>42521</v>
      </c>
      <c r="M62" s="18" t="s">
        <v>6687</v>
      </c>
      <c r="N62" s="18"/>
      <c r="O62" s="18"/>
      <c r="P62" s="19">
        <v>44308</v>
      </c>
      <c r="Q62" s="19" t="s">
        <v>6687</v>
      </c>
      <c r="R62" s="19"/>
      <c r="S62" s="19"/>
      <c r="T62" s="19"/>
      <c r="U62" s="18"/>
      <c r="V62" s="17" t="s">
        <v>23</v>
      </c>
      <c r="W62" s="17" t="s">
        <v>26</v>
      </c>
      <c r="Y62" s="4"/>
    </row>
    <row r="63" spans="2:25" ht="11.25" hidden="1" customHeight="1" x14ac:dyDescent="0.25">
      <c r="B63" s="17" t="s">
        <v>172</v>
      </c>
      <c r="C63" s="17" t="s">
        <v>172</v>
      </c>
      <c r="D63" s="17" t="s">
        <v>20</v>
      </c>
      <c r="E63" s="17" t="s">
        <v>21</v>
      </c>
      <c r="F63" s="17"/>
      <c r="G63" s="17"/>
      <c r="H63" s="17" t="s">
        <v>173</v>
      </c>
      <c r="I63" s="17" t="s">
        <v>23</v>
      </c>
      <c r="J63" s="17" t="s">
        <v>124</v>
      </c>
      <c r="K63" s="17" t="s">
        <v>125</v>
      </c>
      <c r="L63" s="18">
        <v>42521</v>
      </c>
      <c r="M63" s="18" t="s">
        <v>6687</v>
      </c>
      <c r="N63" s="18"/>
      <c r="O63" s="18"/>
      <c r="P63" s="19">
        <v>44260</v>
      </c>
      <c r="Q63" s="19" t="s">
        <v>6687</v>
      </c>
      <c r="R63" s="19"/>
      <c r="S63" s="19"/>
      <c r="T63" s="19"/>
      <c r="U63" s="18"/>
      <c r="V63" s="17" t="s">
        <v>23</v>
      </c>
      <c r="W63" s="17" t="s">
        <v>26</v>
      </c>
      <c r="Y63" s="4"/>
    </row>
    <row r="64" spans="2:25" ht="11.25" hidden="1" customHeight="1" x14ac:dyDescent="0.25">
      <c r="B64" s="17" t="s">
        <v>174</v>
      </c>
      <c r="C64" s="17" t="s">
        <v>174</v>
      </c>
      <c r="D64" s="17" t="s">
        <v>20</v>
      </c>
      <c r="E64" s="17" t="s">
        <v>28</v>
      </c>
      <c r="F64" s="17"/>
      <c r="G64" s="17"/>
      <c r="H64" s="17" t="s">
        <v>175</v>
      </c>
      <c r="I64" s="17" t="s">
        <v>176</v>
      </c>
      <c r="J64" s="17" t="s">
        <v>76</v>
      </c>
      <c r="K64" s="17" t="s">
        <v>77</v>
      </c>
      <c r="L64" s="18">
        <v>42539</v>
      </c>
      <c r="M64" s="18" t="s">
        <v>6687</v>
      </c>
      <c r="N64" s="18"/>
      <c r="O64" s="18"/>
      <c r="P64" s="19"/>
      <c r="Q64" s="19"/>
      <c r="R64" s="19"/>
      <c r="S64" s="19"/>
      <c r="T64" s="19"/>
      <c r="U64" s="18"/>
      <c r="V64" s="17" t="s">
        <v>176</v>
      </c>
      <c r="W64" s="17" t="s">
        <v>107</v>
      </c>
      <c r="Y64" s="4"/>
    </row>
    <row r="65" spans="2:25" ht="11.25" hidden="1" customHeight="1" x14ac:dyDescent="0.25">
      <c r="B65" s="17" t="s">
        <v>177</v>
      </c>
      <c r="C65" s="17" t="s">
        <v>177</v>
      </c>
      <c r="D65" s="17" t="s">
        <v>20</v>
      </c>
      <c r="E65" s="17" t="s">
        <v>21</v>
      </c>
      <c r="F65" s="17"/>
      <c r="G65" s="17"/>
      <c r="H65" s="17" t="s">
        <v>178</v>
      </c>
      <c r="I65" s="17" t="s">
        <v>23</v>
      </c>
      <c r="J65" s="17" t="s">
        <v>76</v>
      </c>
      <c r="K65" s="17" t="s">
        <v>77</v>
      </c>
      <c r="L65" s="18">
        <v>42581</v>
      </c>
      <c r="M65" s="18" t="s">
        <v>6687</v>
      </c>
      <c r="N65" s="18"/>
      <c r="O65" s="18"/>
      <c r="P65" s="19">
        <v>45627</v>
      </c>
      <c r="Q65" s="19" t="s">
        <v>6687</v>
      </c>
      <c r="R65" s="19" t="s">
        <v>40</v>
      </c>
      <c r="S65" s="19"/>
      <c r="T65" s="19"/>
      <c r="U65" s="18"/>
      <c r="V65" s="17" t="s">
        <v>23</v>
      </c>
      <c r="W65" s="17" t="s">
        <v>26</v>
      </c>
      <c r="Y65" s="4"/>
    </row>
    <row r="66" spans="2:25" ht="11.25" hidden="1" customHeight="1" x14ac:dyDescent="0.25">
      <c r="B66" s="17" t="s">
        <v>179</v>
      </c>
      <c r="C66" s="17" t="s">
        <v>179</v>
      </c>
      <c r="D66" s="17" t="s">
        <v>20</v>
      </c>
      <c r="E66" s="17" t="s">
        <v>21</v>
      </c>
      <c r="F66" s="17"/>
      <c r="G66" s="17"/>
      <c r="H66" s="17" t="s">
        <v>180</v>
      </c>
      <c r="I66" s="17" t="s">
        <v>23</v>
      </c>
      <c r="J66" s="17" t="s">
        <v>34</v>
      </c>
      <c r="K66" s="17" t="s">
        <v>35</v>
      </c>
      <c r="L66" s="18">
        <v>42581</v>
      </c>
      <c r="M66" s="18" t="s">
        <v>6687</v>
      </c>
      <c r="N66" s="18"/>
      <c r="O66" s="18"/>
      <c r="P66" s="19">
        <v>44266</v>
      </c>
      <c r="Q66" s="19" t="s">
        <v>6687</v>
      </c>
      <c r="R66" s="19"/>
      <c r="S66" s="19"/>
      <c r="T66" s="19"/>
      <c r="U66" s="18"/>
      <c r="V66" s="17" t="s">
        <v>23</v>
      </c>
      <c r="W66" s="17" t="s">
        <v>26</v>
      </c>
      <c r="Y66" s="4"/>
    </row>
    <row r="67" spans="2:25" ht="11.25" hidden="1" customHeight="1" x14ac:dyDescent="0.25">
      <c r="B67" s="17" t="s">
        <v>181</v>
      </c>
      <c r="C67" s="17" t="s">
        <v>181</v>
      </c>
      <c r="D67" s="17" t="s">
        <v>20</v>
      </c>
      <c r="E67" s="17" t="s">
        <v>21</v>
      </c>
      <c r="F67" s="17"/>
      <c r="G67" s="17"/>
      <c r="H67" s="17" t="s">
        <v>182</v>
      </c>
      <c r="I67" s="17" t="s">
        <v>23</v>
      </c>
      <c r="J67" s="17" t="s">
        <v>183</v>
      </c>
      <c r="K67" s="17" t="s">
        <v>184</v>
      </c>
      <c r="L67" s="18">
        <v>42607</v>
      </c>
      <c r="M67" s="18" t="s">
        <v>6687</v>
      </c>
      <c r="N67" s="18"/>
      <c r="O67" s="18"/>
      <c r="P67" s="19">
        <v>43829</v>
      </c>
      <c r="Q67" s="19" t="s">
        <v>6687</v>
      </c>
      <c r="R67" s="19"/>
      <c r="S67" s="19"/>
      <c r="T67" s="19"/>
      <c r="U67" s="18"/>
      <c r="V67" s="17" t="s">
        <v>23</v>
      </c>
      <c r="W67" s="17" t="s">
        <v>26</v>
      </c>
      <c r="Y67" s="4"/>
    </row>
    <row r="68" spans="2:25" ht="11.25" hidden="1" customHeight="1" x14ac:dyDescent="0.25">
      <c r="B68" s="17" t="s">
        <v>185</v>
      </c>
      <c r="C68" s="17" t="s">
        <v>185</v>
      </c>
      <c r="D68" s="17" t="s">
        <v>20</v>
      </c>
      <c r="E68" s="17" t="s">
        <v>21</v>
      </c>
      <c r="F68" s="17"/>
      <c r="G68" s="17"/>
      <c r="H68" s="17" t="s">
        <v>186</v>
      </c>
      <c r="I68" s="17" t="s">
        <v>187</v>
      </c>
      <c r="J68" s="17" t="s">
        <v>76</v>
      </c>
      <c r="K68" s="17" t="s">
        <v>77</v>
      </c>
      <c r="L68" s="18">
        <v>42644</v>
      </c>
      <c r="M68" s="18" t="s">
        <v>6687</v>
      </c>
      <c r="N68" s="18"/>
      <c r="O68" s="18"/>
      <c r="P68" s="19">
        <v>45091</v>
      </c>
      <c r="Q68" s="19" t="s">
        <v>6687</v>
      </c>
      <c r="R68" s="19"/>
      <c r="S68" s="19"/>
      <c r="T68" s="19"/>
      <c r="U68" s="18"/>
      <c r="V68" s="17" t="s">
        <v>187</v>
      </c>
      <c r="W68" s="17" t="s">
        <v>107</v>
      </c>
      <c r="Y68" s="4"/>
    </row>
    <row r="69" spans="2:25" ht="11.25" hidden="1" customHeight="1" x14ac:dyDescent="0.25">
      <c r="B69" s="17" t="s">
        <v>188</v>
      </c>
      <c r="C69" s="17" t="s">
        <v>188</v>
      </c>
      <c r="D69" s="17" t="s">
        <v>20</v>
      </c>
      <c r="E69" s="17" t="s">
        <v>21</v>
      </c>
      <c r="F69" s="17"/>
      <c r="G69" s="17"/>
      <c r="H69" s="17" t="s">
        <v>189</v>
      </c>
      <c r="I69" s="17" t="s">
        <v>23</v>
      </c>
      <c r="J69" s="17" t="s">
        <v>124</v>
      </c>
      <c r="K69" s="17" t="s">
        <v>125</v>
      </c>
      <c r="L69" s="18">
        <v>42679</v>
      </c>
      <c r="M69" s="18" t="s">
        <v>6687</v>
      </c>
      <c r="N69" s="18"/>
      <c r="O69" s="18"/>
      <c r="P69" s="19">
        <v>44544</v>
      </c>
      <c r="Q69" s="19" t="s">
        <v>6687</v>
      </c>
      <c r="R69" s="19"/>
      <c r="S69" s="19"/>
      <c r="T69" s="19"/>
      <c r="U69" s="18"/>
      <c r="V69" s="17" t="s">
        <v>23</v>
      </c>
      <c r="W69" s="17" t="s">
        <v>26</v>
      </c>
      <c r="Y69" s="4"/>
    </row>
    <row r="70" spans="2:25" ht="11.25" hidden="1" customHeight="1" x14ac:dyDescent="0.25">
      <c r="B70" s="17" t="s">
        <v>190</v>
      </c>
      <c r="C70" s="17" t="s">
        <v>190</v>
      </c>
      <c r="D70" s="17" t="s">
        <v>20</v>
      </c>
      <c r="E70" s="17" t="s">
        <v>28</v>
      </c>
      <c r="F70" s="17"/>
      <c r="G70" s="17"/>
      <c r="H70" s="17" t="s">
        <v>191</v>
      </c>
      <c r="I70" s="17" t="s">
        <v>23</v>
      </c>
      <c r="J70" s="17" t="s">
        <v>183</v>
      </c>
      <c r="K70" s="17" t="s">
        <v>184</v>
      </c>
      <c r="L70" s="18">
        <v>42679</v>
      </c>
      <c r="M70" s="18" t="s">
        <v>6687</v>
      </c>
      <c r="N70" s="18"/>
      <c r="O70" s="18"/>
      <c r="P70" s="19"/>
      <c r="Q70" s="19"/>
      <c r="R70" s="19"/>
      <c r="S70" s="19"/>
      <c r="T70" s="19"/>
      <c r="U70" s="18"/>
      <c r="V70" s="17" t="s">
        <v>23</v>
      </c>
      <c r="W70" s="17" t="s">
        <v>26</v>
      </c>
      <c r="Y70" s="4"/>
    </row>
    <row r="71" spans="2:25" s="23" customFormat="1" ht="11.25" hidden="1" customHeight="1" x14ac:dyDescent="0.25">
      <c r="B71" s="17" t="s">
        <v>192</v>
      </c>
      <c r="C71" s="17" t="s">
        <v>192</v>
      </c>
      <c r="D71" s="21" t="s">
        <v>20</v>
      </c>
      <c r="E71" s="17" t="s">
        <v>28</v>
      </c>
      <c r="F71" s="17"/>
      <c r="G71" s="17"/>
      <c r="H71" s="21" t="s">
        <v>193</v>
      </c>
      <c r="I71" s="21" t="s">
        <v>23</v>
      </c>
      <c r="J71" s="21" t="s">
        <v>183</v>
      </c>
      <c r="K71" s="21" t="s">
        <v>184</v>
      </c>
      <c r="L71" s="22">
        <v>44122</v>
      </c>
      <c r="M71" s="18" t="s">
        <v>6687</v>
      </c>
      <c r="N71" s="22"/>
      <c r="O71" s="22"/>
      <c r="P71" s="20"/>
      <c r="Q71" s="20"/>
      <c r="R71" s="20"/>
      <c r="S71" s="20"/>
      <c r="T71" s="19"/>
      <c r="U71" s="22"/>
      <c r="V71" s="21" t="s">
        <v>23</v>
      </c>
      <c r="W71" s="17" t="s">
        <v>26</v>
      </c>
      <c r="Y71" s="24"/>
    </row>
    <row r="72" spans="2:25" ht="11.25" hidden="1" customHeight="1" x14ac:dyDescent="0.25">
      <c r="B72" s="17" t="s">
        <v>194</v>
      </c>
      <c r="C72" s="17" t="s">
        <v>194</v>
      </c>
      <c r="D72" s="17" t="s">
        <v>20</v>
      </c>
      <c r="E72" s="17" t="s">
        <v>28</v>
      </c>
      <c r="F72" s="17"/>
      <c r="G72" s="17"/>
      <c r="H72" s="17" t="s">
        <v>195</v>
      </c>
      <c r="I72" s="17" t="s">
        <v>196</v>
      </c>
      <c r="J72" s="17" t="s">
        <v>76</v>
      </c>
      <c r="K72" s="17" t="s">
        <v>77</v>
      </c>
      <c r="L72" s="18">
        <v>42682</v>
      </c>
      <c r="M72" s="18" t="s">
        <v>6687</v>
      </c>
      <c r="N72" s="18"/>
      <c r="O72" s="18"/>
      <c r="P72" s="19"/>
      <c r="Q72" s="19"/>
      <c r="R72" s="19"/>
      <c r="S72" s="19"/>
      <c r="T72" s="19"/>
      <c r="U72" s="18"/>
      <c r="V72" s="17" t="s">
        <v>196</v>
      </c>
      <c r="W72" s="17" t="s">
        <v>107</v>
      </c>
      <c r="Y72" s="4"/>
    </row>
    <row r="73" spans="2:25" hidden="1" x14ac:dyDescent="0.25">
      <c r="B73" s="17" t="s">
        <v>197</v>
      </c>
      <c r="C73" s="17" t="s">
        <v>197</v>
      </c>
      <c r="D73" s="17" t="s">
        <v>20</v>
      </c>
      <c r="E73" s="17" t="s">
        <v>21</v>
      </c>
      <c r="F73" s="17"/>
      <c r="G73" s="17"/>
      <c r="H73" s="17" t="s">
        <v>198</v>
      </c>
      <c r="I73" s="17" t="s">
        <v>23</v>
      </c>
      <c r="J73" s="17" t="s">
        <v>76</v>
      </c>
      <c r="K73" s="17" t="s">
        <v>77</v>
      </c>
      <c r="L73" s="18">
        <v>42744</v>
      </c>
      <c r="M73" s="18" t="s">
        <v>6687</v>
      </c>
      <c r="N73" s="18"/>
      <c r="O73" s="18"/>
      <c r="P73" s="19">
        <v>44929</v>
      </c>
      <c r="Q73" s="19" t="s">
        <v>6687</v>
      </c>
      <c r="R73" s="19"/>
      <c r="S73" s="19"/>
      <c r="T73" s="19"/>
      <c r="U73" s="18"/>
      <c r="V73" s="17" t="s">
        <v>23</v>
      </c>
      <c r="W73" s="17" t="s">
        <v>26</v>
      </c>
      <c r="Y73" s="4"/>
    </row>
    <row r="74" spans="2:25" ht="11.25" hidden="1" customHeight="1" x14ac:dyDescent="0.25">
      <c r="B74" s="17" t="s">
        <v>199</v>
      </c>
      <c r="C74" s="17" t="s">
        <v>199</v>
      </c>
      <c r="D74" s="17" t="s">
        <v>20</v>
      </c>
      <c r="E74" s="17" t="s">
        <v>28</v>
      </c>
      <c r="F74" s="17"/>
      <c r="G74" s="17"/>
      <c r="H74" s="17" t="s">
        <v>200</v>
      </c>
      <c r="I74" s="17" t="s">
        <v>23</v>
      </c>
      <c r="J74" s="17" t="s">
        <v>34</v>
      </c>
      <c r="K74" s="17" t="s">
        <v>35</v>
      </c>
      <c r="L74" s="18">
        <v>42770</v>
      </c>
      <c r="M74" s="18" t="s">
        <v>6687</v>
      </c>
      <c r="N74" s="18"/>
      <c r="O74" s="18"/>
      <c r="P74" s="20"/>
      <c r="Q74" s="20"/>
      <c r="R74" s="20"/>
      <c r="S74" s="20"/>
      <c r="T74" s="19"/>
      <c r="U74" s="18"/>
      <c r="V74" s="17" t="s">
        <v>23</v>
      </c>
      <c r="W74" s="17" t="s">
        <v>26</v>
      </c>
      <c r="Y74" s="4"/>
    </row>
    <row r="75" spans="2:25" ht="11.25" hidden="1" customHeight="1" x14ac:dyDescent="0.25">
      <c r="B75" s="17" t="s">
        <v>201</v>
      </c>
      <c r="C75" s="17" t="s">
        <v>201</v>
      </c>
      <c r="D75" s="17" t="s">
        <v>20</v>
      </c>
      <c r="E75" s="17" t="s">
        <v>28</v>
      </c>
      <c r="F75" s="17"/>
      <c r="G75" s="17"/>
      <c r="H75" s="17" t="s">
        <v>202</v>
      </c>
      <c r="I75" s="17" t="s">
        <v>23</v>
      </c>
      <c r="J75" s="17" t="s">
        <v>76</v>
      </c>
      <c r="K75" s="17" t="s">
        <v>77</v>
      </c>
      <c r="L75" s="18">
        <v>42790</v>
      </c>
      <c r="M75" s="18" t="s">
        <v>6687</v>
      </c>
      <c r="N75" s="18"/>
      <c r="O75" s="18"/>
      <c r="P75" s="19"/>
      <c r="Q75" s="19"/>
      <c r="R75" s="19"/>
      <c r="S75" s="19"/>
      <c r="T75" s="19"/>
      <c r="U75" s="18"/>
      <c r="V75" s="17" t="s">
        <v>23</v>
      </c>
      <c r="W75" s="17" t="s">
        <v>26</v>
      </c>
      <c r="Y75" s="4"/>
    </row>
    <row r="76" spans="2:25" ht="11.25" hidden="1" customHeight="1" x14ac:dyDescent="0.25">
      <c r="B76" s="17" t="s">
        <v>203</v>
      </c>
      <c r="C76" s="17" t="s">
        <v>203</v>
      </c>
      <c r="D76" s="17" t="s">
        <v>20</v>
      </c>
      <c r="E76" s="17" t="s">
        <v>21</v>
      </c>
      <c r="F76" s="17"/>
      <c r="G76" s="17"/>
      <c r="H76" s="17" t="s">
        <v>204</v>
      </c>
      <c r="I76" s="17" t="s">
        <v>23</v>
      </c>
      <c r="J76" s="17" t="s">
        <v>124</v>
      </c>
      <c r="K76" s="17" t="s">
        <v>125</v>
      </c>
      <c r="L76" s="18">
        <v>42791</v>
      </c>
      <c r="M76" s="18" t="s">
        <v>6687</v>
      </c>
      <c r="N76" s="18"/>
      <c r="O76" s="18"/>
      <c r="P76" s="19">
        <v>44742</v>
      </c>
      <c r="Q76" s="19" t="s">
        <v>6687</v>
      </c>
      <c r="R76" s="19"/>
      <c r="S76" s="19"/>
      <c r="T76" s="19"/>
      <c r="U76" s="18"/>
      <c r="V76" s="17" t="s">
        <v>23</v>
      </c>
      <c r="W76" s="17" t="s">
        <v>26</v>
      </c>
      <c r="Y76" s="4"/>
    </row>
    <row r="77" spans="2:25" ht="11.25" hidden="1" customHeight="1" x14ac:dyDescent="0.25">
      <c r="B77" s="17" t="s">
        <v>205</v>
      </c>
      <c r="C77" s="17" t="s">
        <v>205</v>
      </c>
      <c r="D77" s="17" t="s">
        <v>20</v>
      </c>
      <c r="E77" s="17" t="s">
        <v>28</v>
      </c>
      <c r="F77" s="17"/>
      <c r="G77" s="17"/>
      <c r="H77" s="17" t="s">
        <v>206</v>
      </c>
      <c r="I77" s="17" t="s">
        <v>23</v>
      </c>
      <c r="J77" s="17" t="s">
        <v>76</v>
      </c>
      <c r="K77" s="17" t="s">
        <v>77</v>
      </c>
      <c r="L77" s="18">
        <v>42825</v>
      </c>
      <c r="M77" s="18" t="s">
        <v>6687</v>
      </c>
      <c r="N77" s="18"/>
      <c r="O77" s="18"/>
      <c r="P77" s="19"/>
      <c r="Q77" s="19"/>
      <c r="R77" s="19"/>
      <c r="S77" s="19"/>
      <c r="T77" s="19"/>
      <c r="U77" s="18"/>
      <c r="V77" s="17" t="s">
        <v>23</v>
      </c>
      <c r="W77" s="17" t="s">
        <v>26</v>
      </c>
      <c r="Y77" s="4"/>
    </row>
    <row r="78" spans="2:25" ht="11.25" hidden="1" customHeight="1" x14ac:dyDescent="0.25">
      <c r="B78" s="17" t="s">
        <v>207</v>
      </c>
      <c r="C78" s="17" t="s">
        <v>207</v>
      </c>
      <c r="D78" s="17" t="s">
        <v>20</v>
      </c>
      <c r="E78" s="17" t="s">
        <v>28</v>
      </c>
      <c r="F78" s="17"/>
      <c r="G78" s="17"/>
      <c r="H78" s="17" t="s">
        <v>208</v>
      </c>
      <c r="I78" s="17" t="s">
        <v>23</v>
      </c>
      <c r="J78" s="17" t="s">
        <v>34</v>
      </c>
      <c r="K78" s="17" t="s">
        <v>35</v>
      </c>
      <c r="L78" s="18">
        <v>42839</v>
      </c>
      <c r="M78" s="18" t="s">
        <v>6687</v>
      </c>
      <c r="N78" s="18"/>
      <c r="O78" s="18"/>
      <c r="P78" s="19"/>
      <c r="Q78" s="19"/>
      <c r="R78" s="19"/>
      <c r="S78" s="19"/>
      <c r="T78" s="19"/>
      <c r="U78" s="18"/>
      <c r="V78" s="17" t="s">
        <v>23</v>
      </c>
      <c r="W78" s="17" t="s">
        <v>26</v>
      </c>
      <c r="Y78" s="4"/>
    </row>
    <row r="79" spans="2:25" ht="11.25" hidden="1" customHeight="1" x14ac:dyDescent="0.25">
      <c r="B79" s="17" t="s">
        <v>209</v>
      </c>
      <c r="C79" s="17" t="s">
        <v>209</v>
      </c>
      <c r="D79" s="17" t="s">
        <v>20</v>
      </c>
      <c r="E79" s="17" t="s">
        <v>21</v>
      </c>
      <c r="F79" s="17"/>
      <c r="G79" s="17"/>
      <c r="H79" s="17" t="s">
        <v>210</v>
      </c>
      <c r="I79" s="17" t="s">
        <v>23</v>
      </c>
      <c r="J79" s="17" t="s">
        <v>124</v>
      </c>
      <c r="K79" s="17" t="s">
        <v>125</v>
      </c>
      <c r="L79" s="18">
        <v>42841</v>
      </c>
      <c r="M79" s="18" t="s">
        <v>6687</v>
      </c>
      <c r="N79" s="18"/>
      <c r="O79" s="18"/>
      <c r="P79" s="19">
        <v>44696</v>
      </c>
      <c r="Q79" s="19" t="s">
        <v>6687</v>
      </c>
      <c r="R79" s="19"/>
      <c r="S79" s="19"/>
      <c r="T79" s="19"/>
      <c r="U79" s="18"/>
      <c r="V79" s="17" t="s">
        <v>23</v>
      </c>
      <c r="W79" s="17" t="s">
        <v>26</v>
      </c>
      <c r="Y79" s="4"/>
    </row>
    <row r="80" spans="2:25" ht="11.25" hidden="1" customHeight="1" x14ac:dyDescent="0.25">
      <c r="B80" s="17" t="s">
        <v>211</v>
      </c>
      <c r="C80" s="17" t="s">
        <v>211</v>
      </c>
      <c r="D80" s="17" t="s">
        <v>20</v>
      </c>
      <c r="E80" s="17" t="s">
        <v>28</v>
      </c>
      <c r="F80" s="17"/>
      <c r="G80" s="17"/>
      <c r="H80" s="17" t="s">
        <v>212</v>
      </c>
      <c r="I80" s="17" t="s">
        <v>213</v>
      </c>
      <c r="J80" s="17" t="s">
        <v>76</v>
      </c>
      <c r="K80" s="17" t="s">
        <v>77</v>
      </c>
      <c r="L80" s="18">
        <v>42849</v>
      </c>
      <c r="M80" s="18" t="s">
        <v>6687</v>
      </c>
      <c r="N80" s="18"/>
      <c r="O80" s="18"/>
      <c r="P80" s="19"/>
      <c r="Q80" s="19"/>
      <c r="R80" s="19"/>
      <c r="S80" s="19"/>
      <c r="T80" s="19"/>
      <c r="U80" s="18"/>
      <c r="V80" s="17" t="s">
        <v>213</v>
      </c>
      <c r="W80" s="17" t="s">
        <v>107</v>
      </c>
      <c r="Y80" s="4"/>
    </row>
    <row r="81" spans="2:25" ht="11.25" hidden="1" customHeight="1" x14ac:dyDescent="0.25">
      <c r="B81" s="17" t="s">
        <v>214</v>
      </c>
      <c r="C81" s="17" t="s">
        <v>214</v>
      </c>
      <c r="D81" s="17" t="s">
        <v>20</v>
      </c>
      <c r="E81" s="17" t="s">
        <v>21</v>
      </c>
      <c r="F81" s="17"/>
      <c r="G81" s="17"/>
      <c r="H81" s="17" t="s">
        <v>215</v>
      </c>
      <c r="I81" s="17" t="s">
        <v>23</v>
      </c>
      <c r="J81" s="17" t="s">
        <v>76</v>
      </c>
      <c r="K81" s="17" t="s">
        <v>77</v>
      </c>
      <c r="L81" s="18">
        <v>42869</v>
      </c>
      <c r="M81" s="18" t="s">
        <v>6687</v>
      </c>
      <c r="N81" s="18"/>
      <c r="O81" s="18"/>
      <c r="P81" s="19">
        <v>44280</v>
      </c>
      <c r="Q81" s="19" t="s">
        <v>6687</v>
      </c>
      <c r="R81" s="19"/>
      <c r="S81" s="19"/>
      <c r="T81" s="19"/>
      <c r="U81" s="18"/>
      <c r="V81" s="17" t="s">
        <v>23</v>
      </c>
      <c r="W81" s="17" t="s">
        <v>26</v>
      </c>
      <c r="Y81" s="4"/>
    </row>
    <row r="82" spans="2:25" ht="11.25" hidden="1" customHeight="1" x14ac:dyDescent="0.25">
      <c r="B82" s="17" t="s">
        <v>216</v>
      </c>
      <c r="C82" s="17" t="s">
        <v>216</v>
      </c>
      <c r="D82" s="17" t="s">
        <v>20</v>
      </c>
      <c r="E82" s="17" t="s">
        <v>21</v>
      </c>
      <c r="F82" s="17"/>
      <c r="G82" s="17"/>
      <c r="H82" s="17" t="s">
        <v>217</v>
      </c>
      <c r="I82" s="17" t="s">
        <v>23</v>
      </c>
      <c r="J82" s="17" t="s">
        <v>34</v>
      </c>
      <c r="K82" s="17" t="s">
        <v>35</v>
      </c>
      <c r="L82" s="18">
        <v>42869</v>
      </c>
      <c r="M82" s="18" t="s">
        <v>6687</v>
      </c>
      <c r="N82" s="18"/>
      <c r="O82" s="18"/>
      <c r="P82" s="19">
        <v>44280</v>
      </c>
      <c r="Q82" s="19" t="s">
        <v>6687</v>
      </c>
      <c r="R82" s="19"/>
      <c r="S82" s="19"/>
      <c r="T82" s="19"/>
      <c r="U82" s="18"/>
      <c r="V82" s="17" t="s">
        <v>23</v>
      </c>
      <c r="W82" s="17" t="s">
        <v>26</v>
      </c>
      <c r="Y82" s="4"/>
    </row>
    <row r="83" spans="2:25" ht="11.25" hidden="1" customHeight="1" x14ac:dyDescent="0.25">
      <c r="B83" s="17" t="s">
        <v>218</v>
      </c>
      <c r="C83" s="17" t="s">
        <v>218</v>
      </c>
      <c r="D83" s="17" t="s">
        <v>20</v>
      </c>
      <c r="E83" s="17" t="s">
        <v>28</v>
      </c>
      <c r="F83" s="17"/>
      <c r="G83" s="17"/>
      <c r="H83" s="17" t="s">
        <v>219</v>
      </c>
      <c r="I83" s="17" t="s">
        <v>187</v>
      </c>
      <c r="J83" s="17" t="s">
        <v>76</v>
      </c>
      <c r="K83" s="17" t="s">
        <v>77</v>
      </c>
      <c r="L83" s="18">
        <v>42875</v>
      </c>
      <c r="M83" s="18" t="s">
        <v>6687</v>
      </c>
      <c r="N83" s="18"/>
      <c r="O83" s="18"/>
      <c r="P83" s="19"/>
      <c r="Q83" s="19"/>
      <c r="R83" s="19"/>
      <c r="S83" s="19"/>
      <c r="T83" s="19"/>
      <c r="U83" s="18"/>
      <c r="V83" s="17" t="s">
        <v>187</v>
      </c>
      <c r="W83" s="17" t="s">
        <v>107</v>
      </c>
      <c r="Y83" s="4"/>
    </row>
    <row r="84" spans="2:25" ht="11.25" hidden="1" customHeight="1" x14ac:dyDescent="0.25">
      <c r="B84" s="17" t="s">
        <v>220</v>
      </c>
      <c r="C84" s="17" t="s">
        <v>220</v>
      </c>
      <c r="D84" s="17" t="s">
        <v>20</v>
      </c>
      <c r="E84" s="17" t="s">
        <v>21</v>
      </c>
      <c r="F84" s="17"/>
      <c r="G84" s="17"/>
      <c r="H84" s="17" t="s">
        <v>221</v>
      </c>
      <c r="I84" s="17" t="s">
        <v>23</v>
      </c>
      <c r="J84" s="17" t="s">
        <v>124</v>
      </c>
      <c r="K84" s="17" t="s">
        <v>125</v>
      </c>
      <c r="L84" s="18">
        <v>42903</v>
      </c>
      <c r="M84" s="18" t="s">
        <v>6687</v>
      </c>
      <c r="N84" s="18"/>
      <c r="O84" s="18"/>
      <c r="P84" s="19">
        <v>44362</v>
      </c>
      <c r="Q84" s="19" t="s">
        <v>6687</v>
      </c>
      <c r="R84" s="19"/>
      <c r="S84" s="19"/>
      <c r="T84" s="19"/>
      <c r="U84" s="18"/>
      <c r="V84" s="17" t="s">
        <v>23</v>
      </c>
      <c r="W84" s="17" t="s">
        <v>26</v>
      </c>
      <c r="Y84" s="4"/>
    </row>
    <row r="85" spans="2:25" ht="11.25" hidden="1" customHeight="1" x14ac:dyDescent="0.25">
      <c r="B85" s="17" t="s">
        <v>222</v>
      </c>
      <c r="C85" s="17" t="s">
        <v>222</v>
      </c>
      <c r="D85" s="17" t="s">
        <v>20</v>
      </c>
      <c r="E85" s="17" t="s">
        <v>21</v>
      </c>
      <c r="F85" s="17"/>
      <c r="G85" s="17"/>
      <c r="H85" s="17" t="s">
        <v>223</v>
      </c>
      <c r="I85" s="17" t="s">
        <v>23</v>
      </c>
      <c r="J85" s="17" t="s">
        <v>76</v>
      </c>
      <c r="K85" s="17" t="s">
        <v>77</v>
      </c>
      <c r="L85" s="18">
        <v>42926</v>
      </c>
      <c r="M85" s="18" t="s">
        <v>6687</v>
      </c>
      <c r="N85" s="18"/>
      <c r="O85" s="18"/>
      <c r="P85" s="19">
        <v>45390</v>
      </c>
      <c r="Q85" s="19" t="s">
        <v>6687</v>
      </c>
      <c r="R85" s="19" t="s">
        <v>40</v>
      </c>
      <c r="S85" s="19"/>
      <c r="T85" s="19"/>
      <c r="U85" s="18"/>
      <c r="V85" s="17" t="s">
        <v>23</v>
      </c>
      <c r="W85" s="17" t="s">
        <v>26</v>
      </c>
      <c r="Y85" s="4"/>
    </row>
    <row r="86" spans="2:25" ht="11.25" hidden="1" customHeight="1" x14ac:dyDescent="0.25">
      <c r="B86" s="17" t="s">
        <v>224</v>
      </c>
      <c r="C86" s="17" t="s">
        <v>224</v>
      </c>
      <c r="D86" s="17" t="s">
        <v>20</v>
      </c>
      <c r="E86" s="17" t="s">
        <v>21</v>
      </c>
      <c r="F86" s="17"/>
      <c r="G86" s="17"/>
      <c r="H86" s="17" t="s">
        <v>225</v>
      </c>
      <c r="I86" s="17" t="s">
        <v>176</v>
      </c>
      <c r="J86" s="17" t="s">
        <v>124</v>
      </c>
      <c r="K86" s="17" t="s">
        <v>125</v>
      </c>
      <c r="L86" s="18">
        <v>42927</v>
      </c>
      <c r="M86" s="18" t="s">
        <v>6687</v>
      </c>
      <c r="N86" s="18"/>
      <c r="O86" s="18"/>
      <c r="P86" s="19">
        <v>44821</v>
      </c>
      <c r="Q86" s="19" t="s">
        <v>6687</v>
      </c>
      <c r="R86" s="19"/>
      <c r="S86" s="19"/>
      <c r="T86" s="19"/>
      <c r="U86" s="18"/>
      <c r="V86" s="17" t="s">
        <v>176</v>
      </c>
      <c r="W86" s="17" t="s">
        <v>107</v>
      </c>
      <c r="Y86" s="4"/>
    </row>
    <row r="87" spans="2:25" ht="11.25" hidden="1" customHeight="1" x14ac:dyDescent="0.25">
      <c r="B87" s="17" t="s">
        <v>226</v>
      </c>
      <c r="C87" s="17" t="s">
        <v>226</v>
      </c>
      <c r="D87" s="17" t="s">
        <v>20</v>
      </c>
      <c r="E87" s="17" t="s">
        <v>21</v>
      </c>
      <c r="F87" s="17"/>
      <c r="G87" s="17"/>
      <c r="H87" s="17" t="s">
        <v>227</v>
      </c>
      <c r="I87" s="17" t="s">
        <v>23</v>
      </c>
      <c r="J87" s="17" t="s">
        <v>228</v>
      </c>
      <c r="K87" s="17" t="s">
        <v>229</v>
      </c>
      <c r="L87" s="18">
        <v>42957</v>
      </c>
      <c r="M87" s="18" t="s">
        <v>6687</v>
      </c>
      <c r="N87" s="18"/>
      <c r="O87" s="18"/>
      <c r="P87" s="19">
        <v>45576</v>
      </c>
      <c r="Q87" s="19" t="s">
        <v>6687</v>
      </c>
      <c r="R87" s="19" t="s">
        <v>40</v>
      </c>
      <c r="S87" s="19"/>
      <c r="T87" s="19"/>
      <c r="U87" s="18"/>
      <c r="V87" s="17" t="s">
        <v>23</v>
      </c>
      <c r="W87" s="17" t="s">
        <v>26</v>
      </c>
      <c r="Y87" s="4"/>
    </row>
    <row r="88" spans="2:25" ht="11.25" hidden="1" customHeight="1" x14ac:dyDescent="0.25">
      <c r="B88" s="17" t="s">
        <v>230</v>
      </c>
      <c r="C88" s="17" t="s">
        <v>230</v>
      </c>
      <c r="D88" s="17" t="s">
        <v>20</v>
      </c>
      <c r="E88" s="17" t="s">
        <v>21</v>
      </c>
      <c r="F88" s="17"/>
      <c r="G88" s="17"/>
      <c r="H88" s="17" t="s">
        <v>231</v>
      </c>
      <c r="I88" s="17" t="s">
        <v>23</v>
      </c>
      <c r="J88" s="17" t="s">
        <v>76</v>
      </c>
      <c r="K88" s="17" t="s">
        <v>77</v>
      </c>
      <c r="L88" s="18">
        <v>42962</v>
      </c>
      <c r="M88" s="18" t="s">
        <v>6687</v>
      </c>
      <c r="N88" s="18"/>
      <c r="O88" s="18"/>
      <c r="P88" s="19">
        <v>45494</v>
      </c>
      <c r="Q88" s="19" t="s">
        <v>6687</v>
      </c>
      <c r="R88" s="19" t="s">
        <v>40</v>
      </c>
      <c r="S88" s="19"/>
      <c r="T88" s="19"/>
      <c r="U88" s="18"/>
      <c r="V88" s="17" t="s">
        <v>23</v>
      </c>
      <c r="W88" s="17" t="s">
        <v>26</v>
      </c>
      <c r="Y88" s="4"/>
    </row>
    <row r="89" spans="2:25" ht="11.25" hidden="1" customHeight="1" x14ac:dyDescent="0.25">
      <c r="B89" s="17" t="s">
        <v>232</v>
      </c>
      <c r="C89" s="17" t="s">
        <v>232</v>
      </c>
      <c r="D89" s="17" t="s">
        <v>20</v>
      </c>
      <c r="E89" s="17" t="s">
        <v>21</v>
      </c>
      <c r="F89" s="17"/>
      <c r="G89" s="17"/>
      <c r="H89" s="17" t="s">
        <v>233</v>
      </c>
      <c r="I89" s="17" t="s">
        <v>106</v>
      </c>
      <c r="J89" s="17" t="s">
        <v>124</v>
      </c>
      <c r="K89" s="17" t="s">
        <v>125</v>
      </c>
      <c r="L89" s="18">
        <v>42968</v>
      </c>
      <c r="M89" s="18" t="s">
        <v>6687</v>
      </c>
      <c r="N89" s="18"/>
      <c r="O89" s="18"/>
      <c r="P89" s="19">
        <v>44963</v>
      </c>
      <c r="Q89" s="19" t="s">
        <v>6687</v>
      </c>
      <c r="R89" s="19"/>
      <c r="S89" s="19"/>
      <c r="T89" s="19"/>
      <c r="U89" s="18"/>
      <c r="V89" s="17" t="s">
        <v>106</v>
      </c>
      <c r="W89" s="17" t="s">
        <v>107</v>
      </c>
      <c r="Y89" s="4"/>
    </row>
    <row r="90" spans="2:25" ht="11.25" hidden="1" customHeight="1" x14ac:dyDescent="0.25">
      <c r="B90" s="17" t="s">
        <v>234</v>
      </c>
      <c r="C90" s="17" t="s">
        <v>234</v>
      </c>
      <c r="D90" s="17" t="s">
        <v>20</v>
      </c>
      <c r="E90" s="17" t="s">
        <v>21</v>
      </c>
      <c r="F90" s="17"/>
      <c r="G90" s="17"/>
      <c r="H90" s="17" t="s">
        <v>235</v>
      </c>
      <c r="I90" s="17" t="s">
        <v>23</v>
      </c>
      <c r="J90" s="17" t="s">
        <v>34</v>
      </c>
      <c r="K90" s="17" t="s">
        <v>35</v>
      </c>
      <c r="L90" s="18">
        <v>43018</v>
      </c>
      <c r="M90" s="18" t="s">
        <v>6687</v>
      </c>
      <c r="N90" s="18"/>
      <c r="O90" s="18"/>
      <c r="P90" s="19">
        <v>44561</v>
      </c>
      <c r="Q90" s="19" t="s">
        <v>6687</v>
      </c>
      <c r="R90" s="19"/>
      <c r="S90" s="19"/>
      <c r="T90" s="19"/>
      <c r="U90" s="18"/>
      <c r="V90" s="17" t="s">
        <v>23</v>
      </c>
      <c r="W90" s="17" t="s">
        <v>26</v>
      </c>
      <c r="Y90" s="4"/>
    </row>
    <row r="91" spans="2:25" ht="11.25" hidden="1" customHeight="1" x14ac:dyDescent="0.25">
      <c r="B91" s="17" t="s">
        <v>236</v>
      </c>
      <c r="C91" s="17" t="s">
        <v>236</v>
      </c>
      <c r="D91" s="17" t="s">
        <v>20</v>
      </c>
      <c r="E91" s="17" t="s">
        <v>21</v>
      </c>
      <c r="F91" s="17"/>
      <c r="G91" s="17"/>
      <c r="H91" s="17" t="s">
        <v>237</v>
      </c>
      <c r="I91" s="17" t="s">
        <v>23</v>
      </c>
      <c r="J91" s="17" t="s">
        <v>34</v>
      </c>
      <c r="K91" s="17" t="s">
        <v>35</v>
      </c>
      <c r="L91" s="18">
        <v>43039</v>
      </c>
      <c r="M91" s="18" t="s">
        <v>6687</v>
      </c>
      <c r="N91" s="18"/>
      <c r="O91" s="18"/>
      <c r="P91" s="19">
        <v>44362</v>
      </c>
      <c r="Q91" s="19" t="s">
        <v>6687</v>
      </c>
      <c r="R91" s="19"/>
      <c r="S91" s="19"/>
      <c r="T91" s="19"/>
      <c r="U91" s="18"/>
      <c r="V91" s="17" t="s">
        <v>23</v>
      </c>
      <c r="W91" s="17" t="s">
        <v>26</v>
      </c>
      <c r="Y91" s="4"/>
    </row>
    <row r="92" spans="2:25" ht="11.25" hidden="1" customHeight="1" x14ac:dyDescent="0.25">
      <c r="B92" s="17" t="s">
        <v>238</v>
      </c>
      <c r="C92" s="17" t="s">
        <v>238</v>
      </c>
      <c r="D92" s="17" t="s">
        <v>20</v>
      </c>
      <c r="E92" s="17" t="s">
        <v>28</v>
      </c>
      <c r="F92" s="17"/>
      <c r="G92" s="17"/>
      <c r="H92" s="17" t="s">
        <v>239</v>
      </c>
      <c r="I92" s="17" t="s">
        <v>23</v>
      </c>
      <c r="J92" s="17" t="s">
        <v>112</v>
      </c>
      <c r="K92" s="17" t="s">
        <v>113</v>
      </c>
      <c r="L92" s="18">
        <v>43062</v>
      </c>
      <c r="M92" s="18" t="s">
        <v>6687</v>
      </c>
      <c r="N92" s="18"/>
      <c r="O92" s="18"/>
      <c r="P92" s="19"/>
      <c r="Q92" s="19"/>
      <c r="R92" s="19"/>
      <c r="S92" s="19"/>
      <c r="T92" s="19"/>
      <c r="U92" s="18"/>
      <c r="V92" s="17" t="s">
        <v>23</v>
      </c>
      <c r="W92" s="17" t="s">
        <v>26</v>
      </c>
      <c r="Y92" s="4"/>
    </row>
    <row r="93" spans="2:25" ht="11.25" hidden="1" customHeight="1" x14ac:dyDescent="0.25">
      <c r="B93" s="17" t="s">
        <v>240</v>
      </c>
      <c r="C93" s="17" t="s">
        <v>240</v>
      </c>
      <c r="D93" s="17" t="s">
        <v>20</v>
      </c>
      <c r="E93" s="17" t="s">
        <v>21</v>
      </c>
      <c r="F93" s="17"/>
      <c r="G93" s="17"/>
      <c r="H93" s="17" t="s">
        <v>241</v>
      </c>
      <c r="I93" s="17" t="s">
        <v>196</v>
      </c>
      <c r="J93" s="17" t="s">
        <v>124</v>
      </c>
      <c r="K93" s="17" t="s">
        <v>125</v>
      </c>
      <c r="L93" s="18">
        <v>43080</v>
      </c>
      <c r="M93" s="18" t="s">
        <v>6687</v>
      </c>
      <c r="N93" s="18"/>
      <c r="O93" s="18"/>
      <c r="P93" s="19">
        <v>44963</v>
      </c>
      <c r="Q93" s="19" t="s">
        <v>6687</v>
      </c>
      <c r="R93" s="19"/>
      <c r="S93" s="19"/>
      <c r="T93" s="19"/>
      <c r="U93" s="18"/>
      <c r="V93" s="17" t="s">
        <v>196</v>
      </c>
      <c r="W93" s="17" t="s">
        <v>107</v>
      </c>
      <c r="Y93" s="4"/>
    </row>
    <row r="94" spans="2:25" hidden="1" x14ac:dyDescent="0.25">
      <c r="B94" s="17" t="s">
        <v>242</v>
      </c>
      <c r="C94" s="17" t="s">
        <v>242</v>
      </c>
      <c r="D94" s="17" t="s">
        <v>20</v>
      </c>
      <c r="E94" s="17" t="s">
        <v>21</v>
      </c>
      <c r="F94" s="17"/>
      <c r="G94" s="17"/>
      <c r="H94" s="17" t="s">
        <v>243</v>
      </c>
      <c r="I94" s="17" t="s">
        <v>23</v>
      </c>
      <c r="J94" s="17" t="s">
        <v>124</v>
      </c>
      <c r="K94" s="17" t="s">
        <v>125</v>
      </c>
      <c r="L94" s="18">
        <v>43090</v>
      </c>
      <c r="M94" s="18" t="s">
        <v>6687</v>
      </c>
      <c r="N94" s="18"/>
      <c r="O94" s="18"/>
      <c r="P94" s="19">
        <v>44717</v>
      </c>
      <c r="Q94" s="19" t="s">
        <v>6687</v>
      </c>
      <c r="R94" s="19"/>
      <c r="S94" s="19"/>
      <c r="T94" s="19"/>
      <c r="U94" s="18"/>
      <c r="V94" s="17" t="s">
        <v>23</v>
      </c>
      <c r="W94" s="17" t="s">
        <v>26</v>
      </c>
      <c r="Y94" s="4"/>
    </row>
    <row r="95" spans="2:25" ht="11.25" hidden="1" customHeight="1" x14ac:dyDescent="0.25">
      <c r="B95" s="17" t="s">
        <v>244</v>
      </c>
      <c r="C95" s="17" t="s">
        <v>244</v>
      </c>
      <c r="D95" s="17" t="s">
        <v>20</v>
      </c>
      <c r="E95" s="17" t="s">
        <v>21</v>
      </c>
      <c r="F95" s="17"/>
      <c r="G95" s="17"/>
      <c r="H95" s="17" t="s">
        <v>245</v>
      </c>
      <c r="I95" s="17" t="s">
        <v>140</v>
      </c>
      <c r="J95" s="17" t="s">
        <v>76</v>
      </c>
      <c r="K95" s="17" t="s">
        <v>77</v>
      </c>
      <c r="L95" s="18">
        <v>43105</v>
      </c>
      <c r="M95" s="18" t="s">
        <v>6687</v>
      </c>
      <c r="N95" s="18"/>
      <c r="O95" s="18"/>
      <c r="P95" s="19">
        <v>45572</v>
      </c>
      <c r="Q95" s="19" t="s">
        <v>6687</v>
      </c>
      <c r="R95" s="19" t="s">
        <v>40</v>
      </c>
      <c r="S95" s="19"/>
      <c r="T95" s="19"/>
      <c r="U95" s="18"/>
      <c r="V95" s="17" t="s">
        <v>140</v>
      </c>
      <c r="W95" s="17" t="s">
        <v>107</v>
      </c>
      <c r="Y95" s="4"/>
    </row>
    <row r="96" spans="2:25" ht="11.25" hidden="1" customHeight="1" x14ac:dyDescent="0.25">
      <c r="B96" s="17" t="s">
        <v>246</v>
      </c>
      <c r="C96" s="17" t="s">
        <v>246</v>
      </c>
      <c r="D96" s="17" t="s">
        <v>20</v>
      </c>
      <c r="E96" s="17" t="s">
        <v>21</v>
      </c>
      <c r="F96" s="17"/>
      <c r="G96" s="17"/>
      <c r="H96" s="17" t="s">
        <v>247</v>
      </c>
      <c r="I96" s="17" t="s">
        <v>140</v>
      </c>
      <c r="J96" s="17" t="s">
        <v>124</v>
      </c>
      <c r="K96" s="17" t="s">
        <v>125</v>
      </c>
      <c r="L96" s="18">
        <v>43105</v>
      </c>
      <c r="M96" s="18" t="s">
        <v>6687</v>
      </c>
      <c r="N96" s="18"/>
      <c r="O96" s="18"/>
      <c r="P96" s="19">
        <v>44963</v>
      </c>
      <c r="Q96" s="19" t="s">
        <v>6687</v>
      </c>
      <c r="R96" s="19"/>
      <c r="S96" s="19"/>
      <c r="T96" s="19"/>
      <c r="U96" s="18"/>
      <c r="V96" s="17" t="s">
        <v>140</v>
      </c>
      <c r="W96" s="17" t="s">
        <v>107</v>
      </c>
      <c r="Y96" s="4"/>
    </row>
    <row r="97" spans="2:25" ht="11.25" hidden="1" customHeight="1" x14ac:dyDescent="0.25">
      <c r="B97" s="17" t="s">
        <v>248</v>
      </c>
      <c r="C97" s="17" t="s">
        <v>248</v>
      </c>
      <c r="D97" s="17" t="s">
        <v>20</v>
      </c>
      <c r="E97" s="17" t="s">
        <v>28</v>
      </c>
      <c r="F97" s="17"/>
      <c r="G97" s="17"/>
      <c r="H97" s="17" t="s">
        <v>249</v>
      </c>
      <c r="I97" s="17" t="s">
        <v>23</v>
      </c>
      <c r="J97" s="17" t="s">
        <v>24</v>
      </c>
      <c r="K97" s="17" t="s">
        <v>25</v>
      </c>
      <c r="L97" s="18">
        <v>43233</v>
      </c>
      <c r="M97" s="18" t="s">
        <v>6687</v>
      </c>
      <c r="N97" s="18"/>
      <c r="O97" s="18"/>
      <c r="P97" s="19"/>
      <c r="Q97" s="19"/>
      <c r="R97" s="19"/>
      <c r="S97" s="19"/>
      <c r="T97" s="19"/>
      <c r="U97" s="18"/>
      <c r="V97" s="17" t="s">
        <v>23</v>
      </c>
      <c r="W97" s="17" t="s">
        <v>26</v>
      </c>
      <c r="Y97" s="4"/>
    </row>
    <row r="98" spans="2:25" ht="11.25" hidden="1" customHeight="1" x14ac:dyDescent="0.25">
      <c r="B98" s="17" t="s">
        <v>250</v>
      </c>
      <c r="C98" s="17" t="s">
        <v>250</v>
      </c>
      <c r="D98" s="17" t="s">
        <v>20</v>
      </c>
      <c r="E98" s="17" t="s">
        <v>21</v>
      </c>
      <c r="F98" s="17"/>
      <c r="G98" s="17"/>
      <c r="H98" s="17" t="s">
        <v>251</v>
      </c>
      <c r="I98" s="17" t="s">
        <v>23</v>
      </c>
      <c r="J98" s="17" t="s">
        <v>61</v>
      </c>
      <c r="K98" s="17" t="s">
        <v>62</v>
      </c>
      <c r="L98" s="18">
        <v>43244</v>
      </c>
      <c r="M98" s="18" t="s">
        <v>6687</v>
      </c>
      <c r="N98" s="18"/>
      <c r="O98" s="18"/>
      <c r="P98" s="19">
        <v>45444</v>
      </c>
      <c r="Q98" s="19" t="s">
        <v>6687</v>
      </c>
      <c r="R98" s="19" t="s">
        <v>47</v>
      </c>
      <c r="S98" s="19" t="s">
        <v>252</v>
      </c>
      <c r="T98" s="19"/>
      <c r="U98" s="18"/>
      <c r="V98" s="17" t="s">
        <v>23</v>
      </c>
      <c r="W98" s="17" t="s">
        <v>26</v>
      </c>
      <c r="Y98" s="4"/>
    </row>
    <row r="99" spans="2:25" ht="11.25" hidden="1" customHeight="1" x14ac:dyDescent="0.25">
      <c r="B99" s="17" t="s">
        <v>253</v>
      </c>
      <c r="C99" s="17" t="s">
        <v>253</v>
      </c>
      <c r="D99" s="17" t="s">
        <v>20</v>
      </c>
      <c r="E99" s="17" t="s">
        <v>28</v>
      </c>
      <c r="F99" s="17"/>
      <c r="G99" s="17"/>
      <c r="H99" s="17" t="s">
        <v>254</v>
      </c>
      <c r="I99" s="17" t="s">
        <v>23</v>
      </c>
      <c r="J99" s="17" t="s">
        <v>34</v>
      </c>
      <c r="K99" s="17" t="s">
        <v>35</v>
      </c>
      <c r="L99" s="18">
        <v>43271</v>
      </c>
      <c r="M99" s="18" t="s">
        <v>6687</v>
      </c>
      <c r="N99" s="18"/>
      <c r="O99" s="18"/>
      <c r="P99" s="19">
        <v>44884</v>
      </c>
      <c r="Q99" s="19" t="s">
        <v>6687</v>
      </c>
      <c r="R99" s="19"/>
      <c r="S99" s="19"/>
      <c r="T99" s="19"/>
      <c r="U99" s="18">
        <v>45077</v>
      </c>
      <c r="V99" s="17" t="s">
        <v>23</v>
      </c>
      <c r="W99" s="17" t="s">
        <v>26</v>
      </c>
      <c r="Y99" s="4"/>
    </row>
    <row r="100" spans="2:25" ht="11.25" hidden="1" customHeight="1" x14ac:dyDescent="0.25">
      <c r="B100" s="17" t="s">
        <v>255</v>
      </c>
      <c r="C100" s="17" t="s">
        <v>255</v>
      </c>
      <c r="D100" s="17" t="s">
        <v>20</v>
      </c>
      <c r="E100" s="17" t="s">
        <v>28</v>
      </c>
      <c r="F100" s="17"/>
      <c r="G100" s="17"/>
      <c r="H100" s="17" t="s">
        <v>256</v>
      </c>
      <c r="I100" s="17" t="s">
        <v>23</v>
      </c>
      <c r="J100" s="17" t="s">
        <v>76</v>
      </c>
      <c r="K100" s="17" t="s">
        <v>77</v>
      </c>
      <c r="L100" s="18">
        <v>43273</v>
      </c>
      <c r="M100" s="18" t="s">
        <v>6687</v>
      </c>
      <c r="N100" s="18"/>
      <c r="O100" s="18"/>
      <c r="P100" s="19"/>
      <c r="Q100" s="19"/>
      <c r="R100" s="19"/>
      <c r="S100" s="19"/>
      <c r="T100" s="19"/>
      <c r="U100" s="18"/>
      <c r="V100" s="17" t="s">
        <v>23</v>
      </c>
      <c r="W100" s="17" t="s">
        <v>26</v>
      </c>
      <c r="Y100" s="4"/>
    </row>
    <row r="101" spans="2:25" ht="11.25" hidden="1" customHeight="1" x14ac:dyDescent="0.25">
      <c r="B101" s="17" t="s">
        <v>257</v>
      </c>
      <c r="C101" s="17" t="s">
        <v>257</v>
      </c>
      <c r="D101" s="17" t="s">
        <v>20</v>
      </c>
      <c r="E101" s="17" t="s">
        <v>21</v>
      </c>
      <c r="F101" s="17"/>
      <c r="G101" s="17"/>
      <c r="H101" s="17" t="s">
        <v>258</v>
      </c>
      <c r="I101" s="17" t="s">
        <v>23</v>
      </c>
      <c r="J101" s="17" t="s">
        <v>124</v>
      </c>
      <c r="K101" s="17" t="s">
        <v>125</v>
      </c>
      <c r="L101" s="18">
        <v>43274</v>
      </c>
      <c r="M101" s="18" t="s">
        <v>6687</v>
      </c>
      <c r="N101" s="18"/>
      <c r="O101" s="18"/>
      <c r="P101" s="19">
        <v>44738</v>
      </c>
      <c r="Q101" s="19" t="s">
        <v>6687</v>
      </c>
      <c r="R101" s="19"/>
      <c r="S101" s="19"/>
      <c r="T101" s="19"/>
      <c r="U101" s="18"/>
      <c r="V101" s="17" t="s">
        <v>23</v>
      </c>
      <c r="W101" s="17" t="s">
        <v>26</v>
      </c>
      <c r="Y101" s="4"/>
    </row>
    <row r="102" spans="2:25" ht="11.25" hidden="1" customHeight="1" x14ac:dyDescent="0.25">
      <c r="B102" s="17" t="s">
        <v>259</v>
      </c>
      <c r="C102" s="17" t="s">
        <v>259</v>
      </c>
      <c r="D102" s="17" t="s">
        <v>20</v>
      </c>
      <c r="E102" s="17" t="s">
        <v>21</v>
      </c>
      <c r="F102" s="17"/>
      <c r="G102" s="17"/>
      <c r="H102" s="17" t="s">
        <v>260</v>
      </c>
      <c r="I102" s="17" t="s">
        <v>23</v>
      </c>
      <c r="J102" s="17" t="s">
        <v>228</v>
      </c>
      <c r="K102" s="17" t="s">
        <v>229</v>
      </c>
      <c r="L102" s="18">
        <v>43276</v>
      </c>
      <c r="M102" s="18" t="s">
        <v>6687</v>
      </c>
      <c r="N102" s="18"/>
      <c r="O102" s="18"/>
      <c r="P102" s="19">
        <v>45653</v>
      </c>
      <c r="Q102" s="19" t="s">
        <v>6687</v>
      </c>
      <c r="R102" s="19" t="s">
        <v>40</v>
      </c>
      <c r="S102" s="19"/>
      <c r="T102" s="19"/>
      <c r="U102" s="18"/>
      <c r="V102" s="17" t="s">
        <v>23</v>
      </c>
      <c r="W102" s="17" t="s">
        <v>26</v>
      </c>
      <c r="Y102" s="4"/>
    </row>
    <row r="103" spans="2:25" ht="11.25" hidden="1" customHeight="1" x14ac:dyDescent="0.25">
      <c r="B103" s="17" t="s">
        <v>261</v>
      </c>
      <c r="C103" s="17" t="s">
        <v>261</v>
      </c>
      <c r="D103" s="17" t="s">
        <v>20</v>
      </c>
      <c r="E103" s="17" t="s">
        <v>28</v>
      </c>
      <c r="F103" s="17"/>
      <c r="G103" s="17"/>
      <c r="H103" s="17" t="s">
        <v>262</v>
      </c>
      <c r="I103" s="17" t="s">
        <v>23</v>
      </c>
      <c r="J103" s="17" t="s">
        <v>76</v>
      </c>
      <c r="K103" s="17" t="s">
        <v>77</v>
      </c>
      <c r="L103" s="18">
        <v>43288</v>
      </c>
      <c r="M103" s="18" t="s">
        <v>6687</v>
      </c>
      <c r="N103" s="18"/>
      <c r="O103" s="18"/>
      <c r="P103" s="19"/>
      <c r="Q103" s="19"/>
      <c r="R103" s="19"/>
      <c r="S103" s="19"/>
      <c r="T103" s="19"/>
      <c r="U103" s="18"/>
      <c r="V103" s="17" t="s">
        <v>23</v>
      </c>
      <c r="W103" s="17" t="s">
        <v>26</v>
      </c>
      <c r="Y103" s="4"/>
    </row>
    <row r="104" spans="2:25" ht="11.25" hidden="1" customHeight="1" x14ac:dyDescent="0.25">
      <c r="B104" s="17" t="s">
        <v>263</v>
      </c>
      <c r="C104" s="17" t="s">
        <v>263</v>
      </c>
      <c r="D104" s="17" t="s">
        <v>20</v>
      </c>
      <c r="E104" s="17" t="s">
        <v>28</v>
      </c>
      <c r="F104" s="17"/>
      <c r="G104" s="17"/>
      <c r="H104" s="17" t="s">
        <v>264</v>
      </c>
      <c r="I104" s="17" t="s">
        <v>265</v>
      </c>
      <c r="J104" s="17" t="s">
        <v>76</v>
      </c>
      <c r="K104" s="17" t="s">
        <v>77</v>
      </c>
      <c r="L104" s="18">
        <v>43289</v>
      </c>
      <c r="M104" s="18" t="s">
        <v>6687</v>
      </c>
      <c r="N104" s="18"/>
      <c r="O104" s="18"/>
      <c r="P104" s="19"/>
      <c r="Q104" s="19"/>
      <c r="R104" s="19"/>
      <c r="S104" s="19"/>
      <c r="T104" s="19"/>
      <c r="U104" s="18"/>
      <c r="V104" s="17" t="s">
        <v>265</v>
      </c>
      <c r="W104" s="17" t="s">
        <v>107</v>
      </c>
      <c r="Y104" s="4"/>
    </row>
    <row r="105" spans="2:25" ht="11.25" hidden="1" customHeight="1" x14ac:dyDescent="0.25">
      <c r="B105" s="17" t="s">
        <v>266</v>
      </c>
      <c r="C105" s="17" t="s">
        <v>266</v>
      </c>
      <c r="D105" s="17" t="s">
        <v>20</v>
      </c>
      <c r="E105" s="17" t="s">
        <v>21</v>
      </c>
      <c r="F105" s="17"/>
      <c r="G105" s="17"/>
      <c r="H105" s="17" t="s">
        <v>267</v>
      </c>
      <c r="I105" s="17" t="s">
        <v>265</v>
      </c>
      <c r="J105" s="17" t="s">
        <v>34</v>
      </c>
      <c r="K105" s="17" t="s">
        <v>35</v>
      </c>
      <c r="L105" s="18">
        <v>43290</v>
      </c>
      <c r="M105" s="18" t="s">
        <v>6687</v>
      </c>
      <c r="N105" s="18"/>
      <c r="O105" s="18"/>
      <c r="P105" s="19">
        <v>43901</v>
      </c>
      <c r="Q105" s="19" t="s">
        <v>6687</v>
      </c>
      <c r="R105" s="19"/>
      <c r="S105" s="19"/>
      <c r="T105" s="19"/>
      <c r="U105" s="18"/>
      <c r="V105" s="17" t="s">
        <v>265</v>
      </c>
      <c r="W105" s="17" t="s">
        <v>107</v>
      </c>
      <c r="Y105" s="4"/>
    </row>
    <row r="106" spans="2:25" ht="11.25" hidden="1" customHeight="1" x14ac:dyDescent="0.25">
      <c r="B106" s="17" t="s">
        <v>268</v>
      </c>
      <c r="C106" s="17" t="s">
        <v>268</v>
      </c>
      <c r="D106" s="17" t="s">
        <v>20</v>
      </c>
      <c r="E106" s="17" t="s">
        <v>21</v>
      </c>
      <c r="F106" s="17"/>
      <c r="G106" s="17"/>
      <c r="H106" s="17" t="s">
        <v>269</v>
      </c>
      <c r="I106" s="17" t="s">
        <v>23</v>
      </c>
      <c r="J106" s="17" t="s">
        <v>51</v>
      </c>
      <c r="K106" s="17" t="s">
        <v>52</v>
      </c>
      <c r="L106" s="18">
        <v>43295</v>
      </c>
      <c r="M106" s="18" t="s">
        <v>6687</v>
      </c>
      <c r="N106" s="18"/>
      <c r="O106" s="18"/>
      <c r="P106" s="19">
        <v>45520</v>
      </c>
      <c r="Q106" s="19" t="s">
        <v>6687</v>
      </c>
      <c r="R106" s="19" t="s">
        <v>47</v>
      </c>
      <c r="S106" s="19" t="s">
        <v>270</v>
      </c>
      <c r="T106" s="19"/>
      <c r="U106" s="18"/>
      <c r="V106" s="17" t="s">
        <v>23</v>
      </c>
      <c r="W106" s="17" t="s">
        <v>26</v>
      </c>
      <c r="Y106" s="4"/>
    </row>
    <row r="107" spans="2:25" ht="11.25" hidden="1" customHeight="1" x14ac:dyDescent="0.25">
      <c r="B107" s="17" t="s">
        <v>271</v>
      </c>
      <c r="C107" s="17" t="s">
        <v>271</v>
      </c>
      <c r="D107" s="17" t="s">
        <v>20</v>
      </c>
      <c r="E107" s="17" t="s">
        <v>21</v>
      </c>
      <c r="F107" s="17"/>
      <c r="G107" s="17"/>
      <c r="H107" s="17" t="s">
        <v>272</v>
      </c>
      <c r="I107" s="17" t="s">
        <v>23</v>
      </c>
      <c r="J107" s="17" t="s">
        <v>34</v>
      </c>
      <c r="K107" s="17" t="s">
        <v>35</v>
      </c>
      <c r="L107" s="18">
        <v>43296</v>
      </c>
      <c r="M107" s="18" t="s">
        <v>6687</v>
      </c>
      <c r="N107" s="18"/>
      <c r="O107" s="18"/>
      <c r="P107" s="19">
        <v>44266</v>
      </c>
      <c r="Q107" s="19" t="s">
        <v>6687</v>
      </c>
      <c r="R107" s="19"/>
      <c r="S107" s="19"/>
      <c r="T107" s="19"/>
      <c r="U107" s="18"/>
      <c r="V107" s="17" t="s">
        <v>23</v>
      </c>
      <c r="W107" s="17" t="s">
        <v>26</v>
      </c>
      <c r="Y107" s="4"/>
    </row>
    <row r="108" spans="2:25" ht="11.25" hidden="1" customHeight="1" x14ac:dyDescent="0.25">
      <c r="B108" s="17" t="s">
        <v>273</v>
      </c>
      <c r="C108" s="17" t="s">
        <v>273</v>
      </c>
      <c r="D108" s="17" t="s">
        <v>20</v>
      </c>
      <c r="E108" s="17" t="s">
        <v>21</v>
      </c>
      <c r="F108" s="17"/>
      <c r="G108" s="17"/>
      <c r="H108" s="17" t="s">
        <v>274</v>
      </c>
      <c r="I108" s="17" t="s">
        <v>23</v>
      </c>
      <c r="J108" s="17" t="s">
        <v>228</v>
      </c>
      <c r="K108" s="17" t="s">
        <v>229</v>
      </c>
      <c r="L108" s="18">
        <v>43299</v>
      </c>
      <c r="M108" s="18" t="s">
        <v>6687</v>
      </c>
      <c r="N108" s="18"/>
      <c r="O108" s="18"/>
      <c r="P108" s="19">
        <v>43990</v>
      </c>
      <c r="Q108" s="19" t="s">
        <v>6687</v>
      </c>
      <c r="R108" s="19"/>
      <c r="S108" s="19"/>
      <c r="T108" s="19"/>
      <c r="U108" s="18"/>
      <c r="V108" s="17" t="s">
        <v>23</v>
      </c>
      <c r="W108" s="17" t="s">
        <v>26</v>
      </c>
      <c r="Y108" s="4"/>
    </row>
    <row r="109" spans="2:25" ht="11.25" hidden="1" customHeight="1" x14ac:dyDescent="0.25">
      <c r="B109" s="17" t="s">
        <v>275</v>
      </c>
      <c r="C109" s="17" t="s">
        <v>275</v>
      </c>
      <c r="D109" s="17" t="s">
        <v>20</v>
      </c>
      <c r="E109" s="17" t="s">
        <v>21</v>
      </c>
      <c r="F109" s="17"/>
      <c r="G109" s="17"/>
      <c r="H109" s="17" t="s">
        <v>276</v>
      </c>
      <c r="I109" s="17" t="s">
        <v>23</v>
      </c>
      <c r="J109" s="17" t="s">
        <v>94</v>
      </c>
      <c r="K109" s="17" t="s">
        <v>95</v>
      </c>
      <c r="L109" s="18">
        <v>43299</v>
      </c>
      <c r="M109" s="18" t="s">
        <v>6687</v>
      </c>
      <c r="N109" s="18"/>
      <c r="O109" s="18"/>
      <c r="P109" s="19">
        <v>43997</v>
      </c>
      <c r="Q109" s="19" t="s">
        <v>6687</v>
      </c>
      <c r="R109" s="19"/>
      <c r="S109" s="19"/>
      <c r="T109" s="19"/>
      <c r="U109" s="18">
        <v>43822</v>
      </c>
      <c r="V109" s="17" t="s">
        <v>23</v>
      </c>
      <c r="W109" s="17" t="s">
        <v>26</v>
      </c>
      <c r="Y109" s="4"/>
    </row>
    <row r="110" spans="2:25" ht="11.25" hidden="1" customHeight="1" x14ac:dyDescent="0.25">
      <c r="B110" s="17" t="s">
        <v>277</v>
      </c>
      <c r="C110" s="17" t="s">
        <v>277</v>
      </c>
      <c r="D110" s="17" t="s">
        <v>20</v>
      </c>
      <c r="E110" s="17" t="s">
        <v>28</v>
      </c>
      <c r="F110" s="17"/>
      <c r="G110" s="17"/>
      <c r="H110" s="17" t="s">
        <v>278</v>
      </c>
      <c r="I110" s="17" t="s">
        <v>279</v>
      </c>
      <c r="J110" s="17" t="s">
        <v>76</v>
      </c>
      <c r="K110" s="17" t="s">
        <v>77</v>
      </c>
      <c r="L110" s="18">
        <v>43304</v>
      </c>
      <c r="M110" s="18" t="s">
        <v>6687</v>
      </c>
      <c r="N110" s="18"/>
      <c r="O110" s="18"/>
      <c r="P110" s="19"/>
      <c r="Q110" s="19"/>
      <c r="R110" s="19"/>
      <c r="S110" s="19"/>
      <c r="T110" s="19"/>
      <c r="U110" s="18"/>
      <c r="V110" s="17" t="s">
        <v>279</v>
      </c>
      <c r="W110" s="17" t="s">
        <v>107</v>
      </c>
      <c r="Y110" s="4"/>
    </row>
    <row r="111" spans="2:25" ht="11.25" hidden="1" customHeight="1" x14ac:dyDescent="0.25">
      <c r="B111" s="17" t="s">
        <v>280</v>
      </c>
      <c r="C111" s="17" t="s">
        <v>280</v>
      </c>
      <c r="D111" s="17" t="s">
        <v>20</v>
      </c>
      <c r="E111" s="17" t="s">
        <v>28</v>
      </c>
      <c r="F111" s="17"/>
      <c r="G111" s="17"/>
      <c r="H111" s="17" t="s">
        <v>281</v>
      </c>
      <c r="I111" s="17" t="s">
        <v>279</v>
      </c>
      <c r="J111" s="17" t="s">
        <v>34</v>
      </c>
      <c r="K111" s="17" t="s">
        <v>35</v>
      </c>
      <c r="L111" s="18">
        <v>43304</v>
      </c>
      <c r="M111" s="18" t="s">
        <v>6687</v>
      </c>
      <c r="N111" s="18"/>
      <c r="O111" s="18"/>
      <c r="P111" s="19"/>
      <c r="Q111" s="19"/>
      <c r="R111" s="19"/>
      <c r="S111" s="19"/>
      <c r="T111" s="19"/>
      <c r="U111" s="18"/>
      <c r="V111" s="17" t="s">
        <v>279</v>
      </c>
      <c r="W111" s="17" t="s">
        <v>107</v>
      </c>
      <c r="Y111" s="4"/>
    </row>
    <row r="112" spans="2:25" ht="11.25" hidden="1" customHeight="1" x14ac:dyDescent="0.25">
      <c r="B112" s="17" t="s">
        <v>282</v>
      </c>
      <c r="C112" s="17" t="s">
        <v>282</v>
      </c>
      <c r="D112" s="17" t="s">
        <v>20</v>
      </c>
      <c r="E112" s="17" t="s">
        <v>28</v>
      </c>
      <c r="F112" s="17"/>
      <c r="G112" s="17"/>
      <c r="H112" s="17" t="s">
        <v>283</v>
      </c>
      <c r="I112" s="17" t="s">
        <v>23</v>
      </c>
      <c r="J112" s="17" t="s">
        <v>24</v>
      </c>
      <c r="K112" s="17" t="s">
        <v>25</v>
      </c>
      <c r="L112" s="18">
        <v>43325</v>
      </c>
      <c r="M112" s="18" t="s">
        <v>6687</v>
      </c>
      <c r="N112" s="18"/>
      <c r="O112" s="18"/>
      <c r="P112" s="19"/>
      <c r="Q112" s="19"/>
      <c r="R112" s="19"/>
      <c r="S112" s="19"/>
      <c r="T112" s="19"/>
      <c r="U112" s="18"/>
      <c r="V112" s="17" t="s">
        <v>23</v>
      </c>
      <c r="W112" s="17" t="s">
        <v>26</v>
      </c>
      <c r="Y112" s="4"/>
    </row>
    <row r="113" spans="2:25" ht="11.25" hidden="1" customHeight="1" x14ac:dyDescent="0.25">
      <c r="B113" s="17" t="s">
        <v>284</v>
      </c>
      <c r="C113" s="17" t="s">
        <v>284</v>
      </c>
      <c r="D113" s="17" t="s">
        <v>20</v>
      </c>
      <c r="E113" s="17" t="s">
        <v>28</v>
      </c>
      <c r="F113" s="17"/>
      <c r="G113" s="17"/>
      <c r="H113" s="17" t="s">
        <v>285</v>
      </c>
      <c r="I113" s="17" t="s">
        <v>23</v>
      </c>
      <c r="J113" s="17" t="s">
        <v>76</v>
      </c>
      <c r="K113" s="17" t="s">
        <v>77</v>
      </c>
      <c r="L113" s="18">
        <v>43354</v>
      </c>
      <c r="M113" s="18" t="s">
        <v>6687</v>
      </c>
      <c r="N113" s="18"/>
      <c r="O113" s="18"/>
      <c r="P113" s="19"/>
      <c r="Q113" s="19"/>
      <c r="R113" s="19"/>
      <c r="S113" s="19"/>
      <c r="T113" s="19"/>
      <c r="U113" s="18"/>
      <c r="V113" s="17" t="s">
        <v>23</v>
      </c>
      <c r="W113" s="17" t="s">
        <v>26</v>
      </c>
      <c r="Y113" s="4"/>
    </row>
    <row r="114" spans="2:25" ht="11.25" hidden="1" customHeight="1" x14ac:dyDescent="0.25">
      <c r="B114" s="17" t="s">
        <v>286</v>
      </c>
      <c r="C114" s="17" t="s">
        <v>286</v>
      </c>
      <c r="D114" s="17" t="s">
        <v>20</v>
      </c>
      <c r="E114" s="17" t="s">
        <v>21</v>
      </c>
      <c r="F114" s="17"/>
      <c r="G114" s="17"/>
      <c r="H114" s="17" t="s">
        <v>287</v>
      </c>
      <c r="I114" s="17" t="s">
        <v>23</v>
      </c>
      <c r="J114" s="17" t="s">
        <v>94</v>
      </c>
      <c r="K114" s="17" t="s">
        <v>95</v>
      </c>
      <c r="L114" s="18">
        <v>43369</v>
      </c>
      <c r="M114" s="18" t="s">
        <v>6687</v>
      </c>
      <c r="N114" s="18"/>
      <c r="O114" s="18"/>
      <c r="P114" s="19">
        <v>43785</v>
      </c>
      <c r="Q114" s="19" t="s">
        <v>6687</v>
      </c>
      <c r="R114" s="19"/>
      <c r="S114" s="19"/>
      <c r="T114" s="19"/>
      <c r="U114" s="18"/>
      <c r="V114" s="17" t="s">
        <v>23</v>
      </c>
      <c r="W114" s="17" t="s">
        <v>26</v>
      </c>
      <c r="Y114" s="4"/>
    </row>
    <row r="115" spans="2:25" ht="11.25" hidden="1" customHeight="1" x14ac:dyDescent="0.25">
      <c r="B115" s="17" t="s">
        <v>288</v>
      </c>
      <c r="C115" s="17" t="s">
        <v>288</v>
      </c>
      <c r="D115" s="17" t="s">
        <v>20</v>
      </c>
      <c r="E115" s="17" t="s">
        <v>28</v>
      </c>
      <c r="F115" s="17"/>
      <c r="G115" s="17"/>
      <c r="H115" s="17" t="s">
        <v>289</v>
      </c>
      <c r="I115" s="17" t="s">
        <v>23</v>
      </c>
      <c r="J115" s="17" t="s">
        <v>112</v>
      </c>
      <c r="K115" s="17" t="s">
        <v>113</v>
      </c>
      <c r="L115" s="18">
        <v>43381</v>
      </c>
      <c r="M115" s="18" t="s">
        <v>6687</v>
      </c>
      <c r="N115" s="18"/>
      <c r="O115" s="18"/>
      <c r="P115" s="19"/>
      <c r="Q115" s="19"/>
      <c r="R115" s="19"/>
      <c r="S115" s="19"/>
      <c r="T115" s="19"/>
      <c r="U115" s="18"/>
      <c r="V115" s="17" t="s">
        <v>23</v>
      </c>
      <c r="W115" s="17" t="s">
        <v>26</v>
      </c>
      <c r="Y115" s="4"/>
    </row>
    <row r="116" spans="2:25" ht="11.25" hidden="1" customHeight="1" x14ac:dyDescent="0.25">
      <c r="B116" s="17" t="s">
        <v>290</v>
      </c>
      <c r="C116" s="17" t="s">
        <v>290</v>
      </c>
      <c r="D116" s="17" t="s">
        <v>20</v>
      </c>
      <c r="E116" s="17" t="s">
        <v>28</v>
      </c>
      <c r="F116" s="17"/>
      <c r="G116" s="17"/>
      <c r="H116" s="17" t="s">
        <v>291</v>
      </c>
      <c r="I116" s="17" t="s">
        <v>23</v>
      </c>
      <c r="J116" s="17" t="s">
        <v>61</v>
      </c>
      <c r="K116" s="17" t="s">
        <v>62</v>
      </c>
      <c r="L116" s="18">
        <v>43381</v>
      </c>
      <c r="M116" s="18" t="s">
        <v>6687</v>
      </c>
      <c r="N116" s="18"/>
      <c r="O116" s="18"/>
      <c r="P116" s="19"/>
      <c r="Q116" s="19"/>
      <c r="R116" s="19"/>
      <c r="S116" s="19"/>
      <c r="T116" s="19"/>
      <c r="U116" s="18"/>
      <c r="V116" s="17" t="s">
        <v>23</v>
      </c>
      <c r="W116" s="17" t="s">
        <v>26</v>
      </c>
      <c r="Y116" s="4"/>
    </row>
    <row r="117" spans="2:25" ht="11.25" hidden="1" customHeight="1" x14ac:dyDescent="0.25">
      <c r="B117" s="17" t="s">
        <v>292</v>
      </c>
      <c r="C117" s="17" t="s">
        <v>292</v>
      </c>
      <c r="D117" s="17" t="s">
        <v>20</v>
      </c>
      <c r="E117" s="17" t="s">
        <v>21</v>
      </c>
      <c r="F117" s="17"/>
      <c r="G117" s="17"/>
      <c r="H117" s="17" t="s">
        <v>293</v>
      </c>
      <c r="I117" s="17" t="s">
        <v>23</v>
      </c>
      <c r="J117" s="17" t="s">
        <v>94</v>
      </c>
      <c r="K117" s="17" t="s">
        <v>95</v>
      </c>
      <c r="L117" s="18">
        <v>43381</v>
      </c>
      <c r="M117" s="18" t="s">
        <v>6687</v>
      </c>
      <c r="N117" s="18"/>
      <c r="O117" s="18"/>
      <c r="P117" s="19">
        <v>43780</v>
      </c>
      <c r="Q117" s="19" t="s">
        <v>6687</v>
      </c>
      <c r="R117" s="19"/>
      <c r="S117" s="19"/>
      <c r="T117" s="19"/>
      <c r="U117" s="18"/>
      <c r="V117" s="17" t="s">
        <v>23</v>
      </c>
      <c r="W117" s="17" t="s">
        <v>26</v>
      </c>
      <c r="Y117" s="4"/>
    </row>
    <row r="118" spans="2:25" ht="11.25" hidden="1" customHeight="1" x14ac:dyDescent="0.25">
      <c r="B118" s="17" t="s">
        <v>294</v>
      </c>
      <c r="C118" s="17" t="s">
        <v>294</v>
      </c>
      <c r="D118" s="17" t="s">
        <v>20</v>
      </c>
      <c r="E118" s="17" t="s">
        <v>21</v>
      </c>
      <c r="F118" s="17"/>
      <c r="G118" s="17"/>
      <c r="H118" s="17" t="s">
        <v>295</v>
      </c>
      <c r="I118" s="17" t="s">
        <v>23</v>
      </c>
      <c r="J118" s="17" t="s">
        <v>65</v>
      </c>
      <c r="K118" s="17" t="s">
        <v>66</v>
      </c>
      <c r="L118" s="18">
        <v>43416</v>
      </c>
      <c r="M118" s="18" t="s">
        <v>6687</v>
      </c>
      <c r="N118" s="18"/>
      <c r="O118" s="18"/>
      <c r="P118" s="19">
        <v>43770</v>
      </c>
      <c r="Q118" s="19" t="s">
        <v>6687</v>
      </c>
      <c r="R118" s="19"/>
      <c r="S118" s="19"/>
      <c r="T118" s="19"/>
      <c r="U118" s="18"/>
      <c r="V118" s="17" t="s">
        <v>23</v>
      </c>
      <c r="W118" s="17" t="s">
        <v>26</v>
      </c>
      <c r="Y118" s="4"/>
    </row>
    <row r="119" spans="2:25" ht="11.25" hidden="1" customHeight="1" x14ac:dyDescent="0.25">
      <c r="B119" s="17" t="s">
        <v>296</v>
      </c>
      <c r="C119" s="17" t="s">
        <v>296</v>
      </c>
      <c r="D119" s="17" t="s">
        <v>20</v>
      </c>
      <c r="E119" s="17" t="s">
        <v>21</v>
      </c>
      <c r="F119" s="17"/>
      <c r="G119" s="17"/>
      <c r="H119" s="17" t="s">
        <v>297</v>
      </c>
      <c r="I119" s="17" t="s">
        <v>23</v>
      </c>
      <c r="J119" s="17" t="s">
        <v>141</v>
      </c>
      <c r="K119" s="17" t="s">
        <v>142</v>
      </c>
      <c r="L119" s="18">
        <v>43424</v>
      </c>
      <c r="M119" s="18" t="s">
        <v>6687</v>
      </c>
      <c r="N119" s="18"/>
      <c r="O119" s="18"/>
      <c r="P119" s="19">
        <v>45890</v>
      </c>
      <c r="Q119" s="19" t="s">
        <v>6687</v>
      </c>
      <c r="R119" s="19" t="s">
        <v>47</v>
      </c>
      <c r="S119" s="17" t="s">
        <v>298</v>
      </c>
      <c r="T119" s="19"/>
      <c r="U119" s="18"/>
      <c r="V119" s="17" t="s">
        <v>23</v>
      </c>
      <c r="W119" s="17" t="s">
        <v>26</v>
      </c>
      <c r="Y119" s="4"/>
    </row>
    <row r="120" spans="2:25" ht="11.25" hidden="1" customHeight="1" x14ac:dyDescent="0.25">
      <c r="B120" s="17" t="s">
        <v>299</v>
      </c>
      <c r="C120" s="17" t="s">
        <v>299</v>
      </c>
      <c r="D120" s="17" t="s">
        <v>20</v>
      </c>
      <c r="E120" s="17" t="s">
        <v>28</v>
      </c>
      <c r="F120" s="17"/>
      <c r="G120" s="17"/>
      <c r="H120" s="17" t="s">
        <v>300</v>
      </c>
      <c r="I120" s="17" t="s">
        <v>301</v>
      </c>
      <c r="J120" s="17" t="s">
        <v>76</v>
      </c>
      <c r="K120" s="17" t="s">
        <v>77</v>
      </c>
      <c r="L120" s="18">
        <v>43432</v>
      </c>
      <c r="M120" s="18" t="s">
        <v>6687</v>
      </c>
      <c r="N120" s="18"/>
      <c r="O120" s="18"/>
      <c r="P120" s="19"/>
      <c r="Q120" s="19"/>
      <c r="R120" s="19"/>
      <c r="S120" s="19"/>
      <c r="T120" s="19"/>
      <c r="U120" s="18"/>
      <c r="V120" s="17" t="s">
        <v>301</v>
      </c>
      <c r="W120" s="17" t="s">
        <v>107</v>
      </c>
      <c r="Y120" s="4"/>
    </row>
    <row r="121" spans="2:25" ht="11.25" hidden="1" customHeight="1" x14ac:dyDescent="0.25">
      <c r="B121" s="17" t="s">
        <v>302</v>
      </c>
      <c r="C121" s="17" t="s">
        <v>302</v>
      </c>
      <c r="D121" s="17" t="s">
        <v>20</v>
      </c>
      <c r="E121" s="17" t="s">
        <v>28</v>
      </c>
      <c r="F121" s="17"/>
      <c r="G121" s="17"/>
      <c r="H121" s="17" t="s">
        <v>303</v>
      </c>
      <c r="I121" s="17" t="s">
        <v>23</v>
      </c>
      <c r="J121" s="17" t="s">
        <v>112</v>
      </c>
      <c r="K121" s="17" t="s">
        <v>113</v>
      </c>
      <c r="L121" s="18">
        <v>43437</v>
      </c>
      <c r="M121" s="18" t="s">
        <v>6687</v>
      </c>
      <c r="N121" s="18"/>
      <c r="O121" s="18"/>
      <c r="P121" s="19"/>
      <c r="Q121" s="19"/>
      <c r="R121" s="19"/>
      <c r="S121" s="19"/>
      <c r="T121" s="19"/>
      <c r="U121" s="18"/>
      <c r="V121" s="17" t="s">
        <v>23</v>
      </c>
      <c r="W121" s="17" t="s">
        <v>26</v>
      </c>
      <c r="Y121" s="4"/>
    </row>
    <row r="122" spans="2:25" ht="11.25" hidden="1" customHeight="1" x14ac:dyDescent="0.25">
      <c r="B122" s="17" t="s">
        <v>304</v>
      </c>
      <c r="C122" s="17" t="s">
        <v>304</v>
      </c>
      <c r="D122" s="17" t="s">
        <v>20</v>
      </c>
      <c r="E122" s="17" t="s">
        <v>21</v>
      </c>
      <c r="F122" s="17"/>
      <c r="G122" s="17"/>
      <c r="H122" s="17" t="s">
        <v>305</v>
      </c>
      <c r="I122" s="17" t="s">
        <v>306</v>
      </c>
      <c r="J122" s="17" t="s">
        <v>76</v>
      </c>
      <c r="K122" s="17" t="s">
        <v>77</v>
      </c>
      <c r="L122" s="18">
        <v>43442</v>
      </c>
      <c r="M122" s="18" t="s">
        <v>6687</v>
      </c>
      <c r="N122" s="18"/>
      <c r="O122" s="18"/>
      <c r="P122" s="19">
        <v>45771</v>
      </c>
      <c r="Q122" s="19" t="s">
        <v>6687</v>
      </c>
      <c r="R122" s="19" t="s">
        <v>40</v>
      </c>
      <c r="S122" s="19"/>
      <c r="T122" s="19"/>
      <c r="U122" s="18"/>
      <c r="V122" s="17" t="s">
        <v>306</v>
      </c>
      <c r="W122" s="17" t="s">
        <v>107</v>
      </c>
      <c r="Y122" s="4"/>
    </row>
    <row r="123" spans="2:25" hidden="1" x14ac:dyDescent="0.25">
      <c r="B123" s="17" t="s">
        <v>307</v>
      </c>
      <c r="C123" s="17" t="s">
        <v>307</v>
      </c>
      <c r="D123" s="17" t="s">
        <v>20</v>
      </c>
      <c r="E123" s="17" t="s">
        <v>21</v>
      </c>
      <c r="F123" s="17"/>
      <c r="G123" s="17"/>
      <c r="H123" s="17" t="s">
        <v>308</v>
      </c>
      <c r="I123" s="17" t="s">
        <v>306</v>
      </c>
      <c r="J123" s="17" t="s">
        <v>34</v>
      </c>
      <c r="K123" s="17" t="s">
        <v>35</v>
      </c>
      <c r="L123" s="18">
        <v>43442</v>
      </c>
      <c r="M123" s="18" t="s">
        <v>6687</v>
      </c>
      <c r="N123" s="18"/>
      <c r="O123" s="18"/>
      <c r="P123" s="19">
        <v>45231</v>
      </c>
      <c r="Q123" s="19" t="s">
        <v>6687</v>
      </c>
      <c r="R123" s="19"/>
      <c r="S123" s="19"/>
      <c r="T123" s="19"/>
      <c r="U123" s="18"/>
      <c r="V123" s="17" t="s">
        <v>306</v>
      </c>
      <c r="W123" s="17" t="s">
        <v>107</v>
      </c>
      <c r="Y123" s="4"/>
    </row>
    <row r="124" spans="2:25" ht="11.25" hidden="1" customHeight="1" x14ac:dyDescent="0.25">
      <c r="B124" s="17" t="s">
        <v>309</v>
      </c>
      <c r="C124" s="17" t="s">
        <v>309</v>
      </c>
      <c r="D124" s="17" t="s">
        <v>20</v>
      </c>
      <c r="E124" s="17" t="s">
        <v>21</v>
      </c>
      <c r="F124" s="17"/>
      <c r="G124" s="17"/>
      <c r="H124" s="17" t="s">
        <v>310</v>
      </c>
      <c r="I124" s="17" t="s">
        <v>23</v>
      </c>
      <c r="J124" s="17" t="s">
        <v>65</v>
      </c>
      <c r="K124" s="17" t="s">
        <v>66</v>
      </c>
      <c r="L124" s="18">
        <v>43454</v>
      </c>
      <c r="M124" s="18" t="s">
        <v>6687</v>
      </c>
      <c r="N124" s="18"/>
      <c r="O124" s="18"/>
      <c r="P124" s="19">
        <v>45566</v>
      </c>
      <c r="Q124" s="19" t="s">
        <v>6687</v>
      </c>
      <c r="R124" s="19" t="s">
        <v>47</v>
      </c>
      <c r="S124" s="19" t="s">
        <v>311</v>
      </c>
      <c r="T124" s="19"/>
      <c r="U124" s="18"/>
      <c r="V124" s="17" t="s">
        <v>23</v>
      </c>
      <c r="W124" s="17" t="s">
        <v>26</v>
      </c>
      <c r="Y124" s="4"/>
    </row>
    <row r="125" spans="2:25" ht="11.25" hidden="1" customHeight="1" x14ac:dyDescent="0.25">
      <c r="B125" s="17" t="s">
        <v>312</v>
      </c>
      <c r="C125" s="17" t="s">
        <v>312</v>
      </c>
      <c r="D125" s="17" t="s">
        <v>20</v>
      </c>
      <c r="E125" s="17" t="s">
        <v>28</v>
      </c>
      <c r="F125" s="17"/>
      <c r="G125" s="17"/>
      <c r="H125" s="17" t="s">
        <v>313</v>
      </c>
      <c r="I125" s="17" t="s">
        <v>23</v>
      </c>
      <c r="J125" s="17" t="s">
        <v>228</v>
      </c>
      <c r="K125" s="17" t="s">
        <v>229</v>
      </c>
      <c r="L125" s="18">
        <v>43462</v>
      </c>
      <c r="M125" s="18" t="s">
        <v>6687</v>
      </c>
      <c r="N125" s="18"/>
      <c r="O125" s="18"/>
      <c r="P125" s="19"/>
      <c r="Q125" s="19"/>
      <c r="R125" s="19"/>
      <c r="S125" s="19"/>
      <c r="T125" s="19"/>
      <c r="U125" s="18"/>
      <c r="V125" s="17" t="s">
        <v>23</v>
      </c>
      <c r="W125" s="17" t="s">
        <v>26</v>
      </c>
      <c r="Y125" s="4"/>
    </row>
    <row r="126" spans="2:25" ht="11.25" hidden="1" customHeight="1" x14ac:dyDescent="0.25">
      <c r="B126" s="17" t="s">
        <v>314</v>
      </c>
      <c r="C126" s="17" t="s">
        <v>314</v>
      </c>
      <c r="D126" s="17" t="s">
        <v>20</v>
      </c>
      <c r="E126" s="17" t="s">
        <v>21</v>
      </c>
      <c r="F126" s="17"/>
      <c r="G126" s="17"/>
      <c r="H126" s="17" t="s">
        <v>315</v>
      </c>
      <c r="I126" s="17" t="s">
        <v>23</v>
      </c>
      <c r="J126" s="17" t="s">
        <v>34</v>
      </c>
      <c r="K126" s="17" t="s">
        <v>35</v>
      </c>
      <c r="L126" s="18">
        <v>43497</v>
      </c>
      <c r="M126" s="18" t="s">
        <v>6687</v>
      </c>
      <c r="N126" s="18"/>
      <c r="O126" s="18"/>
      <c r="P126" s="19">
        <v>43799</v>
      </c>
      <c r="Q126" s="19" t="s">
        <v>6687</v>
      </c>
      <c r="R126" s="19"/>
      <c r="S126" s="19"/>
      <c r="T126" s="19"/>
      <c r="U126" s="18"/>
      <c r="V126" s="17" t="s">
        <v>23</v>
      </c>
      <c r="W126" s="17" t="s">
        <v>26</v>
      </c>
      <c r="Y126" s="4"/>
    </row>
    <row r="127" spans="2:25" ht="11.25" hidden="1" customHeight="1" x14ac:dyDescent="0.25">
      <c r="B127" s="17" t="s">
        <v>316</v>
      </c>
      <c r="C127" s="17" t="s">
        <v>316</v>
      </c>
      <c r="D127" s="17" t="s">
        <v>20</v>
      </c>
      <c r="E127" s="17" t="s">
        <v>21</v>
      </c>
      <c r="F127" s="17"/>
      <c r="G127" s="17"/>
      <c r="H127" s="17" t="s">
        <v>317</v>
      </c>
      <c r="I127" s="17" t="s">
        <v>23</v>
      </c>
      <c r="J127" s="17" t="s">
        <v>141</v>
      </c>
      <c r="K127" s="17" t="s">
        <v>142</v>
      </c>
      <c r="L127" s="18">
        <v>43497</v>
      </c>
      <c r="M127" s="18" t="s">
        <v>6687</v>
      </c>
      <c r="N127" s="18"/>
      <c r="O127" s="18"/>
      <c r="P127" s="19">
        <v>43763</v>
      </c>
      <c r="Q127" s="19" t="s">
        <v>6687</v>
      </c>
      <c r="R127" s="19"/>
      <c r="S127" s="19"/>
      <c r="T127" s="19"/>
      <c r="U127" s="18"/>
      <c r="V127" s="17" t="s">
        <v>23</v>
      </c>
      <c r="W127" s="17" t="s">
        <v>26</v>
      </c>
      <c r="Y127" s="4"/>
    </row>
    <row r="128" spans="2:25" ht="11.25" hidden="1" customHeight="1" x14ac:dyDescent="0.25">
      <c r="B128" s="17" t="s">
        <v>318</v>
      </c>
      <c r="C128" s="17" t="s">
        <v>318</v>
      </c>
      <c r="D128" s="17" t="s">
        <v>20</v>
      </c>
      <c r="E128" s="17" t="s">
        <v>28</v>
      </c>
      <c r="F128" s="17"/>
      <c r="G128" s="17"/>
      <c r="H128" s="17" t="s">
        <v>319</v>
      </c>
      <c r="I128" s="17" t="s">
        <v>23</v>
      </c>
      <c r="J128" s="17" t="s">
        <v>51</v>
      </c>
      <c r="K128" s="17" t="s">
        <v>52</v>
      </c>
      <c r="L128" s="18">
        <v>43498</v>
      </c>
      <c r="M128" s="18" t="s">
        <v>6687</v>
      </c>
      <c r="N128" s="18"/>
      <c r="O128" s="18"/>
      <c r="P128" s="19"/>
      <c r="Q128" s="19"/>
      <c r="R128" s="19"/>
      <c r="S128" s="19"/>
      <c r="T128" s="19"/>
      <c r="U128" s="18"/>
      <c r="V128" s="17" t="s">
        <v>23</v>
      </c>
      <c r="W128" s="17" t="s">
        <v>26</v>
      </c>
      <c r="Y128" s="4"/>
    </row>
    <row r="129" spans="2:25" ht="11.25" hidden="1" customHeight="1" x14ac:dyDescent="0.25">
      <c r="B129" s="17" t="s">
        <v>320</v>
      </c>
      <c r="C129" s="17" t="s">
        <v>320</v>
      </c>
      <c r="D129" s="17" t="s">
        <v>20</v>
      </c>
      <c r="E129" s="17" t="s">
        <v>28</v>
      </c>
      <c r="F129" s="17"/>
      <c r="G129" s="17"/>
      <c r="H129" s="17" t="s">
        <v>321</v>
      </c>
      <c r="I129" s="17" t="s">
        <v>23</v>
      </c>
      <c r="J129" s="17" t="s">
        <v>76</v>
      </c>
      <c r="K129" s="17" t="s">
        <v>77</v>
      </c>
      <c r="L129" s="18">
        <v>43498</v>
      </c>
      <c r="M129" s="18" t="s">
        <v>6687</v>
      </c>
      <c r="N129" s="18"/>
      <c r="O129" s="18"/>
      <c r="P129" s="19"/>
      <c r="Q129" s="19"/>
      <c r="R129" s="19"/>
      <c r="S129" s="19"/>
      <c r="T129" s="19"/>
      <c r="U129" s="18"/>
      <c r="V129" s="17" t="s">
        <v>23</v>
      </c>
      <c r="W129" s="17" t="s">
        <v>26</v>
      </c>
      <c r="Y129" s="4"/>
    </row>
    <row r="130" spans="2:25" ht="11.25" hidden="1" customHeight="1" x14ac:dyDescent="0.25">
      <c r="B130" s="17" t="s">
        <v>322</v>
      </c>
      <c r="C130" s="17" t="s">
        <v>322</v>
      </c>
      <c r="D130" s="17" t="s">
        <v>20</v>
      </c>
      <c r="E130" s="17" t="s">
        <v>28</v>
      </c>
      <c r="F130" s="17"/>
      <c r="G130" s="17"/>
      <c r="H130" s="17" t="s">
        <v>323</v>
      </c>
      <c r="I130" s="17" t="s">
        <v>23</v>
      </c>
      <c r="J130" s="17" t="s">
        <v>94</v>
      </c>
      <c r="K130" s="17" t="s">
        <v>95</v>
      </c>
      <c r="L130" s="18">
        <v>43617</v>
      </c>
      <c r="M130" s="18" t="s">
        <v>6687</v>
      </c>
      <c r="N130" s="18"/>
      <c r="O130" s="18"/>
      <c r="P130" s="19"/>
      <c r="Q130" s="19"/>
      <c r="R130" s="19"/>
      <c r="S130" s="19"/>
      <c r="T130" s="19"/>
      <c r="U130" s="18"/>
      <c r="V130" s="17" t="s">
        <v>23</v>
      </c>
      <c r="W130" s="17" t="s">
        <v>26</v>
      </c>
      <c r="Y130" s="4"/>
    </row>
    <row r="131" spans="2:25" ht="11.25" hidden="1" customHeight="1" x14ac:dyDescent="0.25">
      <c r="B131" s="17" t="s">
        <v>324</v>
      </c>
      <c r="C131" s="17" t="s">
        <v>324</v>
      </c>
      <c r="D131" s="17" t="s">
        <v>20</v>
      </c>
      <c r="E131" s="17" t="s">
        <v>21</v>
      </c>
      <c r="F131" s="17"/>
      <c r="G131" s="17"/>
      <c r="H131" s="17" t="s">
        <v>325</v>
      </c>
      <c r="I131" s="17" t="s">
        <v>196</v>
      </c>
      <c r="J131" s="17" t="s">
        <v>141</v>
      </c>
      <c r="K131" s="17" t="s">
        <v>142</v>
      </c>
      <c r="L131" s="18">
        <v>43617</v>
      </c>
      <c r="M131" s="18" t="s">
        <v>6687</v>
      </c>
      <c r="N131" s="18"/>
      <c r="O131" s="18"/>
      <c r="P131" s="19">
        <v>45059</v>
      </c>
      <c r="Q131" s="19" t="s">
        <v>6687</v>
      </c>
      <c r="R131" s="19"/>
      <c r="S131" s="19"/>
      <c r="T131" s="19"/>
      <c r="U131" s="18"/>
      <c r="V131" s="17" t="s">
        <v>196</v>
      </c>
      <c r="W131" s="17" t="s">
        <v>107</v>
      </c>
      <c r="Y131" s="4"/>
    </row>
    <row r="132" spans="2:25" ht="11.25" hidden="1" customHeight="1" x14ac:dyDescent="0.25">
      <c r="B132" s="17" t="s">
        <v>326</v>
      </c>
      <c r="C132" s="17" t="s">
        <v>326</v>
      </c>
      <c r="D132" s="17" t="s">
        <v>20</v>
      </c>
      <c r="E132" s="17" t="s">
        <v>21</v>
      </c>
      <c r="F132" s="17"/>
      <c r="G132" s="17"/>
      <c r="H132" s="17" t="s">
        <v>327</v>
      </c>
      <c r="I132" s="17" t="s">
        <v>23</v>
      </c>
      <c r="J132" s="17" t="s">
        <v>34</v>
      </c>
      <c r="K132" s="17" t="s">
        <v>35</v>
      </c>
      <c r="L132" s="18">
        <v>43665</v>
      </c>
      <c r="M132" s="18" t="s">
        <v>6687</v>
      </c>
      <c r="N132" s="18"/>
      <c r="O132" s="18"/>
      <c r="P132" s="19">
        <v>45148</v>
      </c>
      <c r="Q132" s="19" t="s">
        <v>6687</v>
      </c>
      <c r="R132" s="19"/>
      <c r="S132" s="19"/>
      <c r="T132" s="19"/>
      <c r="U132" s="18"/>
      <c r="V132" s="17" t="s">
        <v>23</v>
      </c>
      <c r="W132" s="17" t="s">
        <v>26</v>
      </c>
      <c r="Y132" s="4"/>
    </row>
    <row r="133" spans="2:25" ht="11.25" hidden="1" customHeight="1" x14ac:dyDescent="0.25">
      <c r="B133" s="17" t="s">
        <v>328</v>
      </c>
      <c r="C133" s="17" t="s">
        <v>328</v>
      </c>
      <c r="D133" s="17" t="s">
        <v>20</v>
      </c>
      <c r="E133" s="17" t="s">
        <v>21</v>
      </c>
      <c r="F133" s="17"/>
      <c r="G133" s="17"/>
      <c r="H133" s="17" t="s">
        <v>329</v>
      </c>
      <c r="I133" s="17" t="s">
        <v>23</v>
      </c>
      <c r="J133" s="17" t="s">
        <v>141</v>
      </c>
      <c r="K133" s="17" t="s">
        <v>142</v>
      </c>
      <c r="L133" s="18">
        <v>43622</v>
      </c>
      <c r="M133" s="18" t="s">
        <v>6687</v>
      </c>
      <c r="N133" s="18"/>
      <c r="O133" s="18"/>
      <c r="P133" s="19">
        <v>43885</v>
      </c>
      <c r="Q133" s="19" t="s">
        <v>6687</v>
      </c>
      <c r="R133" s="19"/>
      <c r="S133" s="19"/>
      <c r="T133" s="19"/>
      <c r="U133" s="18"/>
      <c r="V133" s="17" t="s">
        <v>23</v>
      </c>
      <c r="W133" s="17" t="s">
        <v>26</v>
      </c>
      <c r="Y133" s="4"/>
    </row>
    <row r="134" spans="2:25" ht="11.25" hidden="1" customHeight="1" x14ac:dyDescent="0.25">
      <c r="B134" s="17" t="s">
        <v>330</v>
      </c>
      <c r="C134" s="17" t="s">
        <v>330</v>
      </c>
      <c r="D134" s="17" t="s">
        <v>20</v>
      </c>
      <c r="E134" s="17" t="s">
        <v>21</v>
      </c>
      <c r="F134" s="17"/>
      <c r="G134" s="17"/>
      <c r="H134" s="17" t="s">
        <v>331</v>
      </c>
      <c r="I134" s="17" t="s">
        <v>23</v>
      </c>
      <c r="J134" s="17" t="s">
        <v>76</v>
      </c>
      <c r="K134" s="17" t="s">
        <v>77</v>
      </c>
      <c r="L134" s="18">
        <v>43711</v>
      </c>
      <c r="M134" s="18" t="s">
        <v>6687</v>
      </c>
      <c r="N134" s="18"/>
      <c r="O134" s="18"/>
      <c r="P134" s="19">
        <v>45072</v>
      </c>
      <c r="Q134" s="19" t="s">
        <v>6687</v>
      </c>
      <c r="R134" s="19"/>
      <c r="S134" s="19"/>
      <c r="T134" s="19"/>
      <c r="U134" s="18"/>
      <c r="V134" s="17" t="s">
        <v>23</v>
      </c>
      <c r="W134" s="17" t="s">
        <v>26</v>
      </c>
      <c r="Y134" s="4"/>
    </row>
    <row r="135" spans="2:25" ht="11.25" hidden="1" customHeight="1" x14ac:dyDescent="0.25">
      <c r="B135" s="17" t="s">
        <v>332</v>
      </c>
      <c r="C135" s="17" t="s">
        <v>332</v>
      </c>
      <c r="D135" s="17" t="s">
        <v>20</v>
      </c>
      <c r="E135" s="17" t="s">
        <v>21</v>
      </c>
      <c r="F135" s="17"/>
      <c r="G135" s="17"/>
      <c r="H135" s="17" t="s">
        <v>333</v>
      </c>
      <c r="I135" s="17" t="s">
        <v>23</v>
      </c>
      <c r="J135" s="17" t="s">
        <v>228</v>
      </c>
      <c r="K135" s="17" t="s">
        <v>229</v>
      </c>
      <c r="L135" s="18">
        <v>43717</v>
      </c>
      <c r="M135" s="18" t="s">
        <v>6687</v>
      </c>
      <c r="N135" s="18"/>
      <c r="O135" s="18"/>
      <c r="P135" s="19">
        <v>45559</v>
      </c>
      <c r="Q135" s="19" t="s">
        <v>6687</v>
      </c>
      <c r="R135" s="19" t="s">
        <v>47</v>
      </c>
      <c r="S135" s="19" t="s">
        <v>334</v>
      </c>
      <c r="T135" s="19"/>
      <c r="U135" s="18"/>
      <c r="V135" s="17" t="s">
        <v>23</v>
      </c>
      <c r="W135" s="17" t="s">
        <v>26</v>
      </c>
      <c r="Y135" s="4"/>
    </row>
    <row r="136" spans="2:25" ht="11.25" hidden="1" customHeight="1" x14ac:dyDescent="0.25">
      <c r="B136" s="17" t="s">
        <v>335</v>
      </c>
      <c r="C136" s="17" t="s">
        <v>335</v>
      </c>
      <c r="D136" s="17" t="s">
        <v>20</v>
      </c>
      <c r="E136" s="17" t="s">
        <v>21</v>
      </c>
      <c r="F136" s="17"/>
      <c r="G136" s="17"/>
      <c r="H136" s="17" t="s">
        <v>336</v>
      </c>
      <c r="I136" s="17" t="s">
        <v>23</v>
      </c>
      <c r="J136" s="17" t="s">
        <v>112</v>
      </c>
      <c r="K136" s="17" t="s">
        <v>113</v>
      </c>
      <c r="L136" s="18">
        <v>43779</v>
      </c>
      <c r="M136" s="18" t="s">
        <v>6687</v>
      </c>
      <c r="N136" s="18"/>
      <c r="O136" s="18"/>
      <c r="P136" s="19">
        <v>43830</v>
      </c>
      <c r="Q136" s="19" t="s">
        <v>6687</v>
      </c>
      <c r="R136" s="19"/>
      <c r="S136" s="19"/>
      <c r="T136" s="19"/>
      <c r="U136" s="18"/>
      <c r="V136" s="17" t="s">
        <v>23</v>
      </c>
      <c r="W136" s="17" t="s">
        <v>26</v>
      </c>
      <c r="Y136" s="4"/>
    </row>
    <row r="137" spans="2:25" ht="11.25" hidden="1" customHeight="1" x14ac:dyDescent="0.25">
      <c r="B137" s="17" t="s">
        <v>337</v>
      </c>
      <c r="C137" s="17" t="s">
        <v>337</v>
      </c>
      <c r="D137" s="17" t="s">
        <v>20</v>
      </c>
      <c r="E137" s="17" t="s">
        <v>21</v>
      </c>
      <c r="F137" s="17"/>
      <c r="G137" s="17"/>
      <c r="H137" s="17" t="s">
        <v>338</v>
      </c>
      <c r="I137" s="17" t="s">
        <v>23</v>
      </c>
      <c r="J137" s="17" t="s">
        <v>112</v>
      </c>
      <c r="K137" s="17" t="s">
        <v>113</v>
      </c>
      <c r="L137" s="18">
        <v>43684</v>
      </c>
      <c r="M137" s="18" t="s">
        <v>6687</v>
      </c>
      <c r="N137" s="18"/>
      <c r="O137" s="18"/>
      <c r="P137" s="19">
        <v>43900</v>
      </c>
      <c r="Q137" s="19" t="s">
        <v>6687</v>
      </c>
      <c r="R137" s="19"/>
      <c r="S137" s="19"/>
      <c r="T137" s="19"/>
      <c r="U137" s="18"/>
      <c r="V137" s="17" t="s">
        <v>23</v>
      </c>
      <c r="W137" s="17" t="s">
        <v>26</v>
      </c>
      <c r="Y137" s="4"/>
    </row>
    <row r="138" spans="2:25" ht="11.25" hidden="1" customHeight="1" x14ac:dyDescent="0.25">
      <c r="B138" s="17" t="s">
        <v>339</v>
      </c>
      <c r="C138" s="17" t="s">
        <v>339</v>
      </c>
      <c r="D138" s="17" t="s">
        <v>20</v>
      </c>
      <c r="E138" s="17" t="s">
        <v>28</v>
      </c>
      <c r="F138" s="17"/>
      <c r="G138" s="17"/>
      <c r="H138" s="17" t="s">
        <v>340</v>
      </c>
      <c r="I138" s="17" t="s">
        <v>187</v>
      </c>
      <c r="J138" s="17" t="s">
        <v>228</v>
      </c>
      <c r="K138" s="17" t="s">
        <v>229</v>
      </c>
      <c r="L138" s="18">
        <v>43798</v>
      </c>
      <c r="M138" s="18" t="s">
        <v>6687</v>
      </c>
      <c r="N138" s="18"/>
      <c r="O138" s="18"/>
      <c r="P138" s="19"/>
      <c r="Q138" s="19"/>
      <c r="R138" s="19"/>
      <c r="S138" s="19"/>
      <c r="T138" s="19"/>
      <c r="U138" s="18"/>
      <c r="V138" s="17" t="s">
        <v>187</v>
      </c>
      <c r="W138" s="17" t="s">
        <v>107</v>
      </c>
      <c r="Y138" s="4"/>
    </row>
    <row r="139" spans="2:25" ht="11.25" hidden="1" customHeight="1" x14ac:dyDescent="0.25">
      <c r="B139" s="17" t="s">
        <v>341</v>
      </c>
      <c r="C139" s="17" t="s">
        <v>341</v>
      </c>
      <c r="D139" s="17" t="s">
        <v>20</v>
      </c>
      <c r="E139" s="17" t="s">
        <v>28</v>
      </c>
      <c r="F139" s="17"/>
      <c r="G139" s="17"/>
      <c r="H139" s="17" t="s">
        <v>342</v>
      </c>
      <c r="I139" s="17" t="s">
        <v>187</v>
      </c>
      <c r="J139" s="17" t="s">
        <v>112</v>
      </c>
      <c r="K139" s="17" t="s">
        <v>113</v>
      </c>
      <c r="L139" s="18">
        <v>43798</v>
      </c>
      <c r="M139" s="18" t="s">
        <v>6687</v>
      </c>
      <c r="N139" s="18"/>
      <c r="O139" s="18"/>
      <c r="P139" s="19"/>
      <c r="Q139" s="19"/>
      <c r="R139" s="19"/>
      <c r="S139" s="19"/>
      <c r="T139" s="19"/>
      <c r="U139" s="18"/>
      <c r="V139" s="17" t="s">
        <v>187</v>
      </c>
      <c r="W139" s="17" t="s">
        <v>107</v>
      </c>
      <c r="Y139" s="4"/>
    </row>
    <row r="140" spans="2:25" ht="11.25" hidden="1" customHeight="1" x14ac:dyDescent="0.25">
      <c r="B140" s="17" t="s">
        <v>343</v>
      </c>
      <c r="C140" s="17" t="s">
        <v>343</v>
      </c>
      <c r="D140" s="17" t="s">
        <v>20</v>
      </c>
      <c r="E140" s="17" t="s">
        <v>28</v>
      </c>
      <c r="F140" s="17"/>
      <c r="G140" s="17"/>
      <c r="H140" s="17" t="s">
        <v>344</v>
      </c>
      <c r="I140" s="17" t="s">
        <v>23</v>
      </c>
      <c r="J140" s="17" t="s">
        <v>112</v>
      </c>
      <c r="K140" s="17" t="s">
        <v>113</v>
      </c>
      <c r="L140" s="18">
        <v>43702</v>
      </c>
      <c r="M140" s="18" t="s">
        <v>6687</v>
      </c>
      <c r="N140" s="18"/>
      <c r="O140" s="18"/>
      <c r="P140" s="19"/>
      <c r="Q140" s="19"/>
      <c r="R140" s="19"/>
      <c r="S140" s="19"/>
      <c r="T140" s="19"/>
      <c r="U140" s="18"/>
      <c r="V140" s="17" t="s">
        <v>23</v>
      </c>
      <c r="W140" s="17" t="s">
        <v>26</v>
      </c>
      <c r="Y140" s="4"/>
    </row>
    <row r="141" spans="2:25" ht="11.25" hidden="1" customHeight="1" x14ac:dyDescent="0.25">
      <c r="B141" s="17" t="s">
        <v>345</v>
      </c>
      <c r="C141" s="17" t="s">
        <v>345</v>
      </c>
      <c r="D141" s="17" t="s">
        <v>20</v>
      </c>
      <c r="E141" s="17" t="s">
        <v>28</v>
      </c>
      <c r="F141" s="17"/>
      <c r="G141" s="17"/>
      <c r="H141" s="17" t="s">
        <v>346</v>
      </c>
      <c r="I141" s="17" t="s">
        <v>23</v>
      </c>
      <c r="J141" s="17" t="s">
        <v>76</v>
      </c>
      <c r="K141" s="17" t="s">
        <v>77</v>
      </c>
      <c r="L141" s="18">
        <v>43731</v>
      </c>
      <c r="M141" s="18" t="s">
        <v>6687</v>
      </c>
      <c r="N141" s="18"/>
      <c r="O141" s="18"/>
      <c r="P141" s="19"/>
      <c r="Q141" s="19"/>
      <c r="R141" s="19"/>
      <c r="S141" s="19"/>
      <c r="T141" s="19"/>
      <c r="U141" s="18"/>
      <c r="V141" s="17" t="s">
        <v>23</v>
      </c>
      <c r="W141" s="17" t="s">
        <v>26</v>
      </c>
      <c r="Y141" s="4"/>
    </row>
    <row r="142" spans="2:25" ht="11.25" hidden="1" customHeight="1" x14ac:dyDescent="0.25">
      <c r="B142" s="17" t="s">
        <v>347</v>
      </c>
      <c r="C142" s="17" t="s">
        <v>347</v>
      </c>
      <c r="D142" s="17" t="s">
        <v>348</v>
      </c>
      <c r="E142" s="17" t="s">
        <v>21</v>
      </c>
      <c r="F142" s="17"/>
      <c r="G142" s="17"/>
      <c r="H142" s="17" t="s">
        <v>349</v>
      </c>
      <c r="I142" s="17" t="s">
        <v>350</v>
      </c>
      <c r="J142" s="17" t="s">
        <v>76</v>
      </c>
      <c r="K142" s="17" t="s">
        <v>77</v>
      </c>
      <c r="L142" s="18">
        <v>42736</v>
      </c>
      <c r="M142" s="18" t="s">
        <v>6687</v>
      </c>
      <c r="N142" s="18"/>
      <c r="O142" s="18"/>
      <c r="P142" s="19">
        <v>45658</v>
      </c>
      <c r="Q142" s="19" t="s">
        <v>6687</v>
      </c>
      <c r="R142" s="19" t="s">
        <v>40</v>
      </c>
      <c r="S142" s="19"/>
      <c r="T142" s="19"/>
      <c r="U142" s="18"/>
      <c r="V142" s="17" t="s">
        <v>350</v>
      </c>
      <c r="W142" s="17" t="s">
        <v>351</v>
      </c>
      <c r="Y142" s="4"/>
    </row>
    <row r="143" spans="2:25" ht="11.25" hidden="1" customHeight="1" x14ac:dyDescent="0.25">
      <c r="B143" s="17" t="s">
        <v>352</v>
      </c>
      <c r="C143" s="17" t="s">
        <v>352</v>
      </c>
      <c r="D143" s="17" t="s">
        <v>20</v>
      </c>
      <c r="E143" s="17" t="s">
        <v>21</v>
      </c>
      <c r="F143" s="17"/>
      <c r="G143" s="17"/>
      <c r="H143" s="17" t="s">
        <v>353</v>
      </c>
      <c r="I143" s="17" t="s">
        <v>23</v>
      </c>
      <c r="J143" s="17" t="s">
        <v>354</v>
      </c>
      <c r="K143" s="17" t="s">
        <v>355</v>
      </c>
      <c r="L143" s="18">
        <v>43722</v>
      </c>
      <c r="M143" s="18" t="s">
        <v>6687</v>
      </c>
      <c r="N143" s="18"/>
      <c r="O143" s="18"/>
      <c r="P143" s="19">
        <v>44525</v>
      </c>
      <c r="Q143" s="19" t="s">
        <v>6687</v>
      </c>
      <c r="R143" s="19"/>
      <c r="S143" s="19"/>
      <c r="T143" s="19"/>
      <c r="U143" s="18"/>
      <c r="V143" s="17" t="s">
        <v>23</v>
      </c>
      <c r="W143" s="17" t="s">
        <v>26</v>
      </c>
      <c r="Y143" s="4"/>
    </row>
    <row r="144" spans="2:25" ht="11.25" hidden="1" customHeight="1" x14ac:dyDescent="0.25">
      <c r="B144" s="17" t="s">
        <v>356</v>
      </c>
      <c r="C144" s="17" t="s">
        <v>356</v>
      </c>
      <c r="D144" s="17" t="s">
        <v>20</v>
      </c>
      <c r="E144" s="17" t="s">
        <v>21</v>
      </c>
      <c r="F144" s="17"/>
      <c r="G144" s="17"/>
      <c r="H144" s="17" t="s">
        <v>357</v>
      </c>
      <c r="I144" s="17" t="s">
        <v>23</v>
      </c>
      <c r="J144" s="17" t="s">
        <v>120</v>
      </c>
      <c r="K144" s="17" t="s">
        <v>121</v>
      </c>
      <c r="L144" s="18">
        <v>43805</v>
      </c>
      <c r="M144" s="18" t="s">
        <v>6687</v>
      </c>
      <c r="N144" s="18"/>
      <c r="O144" s="18"/>
      <c r="P144" s="19">
        <v>44043</v>
      </c>
      <c r="Q144" s="19" t="s">
        <v>6687</v>
      </c>
      <c r="R144" s="19"/>
      <c r="S144" s="19"/>
      <c r="T144" s="19"/>
      <c r="U144" s="18"/>
      <c r="V144" s="17" t="s">
        <v>23</v>
      </c>
      <c r="W144" s="17" t="s">
        <v>26</v>
      </c>
      <c r="Y144" s="4"/>
    </row>
    <row r="145" spans="2:25" ht="11.25" hidden="1" customHeight="1" x14ac:dyDescent="0.25">
      <c r="B145" s="17" t="s">
        <v>358</v>
      </c>
      <c r="C145" s="17" t="s">
        <v>358</v>
      </c>
      <c r="D145" s="17" t="s">
        <v>20</v>
      </c>
      <c r="E145" s="17" t="s">
        <v>21</v>
      </c>
      <c r="F145" s="17"/>
      <c r="G145" s="17"/>
      <c r="H145" s="17" t="s">
        <v>359</v>
      </c>
      <c r="I145" s="17" t="s">
        <v>23</v>
      </c>
      <c r="J145" s="17" t="s">
        <v>70</v>
      </c>
      <c r="K145" s="17" t="s">
        <v>360</v>
      </c>
      <c r="L145" s="18">
        <v>43829</v>
      </c>
      <c r="M145" s="18" t="s">
        <v>6687</v>
      </c>
      <c r="N145" s="18"/>
      <c r="O145" s="18"/>
      <c r="P145" s="19">
        <v>43916</v>
      </c>
      <c r="Q145" s="19" t="s">
        <v>6687</v>
      </c>
      <c r="R145" s="19"/>
      <c r="S145" s="19"/>
      <c r="T145" s="19"/>
      <c r="U145" s="18"/>
      <c r="V145" s="17" t="s">
        <v>23</v>
      </c>
      <c r="W145" s="17" t="s">
        <v>26</v>
      </c>
      <c r="Y145" s="4"/>
    </row>
    <row r="146" spans="2:25" ht="11.25" hidden="1" customHeight="1" x14ac:dyDescent="0.25">
      <c r="B146" s="17" t="s">
        <v>361</v>
      </c>
      <c r="C146" s="17" t="s">
        <v>361</v>
      </c>
      <c r="D146" s="17" t="s">
        <v>20</v>
      </c>
      <c r="E146" s="17" t="s">
        <v>28</v>
      </c>
      <c r="F146" s="17"/>
      <c r="G146" s="17"/>
      <c r="H146" s="17" t="s">
        <v>362</v>
      </c>
      <c r="I146" s="17" t="s">
        <v>23</v>
      </c>
      <c r="J146" s="17" t="s">
        <v>76</v>
      </c>
      <c r="K146" s="17" t="s">
        <v>77</v>
      </c>
      <c r="L146" s="18">
        <v>43804</v>
      </c>
      <c r="M146" s="18" t="s">
        <v>6687</v>
      </c>
      <c r="N146" s="18"/>
      <c r="O146" s="18"/>
      <c r="P146" s="19"/>
      <c r="Q146" s="19"/>
      <c r="R146" s="19"/>
      <c r="S146" s="19"/>
      <c r="T146" s="19"/>
      <c r="U146" s="18"/>
      <c r="V146" s="17" t="s">
        <v>23</v>
      </c>
      <c r="W146" s="17" t="s">
        <v>26</v>
      </c>
      <c r="Y146" s="4"/>
    </row>
    <row r="147" spans="2:25" ht="11.25" hidden="1" customHeight="1" x14ac:dyDescent="0.25">
      <c r="B147" s="17" t="s">
        <v>363</v>
      </c>
      <c r="C147" s="17" t="s">
        <v>363</v>
      </c>
      <c r="D147" s="17" t="s">
        <v>20</v>
      </c>
      <c r="E147" s="17" t="s">
        <v>28</v>
      </c>
      <c r="F147" s="17"/>
      <c r="G147" s="17"/>
      <c r="H147" s="17" t="s">
        <v>364</v>
      </c>
      <c r="I147" s="17" t="s">
        <v>23</v>
      </c>
      <c r="J147" s="17" t="s">
        <v>34</v>
      </c>
      <c r="K147" s="17" t="s">
        <v>365</v>
      </c>
      <c r="L147" s="18">
        <v>43804</v>
      </c>
      <c r="M147" s="18" t="s">
        <v>6687</v>
      </c>
      <c r="N147" s="18"/>
      <c r="O147" s="18"/>
      <c r="P147" s="19"/>
      <c r="Q147" s="19"/>
      <c r="R147" s="19"/>
      <c r="S147" s="19"/>
      <c r="T147" s="19"/>
      <c r="U147" s="18"/>
      <c r="V147" s="17" t="s">
        <v>23</v>
      </c>
      <c r="W147" s="17" t="s">
        <v>26</v>
      </c>
      <c r="Y147" s="4"/>
    </row>
    <row r="148" spans="2:25" ht="11.25" hidden="1" customHeight="1" x14ac:dyDescent="0.25">
      <c r="B148" s="17" t="s">
        <v>366</v>
      </c>
      <c r="C148" s="17" t="s">
        <v>366</v>
      </c>
      <c r="D148" s="17" t="s">
        <v>20</v>
      </c>
      <c r="E148" s="17" t="s">
        <v>28</v>
      </c>
      <c r="F148" s="17"/>
      <c r="G148" s="17"/>
      <c r="H148" s="17" t="s">
        <v>367</v>
      </c>
      <c r="I148" s="17" t="s">
        <v>23</v>
      </c>
      <c r="J148" s="17" t="s">
        <v>112</v>
      </c>
      <c r="K148" s="17" t="s">
        <v>113</v>
      </c>
      <c r="L148" s="18">
        <v>43804</v>
      </c>
      <c r="M148" s="18" t="s">
        <v>6687</v>
      </c>
      <c r="N148" s="18"/>
      <c r="O148" s="18"/>
      <c r="P148" s="19"/>
      <c r="Q148" s="19"/>
      <c r="R148" s="19"/>
      <c r="S148" s="19"/>
      <c r="T148" s="19"/>
      <c r="U148" s="18"/>
      <c r="V148" s="17" t="s">
        <v>23</v>
      </c>
      <c r="W148" s="17" t="s">
        <v>26</v>
      </c>
      <c r="Y148" s="4"/>
    </row>
    <row r="149" spans="2:25" ht="11.25" hidden="1" customHeight="1" x14ac:dyDescent="0.25">
      <c r="B149" s="17" t="s">
        <v>368</v>
      </c>
      <c r="C149" s="17" t="s">
        <v>368</v>
      </c>
      <c r="D149" s="17" t="s">
        <v>20</v>
      </c>
      <c r="E149" s="17" t="s">
        <v>28</v>
      </c>
      <c r="F149" s="17"/>
      <c r="G149" s="17"/>
      <c r="H149" s="17" t="s">
        <v>369</v>
      </c>
      <c r="I149" s="17" t="s">
        <v>23</v>
      </c>
      <c r="J149" s="17" t="s">
        <v>51</v>
      </c>
      <c r="K149" s="17" t="s">
        <v>370</v>
      </c>
      <c r="L149" s="18">
        <v>43804</v>
      </c>
      <c r="M149" s="18" t="s">
        <v>6687</v>
      </c>
      <c r="N149" s="18"/>
      <c r="O149" s="18"/>
      <c r="P149" s="19"/>
      <c r="Q149" s="19"/>
      <c r="R149" s="19"/>
      <c r="S149" s="19"/>
      <c r="T149" s="19"/>
      <c r="U149" s="18"/>
      <c r="V149" s="17" t="s">
        <v>23</v>
      </c>
      <c r="W149" s="17" t="s">
        <v>26</v>
      </c>
      <c r="Y149" s="4"/>
    </row>
    <row r="150" spans="2:25" ht="11.25" hidden="1" customHeight="1" x14ac:dyDescent="0.25">
      <c r="B150" s="17" t="s">
        <v>371</v>
      </c>
      <c r="C150" s="17" t="s">
        <v>371</v>
      </c>
      <c r="D150" s="17" t="s">
        <v>20</v>
      </c>
      <c r="E150" s="17" t="s">
        <v>28</v>
      </c>
      <c r="F150" s="17"/>
      <c r="G150" s="17"/>
      <c r="H150" s="17" t="s">
        <v>372</v>
      </c>
      <c r="I150" s="17" t="s">
        <v>23</v>
      </c>
      <c r="J150" s="17" t="s">
        <v>61</v>
      </c>
      <c r="K150" s="17" t="s">
        <v>373</v>
      </c>
      <c r="L150" s="18">
        <v>43804</v>
      </c>
      <c r="M150" s="18" t="s">
        <v>6687</v>
      </c>
      <c r="N150" s="18"/>
      <c r="O150" s="18"/>
      <c r="P150" s="19"/>
      <c r="Q150" s="19"/>
      <c r="R150" s="19"/>
      <c r="S150" s="19"/>
      <c r="T150" s="19"/>
      <c r="U150" s="18"/>
      <c r="V150" s="17" t="s">
        <v>23</v>
      </c>
      <c r="W150" s="17" t="s">
        <v>26</v>
      </c>
      <c r="Y150" s="4"/>
    </row>
    <row r="151" spans="2:25" ht="11.25" hidden="1" customHeight="1" x14ac:dyDescent="0.25">
      <c r="B151" s="17" t="s">
        <v>374</v>
      </c>
      <c r="C151" s="17" t="s">
        <v>374</v>
      </c>
      <c r="D151" s="17" t="s">
        <v>20</v>
      </c>
      <c r="E151" s="17" t="s">
        <v>21</v>
      </c>
      <c r="F151" s="17"/>
      <c r="G151" s="17"/>
      <c r="H151" s="17" t="s">
        <v>375</v>
      </c>
      <c r="I151" s="17" t="s">
        <v>23</v>
      </c>
      <c r="J151" s="17" t="s">
        <v>228</v>
      </c>
      <c r="K151" s="17" t="s">
        <v>376</v>
      </c>
      <c r="L151" s="18">
        <v>43829</v>
      </c>
      <c r="M151" s="18" t="s">
        <v>6687</v>
      </c>
      <c r="N151" s="18"/>
      <c r="O151" s="18"/>
      <c r="P151" s="19">
        <v>44939</v>
      </c>
      <c r="Q151" s="19" t="s">
        <v>6687</v>
      </c>
      <c r="R151" s="19"/>
      <c r="S151" s="19"/>
      <c r="T151" s="19"/>
      <c r="U151" s="18"/>
      <c r="V151" s="17" t="s">
        <v>23</v>
      </c>
      <c r="W151" s="17" t="s">
        <v>26</v>
      </c>
      <c r="Y151" s="4"/>
    </row>
    <row r="152" spans="2:25" ht="11.25" hidden="1" customHeight="1" x14ac:dyDescent="0.25">
      <c r="B152" s="17" t="s">
        <v>377</v>
      </c>
      <c r="C152" s="17" t="s">
        <v>377</v>
      </c>
      <c r="D152" s="17" t="s">
        <v>20</v>
      </c>
      <c r="E152" s="17" t="s">
        <v>21</v>
      </c>
      <c r="F152" s="17"/>
      <c r="G152" s="17"/>
      <c r="H152" s="17" t="s">
        <v>378</v>
      </c>
      <c r="I152" s="17" t="s">
        <v>23</v>
      </c>
      <c r="J152" s="17" t="s">
        <v>379</v>
      </c>
      <c r="K152" s="17" t="s">
        <v>380</v>
      </c>
      <c r="L152" s="18">
        <v>43804</v>
      </c>
      <c r="M152" s="18" t="s">
        <v>6687</v>
      </c>
      <c r="N152" s="18"/>
      <c r="O152" s="18"/>
      <c r="P152" s="19">
        <v>44198</v>
      </c>
      <c r="Q152" s="19" t="s">
        <v>6687</v>
      </c>
      <c r="R152" s="19"/>
      <c r="S152" s="19"/>
      <c r="T152" s="19"/>
      <c r="U152" s="18"/>
      <c r="V152" s="17" t="s">
        <v>23</v>
      </c>
      <c r="W152" s="17" t="s">
        <v>26</v>
      </c>
      <c r="Y152" s="4"/>
    </row>
    <row r="153" spans="2:25" ht="11.25" hidden="1" customHeight="1" x14ac:dyDescent="0.25">
      <c r="B153" s="17" t="s">
        <v>381</v>
      </c>
      <c r="C153" s="17" t="s">
        <v>381</v>
      </c>
      <c r="D153" s="17" t="s">
        <v>20</v>
      </c>
      <c r="E153" s="17" t="s">
        <v>21</v>
      </c>
      <c r="F153" s="17"/>
      <c r="G153" s="17"/>
      <c r="H153" s="17" t="s">
        <v>382</v>
      </c>
      <c r="I153" s="17" t="s">
        <v>23</v>
      </c>
      <c r="J153" s="17" t="s">
        <v>141</v>
      </c>
      <c r="K153" s="17" t="s">
        <v>142</v>
      </c>
      <c r="L153" s="18">
        <v>43830</v>
      </c>
      <c r="M153" s="18" t="s">
        <v>6687</v>
      </c>
      <c r="N153" s="18"/>
      <c r="O153" s="18"/>
      <c r="P153" s="20">
        <v>45274</v>
      </c>
      <c r="Q153" s="19" t="s">
        <v>6687</v>
      </c>
      <c r="R153" s="19"/>
      <c r="S153" s="20"/>
      <c r="T153" s="19"/>
      <c r="U153" s="18"/>
      <c r="V153" s="17" t="s">
        <v>23</v>
      </c>
      <c r="W153" s="17" t="s">
        <v>26</v>
      </c>
      <c r="Y153" s="4"/>
    </row>
    <row r="154" spans="2:25" ht="11.25" hidden="1" customHeight="1" x14ac:dyDescent="0.25">
      <c r="B154" s="17" t="s">
        <v>383</v>
      </c>
      <c r="C154" s="17" t="s">
        <v>383</v>
      </c>
      <c r="D154" s="17" t="s">
        <v>20</v>
      </c>
      <c r="E154" s="17" t="s">
        <v>21</v>
      </c>
      <c r="F154" s="17"/>
      <c r="G154" s="17"/>
      <c r="H154" s="17" t="s">
        <v>384</v>
      </c>
      <c r="I154" s="17" t="s">
        <v>385</v>
      </c>
      <c r="J154" s="17" t="s">
        <v>76</v>
      </c>
      <c r="K154" s="17" t="s">
        <v>77</v>
      </c>
      <c r="L154" s="18">
        <v>43822</v>
      </c>
      <c r="M154" s="18" t="s">
        <v>6687</v>
      </c>
      <c r="N154" s="18"/>
      <c r="O154" s="18"/>
      <c r="P154" s="2">
        <v>45812</v>
      </c>
      <c r="Q154" s="19" t="s">
        <v>6687</v>
      </c>
      <c r="R154" s="19" t="s">
        <v>40</v>
      </c>
      <c r="S154" s="19"/>
      <c r="T154" s="19"/>
      <c r="U154" s="18"/>
      <c r="V154" s="17" t="s">
        <v>385</v>
      </c>
      <c r="W154" s="17" t="s">
        <v>107</v>
      </c>
      <c r="Y154" s="4"/>
    </row>
    <row r="155" spans="2:25" ht="11.25" hidden="1" customHeight="1" x14ac:dyDescent="0.25">
      <c r="B155" s="17" t="s">
        <v>386</v>
      </c>
      <c r="C155" s="17" t="s">
        <v>386</v>
      </c>
      <c r="D155" s="17" t="s">
        <v>20</v>
      </c>
      <c r="E155" s="17" t="s">
        <v>28</v>
      </c>
      <c r="F155" s="17"/>
      <c r="G155" s="17"/>
      <c r="H155" s="17" t="s">
        <v>387</v>
      </c>
      <c r="I155" s="17" t="s">
        <v>140</v>
      </c>
      <c r="J155" s="17" t="s">
        <v>76</v>
      </c>
      <c r="K155" s="17" t="s">
        <v>77</v>
      </c>
      <c r="L155" s="18">
        <v>43702</v>
      </c>
      <c r="M155" s="18" t="s">
        <v>6687</v>
      </c>
      <c r="N155" s="18"/>
      <c r="O155" s="18"/>
      <c r="P155" s="19"/>
      <c r="Q155" s="19"/>
      <c r="R155" s="19"/>
      <c r="S155" s="19"/>
      <c r="T155" s="19"/>
      <c r="U155" s="18"/>
      <c r="V155" s="17" t="s">
        <v>140</v>
      </c>
      <c r="W155" s="17" t="s">
        <v>107</v>
      </c>
      <c r="Y155" s="4"/>
    </row>
    <row r="156" spans="2:25" ht="11.25" hidden="1" customHeight="1" x14ac:dyDescent="0.25">
      <c r="B156" s="17" t="s">
        <v>388</v>
      </c>
      <c r="C156" s="17" t="s">
        <v>388</v>
      </c>
      <c r="D156" s="17" t="s">
        <v>20</v>
      </c>
      <c r="E156" s="17" t="s">
        <v>21</v>
      </c>
      <c r="F156" s="17"/>
      <c r="G156" s="17"/>
      <c r="H156" s="17" t="s">
        <v>389</v>
      </c>
      <c r="I156" s="17" t="s">
        <v>23</v>
      </c>
      <c r="J156" s="17" t="s">
        <v>390</v>
      </c>
      <c r="K156" s="17" t="s">
        <v>391</v>
      </c>
      <c r="L156" s="18">
        <v>43845</v>
      </c>
      <c r="M156" s="18" t="s">
        <v>6687</v>
      </c>
      <c r="N156" s="18"/>
      <c r="O156" s="18"/>
      <c r="P156" s="19">
        <v>45446</v>
      </c>
      <c r="Q156" s="19" t="s">
        <v>6687</v>
      </c>
      <c r="R156" s="19" t="s">
        <v>47</v>
      </c>
      <c r="S156" s="19"/>
      <c r="T156" s="19"/>
      <c r="U156" s="18"/>
      <c r="V156" s="17" t="s">
        <v>23</v>
      </c>
      <c r="W156" s="17" t="s">
        <v>26</v>
      </c>
      <c r="Y156" s="4"/>
    </row>
    <row r="157" spans="2:25" s="28" customFormat="1" ht="11.25" hidden="1" customHeight="1" x14ac:dyDescent="0.25">
      <c r="B157" s="17" t="s">
        <v>392</v>
      </c>
      <c r="C157" s="17" t="s">
        <v>392</v>
      </c>
      <c r="D157" s="25" t="s">
        <v>20</v>
      </c>
      <c r="E157" s="25" t="s">
        <v>21</v>
      </c>
      <c r="F157" s="25"/>
      <c r="G157" s="25"/>
      <c r="H157" s="25" t="s">
        <v>393</v>
      </c>
      <c r="I157" s="25" t="s">
        <v>23</v>
      </c>
      <c r="J157" s="25" t="s">
        <v>34</v>
      </c>
      <c r="K157" s="25" t="s">
        <v>35</v>
      </c>
      <c r="L157" s="26">
        <v>43602</v>
      </c>
      <c r="M157" s="18" t="s">
        <v>6687</v>
      </c>
      <c r="N157" s="26"/>
      <c r="O157" s="26"/>
      <c r="P157" s="27">
        <v>44281</v>
      </c>
      <c r="Q157" s="19" t="s">
        <v>6687</v>
      </c>
      <c r="R157" s="19"/>
      <c r="S157" s="27"/>
      <c r="T157" s="19"/>
      <c r="U157" s="26"/>
      <c r="V157" s="25" t="s">
        <v>23</v>
      </c>
      <c r="W157" s="25" t="s">
        <v>26</v>
      </c>
      <c r="Y157" s="29"/>
    </row>
    <row r="158" spans="2:25" ht="11.25" hidden="1" customHeight="1" x14ac:dyDescent="0.25">
      <c r="B158" s="17" t="s">
        <v>394</v>
      </c>
      <c r="C158" s="17" t="s">
        <v>394</v>
      </c>
      <c r="D158" s="17" t="s">
        <v>20</v>
      </c>
      <c r="E158" s="17" t="s">
        <v>21</v>
      </c>
      <c r="F158" s="17"/>
      <c r="G158" s="17"/>
      <c r="H158" s="17" t="s">
        <v>395</v>
      </c>
      <c r="I158" s="17" t="s">
        <v>140</v>
      </c>
      <c r="J158" s="17" t="s">
        <v>34</v>
      </c>
      <c r="K158" s="17" t="s">
        <v>35</v>
      </c>
      <c r="L158" s="18">
        <v>43701</v>
      </c>
      <c r="M158" s="18" t="s">
        <v>6687</v>
      </c>
      <c r="N158" s="18"/>
      <c r="O158" s="18"/>
      <c r="P158" s="19">
        <v>44301</v>
      </c>
      <c r="Q158" s="19" t="s">
        <v>6687</v>
      </c>
      <c r="R158" s="19" t="s">
        <v>47</v>
      </c>
      <c r="S158" s="19"/>
      <c r="T158" s="19"/>
      <c r="U158" s="18"/>
      <c r="V158" s="17" t="s">
        <v>140</v>
      </c>
      <c r="W158" s="17" t="s">
        <v>107</v>
      </c>
      <c r="Y158" s="4"/>
    </row>
    <row r="159" spans="2:25" ht="11.25" hidden="1" customHeight="1" x14ac:dyDescent="0.25">
      <c r="B159" s="17" t="s">
        <v>396</v>
      </c>
      <c r="C159" s="17" t="s">
        <v>396</v>
      </c>
      <c r="D159" s="17" t="s">
        <v>20</v>
      </c>
      <c r="E159" s="17" t="s">
        <v>21</v>
      </c>
      <c r="F159" s="17"/>
      <c r="G159" s="17"/>
      <c r="H159" s="17" t="s">
        <v>397</v>
      </c>
      <c r="I159" s="17" t="s">
        <v>23</v>
      </c>
      <c r="J159" s="17" t="s">
        <v>141</v>
      </c>
      <c r="K159" s="17" t="s">
        <v>142</v>
      </c>
      <c r="L159" s="18">
        <v>43991</v>
      </c>
      <c r="M159" s="18" t="s">
        <v>6687</v>
      </c>
      <c r="N159" s="18"/>
      <c r="O159" s="18"/>
      <c r="P159" s="19">
        <v>45597</v>
      </c>
      <c r="Q159" s="19" t="s">
        <v>6687</v>
      </c>
      <c r="R159" s="19" t="s">
        <v>40</v>
      </c>
      <c r="S159" s="19"/>
      <c r="T159" s="19"/>
      <c r="U159" s="18"/>
      <c r="V159" s="17" t="s">
        <v>23</v>
      </c>
      <c r="W159" s="17" t="s">
        <v>107</v>
      </c>
      <c r="Y159" s="4"/>
    </row>
    <row r="160" spans="2:25" ht="11.25" hidden="1" customHeight="1" x14ac:dyDescent="0.25">
      <c r="B160" s="17" t="s">
        <v>398</v>
      </c>
      <c r="C160" s="17" t="s">
        <v>398</v>
      </c>
      <c r="D160" s="17" t="s">
        <v>20</v>
      </c>
      <c r="E160" s="17" t="s">
        <v>28</v>
      </c>
      <c r="F160" s="17"/>
      <c r="G160" s="17"/>
      <c r="H160" s="17" t="s">
        <v>399</v>
      </c>
      <c r="I160" s="17" t="s">
        <v>400</v>
      </c>
      <c r="J160" s="17" t="s">
        <v>76</v>
      </c>
      <c r="K160" s="17" t="s">
        <v>77</v>
      </c>
      <c r="L160" s="18">
        <v>43997</v>
      </c>
      <c r="M160" s="18" t="s">
        <v>6687</v>
      </c>
      <c r="N160" s="18"/>
      <c r="O160" s="18"/>
      <c r="P160" s="19"/>
      <c r="Q160" s="19"/>
      <c r="R160" s="19"/>
      <c r="S160" s="19"/>
      <c r="T160" s="19"/>
      <c r="U160" s="18"/>
      <c r="V160" s="17" t="s">
        <v>400</v>
      </c>
      <c r="W160" s="17" t="s">
        <v>107</v>
      </c>
      <c r="Y160" s="4"/>
    </row>
    <row r="161" spans="1:26" ht="11.25" hidden="1" customHeight="1" x14ac:dyDescent="0.25">
      <c r="B161" s="17" t="s">
        <v>401</v>
      </c>
      <c r="C161" s="17" t="s">
        <v>401</v>
      </c>
      <c r="D161" s="17" t="s">
        <v>20</v>
      </c>
      <c r="E161" s="17" t="s">
        <v>21</v>
      </c>
      <c r="F161" s="17"/>
      <c r="G161" s="17"/>
      <c r="H161" s="17" t="s">
        <v>402</v>
      </c>
      <c r="I161" s="17" t="s">
        <v>34</v>
      </c>
      <c r="J161" s="17" t="s">
        <v>34</v>
      </c>
      <c r="K161" s="17" t="s">
        <v>365</v>
      </c>
      <c r="L161" s="18">
        <v>43971</v>
      </c>
      <c r="M161" s="18" t="s">
        <v>6687</v>
      </c>
      <c r="N161" s="18"/>
      <c r="O161" s="18"/>
      <c r="P161" s="19">
        <v>44302</v>
      </c>
      <c r="Q161" s="19" t="s">
        <v>6687</v>
      </c>
      <c r="R161" s="19"/>
      <c r="S161" s="19"/>
      <c r="T161" s="19"/>
      <c r="U161" s="18"/>
      <c r="V161" s="17" t="s">
        <v>140</v>
      </c>
      <c r="W161" s="17" t="s">
        <v>107</v>
      </c>
      <c r="Y161" s="4"/>
    </row>
    <row r="162" spans="1:26" ht="11.25" hidden="1" customHeight="1" x14ac:dyDescent="0.25">
      <c r="B162" s="17" t="s">
        <v>403</v>
      </c>
      <c r="C162" s="17" t="s">
        <v>403</v>
      </c>
      <c r="D162" s="17" t="s">
        <v>20</v>
      </c>
      <c r="E162" s="17" t="s">
        <v>21</v>
      </c>
      <c r="F162" s="17"/>
      <c r="G162" s="17"/>
      <c r="H162" s="17" t="s">
        <v>404</v>
      </c>
      <c r="I162" s="17" t="s">
        <v>140</v>
      </c>
      <c r="J162" s="17" t="s">
        <v>405</v>
      </c>
      <c r="K162" s="17" t="s">
        <v>406</v>
      </c>
      <c r="L162" s="18">
        <v>44022</v>
      </c>
      <c r="M162" s="18" t="s">
        <v>6687</v>
      </c>
      <c r="N162" s="18"/>
      <c r="O162" s="18"/>
      <c r="P162" s="19">
        <v>45166</v>
      </c>
      <c r="Q162" s="19" t="s">
        <v>6687</v>
      </c>
      <c r="R162" s="19"/>
      <c r="S162" s="19"/>
      <c r="T162" s="19"/>
      <c r="U162" s="18"/>
      <c r="V162" s="17" t="s">
        <v>140</v>
      </c>
      <c r="W162" s="17" t="s">
        <v>107</v>
      </c>
      <c r="Y162" s="4"/>
    </row>
    <row r="163" spans="1:26" ht="11.25" hidden="1" customHeight="1" x14ac:dyDescent="0.25">
      <c r="A163" s="23"/>
      <c r="B163" s="17" t="s">
        <v>407</v>
      </c>
      <c r="C163" s="17" t="s">
        <v>407</v>
      </c>
      <c r="D163" s="17" t="s">
        <v>348</v>
      </c>
      <c r="E163" s="17" t="s">
        <v>21</v>
      </c>
      <c r="F163" s="17"/>
      <c r="G163" s="17"/>
      <c r="H163" s="17" t="s">
        <v>408</v>
      </c>
      <c r="I163" s="17" t="s">
        <v>350</v>
      </c>
      <c r="J163" s="17" t="s">
        <v>141</v>
      </c>
      <c r="K163" s="17" t="s">
        <v>142</v>
      </c>
      <c r="L163" s="18">
        <v>43848</v>
      </c>
      <c r="M163" s="18" t="s">
        <v>6687</v>
      </c>
      <c r="N163" s="18"/>
      <c r="O163" s="18"/>
      <c r="P163" s="19">
        <v>45658</v>
      </c>
      <c r="Q163" s="19" t="s">
        <v>6687</v>
      </c>
      <c r="R163" s="19" t="s">
        <v>40</v>
      </c>
      <c r="S163" s="19"/>
      <c r="T163" s="19"/>
      <c r="U163" s="18"/>
      <c r="V163" s="17" t="s">
        <v>350</v>
      </c>
      <c r="W163" s="17" t="s">
        <v>351</v>
      </c>
      <c r="X163" s="23"/>
      <c r="Y163" s="23"/>
      <c r="Z163" s="23"/>
    </row>
    <row r="164" spans="1:26" ht="11.25" hidden="1" customHeight="1" x14ac:dyDescent="0.25">
      <c r="B164" s="17" t="s">
        <v>409</v>
      </c>
      <c r="C164" s="17" t="s">
        <v>409</v>
      </c>
      <c r="D164" s="17" t="s">
        <v>20</v>
      </c>
      <c r="E164" s="17" t="s">
        <v>28</v>
      </c>
      <c r="F164" s="17"/>
      <c r="G164" s="17"/>
      <c r="H164" s="17" t="s">
        <v>410</v>
      </c>
      <c r="I164" s="17" t="s">
        <v>265</v>
      </c>
      <c r="J164" s="17" t="s">
        <v>112</v>
      </c>
      <c r="K164" s="17" t="s">
        <v>113</v>
      </c>
      <c r="L164" s="18">
        <v>44044</v>
      </c>
      <c r="M164" s="18" t="s">
        <v>6687</v>
      </c>
      <c r="N164" s="18"/>
      <c r="O164" s="18"/>
      <c r="P164" s="19"/>
      <c r="Q164" s="19"/>
      <c r="R164" s="19"/>
      <c r="S164" s="19"/>
      <c r="T164" s="19"/>
      <c r="U164" s="18"/>
      <c r="V164" s="17" t="s">
        <v>265</v>
      </c>
      <c r="W164" s="17" t="s">
        <v>107</v>
      </c>
      <c r="Y164" s="4"/>
    </row>
    <row r="165" spans="1:26" ht="11.25" hidden="1" customHeight="1" x14ac:dyDescent="0.25">
      <c r="B165" s="17" t="s">
        <v>411</v>
      </c>
      <c r="C165" s="17" t="s">
        <v>411</v>
      </c>
      <c r="D165" s="17" t="s">
        <v>348</v>
      </c>
      <c r="E165" s="1" t="s">
        <v>21</v>
      </c>
      <c r="H165" s="1" t="s">
        <v>412</v>
      </c>
      <c r="I165" s="1" t="s">
        <v>413</v>
      </c>
      <c r="J165" s="1" t="s">
        <v>141</v>
      </c>
      <c r="K165" s="1" t="s">
        <v>142</v>
      </c>
      <c r="L165" s="2">
        <v>44957</v>
      </c>
      <c r="M165" s="18" t="s">
        <v>6687</v>
      </c>
      <c r="P165" s="3">
        <v>45658</v>
      </c>
      <c r="Q165" s="19" t="s">
        <v>6687</v>
      </c>
      <c r="R165" s="19" t="s">
        <v>40</v>
      </c>
      <c r="T165" s="19"/>
      <c r="V165" s="4" t="s">
        <v>350</v>
      </c>
      <c r="W165" s="17" t="s">
        <v>351</v>
      </c>
    </row>
    <row r="166" spans="1:26" ht="11.25" hidden="1" customHeight="1" x14ac:dyDescent="0.25">
      <c r="B166" s="17" t="s">
        <v>414</v>
      </c>
      <c r="C166" s="17" t="s">
        <v>414</v>
      </c>
      <c r="D166" s="17" t="s">
        <v>20</v>
      </c>
      <c r="E166" s="17" t="s">
        <v>28</v>
      </c>
      <c r="F166" s="17"/>
      <c r="G166" s="17"/>
      <c r="H166" s="17" t="s">
        <v>415</v>
      </c>
      <c r="I166" s="17" t="s">
        <v>416</v>
      </c>
      <c r="J166" s="17" t="s">
        <v>76</v>
      </c>
      <c r="K166" s="17" t="s">
        <v>161</v>
      </c>
      <c r="L166" s="18">
        <v>43880</v>
      </c>
      <c r="M166" s="18" t="s">
        <v>6687</v>
      </c>
      <c r="N166" s="18"/>
      <c r="O166" s="18"/>
      <c r="P166" s="19"/>
      <c r="Q166" s="19"/>
      <c r="R166" s="19"/>
      <c r="S166" s="19"/>
      <c r="T166" s="19"/>
      <c r="U166" s="18"/>
      <c r="V166" s="17" t="s">
        <v>416</v>
      </c>
      <c r="W166" s="17" t="s">
        <v>107</v>
      </c>
      <c r="Y166" s="4"/>
    </row>
    <row r="167" spans="1:26" ht="11.25" hidden="1" customHeight="1" x14ac:dyDescent="0.25">
      <c r="B167" s="17" t="s">
        <v>417</v>
      </c>
      <c r="C167" s="17" t="s">
        <v>417</v>
      </c>
      <c r="D167" s="17" t="s">
        <v>20</v>
      </c>
      <c r="E167" s="17" t="s">
        <v>21</v>
      </c>
      <c r="F167" s="17"/>
      <c r="G167" s="17"/>
      <c r="H167" s="17" t="s">
        <v>418</v>
      </c>
      <c r="I167" s="17" t="s">
        <v>23</v>
      </c>
      <c r="J167" s="17" t="s">
        <v>112</v>
      </c>
      <c r="K167" s="17" t="s">
        <v>113</v>
      </c>
      <c r="L167" s="18">
        <v>43862</v>
      </c>
      <c r="M167" s="18" t="s">
        <v>6687</v>
      </c>
      <c r="N167" s="18"/>
      <c r="O167" s="18"/>
      <c r="P167" s="19">
        <v>45845</v>
      </c>
      <c r="Q167" s="19" t="s">
        <v>6687</v>
      </c>
      <c r="R167" s="19" t="s">
        <v>40</v>
      </c>
      <c r="S167" s="19"/>
      <c r="T167" s="19"/>
      <c r="U167" s="18"/>
      <c r="V167" s="17" t="s">
        <v>23</v>
      </c>
      <c r="W167" s="17" t="s">
        <v>26</v>
      </c>
      <c r="Y167" s="4"/>
    </row>
    <row r="168" spans="1:26" hidden="1" x14ac:dyDescent="0.25">
      <c r="B168" s="17" t="s">
        <v>419</v>
      </c>
      <c r="C168" s="17" t="s">
        <v>419</v>
      </c>
      <c r="D168" s="17" t="s">
        <v>20</v>
      </c>
      <c r="E168" s="17" t="s">
        <v>28</v>
      </c>
      <c r="F168" s="17"/>
      <c r="G168" s="17"/>
      <c r="H168" s="17" t="s">
        <v>420</v>
      </c>
      <c r="I168" s="17" t="s">
        <v>23</v>
      </c>
      <c r="J168" s="17" t="s">
        <v>112</v>
      </c>
      <c r="K168" s="17" t="s">
        <v>113</v>
      </c>
      <c r="L168" s="18">
        <v>43897</v>
      </c>
      <c r="M168" s="18" t="s">
        <v>6687</v>
      </c>
      <c r="N168" s="18"/>
      <c r="O168" s="18"/>
      <c r="P168" s="19"/>
      <c r="Q168" s="19"/>
      <c r="R168" s="19"/>
      <c r="S168" s="19"/>
      <c r="T168" s="19"/>
      <c r="U168" s="18"/>
      <c r="V168" s="17" t="s">
        <v>23</v>
      </c>
      <c r="W168" s="17" t="s">
        <v>107</v>
      </c>
      <c r="Y168" s="4"/>
    </row>
    <row r="169" spans="1:26" ht="11.25" hidden="1" customHeight="1" x14ac:dyDescent="0.25">
      <c r="B169" s="17" t="s">
        <v>421</v>
      </c>
      <c r="C169" s="17" t="s">
        <v>421</v>
      </c>
      <c r="D169" s="17" t="s">
        <v>20</v>
      </c>
      <c r="E169" s="17" t="s">
        <v>28</v>
      </c>
      <c r="F169" s="17"/>
      <c r="G169" s="17"/>
      <c r="H169" s="17" t="s">
        <v>422</v>
      </c>
      <c r="I169" s="17" t="s">
        <v>423</v>
      </c>
      <c r="J169" s="17" t="s">
        <v>112</v>
      </c>
      <c r="K169" s="17" t="s">
        <v>113</v>
      </c>
      <c r="L169" s="18">
        <v>43845</v>
      </c>
      <c r="M169" s="18" t="s">
        <v>6687</v>
      </c>
      <c r="N169" s="18"/>
      <c r="O169" s="18"/>
      <c r="P169" s="19"/>
      <c r="Q169" s="19"/>
      <c r="R169" s="19"/>
      <c r="S169" s="19"/>
      <c r="T169" s="19"/>
      <c r="U169" s="18"/>
      <c r="V169" s="17" t="s">
        <v>423</v>
      </c>
      <c r="W169" s="17" t="s">
        <v>107</v>
      </c>
      <c r="Y169" s="4"/>
    </row>
    <row r="170" spans="1:26" ht="11.25" hidden="1" customHeight="1" x14ac:dyDescent="0.25">
      <c r="B170" s="17" t="s">
        <v>424</v>
      </c>
      <c r="C170" s="17" t="s">
        <v>424</v>
      </c>
      <c r="D170" s="17" t="s">
        <v>20</v>
      </c>
      <c r="E170" s="17" t="s">
        <v>28</v>
      </c>
      <c r="F170" s="17"/>
      <c r="G170" s="17"/>
      <c r="H170" s="17" t="s">
        <v>425</v>
      </c>
      <c r="I170" s="17" t="s">
        <v>416</v>
      </c>
      <c r="J170" s="17" t="s">
        <v>112</v>
      </c>
      <c r="K170" s="17" t="s">
        <v>113</v>
      </c>
      <c r="L170" s="18">
        <v>43880</v>
      </c>
      <c r="M170" s="18" t="s">
        <v>6687</v>
      </c>
      <c r="N170" s="18"/>
      <c r="O170" s="18"/>
      <c r="P170" s="19"/>
      <c r="Q170" s="19"/>
      <c r="R170" s="19"/>
      <c r="S170" s="19"/>
      <c r="T170" s="19"/>
      <c r="U170" s="18"/>
      <c r="V170" s="17" t="s">
        <v>416</v>
      </c>
      <c r="W170" s="17" t="s">
        <v>107</v>
      </c>
      <c r="Y170" s="4"/>
    </row>
    <row r="171" spans="1:26" ht="11.25" hidden="1" customHeight="1" x14ac:dyDescent="0.25">
      <c r="B171" s="17" t="s">
        <v>426</v>
      </c>
      <c r="C171" s="17" t="s">
        <v>426</v>
      </c>
      <c r="D171" s="17" t="s">
        <v>20</v>
      </c>
      <c r="E171" s="17" t="s">
        <v>21</v>
      </c>
      <c r="F171" s="17"/>
      <c r="G171" s="17"/>
      <c r="H171" s="17" t="s">
        <v>427</v>
      </c>
      <c r="I171" s="17" t="s">
        <v>23</v>
      </c>
      <c r="J171" s="17" t="s">
        <v>428</v>
      </c>
      <c r="K171" s="17" t="s">
        <v>429</v>
      </c>
      <c r="L171" s="18">
        <v>43846</v>
      </c>
      <c r="M171" s="18" t="s">
        <v>6687</v>
      </c>
      <c r="N171" s="18"/>
      <c r="O171" s="18"/>
      <c r="P171" s="19">
        <v>44223</v>
      </c>
      <c r="Q171" s="19" t="s">
        <v>6687</v>
      </c>
      <c r="R171" s="19"/>
      <c r="S171" s="19"/>
      <c r="T171" s="19"/>
      <c r="U171" s="18"/>
      <c r="V171" s="17" t="s">
        <v>23</v>
      </c>
      <c r="W171" s="17" t="s">
        <v>26</v>
      </c>
      <c r="Y171" s="4"/>
    </row>
    <row r="172" spans="1:26" ht="11.25" hidden="1" customHeight="1" x14ac:dyDescent="0.25">
      <c r="B172" s="17" t="s">
        <v>430</v>
      </c>
      <c r="C172" s="17" t="s">
        <v>430</v>
      </c>
      <c r="D172" s="17" t="s">
        <v>20</v>
      </c>
      <c r="E172" s="17" t="s">
        <v>28</v>
      </c>
      <c r="F172" s="17"/>
      <c r="G172" s="17"/>
      <c r="H172" s="17" t="s">
        <v>431</v>
      </c>
      <c r="I172" s="17" t="s">
        <v>23</v>
      </c>
      <c r="J172" s="17" t="s">
        <v>428</v>
      </c>
      <c r="K172" s="17" t="s">
        <v>429</v>
      </c>
      <c r="L172" s="18">
        <v>43871</v>
      </c>
      <c r="M172" s="18" t="s">
        <v>6687</v>
      </c>
      <c r="N172" s="18"/>
      <c r="O172" s="18"/>
      <c r="P172" s="19"/>
      <c r="Q172" s="19"/>
      <c r="R172" s="19"/>
      <c r="S172" s="19"/>
      <c r="T172" s="19"/>
      <c r="U172" s="18"/>
      <c r="V172" s="17" t="s">
        <v>23</v>
      </c>
      <c r="W172" s="17" t="s">
        <v>26</v>
      </c>
      <c r="Y172" s="4"/>
    </row>
    <row r="173" spans="1:26" ht="11.25" hidden="1" customHeight="1" x14ac:dyDescent="0.25">
      <c r="B173" s="17" t="s">
        <v>432</v>
      </c>
      <c r="C173" s="17" t="s">
        <v>432</v>
      </c>
      <c r="D173" s="17" t="s">
        <v>20</v>
      </c>
      <c r="E173" s="17" t="s">
        <v>28</v>
      </c>
      <c r="F173" s="17"/>
      <c r="G173" s="17"/>
      <c r="H173" s="17" t="s">
        <v>433</v>
      </c>
      <c r="I173" s="17" t="s">
        <v>23</v>
      </c>
      <c r="J173" s="17" t="s">
        <v>76</v>
      </c>
      <c r="K173" s="17" t="s">
        <v>161</v>
      </c>
      <c r="L173" s="18">
        <v>43892</v>
      </c>
      <c r="M173" s="18" t="s">
        <v>6687</v>
      </c>
      <c r="N173" s="18"/>
      <c r="O173" s="18"/>
      <c r="P173" s="19"/>
      <c r="Q173" s="19"/>
      <c r="R173" s="19"/>
      <c r="S173" s="19"/>
      <c r="T173" s="19"/>
      <c r="U173" s="18"/>
      <c r="V173" s="17" t="s">
        <v>23</v>
      </c>
      <c r="W173" s="17" t="s">
        <v>26</v>
      </c>
      <c r="Y173" s="4"/>
    </row>
    <row r="174" spans="1:26" ht="11.25" hidden="1" customHeight="1" x14ac:dyDescent="0.25">
      <c r="B174" s="17" t="s">
        <v>434</v>
      </c>
      <c r="C174" s="17" t="s">
        <v>434</v>
      </c>
      <c r="D174" s="1" t="s">
        <v>20</v>
      </c>
      <c r="E174" s="1" t="s">
        <v>21</v>
      </c>
      <c r="H174" s="1" t="s">
        <v>435</v>
      </c>
      <c r="I174" s="1" t="s">
        <v>213</v>
      </c>
      <c r="J174" s="1" t="s">
        <v>183</v>
      </c>
      <c r="K174" s="1" t="s">
        <v>436</v>
      </c>
      <c r="L174" s="2">
        <v>45278</v>
      </c>
      <c r="M174" s="18" t="s">
        <v>6687</v>
      </c>
      <c r="P174" s="3">
        <v>45663</v>
      </c>
      <c r="Q174" s="19" t="s">
        <v>6687</v>
      </c>
      <c r="R174" s="19" t="s">
        <v>40</v>
      </c>
      <c r="T174" s="19" t="s">
        <v>437</v>
      </c>
      <c r="V174" s="4" t="s">
        <v>213</v>
      </c>
      <c r="W174" s="1" t="s">
        <v>107</v>
      </c>
    </row>
    <row r="175" spans="1:26" ht="11.25" hidden="1" customHeight="1" x14ac:dyDescent="0.25">
      <c r="B175" s="17" t="s">
        <v>438</v>
      </c>
      <c r="C175" s="17" t="s">
        <v>438</v>
      </c>
      <c r="D175" s="17" t="s">
        <v>20</v>
      </c>
      <c r="E175" s="17" t="s">
        <v>28</v>
      </c>
      <c r="F175" s="17"/>
      <c r="G175" s="17"/>
      <c r="H175" s="17" t="s">
        <v>439</v>
      </c>
      <c r="I175" s="17" t="s">
        <v>423</v>
      </c>
      <c r="J175" s="17" t="s">
        <v>76</v>
      </c>
      <c r="K175" s="17" t="s">
        <v>161</v>
      </c>
      <c r="L175" s="18">
        <v>43833</v>
      </c>
      <c r="M175" s="18" t="s">
        <v>6687</v>
      </c>
      <c r="N175" s="18"/>
      <c r="O175" s="18"/>
      <c r="P175" s="19"/>
      <c r="Q175" s="19"/>
      <c r="R175" s="19"/>
      <c r="S175" s="19"/>
      <c r="T175" s="19"/>
      <c r="U175" s="18"/>
      <c r="V175" s="17" t="s">
        <v>423</v>
      </c>
      <c r="W175" s="17" t="s">
        <v>107</v>
      </c>
      <c r="Y175" s="4"/>
    </row>
    <row r="176" spans="1:26" ht="11.25" hidden="1" customHeight="1" x14ac:dyDescent="0.25">
      <c r="B176" s="17" t="s">
        <v>440</v>
      </c>
      <c r="C176" s="17" t="s">
        <v>440</v>
      </c>
      <c r="D176" s="17" t="s">
        <v>20</v>
      </c>
      <c r="E176" s="17" t="s">
        <v>28</v>
      </c>
      <c r="F176" s="17"/>
      <c r="G176" s="17"/>
      <c r="H176" s="17" t="s">
        <v>441</v>
      </c>
      <c r="I176" s="17" t="s">
        <v>23</v>
      </c>
      <c r="J176" s="17" t="s">
        <v>34</v>
      </c>
      <c r="K176" s="17" t="s">
        <v>365</v>
      </c>
      <c r="L176" s="18">
        <v>43956</v>
      </c>
      <c r="M176" s="18" t="s">
        <v>6687</v>
      </c>
      <c r="N176" s="18"/>
      <c r="O176" s="18"/>
      <c r="P176" s="19"/>
      <c r="Q176" s="19"/>
      <c r="R176" s="19"/>
      <c r="S176" s="19"/>
      <c r="T176" s="19"/>
      <c r="U176" s="18"/>
      <c r="V176" s="17" t="s">
        <v>23</v>
      </c>
      <c r="W176" s="17" t="s">
        <v>26</v>
      </c>
      <c r="Y176" s="4"/>
    </row>
    <row r="177" spans="2:25" ht="11.25" hidden="1" customHeight="1" x14ac:dyDescent="0.25">
      <c r="B177" s="17" t="s">
        <v>442</v>
      </c>
      <c r="C177" s="17" t="s">
        <v>442</v>
      </c>
      <c r="D177" s="17" t="s">
        <v>20</v>
      </c>
      <c r="E177" s="17" t="s">
        <v>21</v>
      </c>
      <c r="F177" s="17"/>
      <c r="G177" s="17"/>
      <c r="H177" s="17" t="s">
        <v>443</v>
      </c>
      <c r="I177" s="17" t="s">
        <v>23</v>
      </c>
      <c r="J177" s="17" t="s">
        <v>405</v>
      </c>
      <c r="K177" s="17" t="s">
        <v>406</v>
      </c>
      <c r="L177" s="18">
        <v>44076</v>
      </c>
      <c r="M177" s="18" t="s">
        <v>6687</v>
      </c>
      <c r="N177" s="18"/>
      <c r="O177" s="18"/>
      <c r="P177" s="19">
        <v>45904</v>
      </c>
      <c r="Q177" s="19" t="s">
        <v>6687</v>
      </c>
      <c r="R177" s="19" t="s">
        <v>40</v>
      </c>
      <c r="S177" s="19"/>
      <c r="T177" s="19"/>
      <c r="U177" s="18"/>
      <c r="V177" s="17" t="s">
        <v>23</v>
      </c>
      <c r="W177" s="17" t="s">
        <v>26</v>
      </c>
      <c r="Y177" s="4"/>
    </row>
    <row r="178" spans="2:25" ht="11.25" hidden="1" customHeight="1" x14ac:dyDescent="0.25">
      <c r="B178" s="17" t="s">
        <v>444</v>
      </c>
      <c r="C178" s="17" t="s">
        <v>444</v>
      </c>
      <c r="D178" s="17" t="s">
        <v>348</v>
      </c>
      <c r="E178" s="17" t="s">
        <v>28</v>
      </c>
      <c r="F178" s="17"/>
      <c r="G178" s="17"/>
      <c r="H178" s="17" t="s">
        <v>445</v>
      </c>
      <c r="I178" s="17" t="s">
        <v>350</v>
      </c>
      <c r="J178" s="17" t="s">
        <v>24</v>
      </c>
      <c r="K178" s="17" t="s">
        <v>25</v>
      </c>
      <c r="L178" s="18">
        <v>39118</v>
      </c>
      <c r="M178" s="18" t="s">
        <v>6687</v>
      </c>
      <c r="N178" s="18"/>
      <c r="O178" s="18"/>
      <c r="P178" s="19"/>
      <c r="Q178" s="19"/>
      <c r="R178" s="19"/>
      <c r="S178" s="19"/>
      <c r="T178" s="19"/>
      <c r="U178" s="18"/>
      <c r="V178" s="17" t="s">
        <v>350</v>
      </c>
      <c r="W178" s="17" t="s">
        <v>351</v>
      </c>
      <c r="Y178" s="4"/>
    </row>
    <row r="179" spans="2:25" ht="11.25" hidden="1" customHeight="1" x14ac:dyDescent="0.25">
      <c r="B179" s="17" t="s">
        <v>446</v>
      </c>
      <c r="C179" s="17" t="s">
        <v>446</v>
      </c>
      <c r="D179" s="17" t="s">
        <v>348</v>
      </c>
      <c r="E179" s="17" t="s">
        <v>28</v>
      </c>
      <c r="F179" s="17"/>
      <c r="G179" s="17"/>
      <c r="H179" s="17" t="s">
        <v>447</v>
      </c>
      <c r="I179" s="17" t="s">
        <v>350</v>
      </c>
      <c r="J179" s="17" t="s">
        <v>24</v>
      </c>
      <c r="K179" s="17" t="s">
        <v>25</v>
      </c>
      <c r="L179" s="18">
        <v>39448</v>
      </c>
      <c r="M179" s="18" t="s">
        <v>6687</v>
      </c>
      <c r="N179" s="18"/>
      <c r="O179" s="18"/>
      <c r="P179" s="19"/>
      <c r="Q179" s="19"/>
      <c r="R179" s="19"/>
      <c r="S179" s="19"/>
      <c r="T179" s="19"/>
      <c r="U179" s="18"/>
      <c r="V179" s="17" t="s">
        <v>350</v>
      </c>
      <c r="W179" s="17" t="s">
        <v>351</v>
      </c>
      <c r="Y179" s="4"/>
    </row>
    <row r="180" spans="2:25" ht="11.25" hidden="1" customHeight="1" x14ac:dyDescent="0.25">
      <c r="B180" s="17" t="s">
        <v>448</v>
      </c>
      <c r="C180" s="17" t="s">
        <v>448</v>
      </c>
      <c r="D180" s="17" t="s">
        <v>348</v>
      </c>
      <c r="E180" s="17" t="s">
        <v>28</v>
      </c>
      <c r="F180" s="17"/>
      <c r="G180" s="17"/>
      <c r="H180" s="17" t="s">
        <v>449</v>
      </c>
      <c r="I180" s="17" t="s">
        <v>350</v>
      </c>
      <c r="J180" s="17" t="s">
        <v>34</v>
      </c>
      <c r="K180" s="17" t="s">
        <v>35</v>
      </c>
      <c r="L180" s="18">
        <v>40015</v>
      </c>
      <c r="M180" s="18" t="s">
        <v>6687</v>
      </c>
      <c r="N180" s="18"/>
      <c r="O180" s="18"/>
      <c r="P180" s="19"/>
      <c r="Q180" s="19"/>
      <c r="R180" s="19"/>
      <c r="S180" s="19"/>
      <c r="T180" s="19"/>
      <c r="U180" s="18"/>
      <c r="V180" s="17" t="s">
        <v>350</v>
      </c>
      <c r="W180" s="17" t="s">
        <v>351</v>
      </c>
      <c r="Y180" s="4"/>
    </row>
    <row r="181" spans="2:25" ht="11.25" hidden="1" customHeight="1" x14ac:dyDescent="0.25">
      <c r="B181" s="17" t="s">
        <v>450</v>
      </c>
      <c r="C181" s="17" t="s">
        <v>450</v>
      </c>
      <c r="D181" s="17" t="s">
        <v>348</v>
      </c>
      <c r="E181" s="17" t="s">
        <v>28</v>
      </c>
      <c r="F181" s="17"/>
      <c r="G181" s="17"/>
      <c r="H181" s="17" t="s">
        <v>451</v>
      </c>
      <c r="I181" s="17" t="s">
        <v>350</v>
      </c>
      <c r="J181" s="17" t="s">
        <v>34</v>
      </c>
      <c r="K181" s="17" t="s">
        <v>35</v>
      </c>
      <c r="L181" s="18">
        <v>40298</v>
      </c>
      <c r="M181" s="18" t="s">
        <v>6687</v>
      </c>
      <c r="N181" s="18"/>
      <c r="O181" s="18"/>
      <c r="P181" s="19"/>
      <c r="Q181" s="19"/>
      <c r="R181" s="19"/>
      <c r="S181" s="19"/>
      <c r="T181" s="19"/>
      <c r="U181" s="18"/>
      <c r="V181" s="17" t="s">
        <v>350</v>
      </c>
      <c r="W181" s="17" t="s">
        <v>351</v>
      </c>
      <c r="Y181" s="4"/>
    </row>
    <row r="182" spans="2:25" ht="11.25" hidden="1" customHeight="1" x14ac:dyDescent="0.25">
      <c r="B182" s="17" t="s">
        <v>452</v>
      </c>
      <c r="C182" s="17" t="s">
        <v>452</v>
      </c>
      <c r="D182" s="17" t="s">
        <v>348</v>
      </c>
      <c r="E182" s="17" t="s">
        <v>28</v>
      </c>
      <c r="F182" s="17"/>
      <c r="G182" s="17"/>
      <c r="H182" s="17" t="s">
        <v>453</v>
      </c>
      <c r="I182" s="17" t="s">
        <v>350</v>
      </c>
      <c r="J182" s="17" t="s">
        <v>34</v>
      </c>
      <c r="K182" s="17" t="s">
        <v>35</v>
      </c>
      <c r="L182" s="18">
        <v>40417</v>
      </c>
      <c r="M182" s="18" t="s">
        <v>6687</v>
      </c>
      <c r="N182" s="18"/>
      <c r="O182" s="18"/>
      <c r="P182" s="19"/>
      <c r="Q182" s="19"/>
      <c r="R182" s="19"/>
      <c r="S182" s="19"/>
      <c r="T182" s="19"/>
      <c r="U182" s="18"/>
      <c r="V182" s="17" t="s">
        <v>350</v>
      </c>
      <c r="W182" s="17" t="s">
        <v>351</v>
      </c>
      <c r="Y182" s="4"/>
    </row>
    <row r="183" spans="2:25" ht="11.25" hidden="1" customHeight="1" x14ac:dyDescent="0.25">
      <c r="B183" s="17" t="s">
        <v>454</v>
      </c>
      <c r="C183" s="17" t="s">
        <v>454</v>
      </c>
      <c r="D183" s="17" t="s">
        <v>348</v>
      </c>
      <c r="E183" s="17" t="s">
        <v>28</v>
      </c>
      <c r="F183" s="17"/>
      <c r="G183" s="17"/>
      <c r="H183" s="17" t="s">
        <v>455</v>
      </c>
      <c r="I183" s="17" t="s">
        <v>350</v>
      </c>
      <c r="J183" s="17" t="s">
        <v>34</v>
      </c>
      <c r="K183" s="17" t="s">
        <v>35</v>
      </c>
      <c r="L183" s="18">
        <v>40483</v>
      </c>
      <c r="M183" s="18" t="s">
        <v>6687</v>
      </c>
      <c r="N183" s="18"/>
      <c r="O183" s="18"/>
      <c r="P183" s="19"/>
      <c r="Q183" s="19"/>
      <c r="R183" s="19"/>
      <c r="S183" s="19"/>
      <c r="T183" s="19"/>
      <c r="U183" s="18">
        <v>43816</v>
      </c>
      <c r="V183" s="17" t="s">
        <v>350</v>
      </c>
      <c r="W183" s="17" t="s">
        <v>351</v>
      </c>
      <c r="Y183" s="4"/>
    </row>
    <row r="184" spans="2:25" ht="11.25" hidden="1" customHeight="1" x14ac:dyDescent="0.25">
      <c r="B184" s="17" t="s">
        <v>456</v>
      </c>
      <c r="C184" s="17" t="s">
        <v>456</v>
      </c>
      <c r="D184" s="17" t="s">
        <v>348</v>
      </c>
      <c r="E184" s="17" t="s">
        <v>28</v>
      </c>
      <c r="F184" s="17"/>
      <c r="G184" s="17"/>
      <c r="H184" s="17" t="s">
        <v>457</v>
      </c>
      <c r="I184" s="17" t="s">
        <v>350</v>
      </c>
      <c r="J184" s="17" t="s">
        <v>34</v>
      </c>
      <c r="K184" s="17" t="s">
        <v>35</v>
      </c>
      <c r="L184" s="18">
        <v>40535</v>
      </c>
      <c r="M184" s="18" t="s">
        <v>6687</v>
      </c>
      <c r="N184" s="18"/>
      <c r="O184" s="18"/>
      <c r="P184" s="19">
        <v>45653</v>
      </c>
      <c r="Q184" s="19" t="s">
        <v>6687</v>
      </c>
      <c r="R184" s="19" t="s">
        <v>47</v>
      </c>
      <c r="S184" s="19" t="s">
        <v>458</v>
      </c>
      <c r="T184" s="19"/>
      <c r="U184" s="18">
        <v>45801</v>
      </c>
      <c r="V184" s="17" t="s">
        <v>350</v>
      </c>
      <c r="W184" s="17" t="s">
        <v>351</v>
      </c>
      <c r="Y184" s="4"/>
    </row>
    <row r="185" spans="2:25" ht="11.25" hidden="1" customHeight="1" x14ac:dyDescent="0.25">
      <c r="B185" s="17" t="s">
        <v>459</v>
      </c>
      <c r="C185" s="17" t="s">
        <v>459</v>
      </c>
      <c r="D185" s="17" t="s">
        <v>348</v>
      </c>
      <c r="E185" s="17" t="s">
        <v>28</v>
      </c>
      <c r="F185" s="17"/>
      <c r="G185" s="17"/>
      <c r="H185" s="17" t="s">
        <v>460</v>
      </c>
      <c r="I185" s="17" t="s">
        <v>350</v>
      </c>
      <c r="J185" s="17" t="s">
        <v>34</v>
      </c>
      <c r="K185" s="17" t="s">
        <v>35</v>
      </c>
      <c r="L185" s="18">
        <v>40544</v>
      </c>
      <c r="M185" s="18" t="s">
        <v>6687</v>
      </c>
      <c r="N185" s="18"/>
      <c r="O185" s="18"/>
      <c r="P185" s="19"/>
      <c r="Q185" s="19"/>
      <c r="R185" s="19"/>
      <c r="S185" s="19"/>
      <c r="T185" s="19"/>
      <c r="U185" s="18"/>
      <c r="V185" s="17" t="s">
        <v>350</v>
      </c>
      <c r="W185" s="17" t="s">
        <v>351</v>
      </c>
      <c r="Y185" s="4"/>
    </row>
    <row r="186" spans="2:25" ht="11.25" hidden="1" customHeight="1" x14ac:dyDescent="0.25">
      <c r="B186" s="17" t="s">
        <v>461</v>
      </c>
      <c r="C186" s="17" t="s">
        <v>461</v>
      </c>
      <c r="D186" s="17" t="s">
        <v>348</v>
      </c>
      <c r="E186" s="17" t="s">
        <v>21</v>
      </c>
      <c r="F186" s="17"/>
      <c r="G186" s="17"/>
      <c r="H186" s="17" t="s">
        <v>462</v>
      </c>
      <c r="I186" s="17" t="s">
        <v>350</v>
      </c>
      <c r="J186" s="17" t="s">
        <v>51</v>
      </c>
      <c r="K186" s="17" t="s">
        <v>52</v>
      </c>
      <c r="L186" s="18">
        <v>40714</v>
      </c>
      <c r="M186" s="18" t="s">
        <v>6687</v>
      </c>
      <c r="N186" s="18"/>
      <c r="O186" s="18"/>
      <c r="P186" s="20">
        <v>45274</v>
      </c>
      <c r="Q186" s="19" t="s">
        <v>6687</v>
      </c>
      <c r="R186" s="19"/>
      <c r="S186" s="20"/>
      <c r="T186" s="19"/>
      <c r="U186" s="18"/>
      <c r="V186" s="17" t="s">
        <v>350</v>
      </c>
      <c r="W186" s="17" t="s">
        <v>351</v>
      </c>
      <c r="Y186" s="4"/>
    </row>
    <row r="187" spans="2:25" ht="11.25" hidden="1" customHeight="1" x14ac:dyDescent="0.25">
      <c r="B187" s="17" t="s">
        <v>463</v>
      </c>
      <c r="C187" s="17" t="s">
        <v>463</v>
      </c>
      <c r="D187" s="17" t="s">
        <v>348</v>
      </c>
      <c r="E187" s="17" t="s">
        <v>21</v>
      </c>
      <c r="F187" s="17"/>
      <c r="G187" s="17"/>
      <c r="H187" s="17" t="s">
        <v>464</v>
      </c>
      <c r="I187" s="17" t="s">
        <v>350</v>
      </c>
      <c r="J187" s="17" t="s">
        <v>51</v>
      </c>
      <c r="K187" s="17" t="s">
        <v>52</v>
      </c>
      <c r="L187" s="18">
        <v>40820</v>
      </c>
      <c r="M187" s="18" t="s">
        <v>6687</v>
      </c>
      <c r="N187" s="18"/>
      <c r="O187" s="18"/>
      <c r="P187" s="19">
        <v>44004</v>
      </c>
      <c r="Q187" s="19" t="s">
        <v>6687</v>
      </c>
      <c r="R187" s="19"/>
      <c r="S187" s="19"/>
      <c r="T187" s="19"/>
      <c r="U187" s="18"/>
      <c r="V187" s="17" t="s">
        <v>350</v>
      </c>
      <c r="W187" s="17" t="s">
        <v>351</v>
      </c>
      <c r="Y187" s="4"/>
    </row>
    <row r="188" spans="2:25" ht="11.25" hidden="1" customHeight="1" x14ac:dyDescent="0.25">
      <c r="B188" s="17" t="s">
        <v>465</v>
      </c>
      <c r="C188" s="17" t="s">
        <v>465</v>
      </c>
      <c r="D188" s="17" t="s">
        <v>348</v>
      </c>
      <c r="E188" s="17" t="s">
        <v>28</v>
      </c>
      <c r="F188" s="17"/>
      <c r="G188" s="17"/>
      <c r="H188" s="17" t="s">
        <v>466</v>
      </c>
      <c r="I188" s="17" t="s">
        <v>350</v>
      </c>
      <c r="J188" s="17" t="s">
        <v>51</v>
      </c>
      <c r="K188" s="17" t="s">
        <v>52</v>
      </c>
      <c r="L188" s="18">
        <v>40843</v>
      </c>
      <c r="M188" s="18" t="s">
        <v>6687</v>
      </c>
      <c r="N188" s="18"/>
      <c r="O188" s="18"/>
      <c r="P188" s="19"/>
      <c r="Q188" s="19"/>
      <c r="R188" s="19"/>
      <c r="S188" s="19"/>
      <c r="T188" s="19"/>
      <c r="U188" s="18"/>
      <c r="V188" s="17" t="s">
        <v>350</v>
      </c>
      <c r="W188" s="17" t="s">
        <v>351</v>
      </c>
      <c r="Y188" s="4"/>
    </row>
    <row r="189" spans="2:25" ht="11.25" hidden="1" customHeight="1" x14ac:dyDescent="0.25">
      <c r="B189" s="17" t="s">
        <v>467</v>
      </c>
      <c r="C189" s="17" t="s">
        <v>467</v>
      </c>
      <c r="D189" s="17" t="s">
        <v>348</v>
      </c>
      <c r="E189" s="17" t="s">
        <v>21</v>
      </c>
      <c r="F189" s="17"/>
      <c r="G189" s="17"/>
      <c r="H189" s="17" t="s">
        <v>468</v>
      </c>
      <c r="I189" s="17" t="s">
        <v>350</v>
      </c>
      <c r="J189" s="17" t="s">
        <v>34</v>
      </c>
      <c r="K189" s="17" t="s">
        <v>35</v>
      </c>
      <c r="L189" s="18">
        <v>41219</v>
      </c>
      <c r="M189" s="18" t="s">
        <v>6687</v>
      </c>
      <c r="N189" s="18"/>
      <c r="O189" s="18"/>
      <c r="P189" s="19">
        <v>44530</v>
      </c>
      <c r="Q189" s="19" t="s">
        <v>6687</v>
      </c>
      <c r="R189" s="19"/>
      <c r="S189" s="19"/>
      <c r="T189" s="19"/>
      <c r="U189" s="18"/>
      <c r="V189" s="17" t="s">
        <v>350</v>
      </c>
      <c r="W189" s="17" t="s">
        <v>351</v>
      </c>
      <c r="Y189" s="4"/>
    </row>
    <row r="190" spans="2:25" ht="11.25" hidden="1" customHeight="1" x14ac:dyDescent="0.25">
      <c r="B190" s="17" t="s">
        <v>469</v>
      </c>
      <c r="C190" s="17" t="s">
        <v>469</v>
      </c>
      <c r="D190" s="17" t="s">
        <v>348</v>
      </c>
      <c r="E190" s="17" t="s">
        <v>28</v>
      </c>
      <c r="F190" s="17"/>
      <c r="G190" s="17"/>
      <c r="H190" s="17" t="s">
        <v>470</v>
      </c>
      <c r="I190" s="17" t="s">
        <v>471</v>
      </c>
      <c r="J190" s="17" t="s">
        <v>34</v>
      </c>
      <c r="K190" s="17" t="s">
        <v>35</v>
      </c>
      <c r="L190" s="18">
        <v>41392</v>
      </c>
      <c r="M190" s="18" t="s">
        <v>6687</v>
      </c>
      <c r="N190" s="18"/>
      <c r="O190" s="18"/>
      <c r="P190" s="19"/>
      <c r="Q190" s="19"/>
      <c r="R190" s="19"/>
      <c r="S190" s="19"/>
      <c r="T190" s="19"/>
      <c r="U190" s="18"/>
      <c r="V190" s="17" t="s">
        <v>471</v>
      </c>
      <c r="W190" s="17" t="s">
        <v>472</v>
      </c>
      <c r="Y190" s="4"/>
    </row>
    <row r="191" spans="2:25" ht="11.25" hidden="1" customHeight="1" x14ac:dyDescent="0.25">
      <c r="B191" s="17" t="s">
        <v>473</v>
      </c>
      <c r="C191" s="17" t="s">
        <v>473</v>
      </c>
      <c r="D191" s="17" t="s">
        <v>348</v>
      </c>
      <c r="E191" s="17" t="s">
        <v>21</v>
      </c>
      <c r="F191" s="17"/>
      <c r="G191" s="17"/>
      <c r="H191" s="17" t="s">
        <v>474</v>
      </c>
      <c r="I191" s="17" t="s">
        <v>350</v>
      </c>
      <c r="J191" s="17" t="s">
        <v>475</v>
      </c>
      <c r="K191" s="17" t="s">
        <v>476</v>
      </c>
      <c r="L191" s="18">
        <v>41640</v>
      </c>
      <c r="M191" s="18" t="s">
        <v>6687</v>
      </c>
      <c r="N191" s="18"/>
      <c r="O191" s="18"/>
      <c r="P191" s="19">
        <v>43914</v>
      </c>
      <c r="Q191" s="19" t="s">
        <v>6687</v>
      </c>
      <c r="R191" s="19"/>
      <c r="S191" s="19"/>
      <c r="T191" s="19"/>
      <c r="U191" s="18"/>
      <c r="V191" s="17" t="s">
        <v>350</v>
      </c>
      <c r="W191" s="17" t="s">
        <v>351</v>
      </c>
      <c r="Y191" s="4"/>
    </row>
    <row r="192" spans="2:25" ht="11.25" hidden="1" customHeight="1" x14ac:dyDescent="0.25">
      <c r="B192" s="17" t="s">
        <v>477</v>
      </c>
      <c r="C192" s="17" t="s">
        <v>477</v>
      </c>
      <c r="D192" s="17" t="s">
        <v>348</v>
      </c>
      <c r="E192" s="17" t="s">
        <v>28</v>
      </c>
      <c r="F192" s="17"/>
      <c r="G192" s="17"/>
      <c r="H192" s="17" t="s">
        <v>478</v>
      </c>
      <c r="I192" s="17" t="s">
        <v>350</v>
      </c>
      <c r="J192" s="17" t="s">
        <v>34</v>
      </c>
      <c r="K192" s="17" t="s">
        <v>35</v>
      </c>
      <c r="L192" s="18">
        <v>41640</v>
      </c>
      <c r="M192" s="18" t="s">
        <v>6687</v>
      </c>
      <c r="N192" s="18"/>
      <c r="O192" s="18"/>
      <c r="P192" s="19"/>
      <c r="Q192" s="19"/>
      <c r="R192" s="19"/>
      <c r="S192" s="19"/>
      <c r="T192" s="19"/>
      <c r="U192" s="18"/>
      <c r="V192" s="17" t="s">
        <v>350</v>
      </c>
      <c r="W192" s="17" t="s">
        <v>351</v>
      </c>
      <c r="Y192" s="4"/>
    </row>
    <row r="193" spans="2:25" ht="11.25" hidden="1" customHeight="1" x14ac:dyDescent="0.25">
      <c r="B193" s="17" t="s">
        <v>479</v>
      </c>
      <c r="C193" s="17" t="s">
        <v>479</v>
      </c>
      <c r="D193" s="17" t="s">
        <v>348</v>
      </c>
      <c r="E193" s="17" t="s">
        <v>28</v>
      </c>
      <c r="F193" s="17"/>
      <c r="G193" s="17"/>
      <c r="H193" s="17" t="s">
        <v>480</v>
      </c>
      <c r="I193" s="17" t="s">
        <v>350</v>
      </c>
      <c r="J193" s="17" t="s">
        <v>34</v>
      </c>
      <c r="K193" s="17" t="s">
        <v>35</v>
      </c>
      <c r="L193" s="18">
        <v>41640</v>
      </c>
      <c r="M193" s="18" t="s">
        <v>6687</v>
      </c>
      <c r="N193" s="18"/>
      <c r="O193" s="18"/>
      <c r="P193" s="19">
        <v>45683</v>
      </c>
      <c r="Q193" s="19" t="s">
        <v>6687</v>
      </c>
      <c r="R193" s="19"/>
      <c r="S193" s="19"/>
      <c r="T193" s="19"/>
      <c r="U193" s="18">
        <v>45922</v>
      </c>
      <c r="V193" s="17" t="s">
        <v>350</v>
      </c>
      <c r="W193" s="17" t="s">
        <v>351</v>
      </c>
      <c r="Y193" s="4"/>
    </row>
    <row r="194" spans="2:25" ht="11.25" hidden="1" customHeight="1" x14ac:dyDescent="0.25">
      <c r="B194" s="17" t="s">
        <v>481</v>
      </c>
      <c r="C194" s="17" t="s">
        <v>481</v>
      </c>
      <c r="D194" s="17" t="s">
        <v>348</v>
      </c>
      <c r="E194" s="17" t="s">
        <v>21</v>
      </c>
      <c r="F194" s="17"/>
      <c r="G194" s="17"/>
      <c r="H194" s="17" t="s">
        <v>482</v>
      </c>
      <c r="I194" s="17" t="s">
        <v>350</v>
      </c>
      <c r="J194" s="17" t="s">
        <v>76</v>
      </c>
      <c r="K194" s="17" t="s">
        <v>77</v>
      </c>
      <c r="L194" s="18">
        <v>41756</v>
      </c>
      <c r="M194" s="18" t="s">
        <v>6687</v>
      </c>
      <c r="N194" s="18"/>
      <c r="O194" s="18"/>
      <c r="P194" s="19">
        <v>44501</v>
      </c>
      <c r="Q194" s="19" t="s">
        <v>6687</v>
      </c>
      <c r="R194" s="19"/>
      <c r="S194" s="19"/>
      <c r="T194" s="19"/>
      <c r="U194" s="18"/>
      <c r="V194" s="17" t="s">
        <v>350</v>
      </c>
      <c r="W194" s="17" t="s">
        <v>351</v>
      </c>
      <c r="Y194" s="4"/>
    </row>
    <row r="195" spans="2:25" ht="11.25" hidden="1" customHeight="1" x14ac:dyDescent="0.25">
      <c r="B195" s="17" t="s">
        <v>483</v>
      </c>
      <c r="C195" s="17" t="s">
        <v>483</v>
      </c>
      <c r="D195" s="17" t="s">
        <v>348</v>
      </c>
      <c r="E195" s="17" t="s">
        <v>21</v>
      </c>
      <c r="F195" s="17"/>
      <c r="G195" s="17"/>
      <c r="H195" s="17" t="s">
        <v>484</v>
      </c>
      <c r="I195" s="17" t="s">
        <v>350</v>
      </c>
      <c r="J195" s="17" t="s">
        <v>51</v>
      </c>
      <c r="K195" s="17" t="s">
        <v>52</v>
      </c>
      <c r="L195" s="18">
        <v>41760</v>
      </c>
      <c r="M195" s="18" t="s">
        <v>6687</v>
      </c>
      <c r="N195" s="18"/>
      <c r="O195" s="18"/>
      <c r="P195" s="19">
        <v>45372</v>
      </c>
      <c r="Q195" s="19" t="s">
        <v>6687</v>
      </c>
      <c r="R195" s="19" t="s">
        <v>47</v>
      </c>
      <c r="S195" s="19" t="s">
        <v>485</v>
      </c>
      <c r="T195" s="19"/>
      <c r="U195" s="18"/>
      <c r="V195" s="17" t="s">
        <v>350</v>
      </c>
      <c r="W195" s="17" t="s">
        <v>351</v>
      </c>
      <c r="Y195" s="4"/>
    </row>
    <row r="196" spans="2:25" ht="11.25" hidden="1" customHeight="1" x14ac:dyDescent="0.25">
      <c r="B196" s="17" t="s">
        <v>486</v>
      </c>
      <c r="C196" s="17" t="s">
        <v>486</v>
      </c>
      <c r="D196" s="17" t="s">
        <v>348</v>
      </c>
      <c r="E196" s="17" t="s">
        <v>28</v>
      </c>
      <c r="F196" s="17"/>
      <c r="G196" s="17"/>
      <c r="H196" s="17" t="s">
        <v>487</v>
      </c>
      <c r="I196" s="17" t="s">
        <v>350</v>
      </c>
      <c r="J196" s="17" t="s">
        <v>76</v>
      </c>
      <c r="K196" s="17" t="s">
        <v>77</v>
      </c>
      <c r="L196" s="18">
        <v>41840</v>
      </c>
      <c r="M196" s="18" t="s">
        <v>6687</v>
      </c>
      <c r="N196" s="18"/>
      <c r="O196" s="18"/>
      <c r="P196" s="19"/>
      <c r="Q196" s="19"/>
      <c r="R196" s="19"/>
      <c r="S196" s="19"/>
      <c r="T196" s="19"/>
      <c r="U196" s="18"/>
      <c r="V196" s="17" t="s">
        <v>350</v>
      </c>
      <c r="W196" s="17" t="s">
        <v>351</v>
      </c>
      <c r="Y196" s="4"/>
    </row>
    <row r="197" spans="2:25" ht="11.25" hidden="1" customHeight="1" x14ac:dyDescent="0.25">
      <c r="B197" s="17" t="s">
        <v>488</v>
      </c>
      <c r="C197" s="17" t="s">
        <v>488</v>
      </c>
      <c r="D197" s="17" t="s">
        <v>348</v>
      </c>
      <c r="E197" s="17" t="s">
        <v>28</v>
      </c>
      <c r="F197" s="17"/>
      <c r="G197" s="17"/>
      <c r="H197" s="17" t="s">
        <v>489</v>
      </c>
      <c r="I197" s="17" t="s">
        <v>350</v>
      </c>
      <c r="J197" s="17" t="s">
        <v>34</v>
      </c>
      <c r="K197" s="17" t="s">
        <v>35</v>
      </c>
      <c r="L197" s="18">
        <v>41852</v>
      </c>
      <c r="M197" s="18" t="s">
        <v>6687</v>
      </c>
      <c r="N197" s="18"/>
      <c r="O197" s="18"/>
      <c r="P197" s="19"/>
      <c r="Q197" s="19"/>
      <c r="R197" s="19"/>
      <c r="S197" s="19"/>
      <c r="T197" s="19"/>
      <c r="U197" s="18"/>
      <c r="V197" s="17" t="s">
        <v>350</v>
      </c>
      <c r="W197" s="17" t="s">
        <v>351</v>
      </c>
      <c r="Y197" s="4"/>
    </row>
    <row r="198" spans="2:25" ht="11.25" hidden="1" customHeight="1" x14ac:dyDescent="0.25">
      <c r="B198" s="17" t="s">
        <v>490</v>
      </c>
      <c r="C198" s="17" t="s">
        <v>490</v>
      </c>
      <c r="D198" s="17" t="s">
        <v>348</v>
      </c>
      <c r="E198" s="17" t="s">
        <v>21</v>
      </c>
      <c r="F198" s="17"/>
      <c r="G198" s="17"/>
      <c r="H198" s="17" t="s">
        <v>491</v>
      </c>
      <c r="I198" s="17" t="s">
        <v>471</v>
      </c>
      <c r="J198" s="17" t="s">
        <v>76</v>
      </c>
      <c r="K198" s="17" t="s">
        <v>77</v>
      </c>
      <c r="L198" s="18">
        <v>41927</v>
      </c>
      <c r="M198" s="18" t="s">
        <v>6687</v>
      </c>
      <c r="N198" s="18"/>
      <c r="O198" s="18"/>
      <c r="P198" s="19">
        <v>44991</v>
      </c>
      <c r="Q198" s="19" t="s">
        <v>6687</v>
      </c>
      <c r="R198" s="19"/>
      <c r="S198" s="19"/>
      <c r="T198" s="19"/>
      <c r="U198" s="18"/>
      <c r="V198" s="17" t="s">
        <v>471</v>
      </c>
      <c r="W198" s="17" t="s">
        <v>472</v>
      </c>
      <c r="Y198" s="4"/>
    </row>
    <row r="199" spans="2:25" ht="11.25" hidden="1" customHeight="1" x14ac:dyDescent="0.25">
      <c r="B199" s="17" t="s">
        <v>492</v>
      </c>
      <c r="C199" s="17" t="s">
        <v>492</v>
      </c>
      <c r="D199" s="17" t="s">
        <v>348</v>
      </c>
      <c r="E199" s="17" t="s">
        <v>21</v>
      </c>
      <c r="F199" s="17"/>
      <c r="G199" s="17"/>
      <c r="H199" s="17" t="s">
        <v>493</v>
      </c>
      <c r="I199" s="17" t="s">
        <v>494</v>
      </c>
      <c r="J199" s="17" t="s">
        <v>94</v>
      </c>
      <c r="K199" s="17" t="s">
        <v>95</v>
      </c>
      <c r="L199" s="18">
        <v>41930</v>
      </c>
      <c r="M199" s="18" t="s">
        <v>6687</v>
      </c>
      <c r="N199" s="18"/>
      <c r="O199" s="18"/>
      <c r="P199" s="19">
        <v>44046</v>
      </c>
      <c r="Q199" s="19" t="s">
        <v>6687</v>
      </c>
      <c r="R199" s="19"/>
      <c r="S199" s="19"/>
      <c r="T199" s="19"/>
      <c r="U199" s="18"/>
      <c r="V199" s="17" t="s">
        <v>494</v>
      </c>
      <c r="W199" s="17" t="s">
        <v>472</v>
      </c>
      <c r="Y199" s="4"/>
    </row>
    <row r="200" spans="2:25" ht="11.25" hidden="1" customHeight="1" x14ac:dyDescent="0.25">
      <c r="B200" s="17" t="s">
        <v>495</v>
      </c>
      <c r="C200" s="17" t="s">
        <v>495</v>
      </c>
      <c r="D200" s="17" t="s">
        <v>348</v>
      </c>
      <c r="E200" s="17" t="s">
        <v>28</v>
      </c>
      <c r="F200" s="17"/>
      <c r="G200" s="17"/>
      <c r="H200" s="17" t="s">
        <v>496</v>
      </c>
      <c r="I200" s="17" t="s">
        <v>497</v>
      </c>
      <c r="J200" s="17" t="s">
        <v>76</v>
      </c>
      <c r="K200" s="17" t="s">
        <v>77</v>
      </c>
      <c r="L200" s="18">
        <v>41932</v>
      </c>
      <c r="M200" s="18" t="s">
        <v>6687</v>
      </c>
      <c r="N200" s="18"/>
      <c r="O200" s="18"/>
      <c r="P200" s="19"/>
      <c r="Q200" s="19"/>
      <c r="R200" s="19"/>
      <c r="S200" s="19"/>
      <c r="T200" s="19"/>
      <c r="U200" s="18"/>
      <c r="V200" s="17" t="s">
        <v>497</v>
      </c>
      <c r="W200" s="17" t="s">
        <v>472</v>
      </c>
      <c r="Y200" s="4"/>
    </row>
    <row r="201" spans="2:25" ht="11.25" hidden="1" customHeight="1" x14ac:dyDescent="0.25">
      <c r="B201" s="17" t="s">
        <v>498</v>
      </c>
      <c r="C201" s="17" t="s">
        <v>498</v>
      </c>
      <c r="D201" s="17" t="s">
        <v>348</v>
      </c>
      <c r="E201" s="17" t="s">
        <v>28</v>
      </c>
      <c r="F201" s="17"/>
      <c r="G201" s="17"/>
      <c r="H201" s="17" t="s">
        <v>499</v>
      </c>
      <c r="I201" s="17" t="s">
        <v>497</v>
      </c>
      <c r="J201" s="17" t="s">
        <v>34</v>
      </c>
      <c r="K201" s="17" t="s">
        <v>35</v>
      </c>
      <c r="L201" s="18">
        <v>41944</v>
      </c>
      <c r="M201" s="18" t="s">
        <v>6687</v>
      </c>
      <c r="N201" s="18"/>
      <c r="O201" s="18"/>
      <c r="P201" s="19"/>
      <c r="Q201" s="19"/>
      <c r="R201" s="19"/>
      <c r="S201" s="19"/>
      <c r="T201" s="19"/>
      <c r="U201" s="18"/>
      <c r="V201" s="17" t="s">
        <v>497</v>
      </c>
      <c r="W201" s="17" t="s">
        <v>472</v>
      </c>
      <c r="Y201" s="4"/>
    </row>
    <row r="202" spans="2:25" ht="11.25" hidden="1" customHeight="1" x14ac:dyDescent="0.25">
      <c r="B202" s="17" t="s">
        <v>500</v>
      </c>
      <c r="C202" s="17" t="s">
        <v>500</v>
      </c>
      <c r="D202" s="17" t="s">
        <v>348</v>
      </c>
      <c r="E202" s="17" t="s">
        <v>28</v>
      </c>
      <c r="F202" s="17"/>
      <c r="G202" s="17"/>
      <c r="H202" s="17" t="s">
        <v>501</v>
      </c>
      <c r="I202" s="17" t="s">
        <v>350</v>
      </c>
      <c r="J202" s="17" t="s">
        <v>76</v>
      </c>
      <c r="K202" s="17" t="s">
        <v>77</v>
      </c>
      <c r="L202" s="18">
        <v>41974</v>
      </c>
      <c r="M202" s="18" t="s">
        <v>6687</v>
      </c>
      <c r="N202" s="18"/>
      <c r="O202" s="18"/>
      <c r="P202" s="19"/>
      <c r="Q202" s="19"/>
      <c r="R202" s="19"/>
      <c r="S202" s="19"/>
      <c r="T202" s="19"/>
      <c r="U202" s="18"/>
      <c r="V202" s="17" t="s">
        <v>350</v>
      </c>
      <c r="W202" s="17" t="s">
        <v>351</v>
      </c>
      <c r="Y202" s="4"/>
    </row>
    <row r="203" spans="2:25" ht="11.25" hidden="1" customHeight="1" x14ac:dyDescent="0.25">
      <c r="B203" s="17" t="s">
        <v>502</v>
      </c>
      <c r="C203" s="17" t="s">
        <v>502</v>
      </c>
      <c r="D203" s="17" t="s">
        <v>348</v>
      </c>
      <c r="E203" s="17" t="s">
        <v>28</v>
      </c>
      <c r="F203" s="17"/>
      <c r="G203" s="17"/>
      <c r="H203" s="17" t="s">
        <v>503</v>
      </c>
      <c r="I203" s="17" t="s">
        <v>350</v>
      </c>
      <c r="J203" s="17" t="s">
        <v>76</v>
      </c>
      <c r="K203" s="17" t="s">
        <v>77</v>
      </c>
      <c r="L203" s="18">
        <v>42043</v>
      </c>
      <c r="M203" s="18" t="s">
        <v>6687</v>
      </c>
      <c r="N203" s="18"/>
      <c r="O203" s="18"/>
      <c r="P203" s="19"/>
      <c r="Q203" s="19"/>
      <c r="R203" s="19"/>
      <c r="S203" s="19"/>
      <c r="T203" s="19"/>
      <c r="U203" s="18"/>
      <c r="V203" s="17" t="s">
        <v>350</v>
      </c>
      <c r="W203" s="17" t="s">
        <v>351</v>
      </c>
      <c r="Y203" s="4"/>
    </row>
    <row r="204" spans="2:25" ht="11.25" hidden="1" customHeight="1" x14ac:dyDescent="0.25">
      <c r="B204" s="17" t="s">
        <v>504</v>
      </c>
      <c r="C204" s="17" t="s">
        <v>504</v>
      </c>
      <c r="D204" s="17" t="s">
        <v>348</v>
      </c>
      <c r="E204" s="17" t="s">
        <v>28</v>
      </c>
      <c r="F204" s="17"/>
      <c r="G204" s="17"/>
      <c r="H204" s="17" t="s">
        <v>505</v>
      </c>
      <c r="I204" s="17" t="s">
        <v>350</v>
      </c>
      <c r="J204" s="17" t="s">
        <v>34</v>
      </c>
      <c r="K204" s="17" t="s">
        <v>35</v>
      </c>
      <c r="L204" s="18">
        <v>42043</v>
      </c>
      <c r="M204" s="18" t="s">
        <v>6687</v>
      </c>
      <c r="N204" s="18"/>
      <c r="O204" s="18"/>
      <c r="P204" s="19"/>
      <c r="Q204" s="19"/>
      <c r="R204" s="19"/>
      <c r="S204" s="19"/>
      <c r="T204" s="19"/>
      <c r="U204" s="18"/>
      <c r="V204" s="17" t="s">
        <v>350</v>
      </c>
      <c r="W204" s="17" t="s">
        <v>351</v>
      </c>
      <c r="Y204" s="4"/>
    </row>
    <row r="205" spans="2:25" ht="11.25" hidden="1" customHeight="1" x14ac:dyDescent="0.25">
      <c r="B205" s="17" t="s">
        <v>506</v>
      </c>
      <c r="C205" s="17" t="s">
        <v>506</v>
      </c>
      <c r="D205" s="17" t="s">
        <v>348</v>
      </c>
      <c r="E205" s="17" t="s">
        <v>28</v>
      </c>
      <c r="F205" s="17"/>
      <c r="G205" s="17"/>
      <c r="H205" s="17" t="s">
        <v>507</v>
      </c>
      <c r="I205" s="17" t="s">
        <v>350</v>
      </c>
      <c r="J205" s="17" t="s">
        <v>61</v>
      </c>
      <c r="K205" s="17" t="s">
        <v>62</v>
      </c>
      <c r="L205" s="18">
        <v>42104</v>
      </c>
      <c r="M205" s="18" t="s">
        <v>6687</v>
      </c>
      <c r="N205" s="18"/>
      <c r="O205" s="18"/>
      <c r="P205" s="19"/>
      <c r="Q205" s="19"/>
      <c r="R205" s="19"/>
      <c r="S205" s="19"/>
      <c r="T205" s="19"/>
      <c r="U205" s="18">
        <v>43827</v>
      </c>
      <c r="V205" s="17" t="s">
        <v>350</v>
      </c>
      <c r="W205" s="17" t="s">
        <v>351</v>
      </c>
      <c r="Y205" s="4"/>
    </row>
    <row r="206" spans="2:25" ht="11.25" hidden="1" customHeight="1" x14ac:dyDescent="0.25">
      <c r="B206" s="17" t="s">
        <v>508</v>
      </c>
      <c r="C206" s="17" t="s">
        <v>508</v>
      </c>
      <c r="D206" s="17" t="s">
        <v>348</v>
      </c>
      <c r="E206" s="17" t="s">
        <v>28</v>
      </c>
      <c r="F206" s="17"/>
      <c r="G206" s="17"/>
      <c r="H206" s="17" t="s">
        <v>509</v>
      </c>
      <c r="I206" s="17" t="s">
        <v>350</v>
      </c>
      <c r="J206" s="17" t="s">
        <v>76</v>
      </c>
      <c r="K206" s="17" t="s">
        <v>77</v>
      </c>
      <c r="L206" s="18">
        <v>42113</v>
      </c>
      <c r="M206" s="18" t="s">
        <v>6687</v>
      </c>
      <c r="N206" s="18"/>
      <c r="O206" s="18"/>
      <c r="P206" s="19"/>
      <c r="Q206" s="19"/>
      <c r="R206" s="19"/>
      <c r="S206" s="19"/>
      <c r="T206" s="19"/>
      <c r="U206" s="18"/>
      <c r="V206" s="17" t="s">
        <v>350</v>
      </c>
      <c r="W206" s="17" t="s">
        <v>351</v>
      </c>
      <c r="Y206" s="4"/>
    </row>
    <row r="207" spans="2:25" ht="11.25" hidden="1" customHeight="1" x14ac:dyDescent="0.25">
      <c r="B207" s="17" t="s">
        <v>510</v>
      </c>
      <c r="C207" s="17" t="s">
        <v>510</v>
      </c>
      <c r="D207" s="17" t="s">
        <v>348</v>
      </c>
      <c r="E207" s="17" t="s">
        <v>28</v>
      </c>
      <c r="F207" s="17"/>
      <c r="G207" s="17"/>
      <c r="H207" s="17" t="s">
        <v>511</v>
      </c>
      <c r="I207" s="17" t="s">
        <v>350</v>
      </c>
      <c r="J207" s="17" t="s">
        <v>34</v>
      </c>
      <c r="K207" s="17" t="s">
        <v>35</v>
      </c>
      <c r="L207" s="18">
        <v>42113</v>
      </c>
      <c r="M207" s="18" t="s">
        <v>6687</v>
      </c>
      <c r="N207" s="18"/>
      <c r="O207" s="18"/>
      <c r="P207" s="19"/>
      <c r="Q207" s="19"/>
      <c r="R207" s="19"/>
      <c r="S207" s="19"/>
      <c r="T207" s="19"/>
      <c r="U207" s="18"/>
      <c r="V207" s="17" t="s">
        <v>350</v>
      </c>
      <c r="W207" s="17" t="s">
        <v>351</v>
      </c>
      <c r="Y207" s="4"/>
    </row>
    <row r="208" spans="2:25" ht="11.25" hidden="1" customHeight="1" x14ac:dyDescent="0.25">
      <c r="B208" s="17" t="s">
        <v>512</v>
      </c>
      <c r="C208" s="17" t="s">
        <v>512</v>
      </c>
      <c r="D208" s="17" t="s">
        <v>348</v>
      </c>
      <c r="E208" s="17" t="s">
        <v>21</v>
      </c>
      <c r="F208" s="17"/>
      <c r="G208" s="17"/>
      <c r="H208" s="17" t="s">
        <v>513</v>
      </c>
      <c r="I208" s="17" t="s">
        <v>350</v>
      </c>
      <c r="J208" s="17" t="s">
        <v>51</v>
      </c>
      <c r="K208" s="17" t="s">
        <v>52</v>
      </c>
      <c r="L208" s="18">
        <v>42118</v>
      </c>
      <c r="M208" s="18" t="s">
        <v>6687</v>
      </c>
      <c r="N208" s="18"/>
      <c r="O208" s="18"/>
      <c r="P208" s="19">
        <v>44526</v>
      </c>
      <c r="Q208" s="19" t="s">
        <v>6687</v>
      </c>
      <c r="R208" s="19"/>
      <c r="S208" s="19"/>
      <c r="T208" s="19"/>
      <c r="U208" s="18"/>
      <c r="V208" s="17" t="s">
        <v>350</v>
      </c>
      <c r="W208" s="17" t="s">
        <v>351</v>
      </c>
      <c r="Y208" s="4"/>
    </row>
    <row r="209" spans="2:25" ht="11.25" hidden="1" customHeight="1" x14ac:dyDescent="0.25">
      <c r="B209" s="17" t="s">
        <v>514</v>
      </c>
      <c r="C209" s="17" t="s">
        <v>514</v>
      </c>
      <c r="D209" s="17" t="s">
        <v>348</v>
      </c>
      <c r="E209" s="17" t="s">
        <v>28</v>
      </c>
      <c r="F209" s="17"/>
      <c r="G209" s="17"/>
      <c r="H209" s="17" t="s">
        <v>515</v>
      </c>
      <c r="I209" s="17" t="s">
        <v>350</v>
      </c>
      <c r="J209" s="17" t="s">
        <v>76</v>
      </c>
      <c r="K209" s="17" t="s">
        <v>77</v>
      </c>
      <c r="L209" s="18">
        <v>42123</v>
      </c>
      <c r="M209" s="18" t="s">
        <v>6687</v>
      </c>
      <c r="N209" s="18"/>
      <c r="O209" s="18"/>
      <c r="P209" s="19"/>
      <c r="Q209" s="19"/>
      <c r="R209" s="19"/>
      <c r="S209" s="19"/>
      <c r="T209" s="19"/>
      <c r="U209" s="18"/>
      <c r="V209" s="17" t="s">
        <v>350</v>
      </c>
      <c r="W209" s="17" t="s">
        <v>351</v>
      </c>
      <c r="Y209" s="4"/>
    </row>
    <row r="210" spans="2:25" ht="11.25" hidden="1" customHeight="1" x14ac:dyDescent="0.25">
      <c r="B210" s="17" t="s">
        <v>516</v>
      </c>
      <c r="C210" s="17" t="s">
        <v>516</v>
      </c>
      <c r="D210" s="17" t="s">
        <v>348</v>
      </c>
      <c r="E210" s="17" t="s">
        <v>28</v>
      </c>
      <c r="F210" s="17"/>
      <c r="G210" s="17"/>
      <c r="H210" s="17" t="s">
        <v>517</v>
      </c>
      <c r="I210" s="17" t="s">
        <v>350</v>
      </c>
      <c r="J210" s="17" t="s">
        <v>34</v>
      </c>
      <c r="K210" s="17" t="s">
        <v>35</v>
      </c>
      <c r="L210" s="18">
        <v>42124</v>
      </c>
      <c r="M210" s="18" t="s">
        <v>6687</v>
      </c>
      <c r="N210" s="18"/>
      <c r="O210" s="18"/>
      <c r="P210" s="19"/>
      <c r="Q210" s="19"/>
      <c r="R210" s="19"/>
      <c r="S210" s="19"/>
      <c r="T210" s="19"/>
      <c r="U210" s="18">
        <v>43645</v>
      </c>
      <c r="V210" s="17" t="s">
        <v>350</v>
      </c>
      <c r="W210" s="17" t="s">
        <v>351</v>
      </c>
      <c r="Y210" s="4"/>
    </row>
    <row r="211" spans="2:25" ht="11.25" hidden="1" customHeight="1" x14ac:dyDescent="0.25">
      <c r="B211" s="17" t="s">
        <v>518</v>
      </c>
      <c r="C211" s="17" t="s">
        <v>518</v>
      </c>
      <c r="D211" s="17" t="s">
        <v>20</v>
      </c>
      <c r="E211" s="17" t="s">
        <v>21</v>
      </c>
      <c r="F211" s="17"/>
      <c r="G211" s="17"/>
      <c r="H211" s="17" t="s">
        <v>519</v>
      </c>
      <c r="I211" s="17" t="s">
        <v>23</v>
      </c>
      <c r="J211" s="17" t="s">
        <v>120</v>
      </c>
      <c r="K211" s="17" t="s">
        <v>121</v>
      </c>
      <c r="L211" s="18">
        <v>42165</v>
      </c>
      <c r="M211" s="18" t="s">
        <v>6687</v>
      </c>
      <c r="N211" s="18"/>
      <c r="O211" s="18"/>
      <c r="P211" s="19">
        <v>44986</v>
      </c>
      <c r="Q211" s="19" t="s">
        <v>6687</v>
      </c>
      <c r="R211" s="19"/>
      <c r="S211" s="19"/>
      <c r="T211" s="19"/>
      <c r="U211" s="18"/>
      <c r="V211" s="17" t="s">
        <v>23</v>
      </c>
      <c r="W211" s="17" t="s">
        <v>26</v>
      </c>
      <c r="Y211" s="4"/>
    </row>
    <row r="212" spans="2:25" hidden="1" x14ac:dyDescent="0.25">
      <c r="B212" s="17" t="s">
        <v>520</v>
      </c>
      <c r="C212" s="17" t="s">
        <v>520</v>
      </c>
      <c r="D212" s="17" t="s">
        <v>348</v>
      </c>
      <c r="E212" s="17" t="s">
        <v>28</v>
      </c>
      <c r="F212" s="17"/>
      <c r="G212" s="17"/>
      <c r="H212" s="17" t="s">
        <v>521</v>
      </c>
      <c r="I212" s="17" t="s">
        <v>522</v>
      </c>
      <c r="J212" s="17" t="s">
        <v>379</v>
      </c>
      <c r="K212" s="17" t="s">
        <v>380</v>
      </c>
      <c r="L212" s="18">
        <v>42185</v>
      </c>
      <c r="M212" s="18" t="s">
        <v>6687</v>
      </c>
      <c r="N212" s="18"/>
      <c r="O212" s="18"/>
      <c r="P212" s="19"/>
      <c r="Q212" s="19"/>
      <c r="R212" s="19"/>
      <c r="S212" s="19"/>
      <c r="T212" s="19"/>
      <c r="U212" s="18"/>
      <c r="V212" s="17" t="s">
        <v>522</v>
      </c>
      <c r="W212" s="17" t="s">
        <v>472</v>
      </c>
      <c r="Y212" s="4"/>
    </row>
    <row r="213" spans="2:25" ht="11.25" hidden="1" customHeight="1" x14ac:dyDescent="0.25">
      <c r="B213" s="17" t="s">
        <v>523</v>
      </c>
      <c r="C213" s="17" t="s">
        <v>523</v>
      </c>
      <c r="D213" s="17" t="s">
        <v>348</v>
      </c>
      <c r="E213" s="17" t="s">
        <v>28</v>
      </c>
      <c r="F213" s="17"/>
      <c r="G213" s="17"/>
      <c r="H213" s="17" t="s">
        <v>524</v>
      </c>
      <c r="I213" s="17" t="s">
        <v>522</v>
      </c>
      <c r="J213" s="17" t="s">
        <v>76</v>
      </c>
      <c r="K213" s="17" t="s">
        <v>77</v>
      </c>
      <c r="L213" s="18">
        <v>42185</v>
      </c>
      <c r="M213" s="18" t="s">
        <v>6687</v>
      </c>
      <c r="N213" s="18"/>
      <c r="O213" s="18"/>
      <c r="P213" s="19"/>
      <c r="Q213" s="19"/>
      <c r="R213" s="19"/>
      <c r="S213" s="19"/>
      <c r="T213" s="19"/>
      <c r="U213" s="18"/>
      <c r="V213" s="17" t="s">
        <v>522</v>
      </c>
      <c r="W213" s="17" t="s">
        <v>472</v>
      </c>
      <c r="Y213" s="4"/>
    </row>
    <row r="214" spans="2:25" ht="11.25" hidden="1" customHeight="1" x14ac:dyDescent="0.25">
      <c r="B214" s="17" t="s">
        <v>525</v>
      </c>
      <c r="C214" s="17" t="s">
        <v>525</v>
      </c>
      <c r="D214" s="17" t="s">
        <v>348</v>
      </c>
      <c r="E214" s="17" t="s">
        <v>28</v>
      </c>
      <c r="F214" s="17"/>
      <c r="G214" s="17"/>
      <c r="H214" s="17" t="s">
        <v>526</v>
      </c>
      <c r="I214" s="17" t="s">
        <v>527</v>
      </c>
      <c r="J214" s="17" t="s">
        <v>34</v>
      </c>
      <c r="K214" s="17" t="s">
        <v>35</v>
      </c>
      <c r="L214" s="18">
        <v>42211</v>
      </c>
      <c r="M214" s="18" t="s">
        <v>6687</v>
      </c>
      <c r="N214" s="18"/>
      <c r="O214" s="18"/>
      <c r="P214" s="19">
        <v>45863</v>
      </c>
      <c r="Q214" s="19" t="s">
        <v>6687</v>
      </c>
      <c r="R214" s="19"/>
      <c r="S214" s="19"/>
      <c r="T214" s="19"/>
      <c r="U214" s="18">
        <v>45915</v>
      </c>
      <c r="V214" s="17" t="s">
        <v>527</v>
      </c>
      <c r="W214" s="17" t="s">
        <v>472</v>
      </c>
      <c r="Y214" s="4"/>
    </row>
    <row r="215" spans="2:25" ht="11.25" hidden="1" customHeight="1" x14ac:dyDescent="0.25">
      <c r="B215" s="17" t="s">
        <v>528</v>
      </c>
      <c r="C215" s="17" t="s">
        <v>528</v>
      </c>
      <c r="D215" s="17" t="s">
        <v>348</v>
      </c>
      <c r="E215" s="17" t="s">
        <v>28</v>
      </c>
      <c r="F215" s="17"/>
      <c r="G215" s="17"/>
      <c r="H215" s="17" t="s">
        <v>529</v>
      </c>
      <c r="I215" s="17" t="s">
        <v>527</v>
      </c>
      <c r="J215" s="17" t="s">
        <v>76</v>
      </c>
      <c r="K215" s="17" t="s">
        <v>77</v>
      </c>
      <c r="L215" s="18">
        <v>42212</v>
      </c>
      <c r="M215" s="18" t="s">
        <v>6687</v>
      </c>
      <c r="N215" s="18"/>
      <c r="O215" s="18"/>
      <c r="P215" s="19">
        <v>45863</v>
      </c>
      <c r="Q215" s="19" t="s">
        <v>6687</v>
      </c>
      <c r="R215" s="19"/>
      <c r="S215" s="19"/>
      <c r="T215" s="19"/>
      <c r="U215" s="18">
        <v>45915</v>
      </c>
      <c r="V215" s="17" t="s">
        <v>527</v>
      </c>
      <c r="W215" s="17" t="s">
        <v>472</v>
      </c>
      <c r="Y215" s="4"/>
    </row>
    <row r="216" spans="2:25" ht="11.25" hidden="1" customHeight="1" x14ac:dyDescent="0.25">
      <c r="B216" s="17" t="s">
        <v>530</v>
      </c>
      <c r="C216" s="17" t="s">
        <v>530</v>
      </c>
      <c r="D216" s="17" t="s">
        <v>348</v>
      </c>
      <c r="E216" s="17" t="s">
        <v>28</v>
      </c>
      <c r="F216" s="17"/>
      <c r="G216" s="17"/>
      <c r="H216" s="17" t="s">
        <v>531</v>
      </c>
      <c r="I216" s="17" t="s">
        <v>471</v>
      </c>
      <c r="J216" s="17" t="s">
        <v>76</v>
      </c>
      <c r="K216" s="17" t="s">
        <v>77</v>
      </c>
      <c r="L216" s="18">
        <v>42244</v>
      </c>
      <c r="M216" s="18" t="s">
        <v>6687</v>
      </c>
      <c r="N216" s="18"/>
      <c r="O216" s="18"/>
      <c r="P216" s="19"/>
      <c r="Q216" s="19"/>
      <c r="R216" s="19"/>
      <c r="S216" s="19"/>
      <c r="T216" s="19"/>
      <c r="U216" s="18"/>
      <c r="V216" s="17" t="s">
        <v>471</v>
      </c>
      <c r="W216" s="17" t="s">
        <v>472</v>
      </c>
      <c r="Y216" s="4"/>
    </row>
    <row r="217" spans="2:25" ht="11.25" hidden="1" customHeight="1" x14ac:dyDescent="0.25">
      <c r="B217" s="17" t="s">
        <v>532</v>
      </c>
      <c r="C217" s="17" t="s">
        <v>532</v>
      </c>
      <c r="D217" s="17" t="s">
        <v>348</v>
      </c>
      <c r="E217" s="17" t="s">
        <v>28</v>
      </c>
      <c r="F217" s="17"/>
      <c r="G217" s="17"/>
      <c r="H217" s="17" t="s">
        <v>533</v>
      </c>
      <c r="I217" s="17" t="s">
        <v>471</v>
      </c>
      <c r="J217" s="17" t="s">
        <v>34</v>
      </c>
      <c r="K217" s="17" t="s">
        <v>35</v>
      </c>
      <c r="L217" s="18">
        <v>42244</v>
      </c>
      <c r="M217" s="18" t="s">
        <v>6687</v>
      </c>
      <c r="N217" s="18"/>
      <c r="O217" s="18"/>
      <c r="P217" s="19"/>
      <c r="Q217" s="19"/>
      <c r="R217" s="19"/>
      <c r="S217" s="19"/>
      <c r="T217" s="19"/>
      <c r="U217" s="18"/>
      <c r="V217" s="17" t="s">
        <v>471</v>
      </c>
      <c r="W217" s="17" t="s">
        <v>472</v>
      </c>
      <c r="Y217" s="4"/>
    </row>
    <row r="218" spans="2:25" ht="11.25" hidden="1" customHeight="1" x14ac:dyDescent="0.25">
      <c r="B218" s="17" t="s">
        <v>534</v>
      </c>
      <c r="C218" s="17" t="s">
        <v>534</v>
      </c>
      <c r="D218" s="17" t="s">
        <v>348</v>
      </c>
      <c r="E218" s="17" t="s">
        <v>21</v>
      </c>
      <c r="F218" s="17"/>
      <c r="G218" s="17"/>
      <c r="H218" s="17" t="s">
        <v>535</v>
      </c>
      <c r="I218" s="17" t="s">
        <v>350</v>
      </c>
      <c r="J218" s="17" t="s">
        <v>76</v>
      </c>
      <c r="K218" s="17" t="s">
        <v>77</v>
      </c>
      <c r="L218" s="18">
        <v>42249</v>
      </c>
      <c r="M218" s="18" t="s">
        <v>6687</v>
      </c>
      <c r="N218" s="18"/>
      <c r="O218" s="18"/>
      <c r="P218" s="19">
        <v>45586</v>
      </c>
      <c r="Q218" s="19" t="s">
        <v>6687</v>
      </c>
      <c r="R218" s="19" t="s">
        <v>40</v>
      </c>
      <c r="S218" s="19"/>
      <c r="T218" s="19"/>
      <c r="U218" s="18"/>
      <c r="V218" s="17" t="s">
        <v>350</v>
      </c>
      <c r="W218" s="17" t="s">
        <v>351</v>
      </c>
      <c r="Y218" s="4"/>
    </row>
    <row r="219" spans="2:25" ht="11.25" hidden="1" customHeight="1" x14ac:dyDescent="0.25">
      <c r="B219" s="17" t="s">
        <v>536</v>
      </c>
      <c r="C219" s="17" t="s">
        <v>536</v>
      </c>
      <c r="D219" s="17" t="s">
        <v>348</v>
      </c>
      <c r="E219" s="17" t="s">
        <v>21</v>
      </c>
      <c r="F219" s="17"/>
      <c r="G219" s="17"/>
      <c r="H219" s="17" t="s">
        <v>537</v>
      </c>
      <c r="I219" s="17" t="s">
        <v>350</v>
      </c>
      <c r="J219" s="17" t="s">
        <v>141</v>
      </c>
      <c r="K219" s="17" t="s">
        <v>142</v>
      </c>
      <c r="L219" s="18">
        <v>42262</v>
      </c>
      <c r="M219" s="18" t="s">
        <v>6687</v>
      </c>
      <c r="N219" s="18"/>
      <c r="O219" s="18"/>
      <c r="P219" s="19">
        <v>44043</v>
      </c>
      <c r="Q219" s="19" t="s">
        <v>6687</v>
      </c>
      <c r="R219" s="19"/>
      <c r="S219" s="19"/>
      <c r="T219" s="19"/>
      <c r="U219" s="18"/>
      <c r="V219" s="17" t="s">
        <v>350</v>
      </c>
      <c r="W219" s="17" t="s">
        <v>351</v>
      </c>
      <c r="Y219" s="4"/>
    </row>
    <row r="220" spans="2:25" ht="11.25" hidden="1" customHeight="1" x14ac:dyDescent="0.25">
      <c r="B220" s="17" t="s">
        <v>538</v>
      </c>
      <c r="C220" s="17" t="s">
        <v>538</v>
      </c>
      <c r="D220" s="17" t="s">
        <v>348</v>
      </c>
      <c r="E220" s="17" t="s">
        <v>21</v>
      </c>
      <c r="F220" s="17"/>
      <c r="G220" s="17"/>
      <c r="H220" s="17" t="s">
        <v>539</v>
      </c>
      <c r="I220" s="17" t="s">
        <v>350</v>
      </c>
      <c r="J220" s="17" t="s">
        <v>51</v>
      </c>
      <c r="K220" s="17" t="s">
        <v>52</v>
      </c>
      <c r="L220" s="18">
        <v>42284</v>
      </c>
      <c r="M220" s="18" t="s">
        <v>6687</v>
      </c>
      <c r="N220" s="18"/>
      <c r="O220" s="18"/>
      <c r="P220" s="19">
        <v>44011</v>
      </c>
      <c r="Q220" s="19" t="s">
        <v>6687</v>
      </c>
      <c r="R220" s="19"/>
      <c r="S220" s="19"/>
      <c r="T220" s="19"/>
      <c r="U220" s="18"/>
      <c r="V220" s="17" t="s">
        <v>350</v>
      </c>
      <c r="W220" s="17" t="s">
        <v>351</v>
      </c>
      <c r="Y220" s="4"/>
    </row>
    <row r="221" spans="2:25" ht="11.25" hidden="1" customHeight="1" x14ac:dyDescent="0.25">
      <c r="B221" s="17" t="s">
        <v>540</v>
      </c>
      <c r="C221" s="17" t="s">
        <v>540</v>
      </c>
      <c r="D221" s="17" t="s">
        <v>348</v>
      </c>
      <c r="E221" s="17" t="s">
        <v>28</v>
      </c>
      <c r="F221" s="17"/>
      <c r="G221" s="17"/>
      <c r="H221" s="17" t="s">
        <v>541</v>
      </c>
      <c r="I221" s="17" t="s">
        <v>527</v>
      </c>
      <c r="J221" s="17" t="s">
        <v>76</v>
      </c>
      <c r="K221" s="17" t="s">
        <v>77</v>
      </c>
      <c r="L221" s="18">
        <v>42292</v>
      </c>
      <c r="M221" s="18" t="s">
        <v>6687</v>
      </c>
      <c r="N221" s="18"/>
      <c r="O221" s="18"/>
      <c r="P221" s="19"/>
      <c r="Q221" s="19"/>
      <c r="R221" s="19"/>
      <c r="S221" s="19"/>
      <c r="T221" s="19"/>
      <c r="U221" s="18"/>
      <c r="V221" s="17" t="s">
        <v>527</v>
      </c>
      <c r="W221" s="17" t="s">
        <v>472</v>
      </c>
      <c r="Y221" s="4"/>
    </row>
    <row r="222" spans="2:25" ht="11.25" hidden="1" customHeight="1" x14ac:dyDescent="0.25">
      <c r="B222" s="17" t="s">
        <v>542</v>
      </c>
      <c r="C222" s="17" t="s">
        <v>542</v>
      </c>
      <c r="D222" s="17" t="s">
        <v>348</v>
      </c>
      <c r="E222" s="17" t="s">
        <v>21</v>
      </c>
      <c r="F222" s="17"/>
      <c r="G222" s="17"/>
      <c r="H222" s="17" t="s">
        <v>543</v>
      </c>
      <c r="I222" s="17" t="s">
        <v>527</v>
      </c>
      <c r="J222" s="17" t="s">
        <v>94</v>
      </c>
      <c r="K222" s="17" t="s">
        <v>95</v>
      </c>
      <c r="L222" s="18">
        <v>42292</v>
      </c>
      <c r="M222" s="18" t="s">
        <v>6687</v>
      </c>
      <c r="N222" s="18"/>
      <c r="O222" s="18"/>
      <c r="P222" s="19">
        <v>44256</v>
      </c>
      <c r="Q222" s="19" t="s">
        <v>6687</v>
      </c>
      <c r="R222" s="19"/>
      <c r="S222" s="19"/>
      <c r="T222" s="19"/>
      <c r="U222" s="18"/>
      <c r="V222" s="17" t="s">
        <v>527</v>
      </c>
      <c r="W222" s="17" t="s">
        <v>472</v>
      </c>
      <c r="Y222" s="4"/>
    </row>
    <row r="223" spans="2:25" ht="11.25" hidden="1" customHeight="1" x14ac:dyDescent="0.25">
      <c r="B223" s="17" t="s">
        <v>544</v>
      </c>
      <c r="C223" s="17" t="s">
        <v>544</v>
      </c>
      <c r="D223" s="17" t="s">
        <v>348</v>
      </c>
      <c r="E223" s="17" t="s">
        <v>28</v>
      </c>
      <c r="F223" s="17"/>
      <c r="G223" s="17"/>
      <c r="H223" s="17" t="s">
        <v>545</v>
      </c>
      <c r="I223" s="17" t="s">
        <v>350</v>
      </c>
      <c r="J223" s="17" t="s">
        <v>76</v>
      </c>
      <c r="K223" s="17" t="s">
        <v>77</v>
      </c>
      <c r="L223" s="18">
        <v>42315</v>
      </c>
      <c r="M223" s="18" t="s">
        <v>6687</v>
      </c>
      <c r="N223" s="18"/>
      <c r="O223" s="18"/>
      <c r="P223" s="19"/>
      <c r="Q223" s="19"/>
      <c r="R223" s="19"/>
      <c r="S223" s="19"/>
      <c r="T223" s="19"/>
      <c r="U223" s="18"/>
      <c r="V223" s="17" t="s">
        <v>350</v>
      </c>
      <c r="W223" s="17" t="s">
        <v>351</v>
      </c>
      <c r="Y223" s="4"/>
    </row>
    <row r="224" spans="2:25" ht="11.25" hidden="1" customHeight="1" x14ac:dyDescent="0.25">
      <c r="B224" s="17" t="s">
        <v>546</v>
      </c>
      <c r="C224" s="17" t="s">
        <v>546</v>
      </c>
      <c r="D224" s="17" t="s">
        <v>348</v>
      </c>
      <c r="E224" s="17" t="s">
        <v>28</v>
      </c>
      <c r="F224" s="17"/>
      <c r="G224" s="17"/>
      <c r="H224" s="17" t="s">
        <v>547</v>
      </c>
      <c r="I224" s="17" t="s">
        <v>350</v>
      </c>
      <c r="J224" s="17" t="s">
        <v>34</v>
      </c>
      <c r="K224" s="17" t="s">
        <v>35</v>
      </c>
      <c r="L224" s="18">
        <v>42315</v>
      </c>
      <c r="M224" s="18" t="s">
        <v>6687</v>
      </c>
      <c r="N224" s="18"/>
      <c r="O224" s="18"/>
      <c r="P224" s="19"/>
      <c r="Q224" s="19"/>
      <c r="R224" s="19"/>
      <c r="S224" s="19"/>
      <c r="T224" s="19"/>
      <c r="U224" s="18"/>
      <c r="V224" s="17" t="s">
        <v>350</v>
      </c>
      <c r="W224" s="17" t="s">
        <v>351</v>
      </c>
      <c r="Y224" s="4"/>
    </row>
    <row r="225" spans="2:25" ht="11.25" hidden="1" customHeight="1" x14ac:dyDescent="0.25">
      <c r="B225" s="17" t="s">
        <v>548</v>
      </c>
      <c r="C225" s="17" t="s">
        <v>548</v>
      </c>
      <c r="D225" s="17" t="s">
        <v>348</v>
      </c>
      <c r="E225" s="17" t="s">
        <v>28</v>
      </c>
      <c r="F225" s="17"/>
      <c r="G225" s="17"/>
      <c r="H225" s="17" t="s">
        <v>549</v>
      </c>
      <c r="I225" s="17" t="s">
        <v>497</v>
      </c>
      <c r="J225" s="17" t="s">
        <v>76</v>
      </c>
      <c r="K225" s="17" t="s">
        <v>77</v>
      </c>
      <c r="L225" s="18">
        <v>42328</v>
      </c>
      <c r="M225" s="18" t="s">
        <v>6687</v>
      </c>
      <c r="N225" s="18"/>
      <c r="O225" s="18"/>
      <c r="P225" s="19"/>
      <c r="Q225" s="19"/>
      <c r="R225" s="19"/>
      <c r="S225" s="19"/>
      <c r="T225" s="19"/>
      <c r="U225" s="18"/>
      <c r="V225" s="17" t="s">
        <v>497</v>
      </c>
      <c r="W225" s="17" t="s">
        <v>472</v>
      </c>
      <c r="Y225" s="4"/>
    </row>
    <row r="226" spans="2:25" ht="11.25" hidden="1" customHeight="1" x14ac:dyDescent="0.25">
      <c r="B226" s="17" t="s">
        <v>550</v>
      </c>
      <c r="C226" s="17" t="s">
        <v>550</v>
      </c>
      <c r="D226" s="17" t="s">
        <v>348</v>
      </c>
      <c r="E226" s="17" t="s">
        <v>28</v>
      </c>
      <c r="F226" s="17"/>
      <c r="G226" s="17"/>
      <c r="H226" s="17" t="s">
        <v>551</v>
      </c>
      <c r="I226" s="17" t="s">
        <v>552</v>
      </c>
      <c r="J226" s="17" t="s">
        <v>76</v>
      </c>
      <c r="K226" s="17" t="s">
        <v>77</v>
      </c>
      <c r="L226" s="18">
        <v>42352</v>
      </c>
      <c r="M226" s="18" t="s">
        <v>6687</v>
      </c>
      <c r="N226" s="18"/>
      <c r="O226" s="18"/>
      <c r="P226" s="19"/>
      <c r="Q226" s="19"/>
      <c r="R226" s="19"/>
      <c r="S226" s="19"/>
      <c r="T226" s="19"/>
      <c r="U226" s="18"/>
      <c r="V226" s="17" t="s">
        <v>552</v>
      </c>
      <c r="W226" s="17" t="s">
        <v>472</v>
      </c>
      <c r="Y226" s="4"/>
    </row>
    <row r="227" spans="2:25" ht="11.25" hidden="1" customHeight="1" x14ac:dyDescent="0.25">
      <c r="B227" s="17" t="s">
        <v>553</v>
      </c>
      <c r="C227" s="17" t="s">
        <v>553</v>
      </c>
      <c r="D227" s="17" t="s">
        <v>348</v>
      </c>
      <c r="E227" s="17" t="s">
        <v>28</v>
      </c>
      <c r="F227" s="17"/>
      <c r="G227" s="17"/>
      <c r="H227" s="17" t="s">
        <v>554</v>
      </c>
      <c r="I227" s="17" t="s">
        <v>552</v>
      </c>
      <c r="J227" s="17" t="s">
        <v>34</v>
      </c>
      <c r="K227" s="17" t="s">
        <v>35</v>
      </c>
      <c r="L227" s="18">
        <v>42352</v>
      </c>
      <c r="M227" s="18" t="s">
        <v>6687</v>
      </c>
      <c r="N227" s="18"/>
      <c r="O227" s="18"/>
      <c r="P227" s="19"/>
      <c r="Q227" s="19"/>
      <c r="R227" s="19"/>
      <c r="S227" s="19"/>
      <c r="T227" s="19"/>
      <c r="U227" s="18"/>
      <c r="V227" s="17" t="s">
        <v>552</v>
      </c>
      <c r="W227" s="17" t="s">
        <v>472</v>
      </c>
      <c r="Y227" s="4"/>
    </row>
    <row r="228" spans="2:25" ht="11.25" hidden="1" customHeight="1" x14ac:dyDescent="0.25">
      <c r="B228" s="17" t="s">
        <v>555</v>
      </c>
      <c r="C228" s="17" t="s">
        <v>555</v>
      </c>
      <c r="D228" s="17" t="s">
        <v>348</v>
      </c>
      <c r="E228" s="17" t="s">
        <v>28</v>
      </c>
      <c r="F228" s="17"/>
      <c r="G228" s="17"/>
      <c r="H228" s="17" t="s">
        <v>556</v>
      </c>
      <c r="I228" s="17" t="s">
        <v>350</v>
      </c>
      <c r="J228" s="17" t="s">
        <v>51</v>
      </c>
      <c r="K228" s="17" t="s">
        <v>52</v>
      </c>
      <c r="L228" s="18">
        <v>42362</v>
      </c>
      <c r="M228" s="18" t="s">
        <v>6687</v>
      </c>
      <c r="N228" s="18"/>
      <c r="O228" s="18"/>
      <c r="P228" s="19"/>
      <c r="Q228" s="19"/>
      <c r="R228" s="19"/>
      <c r="S228" s="19"/>
      <c r="T228" s="19"/>
      <c r="U228" s="18"/>
      <c r="V228" s="17" t="s">
        <v>350</v>
      </c>
      <c r="W228" s="17" t="s">
        <v>351</v>
      </c>
      <c r="Y228" s="4"/>
    </row>
    <row r="229" spans="2:25" ht="11.25" hidden="1" customHeight="1" x14ac:dyDescent="0.25">
      <c r="B229" s="17" t="s">
        <v>557</v>
      </c>
      <c r="C229" s="17" t="s">
        <v>557</v>
      </c>
      <c r="D229" s="17" t="s">
        <v>348</v>
      </c>
      <c r="E229" s="17" t="s">
        <v>28</v>
      </c>
      <c r="F229" s="17"/>
      <c r="G229" s="17"/>
      <c r="H229" s="17" t="s">
        <v>558</v>
      </c>
      <c r="I229" s="17" t="s">
        <v>350</v>
      </c>
      <c r="J229" s="17" t="s">
        <v>76</v>
      </c>
      <c r="K229" s="17" t="s">
        <v>77</v>
      </c>
      <c r="L229" s="18">
        <v>42366</v>
      </c>
      <c r="M229" s="18" t="s">
        <v>6687</v>
      </c>
      <c r="N229" s="18"/>
      <c r="O229" s="18"/>
      <c r="P229" s="19"/>
      <c r="Q229" s="19"/>
      <c r="R229" s="19"/>
      <c r="S229" s="19"/>
      <c r="T229" s="19"/>
      <c r="U229" s="18"/>
      <c r="V229" s="17" t="s">
        <v>350</v>
      </c>
      <c r="W229" s="17" t="s">
        <v>351</v>
      </c>
      <c r="Y229" s="4"/>
    </row>
    <row r="230" spans="2:25" ht="11.25" hidden="1" customHeight="1" x14ac:dyDescent="0.25">
      <c r="B230" s="17" t="s">
        <v>559</v>
      </c>
      <c r="C230" s="17" t="s">
        <v>559</v>
      </c>
      <c r="D230" s="17" t="s">
        <v>348</v>
      </c>
      <c r="E230" s="17" t="s">
        <v>28</v>
      </c>
      <c r="F230" s="17"/>
      <c r="G230" s="17"/>
      <c r="H230" s="17" t="s">
        <v>560</v>
      </c>
      <c r="I230" s="17" t="s">
        <v>350</v>
      </c>
      <c r="J230" s="17" t="s">
        <v>76</v>
      </c>
      <c r="K230" s="17" t="s">
        <v>77</v>
      </c>
      <c r="L230" s="18">
        <v>42368</v>
      </c>
      <c r="M230" s="18" t="s">
        <v>6687</v>
      </c>
      <c r="N230" s="18"/>
      <c r="O230" s="18"/>
      <c r="P230" s="19"/>
      <c r="Q230" s="19"/>
      <c r="R230" s="19"/>
      <c r="S230" s="19"/>
      <c r="T230" s="19"/>
      <c r="U230" s="18">
        <v>43647</v>
      </c>
      <c r="V230" s="17" t="s">
        <v>350</v>
      </c>
      <c r="W230" s="17" t="s">
        <v>351</v>
      </c>
      <c r="Y230" s="4"/>
    </row>
    <row r="231" spans="2:25" ht="11.25" hidden="1" customHeight="1" x14ac:dyDescent="0.25">
      <c r="B231" s="17" t="s">
        <v>561</v>
      </c>
      <c r="C231" s="17" t="s">
        <v>561</v>
      </c>
      <c r="D231" s="17" t="s">
        <v>348</v>
      </c>
      <c r="E231" s="17" t="s">
        <v>21</v>
      </c>
      <c r="F231" s="17"/>
      <c r="G231" s="17"/>
      <c r="H231" s="17" t="s">
        <v>562</v>
      </c>
      <c r="I231" s="17" t="s">
        <v>497</v>
      </c>
      <c r="J231" s="17" t="s">
        <v>120</v>
      </c>
      <c r="K231" s="17" t="s">
        <v>121</v>
      </c>
      <c r="L231" s="18">
        <v>42401</v>
      </c>
      <c r="M231" s="18" t="s">
        <v>6687</v>
      </c>
      <c r="N231" s="18"/>
      <c r="O231" s="18"/>
      <c r="P231" s="19">
        <v>44088</v>
      </c>
      <c r="Q231" s="19" t="s">
        <v>6687</v>
      </c>
      <c r="R231" s="19"/>
      <c r="S231" s="19"/>
      <c r="T231" s="19"/>
      <c r="U231" s="18"/>
      <c r="V231" s="17" t="s">
        <v>497</v>
      </c>
      <c r="W231" s="17" t="s">
        <v>472</v>
      </c>
      <c r="Y231" s="4"/>
    </row>
    <row r="232" spans="2:25" ht="11.25" hidden="1" customHeight="1" x14ac:dyDescent="0.25">
      <c r="B232" s="17" t="s">
        <v>563</v>
      </c>
      <c r="C232" s="17" t="s">
        <v>563</v>
      </c>
      <c r="D232" s="17" t="s">
        <v>348</v>
      </c>
      <c r="E232" s="17" t="s">
        <v>28</v>
      </c>
      <c r="F232" s="17"/>
      <c r="G232" s="17"/>
      <c r="H232" s="17" t="s">
        <v>564</v>
      </c>
      <c r="I232" s="17" t="s">
        <v>565</v>
      </c>
      <c r="J232" s="17" t="s">
        <v>76</v>
      </c>
      <c r="K232" s="17" t="s">
        <v>77</v>
      </c>
      <c r="L232" s="18">
        <v>42455</v>
      </c>
      <c r="M232" s="18" t="s">
        <v>6687</v>
      </c>
      <c r="N232" s="18"/>
      <c r="O232" s="18"/>
      <c r="P232" s="19"/>
      <c r="Q232" s="19"/>
      <c r="R232" s="19"/>
      <c r="S232" s="19"/>
      <c r="T232" s="19"/>
      <c r="U232" s="18"/>
      <c r="V232" s="17" t="s">
        <v>565</v>
      </c>
      <c r="W232" s="17" t="s">
        <v>472</v>
      </c>
      <c r="Y232" s="4"/>
    </row>
    <row r="233" spans="2:25" ht="11.25" hidden="1" customHeight="1" x14ac:dyDescent="0.25">
      <c r="B233" s="17" t="s">
        <v>566</v>
      </c>
      <c r="C233" s="17" t="s">
        <v>566</v>
      </c>
      <c r="D233" s="17" t="s">
        <v>348</v>
      </c>
      <c r="E233" s="17" t="s">
        <v>28</v>
      </c>
      <c r="F233" s="17"/>
      <c r="G233" s="17"/>
      <c r="H233" s="17" t="s">
        <v>567</v>
      </c>
      <c r="I233" s="17" t="s">
        <v>565</v>
      </c>
      <c r="J233" s="17" t="s">
        <v>34</v>
      </c>
      <c r="K233" s="17" t="s">
        <v>35</v>
      </c>
      <c r="L233" s="18">
        <v>42455</v>
      </c>
      <c r="M233" s="18" t="s">
        <v>6687</v>
      </c>
      <c r="N233" s="18"/>
      <c r="O233" s="18"/>
      <c r="P233" s="19"/>
      <c r="Q233" s="19"/>
      <c r="R233" s="19"/>
      <c r="S233" s="19"/>
      <c r="T233" s="19"/>
      <c r="U233" s="18"/>
      <c r="V233" s="17" t="s">
        <v>565</v>
      </c>
      <c r="W233" s="17" t="s">
        <v>472</v>
      </c>
      <c r="Y233" s="4"/>
    </row>
    <row r="234" spans="2:25" ht="11.25" hidden="1" customHeight="1" x14ac:dyDescent="0.25">
      <c r="B234" s="17" t="s">
        <v>568</v>
      </c>
      <c r="C234" s="17" t="s">
        <v>568</v>
      </c>
      <c r="D234" s="17" t="s">
        <v>348</v>
      </c>
      <c r="E234" s="17" t="s">
        <v>28</v>
      </c>
      <c r="F234" s="17"/>
      <c r="G234" s="17"/>
      <c r="H234" s="17" t="s">
        <v>569</v>
      </c>
      <c r="I234" s="17" t="s">
        <v>350</v>
      </c>
      <c r="J234" s="17" t="s">
        <v>76</v>
      </c>
      <c r="K234" s="17" t="s">
        <v>77</v>
      </c>
      <c r="L234" s="18">
        <v>42455</v>
      </c>
      <c r="M234" s="18" t="s">
        <v>6687</v>
      </c>
      <c r="N234" s="18"/>
      <c r="O234" s="18"/>
      <c r="P234" s="20"/>
      <c r="Q234" s="20"/>
      <c r="R234" s="20"/>
      <c r="S234" s="20"/>
      <c r="T234" s="19"/>
      <c r="U234" s="18"/>
      <c r="V234" s="17" t="s">
        <v>350</v>
      </c>
      <c r="W234" s="17" t="s">
        <v>351</v>
      </c>
      <c r="Y234" s="4"/>
    </row>
    <row r="235" spans="2:25" ht="11.25" hidden="1" customHeight="1" x14ac:dyDescent="0.25">
      <c r="B235" s="17" t="s">
        <v>570</v>
      </c>
      <c r="C235" s="17" t="s">
        <v>570</v>
      </c>
      <c r="D235" s="17" t="s">
        <v>348</v>
      </c>
      <c r="E235" s="17" t="s">
        <v>28</v>
      </c>
      <c r="F235" s="17"/>
      <c r="G235" s="17"/>
      <c r="H235" s="17" t="s">
        <v>571</v>
      </c>
      <c r="I235" s="17" t="s">
        <v>350</v>
      </c>
      <c r="J235" s="17" t="s">
        <v>34</v>
      </c>
      <c r="K235" s="17" t="s">
        <v>35</v>
      </c>
      <c r="L235" s="18">
        <v>42455</v>
      </c>
      <c r="M235" s="18" t="s">
        <v>6687</v>
      </c>
      <c r="N235" s="18"/>
      <c r="O235" s="18"/>
      <c r="P235" s="19"/>
      <c r="Q235" s="19"/>
      <c r="R235" s="19"/>
      <c r="S235" s="19"/>
      <c r="T235" s="19"/>
      <c r="U235" s="18"/>
      <c r="V235" s="17" t="s">
        <v>350</v>
      </c>
      <c r="W235" s="17" t="s">
        <v>351</v>
      </c>
      <c r="Y235" s="4"/>
    </row>
    <row r="236" spans="2:25" ht="11.25" hidden="1" customHeight="1" x14ac:dyDescent="0.25">
      <c r="B236" s="17" t="s">
        <v>572</v>
      </c>
      <c r="C236" s="17" t="s">
        <v>572</v>
      </c>
      <c r="D236" s="17" t="s">
        <v>348</v>
      </c>
      <c r="E236" s="17" t="s">
        <v>21</v>
      </c>
      <c r="F236" s="17"/>
      <c r="G236" s="17"/>
      <c r="H236" s="17" t="s">
        <v>573</v>
      </c>
      <c r="I236" s="17" t="s">
        <v>471</v>
      </c>
      <c r="J236" s="17" t="s">
        <v>120</v>
      </c>
      <c r="K236" s="17" t="s">
        <v>121</v>
      </c>
      <c r="L236" s="18">
        <v>42488</v>
      </c>
      <c r="M236" s="18" t="s">
        <v>6687</v>
      </c>
      <c r="N236" s="18"/>
      <c r="O236" s="18"/>
      <c r="P236" s="19">
        <v>44089</v>
      </c>
      <c r="Q236" s="19" t="s">
        <v>6687</v>
      </c>
      <c r="R236" s="19"/>
      <c r="S236" s="19"/>
      <c r="T236" s="19"/>
      <c r="U236" s="18"/>
      <c r="V236" s="17" t="s">
        <v>471</v>
      </c>
      <c r="W236" s="17" t="s">
        <v>472</v>
      </c>
      <c r="Y236" s="4"/>
    </row>
    <row r="237" spans="2:25" hidden="1" x14ac:dyDescent="0.25">
      <c r="B237" s="17" t="s">
        <v>574</v>
      </c>
      <c r="C237" s="17" t="s">
        <v>574</v>
      </c>
      <c r="D237" s="17" t="s">
        <v>348</v>
      </c>
      <c r="E237" s="17" t="s">
        <v>21</v>
      </c>
      <c r="F237" s="17"/>
      <c r="G237" s="17"/>
      <c r="H237" s="17" t="s">
        <v>575</v>
      </c>
      <c r="I237" s="17" t="s">
        <v>471</v>
      </c>
      <c r="J237" s="17" t="s">
        <v>51</v>
      </c>
      <c r="K237" s="17" t="s">
        <v>52</v>
      </c>
      <c r="L237" s="18">
        <v>42488</v>
      </c>
      <c r="M237" s="18" t="s">
        <v>6687</v>
      </c>
      <c r="N237" s="18"/>
      <c r="O237" s="18"/>
      <c r="P237" s="19">
        <v>45383</v>
      </c>
      <c r="Q237" s="19" t="s">
        <v>6687</v>
      </c>
      <c r="R237" s="19" t="s">
        <v>47</v>
      </c>
      <c r="S237" s="19" t="s">
        <v>576</v>
      </c>
      <c r="T237" s="19"/>
      <c r="U237" s="18"/>
      <c r="V237" s="17" t="s">
        <v>471</v>
      </c>
      <c r="W237" s="17" t="s">
        <v>472</v>
      </c>
      <c r="Y237" s="4"/>
    </row>
    <row r="238" spans="2:25" ht="11.25" hidden="1" customHeight="1" x14ac:dyDescent="0.25">
      <c r="B238" s="17" t="s">
        <v>577</v>
      </c>
      <c r="C238" s="17" t="s">
        <v>577</v>
      </c>
      <c r="D238" s="17" t="s">
        <v>348</v>
      </c>
      <c r="E238" s="17" t="s">
        <v>28</v>
      </c>
      <c r="F238" s="17"/>
      <c r="G238" s="17"/>
      <c r="H238" s="17" t="s">
        <v>578</v>
      </c>
      <c r="I238" s="17" t="s">
        <v>350</v>
      </c>
      <c r="J238" s="17" t="s">
        <v>76</v>
      </c>
      <c r="K238" s="17" t="s">
        <v>77</v>
      </c>
      <c r="L238" s="18">
        <v>42488</v>
      </c>
      <c r="M238" s="18" t="s">
        <v>6687</v>
      </c>
      <c r="N238" s="18"/>
      <c r="O238" s="18"/>
      <c r="P238" s="19"/>
      <c r="Q238" s="19"/>
      <c r="R238" s="19"/>
      <c r="S238" s="19"/>
      <c r="T238" s="19"/>
      <c r="U238" s="18"/>
      <c r="V238" s="17" t="s">
        <v>350</v>
      </c>
      <c r="W238" s="17" t="s">
        <v>351</v>
      </c>
      <c r="Y238" s="4"/>
    </row>
    <row r="239" spans="2:25" ht="11.25" hidden="1" customHeight="1" x14ac:dyDescent="0.25">
      <c r="B239" s="17" t="s">
        <v>579</v>
      </c>
      <c r="C239" s="17" t="s">
        <v>579</v>
      </c>
      <c r="D239" s="17" t="s">
        <v>348</v>
      </c>
      <c r="E239" s="17" t="s">
        <v>28</v>
      </c>
      <c r="F239" s="17"/>
      <c r="G239" s="17"/>
      <c r="H239" s="17" t="s">
        <v>580</v>
      </c>
      <c r="I239" s="17" t="s">
        <v>350</v>
      </c>
      <c r="J239" s="17" t="s">
        <v>34</v>
      </c>
      <c r="K239" s="17" t="s">
        <v>35</v>
      </c>
      <c r="L239" s="18">
        <v>42488</v>
      </c>
      <c r="M239" s="18" t="s">
        <v>6687</v>
      </c>
      <c r="N239" s="18"/>
      <c r="O239" s="18"/>
      <c r="P239" s="19"/>
      <c r="Q239" s="19"/>
      <c r="R239" s="19"/>
      <c r="S239" s="19"/>
      <c r="T239" s="19"/>
      <c r="U239" s="18"/>
      <c r="V239" s="17" t="s">
        <v>350</v>
      </c>
      <c r="W239" s="17" t="s">
        <v>351</v>
      </c>
      <c r="Y239" s="4"/>
    </row>
    <row r="240" spans="2:25" ht="11.25" hidden="1" customHeight="1" x14ac:dyDescent="0.25">
      <c r="B240" s="17" t="s">
        <v>581</v>
      </c>
      <c r="C240" s="17" t="s">
        <v>581</v>
      </c>
      <c r="D240" s="17" t="s">
        <v>348</v>
      </c>
      <c r="E240" s="17" t="s">
        <v>21</v>
      </c>
      <c r="F240" s="17"/>
      <c r="G240" s="17"/>
      <c r="H240" s="17" t="s">
        <v>582</v>
      </c>
      <c r="I240" s="17" t="s">
        <v>350</v>
      </c>
      <c r="J240" s="17" t="s">
        <v>120</v>
      </c>
      <c r="K240" s="17" t="s">
        <v>121</v>
      </c>
      <c r="L240" s="18">
        <v>42491</v>
      </c>
      <c r="M240" s="18" t="s">
        <v>6687</v>
      </c>
      <c r="N240" s="18"/>
      <c r="O240" s="18"/>
      <c r="P240" s="19">
        <v>44620</v>
      </c>
      <c r="Q240" s="19" t="s">
        <v>6687</v>
      </c>
      <c r="R240" s="19"/>
      <c r="S240" s="19"/>
      <c r="T240" s="19"/>
      <c r="U240" s="18"/>
      <c r="V240" s="17" t="s">
        <v>350</v>
      </c>
      <c r="W240" s="17" t="s">
        <v>351</v>
      </c>
      <c r="Y240" s="4"/>
    </row>
    <row r="241" spans="2:25" ht="11.25" hidden="1" customHeight="1" x14ac:dyDescent="0.25">
      <c r="B241" s="17" t="s">
        <v>583</v>
      </c>
      <c r="C241" s="17" t="s">
        <v>583</v>
      </c>
      <c r="D241" s="17" t="s">
        <v>348</v>
      </c>
      <c r="E241" s="17" t="s">
        <v>28</v>
      </c>
      <c r="F241" s="17"/>
      <c r="G241" s="17"/>
      <c r="H241" s="17" t="s">
        <v>584</v>
      </c>
      <c r="I241" s="17" t="s">
        <v>522</v>
      </c>
      <c r="J241" s="17" t="s">
        <v>34</v>
      </c>
      <c r="K241" s="17" t="s">
        <v>35</v>
      </c>
      <c r="L241" s="18">
        <v>42498</v>
      </c>
      <c r="M241" s="18" t="s">
        <v>6687</v>
      </c>
      <c r="N241" s="18"/>
      <c r="O241" s="18"/>
      <c r="P241" s="19"/>
      <c r="Q241" s="19"/>
      <c r="R241" s="19"/>
      <c r="S241" s="19"/>
      <c r="T241" s="19"/>
      <c r="U241" s="18"/>
      <c r="V241" s="17" t="s">
        <v>522</v>
      </c>
      <c r="W241" s="17" t="s">
        <v>472</v>
      </c>
      <c r="Y241" s="4"/>
    </row>
    <row r="242" spans="2:25" ht="11.25" hidden="1" customHeight="1" x14ac:dyDescent="0.25">
      <c r="B242" s="17" t="s">
        <v>585</v>
      </c>
      <c r="C242" s="17" t="s">
        <v>585</v>
      </c>
      <c r="D242" s="17" t="s">
        <v>348</v>
      </c>
      <c r="E242" s="17" t="s">
        <v>28</v>
      </c>
      <c r="F242" s="17"/>
      <c r="G242" s="17"/>
      <c r="H242" s="17" t="s">
        <v>586</v>
      </c>
      <c r="I242" s="17" t="s">
        <v>522</v>
      </c>
      <c r="J242" s="17" t="s">
        <v>51</v>
      </c>
      <c r="K242" s="17" t="s">
        <v>52</v>
      </c>
      <c r="L242" s="18">
        <v>42533</v>
      </c>
      <c r="M242" s="18" t="s">
        <v>6687</v>
      </c>
      <c r="N242" s="18"/>
      <c r="O242" s="18"/>
      <c r="P242" s="19"/>
      <c r="Q242" s="19"/>
      <c r="R242" s="19"/>
      <c r="S242" s="19"/>
      <c r="T242" s="19"/>
      <c r="U242" s="18"/>
      <c r="V242" s="17" t="s">
        <v>522</v>
      </c>
      <c r="W242" s="17" t="s">
        <v>472</v>
      </c>
      <c r="Y242" s="4"/>
    </row>
    <row r="243" spans="2:25" ht="11.25" hidden="1" customHeight="1" x14ac:dyDescent="0.25">
      <c r="B243" s="17" t="s">
        <v>587</v>
      </c>
      <c r="C243" s="17" t="s">
        <v>587</v>
      </c>
      <c r="D243" s="17" t="s">
        <v>348</v>
      </c>
      <c r="E243" s="17" t="s">
        <v>28</v>
      </c>
      <c r="F243" s="17"/>
      <c r="G243" s="17"/>
      <c r="H243" s="17" t="s">
        <v>588</v>
      </c>
      <c r="I243" s="17" t="s">
        <v>350</v>
      </c>
      <c r="J243" s="17" t="s">
        <v>379</v>
      </c>
      <c r="K243" s="17" t="s">
        <v>380</v>
      </c>
      <c r="L243" s="18">
        <v>42552</v>
      </c>
      <c r="M243" s="18" t="s">
        <v>6687</v>
      </c>
      <c r="N243" s="18"/>
      <c r="O243" s="18"/>
      <c r="P243" s="19"/>
      <c r="Q243" s="19"/>
      <c r="R243" s="19"/>
      <c r="S243" s="19"/>
      <c r="T243" s="19"/>
      <c r="U243" s="18"/>
      <c r="V243" s="17" t="s">
        <v>350</v>
      </c>
      <c r="W243" s="17" t="s">
        <v>351</v>
      </c>
      <c r="Y243" s="4"/>
    </row>
    <row r="244" spans="2:25" ht="11.25" hidden="1" customHeight="1" x14ac:dyDescent="0.25">
      <c r="B244" s="17" t="s">
        <v>589</v>
      </c>
      <c r="C244" s="17" t="s">
        <v>589</v>
      </c>
      <c r="D244" s="17" t="s">
        <v>348</v>
      </c>
      <c r="E244" s="17" t="s">
        <v>28</v>
      </c>
      <c r="F244" s="17"/>
      <c r="G244" s="17"/>
      <c r="H244" s="17" t="s">
        <v>590</v>
      </c>
      <c r="I244" s="17" t="s">
        <v>350</v>
      </c>
      <c r="J244" s="17" t="s">
        <v>76</v>
      </c>
      <c r="K244" s="17" t="s">
        <v>77</v>
      </c>
      <c r="L244" s="18">
        <v>42552</v>
      </c>
      <c r="M244" s="18" t="s">
        <v>6687</v>
      </c>
      <c r="N244" s="18"/>
      <c r="O244" s="18"/>
      <c r="P244" s="19"/>
      <c r="Q244" s="19"/>
      <c r="R244" s="19"/>
      <c r="S244" s="19"/>
      <c r="T244" s="19"/>
      <c r="U244" s="18"/>
      <c r="V244" s="17" t="s">
        <v>350</v>
      </c>
      <c r="W244" s="17" t="s">
        <v>351</v>
      </c>
      <c r="Y244" s="4"/>
    </row>
    <row r="245" spans="2:25" ht="11.25" hidden="1" customHeight="1" x14ac:dyDescent="0.25">
      <c r="B245" s="17" t="s">
        <v>591</v>
      </c>
      <c r="C245" s="17" t="s">
        <v>591</v>
      </c>
      <c r="D245" s="17" t="s">
        <v>348</v>
      </c>
      <c r="E245" s="17" t="s">
        <v>28</v>
      </c>
      <c r="F245" s="17"/>
      <c r="G245" s="17"/>
      <c r="H245" s="17" t="s">
        <v>592</v>
      </c>
      <c r="I245" s="17" t="s">
        <v>350</v>
      </c>
      <c r="J245" s="17" t="s">
        <v>34</v>
      </c>
      <c r="K245" s="17" t="s">
        <v>35</v>
      </c>
      <c r="L245" s="18">
        <v>42552</v>
      </c>
      <c r="M245" s="18" t="s">
        <v>6687</v>
      </c>
      <c r="N245" s="18"/>
      <c r="O245" s="18"/>
      <c r="P245" s="19"/>
      <c r="Q245" s="19"/>
      <c r="R245" s="19"/>
      <c r="S245" s="19"/>
      <c r="T245" s="19"/>
      <c r="U245" s="18"/>
      <c r="V245" s="17" t="s">
        <v>350</v>
      </c>
      <c r="W245" s="17" t="s">
        <v>351</v>
      </c>
      <c r="Y245" s="4"/>
    </row>
    <row r="246" spans="2:25" ht="11.25" hidden="1" customHeight="1" x14ac:dyDescent="0.25">
      <c r="B246" s="17" t="s">
        <v>593</v>
      </c>
      <c r="C246" s="17" t="s">
        <v>593</v>
      </c>
      <c r="D246" s="17" t="s">
        <v>348</v>
      </c>
      <c r="E246" s="17" t="s">
        <v>21</v>
      </c>
      <c r="F246" s="17"/>
      <c r="G246" s="17"/>
      <c r="H246" s="17" t="s">
        <v>594</v>
      </c>
      <c r="I246" s="17" t="s">
        <v>350</v>
      </c>
      <c r="J246" s="17" t="s">
        <v>141</v>
      </c>
      <c r="K246" s="17" t="s">
        <v>142</v>
      </c>
      <c r="L246" s="18">
        <v>42552</v>
      </c>
      <c r="M246" s="18" t="s">
        <v>6687</v>
      </c>
      <c r="N246" s="18"/>
      <c r="O246" s="18"/>
      <c r="P246" s="19">
        <v>43916</v>
      </c>
      <c r="Q246" s="19" t="s">
        <v>6687</v>
      </c>
      <c r="R246" s="19"/>
      <c r="S246" s="19"/>
      <c r="T246" s="19"/>
      <c r="U246" s="18"/>
      <c r="V246" s="17" t="s">
        <v>350</v>
      </c>
      <c r="W246" s="17" t="s">
        <v>351</v>
      </c>
      <c r="Y246" s="4"/>
    </row>
    <row r="247" spans="2:25" ht="11.25" hidden="1" customHeight="1" x14ac:dyDescent="0.25">
      <c r="B247" s="17" t="s">
        <v>595</v>
      </c>
      <c r="C247" s="17" t="s">
        <v>595</v>
      </c>
      <c r="D247" s="17" t="s">
        <v>348</v>
      </c>
      <c r="E247" s="17" t="s">
        <v>21</v>
      </c>
      <c r="F247" s="17"/>
      <c r="G247" s="17"/>
      <c r="H247" s="17" t="s">
        <v>596</v>
      </c>
      <c r="I247" s="17" t="s">
        <v>350</v>
      </c>
      <c r="J247" s="17" t="s">
        <v>597</v>
      </c>
      <c r="K247" s="17" t="s">
        <v>598</v>
      </c>
      <c r="L247" s="18">
        <v>42570</v>
      </c>
      <c r="M247" s="18" t="s">
        <v>6687</v>
      </c>
      <c r="N247" s="18"/>
      <c r="O247" s="18"/>
      <c r="P247" s="19">
        <v>43915</v>
      </c>
      <c r="Q247" s="19" t="s">
        <v>6687</v>
      </c>
      <c r="R247" s="19"/>
      <c r="S247" s="19"/>
      <c r="T247" s="19"/>
      <c r="U247" s="18"/>
      <c r="V247" s="17" t="s">
        <v>350</v>
      </c>
      <c r="W247" s="17" t="s">
        <v>351</v>
      </c>
      <c r="Y247" s="4"/>
    </row>
    <row r="248" spans="2:25" ht="11.25" hidden="1" customHeight="1" x14ac:dyDescent="0.25">
      <c r="B248" s="17" t="s">
        <v>599</v>
      </c>
      <c r="C248" s="17" t="s">
        <v>599</v>
      </c>
      <c r="D248" s="17" t="s">
        <v>348</v>
      </c>
      <c r="E248" s="17" t="s">
        <v>28</v>
      </c>
      <c r="F248" s="17"/>
      <c r="G248" s="17"/>
      <c r="H248" s="17" t="s">
        <v>600</v>
      </c>
      <c r="I248" s="17" t="s">
        <v>601</v>
      </c>
      <c r="J248" s="17" t="s">
        <v>76</v>
      </c>
      <c r="K248" s="17" t="s">
        <v>77</v>
      </c>
      <c r="L248" s="18">
        <v>42579</v>
      </c>
      <c r="M248" s="18" t="s">
        <v>6687</v>
      </c>
      <c r="N248" s="18"/>
      <c r="O248" s="18"/>
      <c r="P248" s="19"/>
      <c r="Q248" s="19"/>
      <c r="R248" s="19"/>
      <c r="S248" s="19"/>
      <c r="T248" s="19"/>
      <c r="U248" s="18"/>
      <c r="V248" s="17" t="s">
        <v>601</v>
      </c>
      <c r="W248" s="17" t="s">
        <v>472</v>
      </c>
      <c r="Y248" s="4"/>
    </row>
    <row r="249" spans="2:25" ht="11.25" hidden="1" customHeight="1" x14ac:dyDescent="0.25">
      <c r="B249" s="17" t="s">
        <v>602</v>
      </c>
      <c r="C249" s="17" t="s">
        <v>602</v>
      </c>
      <c r="D249" s="17" t="s">
        <v>348</v>
      </c>
      <c r="E249" s="17" t="s">
        <v>28</v>
      </c>
      <c r="F249" s="17"/>
      <c r="G249" s="17"/>
      <c r="H249" s="17" t="s">
        <v>603</v>
      </c>
      <c r="I249" s="17" t="s">
        <v>601</v>
      </c>
      <c r="J249" s="17" t="s">
        <v>34</v>
      </c>
      <c r="K249" s="17" t="s">
        <v>35</v>
      </c>
      <c r="L249" s="18">
        <v>42579</v>
      </c>
      <c r="M249" s="18" t="s">
        <v>6687</v>
      </c>
      <c r="N249" s="18"/>
      <c r="O249" s="18"/>
      <c r="P249" s="19"/>
      <c r="Q249" s="19"/>
      <c r="R249" s="19"/>
      <c r="S249" s="19"/>
      <c r="T249" s="19"/>
      <c r="U249" s="18"/>
      <c r="V249" s="17" t="s">
        <v>601</v>
      </c>
      <c r="W249" s="17" t="s">
        <v>472</v>
      </c>
      <c r="Y249" s="24">
        <v>43608</v>
      </c>
    </row>
    <row r="250" spans="2:25" ht="11.25" hidden="1" customHeight="1" x14ac:dyDescent="0.25">
      <c r="B250" s="17" t="s">
        <v>604</v>
      </c>
      <c r="C250" s="17" t="s">
        <v>604</v>
      </c>
      <c r="D250" s="17" t="s">
        <v>348</v>
      </c>
      <c r="E250" s="17" t="s">
        <v>28</v>
      </c>
      <c r="F250" s="17"/>
      <c r="G250" s="17"/>
      <c r="H250" s="17" t="s">
        <v>605</v>
      </c>
      <c r="I250" s="17" t="s">
        <v>350</v>
      </c>
      <c r="J250" s="17" t="s">
        <v>379</v>
      </c>
      <c r="K250" s="17" t="s">
        <v>380</v>
      </c>
      <c r="L250" s="18">
        <v>42581</v>
      </c>
      <c r="M250" s="18" t="s">
        <v>6687</v>
      </c>
      <c r="N250" s="18"/>
      <c r="O250" s="18"/>
      <c r="P250" s="19"/>
      <c r="Q250" s="19"/>
      <c r="R250" s="19"/>
      <c r="S250" s="19"/>
      <c r="T250" s="19"/>
      <c r="U250" s="18"/>
      <c r="V250" s="17" t="s">
        <v>350</v>
      </c>
      <c r="W250" s="17" t="s">
        <v>351</v>
      </c>
      <c r="Y250" s="24">
        <v>43614</v>
      </c>
    </row>
    <row r="251" spans="2:25" ht="11.25" hidden="1" customHeight="1" x14ac:dyDescent="0.25">
      <c r="B251" s="17" t="s">
        <v>606</v>
      </c>
      <c r="C251" s="17" t="s">
        <v>606</v>
      </c>
      <c r="D251" s="17" t="s">
        <v>348</v>
      </c>
      <c r="E251" s="17" t="s">
        <v>28</v>
      </c>
      <c r="F251" s="17"/>
      <c r="G251" s="17"/>
      <c r="H251" s="17" t="s">
        <v>607</v>
      </c>
      <c r="I251" s="17" t="s">
        <v>350</v>
      </c>
      <c r="J251" s="17" t="s">
        <v>76</v>
      </c>
      <c r="K251" s="17" t="s">
        <v>77</v>
      </c>
      <c r="L251" s="18">
        <v>42581</v>
      </c>
      <c r="M251" s="18" t="s">
        <v>6687</v>
      </c>
      <c r="N251" s="18"/>
      <c r="O251" s="18"/>
      <c r="P251" s="19"/>
      <c r="Q251" s="19"/>
      <c r="R251" s="19"/>
      <c r="S251" s="19"/>
      <c r="T251" s="19"/>
      <c r="U251" s="18"/>
      <c r="V251" s="17" t="s">
        <v>350</v>
      </c>
      <c r="W251" s="17" t="s">
        <v>351</v>
      </c>
      <c r="Y251" s="4"/>
    </row>
    <row r="252" spans="2:25" ht="11.25" hidden="1" customHeight="1" x14ac:dyDescent="0.25">
      <c r="B252" s="17" t="s">
        <v>608</v>
      </c>
      <c r="C252" s="17" t="s">
        <v>608</v>
      </c>
      <c r="D252" s="17" t="s">
        <v>348</v>
      </c>
      <c r="E252" s="17" t="s">
        <v>21</v>
      </c>
      <c r="F252" s="17"/>
      <c r="G252" s="17"/>
      <c r="H252" s="17" t="s">
        <v>609</v>
      </c>
      <c r="I252" s="17" t="s">
        <v>350</v>
      </c>
      <c r="J252" s="17" t="s">
        <v>65</v>
      </c>
      <c r="K252" s="17" t="s">
        <v>66</v>
      </c>
      <c r="L252" s="18">
        <v>42581</v>
      </c>
      <c r="M252" s="18" t="s">
        <v>6687</v>
      </c>
      <c r="N252" s="18"/>
      <c r="O252" s="18"/>
      <c r="P252" s="19">
        <v>45809</v>
      </c>
      <c r="Q252" s="19" t="s">
        <v>6687</v>
      </c>
      <c r="R252" s="19" t="s">
        <v>47</v>
      </c>
      <c r="S252" s="19" t="s">
        <v>610</v>
      </c>
      <c r="T252" s="19"/>
      <c r="U252" s="18"/>
      <c r="V252" s="17" t="s">
        <v>350</v>
      </c>
      <c r="W252" s="17" t="s">
        <v>351</v>
      </c>
      <c r="Y252" s="4">
        <v>43665</v>
      </c>
    </row>
    <row r="253" spans="2:25" ht="11.25" hidden="1" customHeight="1" x14ac:dyDescent="0.25">
      <c r="B253" s="17" t="s">
        <v>611</v>
      </c>
      <c r="C253" s="17" t="s">
        <v>611</v>
      </c>
      <c r="D253" s="17" t="s">
        <v>348</v>
      </c>
      <c r="E253" s="17" t="s">
        <v>21</v>
      </c>
      <c r="F253" s="17"/>
      <c r="G253" s="17"/>
      <c r="H253" s="17" t="s">
        <v>612</v>
      </c>
      <c r="I253" s="17" t="s">
        <v>350</v>
      </c>
      <c r="J253" s="17" t="s">
        <v>597</v>
      </c>
      <c r="K253" s="17" t="s">
        <v>598</v>
      </c>
      <c r="L253" s="18">
        <v>42582</v>
      </c>
      <c r="M253" s="18" t="s">
        <v>6687</v>
      </c>
      <c r="N253" s="18"/>
      <c r="O253" s="18"/>
      <c r="P253" s="19">
        <v>43915</v>
      </c>
      <c r="Q253" s="19" t="s">
        <v>6687</v>
      </c>
      <c r="R253" s="19"/>
      <c r="S253" s="19"/>
      <c r="T253" s="19"/>
      <c r="U253" s="18"/>
      <c r="V253" s="17" t="s">
        <v>350</v>
      </c>
      <c r="W253" s="17" t="s">
        <v>351</v>
      </c>
      <c r="Y253" s="4"/>
    </row>
    <row r="254" spans="2:25" ht="11.25" hidden="1" customHeight="1" x14ac:dyDescent="0.25">
      <c r="B254" s="17" t="s">
        <v>613</v>
      </c>
      <c r="C254" s="17" t="s">
        <v>613</v>
      </c>
      <c r="D254" s="17" t="s">
        <v>348</v>
      </c>
      <c r="E254" s="17" t="s">
        <v>21</v>
      </c>
      <c r="F254" s="17"/>
      <c r="G254" s="17"/>
      <c r="H254" s="17" t="s">
        <v>614</v>
      </c>
      <c r="I254" s="17" t="s">
        <v>350</v>
      </c>
      <c r="J254" s="17" t="s">
        <v>120</v>
      </c>
      <c r="K254" s="17" t="s">
        <v>121</v>
      </c>
      <c r="L254" s="18">
        <v>42583</v>
      </c>
      <c r="M254" s="18" t="s">
        <v>6687</v>
      </c>
      <c r="N254" s="18"/>
      <c r="O254" s="18"/>
      <c r="P254" s="19">
        <v>44348</v>
      </c>
      <c r="Q254" s="19" t="s">
        <v>6687</v>
      </c>
      <c r="R254" s="19"/>
      <c r="S254" s="19"/>
      <c r="T254" s="19"/>
      <c r="U254" s="18"/>
      <c r="V254" s="17" t="s">
        <v>350</v>
      </c>
      <c r="W254" s="17" t="s">
        <v>351</v>
      </c>
      <c r="Y254" s="4"/>
    </row>
    <row r="255" spans="2:25" ht="11.25" hidden="1" customHeight="1" x14ac:dyDescent="0.25">
      <c r="B255" s="17" t="s">
        <v>615</v>
      </c>
      <c r="C255" s="17" t="s">
        <v>615</v>
      </c>
      <c r="D255" s="17" t="s">
        <v>348</v>
      </c>
      <c r="E255" s="17" t="s">
        <v>28</v>
      </c>
      <c r="F255" s="17"/>
      <c r="G255" s="17"/>
      <c r="H255" s="17" t="s">
        <v>616</v>
      </c>
      <c r="I255" s="17" t="s">
        <v>350</v>
      </c>
      <c r="J255" s="17" t="s">
        <v>34</v>
      </c>
      <c r="K255" s="17" t="s">
        <v>35</v>
      </c>
      <c r="L255" s="18">
        <v>42583</v>
      </c>
      <c r="M255" s="18" t="s">
        <v>6687</v>
      </c>
      <c r="N255" s="18"/>
      <c r="O255" s="18"/>
      <c r="P255" s="19"/>
      <c r="Q255" s="19"/>
      <c r="R255" s="19"/>
      <c r="S255" s="19"/>
      <c r="T255" s="19"/>
      <c r="U255" s="18"/>
      <c r="V255" s="17" t="s">
        <v>350</v>
      </c>
      <c r="W255" s="17" t="s">
        <v>351</v>
      </c>
      <c r="Y255" s="4"/>
    </row>
    <row r="256" spans="2:25" ht="11.25" hidden="1" customHeight="1" x14ac:dyDescent="0.25">
      <c r="B256" s="17" t="s">
        <v>617</v>
      </c>
      <c r="C256" s="17" t="s">
        <v>617</v>
      </c>
      <c r="D256" s="17" t="s">
        <v>348</v>
      </c>
      <c r="E256" s="17" t="s">
        <v>28</v>
      </c>
      <c r="F256" s="17"/>
      <c r="G256" s="17"/>
      <c r="H256" s="17" t="s">
        <v>618</v>
      </c>
      <c r="I256" s="17" t="s">
        <v>527</v>
      </c>
      <c r="J256" s="17" t="s">
        <v>76</v>
      </c>
      <c r="K256" s="17" t="s">
        <v>77</v>
      </c>
      <c r="L256" s="18">
        <v>42633</v>
      </c>
      <c r="M256" s="18" t="s">
        <v>6687</v>
      </c>
      <c r="N256" s="18"/>
      <c r="O256" s="18"/>
      <c r="P256" s="19"/>
      <c r="Q256" s="19"/>
      <c r="R256" s="19"/>
      <c r="S256" s="19"/>
      <c r="T256" s="19"/>
      <c r="U256" s="18"/>
      <c r="V256" s="17" t="s">
        <v>527</v>
      </c>
      <c r="W256" s="17" t="s">
        <v>472</v>
      </c>
      <c r="Y256" s="4">
        <v>43496</v>
      </c>
    </row>
    <row r="257" spans="2:25" ht="11.25" hidden="1" customHeight="1" x14ac:dyDescent="0.25">
      <c r="B257" s="17" t="s">
        <v>619</v>
      </c>
      <c r="C257" s="17" t="s">
        <v>619</v>
      </c>
      <c r="D257" s="17" t="s">
        <v>348</v>
      </c>
      <c r="E257" s="17" t="s">
        <v>28</v>
      </c>
      <c r="F257" s="17"/>
      <c r="G257" s="17"/>
      <c r="H257" s="17" t="s">
        <v>620</v>
      </c>
      <c r="I257" s="17" t="s">
        <v>527</v>
      </c>
      <c r="J257" s="17" t="s">
        <v>34</v>
      </c>
      <c r="K257" s="17" t="s">
        <v>35</v>
      </c>
      <c r="L257" s="18">
        <v>42633</v>
      </c>
      <c r="M257" s="18" t="s">
        <v>6687</v>
      </c>
      <c r="N257" s="18"/>
      <c r="O257" s="18"/>
      <c r="P257" s="19"/>
      <c r="Q257" s="19"/>
      <c r="R257" s="19"/>
      <c r="S257" s="19"/>
      <c r="T257" s="19"/>
      <c r="U257" s="18"/>
      <c r="V257" s="17" t="s">
        <v>527</v>
      </c>
      <c r="W257" s="17" t="s">
        <v>472</v>
      </c>
      <c r="Y257" s="4">
        <v>43496</v>
      </c>
    </row>
    <row r="258" spans="2:25" ht="11.25" hidden="1" customHeight="1" x14ac:dyDescent="0.25">
      <c r="B258" s="17" t="s">
        <v>621</v>
      </c>
      <c r="C258" s="17" t="s">
        <v>621</v>
      </c>
      <c r="D258" s="17" t="s">
        <v>348</v>
      </c>
      <c r="E258" s="17" t="s">
        <v>28</v>
      </c>
      <c r="F258" s="17"/>
      <c r="G258" s="17"/>
      <c r="H258" s="17" t="s">
        <v>622</v>
      </c>
      <c r="I258" s="17" t="s">
        <v>527</v>
      </c>
      <c r="J258" s="17" t="s">
        <v>379</v>
      </c>
      <c r="K258" s="17" t="s">
        <v>380</v>
      </c>
      <c r="L258" s="18">
        <v>42643</v>
      </c>
      <c r="M258" s="18" t="s">
        <v>6687</v>
      </c>
      <c r="N258" s="18"/>
      <c r="O258" s="18"/>
      <c r="P258" s="19"/>
      <c r="Q258" s="19"/>
      <c r="R258" s="19"/>
      <c r="S258" s="19"/>
      <c r="T258" s="19"/>
      <c r="U258" s="18">
        <v>43846</v>
      </c>
      <c r="V258" s="17" t="s">
        <v>527</v>
      </c>
      <c r="W258" s="17" t="s">
        <v>472</v>
      </c>
      <c r="Y258" s="4"/>
    </row>
    <row r="259" spans="2:25" ht="11.25" hidden="1" customHeight="1" x14ac:dyDescent="0.25">
      <c r="B259" s="17" t="s">
        <v>623</v>
      </c>
      <c r="C259" s="17" t="s">
        <v>623</v>
      </c>
      <c r="D259" s="17" t="s">
        <v>348</v>
      </c>
      <c r="E259" s="17" t="s">
        <v>21</v>
      </c>
      <c r="F259" s="17"/>
      <c r="G259" s="17"/>
      <c r="H259" s="17" t="s">
        <v>624</v>
      </c>
      <c r="I259" s="17" t="s">
        <v>350</v>
      </c>
      <c r="J259" s="17" t="s">
        <v>65</v>
      </c>
      <c r="K259" s="17" t="s">
        <v>66</v>
      </c>
      <c r="L259" s="18">
        <v>42692</v>
      </c>
      <c r="M259" s="18" t="s">
        <v>6687</v>
      </c>
      <c r="N259" s="18"/>
      <c r="O259" s="18"/>
      <c r="P259" s="19">
        <v>44105</v>
      </c>
      <c r="Q259" s="19" t="s">
        <v>6687</v>
      </c>
      <c r="R259" s="19"/>
      <c r="S259" s="19"/>
      <c r="T259" s="19"/>
      <c r="U259" s="18"/>
      <c r="V259" s="17" t="s">
        <v>350</v>
      </c>
      <c r="W259" s="17" t="s">
        <v>351</v>
      </c>
      <c r="Y259" s="4"/>
    </row>
    <row r="260" spans="2:25" ht="11.25" hidden="1" customHeight="1" x14ac:dyDescent="0.25">
      <c r="B260" s="17" t="s">
        <v>625</v>
      </c>
      <c r="C260" s="17" t="s">
        <v>625</v>
      </c>
      <c r="D260" s="17" t="s">
        <v>348</v>
      </c>
      <c r="E260" s="17" t="s">
        <v>21</v>
      </c>
      <c r="F260" s="17"/>
      <c r="G260" s="17"/>
      <c r="H260" s="17" t="s">
        <v>626</v>
      </c>
      <c r="I260" s="17" t="s">
        <v>350</v>
      </c>
      <c r="J260" s="17" t="s">
        <v>34</v>
      </c>
      <c r="K260" s="17" t="s">
        <v>35</v>
      </c>
      <c r="L260" s="18">
        <v>42693</v>
      </c>
      <c r="M260" s="18" t="s">
        <v>6687</v>
      </c>
      <c r="N260" s="18"/>
      <c r="O260" s="18"/>
      <c r="P260" s="19">
        <v>44484</v>
      </c>
      <c r="Q260" s="19" t="s">
        <v>6687</v>
      </c>
      <c r="R260" s="19"/>
      <c r="S260" s="19"/>
      <c r="T260" s="19"/>
      <c r="U260" s="18"/>
      <c r="V260" s="17" t="s">
        <v>350</v>
      </c>
      <c r="W260" s="17" t="s">
        <v>351</v>
      </c>
      <c r="Y260" s="4"/>
    </row>
    <row r="261" spans="2:25" ht="11.25" hidden="1" customHeight="1" x14ac:dyDescent="0.25">
      <c r="B261" s="17" t="s">
        <v>627</v>
      </c>
      <c r="C261" s="17" t="s">
        <v>627</v>
      </c>
      <c r="D261" s="17" t="s">
        <v>348</v>
      </c>
      <c r="E261" s="17" t="s">
        <v>21</v>
      </c>
      <c r="F261" s="17"/>
      <c r="G261" s="17"/>
      <c r="H261" s="17" t="s">
        <v>628</v>
      </c>
      <c r="I261" s="17" t="s">
        <v>350</v>
      </c>
      <c r="J261" s="17" t="s">
        <v>76</v>
      </c>
      <c r="K261" s="17" t="s">
        <v>77</v>
      </c>
      <c r="L261" s="18">
        <v>42694</v>
      </c>
      <c r="M261" s="18" t="s">
        <v>6687</v>
      </c>
      <c r="N261" s="18"/>
      <c r="O261" s="18"/>
      <c r="P261" s="19">
        <v>44484</v>
      </c>
      <c r="Q261" s="19" t="s">
        <v>6687</v>
      </c>
      <c r="R261" s="19"/>
      <c r="S261" s="19"/>
      <c r="T261" s="19"/>
      <c r="U261" s="18"/>
      <c r="V261" s="17" t="s">
        <v>350</v>
      </c>
      <c r="W261" s="17" t="s">
        <v>351</v>
      </c>
      <c r="Y261" s="4"/>
    </row>
    <row r="262" spans="2:25" ht="11.25" hidden="1" customHeight="1" x14ac:dyDescent="0.25">
      <c r="B262" s="17" t="s">
        <v>629</v>
      </c>
      <c r="C262" s="17" t="s">
        <v>629</v>
      </c>
      <c r="D262" s="17" t="s">
        <v>348</v>
      </c>
      <c r="E262" s="17" t="s">
        <v>28</v>
      </c>
      <c r="F262" s="17"/>
      <c r="G262" s="17"/>
      <c r="H262" s="17" t="s">
        <v>630</v>
      </c>
      <c r="I262" s="17" t="s">
        <v>350</v>
      </c>
      <c r="J262" s="17" t="s">
        <v>76</v>
      </c>
      <c r="K262" s="17" t="s">
        <v>77</v>
      </c>
      <c r="L262" s="18">
        <v>42701</v>
      </c>
      <c r="M262" s="18" t="s">
        <v>6687</v>
      </c>
      <c r="N262" s="18"/>
      <c r="O262" s="18"/>
      <c r="P262" s="19"/>
      <c r="Q262" s="19"/>
      <c r="R262" s="19"/>
      <c r="S262" s="19"/>
      <c r="T262" s="19"/>
      <c r="U262" s="18"/>
      <c r="V262" s="17" t="s">
        <v>350</v>
      </c>
      <c r="W262" s="17" t="s">
        <v>351</v>
      </c>
      <c r="Y262" s="4">
        <v>43642</v>
      </c>
    </row>
    <row r="263" spans="2:25" ht="11.25" hidden="1" customHeight="1" x14ac:dyDescent="0.25">
      <c r="B263" s="17" t="s">
        <v>631</v>
      </c>
      <c r="C263" s="17" t="s">
        <v>631</v>
      </c>
      <c r="D263" s="17" t="s">
        <v>348</v>
      </c>
      <c r="E263" s="17" t="s">
        <v>21</v>
      </c>
      <c r="F263" s="17"/>
      <c r="G263" s="17"/>
      <c r="H263" s="17" t="s">
        <v>632</v>
      </c>
      <c r="I263" s="17" t="s">
        <v>497</v>
      </c>
      <c r="J263" s="17" t="s">
        <v>34</v>
      </c>
      <c r="K263" s="17" t="s">
        <v>35</v>
      </c>
      <c r="L263" s="18">
        <v>42728</v>
      </c>
      <c r="M263" s="18" t="s">
        <v>6687</v>
      </c>
      <c r="N263" s="18"/>
      <c r="O263" s="18"/>
      <c r="P263" s="19">
        <v>45001</v>
      </c>
      <c r="Q263" s="19" t="s">
        <v>6687</v>
      </c>
      <c r="R263" s="19"/>
      <c r="S263" s="19"/>
      <c r="T263" s="19"/>
      <c r="U263" s="18"/>
      <c r="V263" s="17" t="s">
        <v>497</v>
      </c>
      <c r="W263" s="17" t="s">
        <v>472</v>
      </c>
      <c r="Y263" s="4"/>
    </row>
    <row r="264" spans="2:25" ht="11.25" hidden="1" customHeight="1" x14ac:dyDescent="0.25">
      <c r="B264" s="17" t="s">
        <v>633</v>
      </c>
      <c r="C264" s="17" t="s">
        <v>633</v>
      </c>
      <c r="D264" s="1" t="s">
        <v>20</v>
      </c>
      <c r="E264" s="1" t="s">
        <v>21</v>
      </c>
      <c r="H264" s="1" t="s">
        <v>634</v>
      </c>
      <c r="I264" s="1" t="s">
        <v>213</v>
      </c>
      <c r="J264" s="1" t="s">
        <v>112</v>
      </c>
      <c r="K264" s="1" t="s">
        <v>113</v>
      </c>
      <c r="L264" s="2">
        <v>45123</v>
      </c>
      <c r="M264" s="18" t="s">
        <v>6687</v>
      </c>
      <c r="P264" s="3">
        <v>45698</v>
      </c>
      <c r="Q264" s="19" t="s">
        <v>6687</v>
      </c>
      <c r="R264" s="3" t="s">
        <v>40</v>
      </c>
      <c r="T264" s="19" t="s">
        <v>635</v>
      </c>
      <c r="V264" s="1" t="s">
        <v>213</v>
      </c>
      <c r="W264" s="17" t="s">
        <v>107</v>
      </c>
    </row>
    <row r="265" spans="2:25" ht="11.25" hidden="1" customHeight="1" x14ac:dyDescent="0.25">
      <c r="B265" s="17" t="s">
        <v>636</v>
      </c>
      <c r="C265" s="17" t="s">
        <v>636</v>
      </c>
      <c r="D265" s="17" t="s">
        <v>348</v>
      </c>
      <c r="E265" s="17" t="s">
        <v>21</v>
      </c>
      <c r="F265" s="17"/>
      <c r="G265" s="17"/>
      <c r="H265" s="17" t="s">
        <v>637</v>
      </c>
      <c r="I265" s="17" t="s">
        <v>350</v>
      </c>
      <c r="J265" s="17" t="s">
        <v>51</v>
      </c>
      <c r="K265" s="17" t="s">
        <v>52</v>
      </c>
      <c r="L265" s="18">
        <v>42821</v>
      </c>
      <c r="M265" s="18" t="s">
        <v>6687</v>
      </c>
      <c r="N265" s="18"/>
      <c r="O265" s="18"/>
      <c r="P265" s="19">
        <v>45392</v>
      </c>
      <c r="Q265" s="19" t="s">
        <v>6687</v>
      </c>
      <c r="R265" s="19" t="s">
        <v>47</v>
      </c>
      <c r="S265" s="19" t="s">
        <v>638</v>
      </c>
      <c r="T265" s="19"/>
      <c r="U265" s="18"/>
      <c r="V265" s="17" t="s">
        <v>350</v>
      </c>
      <c r="W265" s="17" t="s">
        <v>351</v>
      </c>
      <c r="Y265" s="4">
        <v>43622</v>
      </c>
    </row>
    <row r="266" spans="2:25" ht="11.25" hidden="1" customHeight="1" x14ac:dyDescent="0.25">
      <c r="B266" s="17" t="s">
        <v>639</v>
      </c>
      <c r="C266" s="17" t="s">
        <v>639</v>
      </c>
      <c r="D266" s="17" t="s">
        <v>348</v>
      </c>
      <c r="E266" s="17" t="s">
        <v>28</v>
      </c>
      <c r="F266" s="17"/>
      <c r="G266" s="17"/>
      <c r="H266" s="17" t="s">
        <v>640</v>
      </c>
      <c r="I266" s="17" t="s">
        <v>350</v>
      </c>
      <c r="J266" s="17" t="s">
        <v>76</v>
      </c>
      <c r="K266" s="17" t="s">
        <v>77</v>
      </c>
      <c r="L266" s="18">
        <v>42848</v>
      </c>
      <c r="M266" s="18" t="s">
        <v>6687</v>
      </c>
      <c r="N266" s="18"/>
      <c r="O266" s="18"/>
      <c r="P266" s="19"/>
      <c r="Q266" s="19"/>
      <c r="R266" s="19"/>
      <c r="S266" s="19"/>
      <c r="T266" s="19"/>
      <c r="U266" s="18"/>
      <c r="V266" s="17" t="s">
        <v>350</v>
      </c>
      <c r="W266" s="17" t="s">
        <v>351</v>
      </c>
      <c r="Y266" s="4"/>
    </row>
    <row r="267" spans="2:25" ht="11.25" hidden="1" customHeight="1" x14ac:dyDescent="0.25">
      <c r="B267" s="17" t="s">
        <v>641</v>
      </c>
      <c r="C267" s="17" t="s">
        <v>641</v>
      </c>
      <c r="D267" s="17" t="s">
        <v>348</v>
      </c>
      <c r="E267" s="17" t="s">
        <v>28</v>
      </c>
      <c r="F267" s="17"/>
      <c r="G267" s="17"/>
      <c r="H267" s="17" t="s">
        <v>642</v>
      </c>
      <c r="I267" s="17" t="s">
        <v>522</v>
      </c>
      <c r="J267" s="17" t="s">
        <v>76</v>
      </c>
      <c r="K267" s="17" t="s">
        <v>77</v>
      </c>
      <c r="L267" s="18">
        <v>42852</v>
      </c>
      <c r="M267" s="18" t="s">
        <v>6687</v>
      </c>
      <c r="N267" s="18"/>
      <c r="O267" s="18"/>
      <c r="P267" s="19"/>
      <c r="Q267" s="19"/>
      <c r="R267" s="19"/>
      <c r="S267" s="19"/>
      <c r="T267" s="19"/>
      <c r="U267" s="18"/>
      <c r="V267" s="17" t="s">
        <v>522</v>
      </c>
      <c r="W267" s="17" t="s">
        <v>472</v>
      </c>
      <c r="Y267" s="4"/>
    </row>
    <row r="268" spans="2:25" ht="11.25" hidden="1" customHeight="1" x14ac:dyDescent="0.25">
      <c r="B268" s="17" t="s">
        <v>643</v>
      </c>
      <c r="C268" s="17" t="s">
        <v>643</v>
      </c>
      <c r="D268" s="17" t="s">
        <v>348</v>
      </c>
      <c r="E268" s="17" t="s">
        <v>28</v>
      </c>
      <c r="F268" s="17"/>
      <c r="G268" s="17"/>
      <c r="H268" s="17" t="s">
        <v>644</v>
      </c>
      <c r="I268" s="17" t="s">
        <v>522</v>
      </c>
      <c r="J268" s="17" t="s">
        <v>34</v>
      </c>
      <c r="K268" s="17" t="s">
        <v>35</v>
      </c>
      <c r="L268" s="18">
        <v>42852</v>
      </c>
      <c r="M268" s="18" t="s">
        <v>6687</v>
      </c>
      <c r="N268" s="18"/>
      <c r="O268" s="18"/>
      <c r="P268" s="19"/>
      <c r="Q268" s="19"/>
      <c r="R268" s="19"/>
      <c r="S268" s="19"/>
      <c r="T268" s="19"/>
      <c r="U268" s="18"/>
      <c r="V268" s="17" t="s">
        <v>522</v>
      </c>
      <c r="W268" s="17" t="s">
        <v>472</v>
      </c>
      <c r="Y268" s="4"/>
    </row>
    <row r="269" spans="2:25" ht="11.25" hidden="1" customHeight="1" x14ac:dyDescent="0.25">
      <c r="B269" s="17" t="s">
        <v>645</v>
      </c>
      <c r="C269" s="17" t="s">
        <v>645</v>
      </c>
      <c r="D269" s="17" t="s">
        <v>348</v>
      </c>
      <c r="E269" s="17" t="s">
        <v>28</v>
      </c>
      <c r="F269" s="17"/>
      <c r="G269" s="17"/>
      <c r="H269" s="17" t="s">
        <v>646</v>
      </c>
      <c r="I269" s="17" t="s">
        <v>350</v>
      </c>
      <c r="J269" s="17" t="s">
        <v>34</v>
      </c>
      <c r="K269" s="17" t="s">
        <v>35</v>
      </c>
      <c r="L269" s="18">
        <v>42853</v>
      </c>
      <c r="M269" s="18" t="s">
        <v>6687</v>
      </c>
      <c r="N269" s="18"/>
      <c r="O269" s="18"/>
      <c r="P269" s="19"/>
      <c r="Q269" s="19"/>
      <c r="R269" s="19"/>
      <c r="S269" s="19"/>
      <c r="T269" s="19"/>
      <c r="U269" s="18">
        <v>43492</v>
      </c>
      <c r="V269" s="17" t="s">
        <v>350</v>
      </c>
      <c r="W269" s="17" t="s">
        <v>351</v>
      </c>
      <c r="Y269" s="4"/>
    </row>
    <row r="270" spans="2:25" ht="11.25" hidden="1" customHeight="1" x14ac:dyDescent="0.25">
      <c r="B270" s="17" t="s">
        <v>647</v>
      </c>
      <c r="C270" s="17" t="s">
        <v>647</v>
      </c>
      <c r="D270" s="17" t="s">
        <v>348</v>
      </c>
      <c r="E270" s="17" t="s">
        <v>28</v>
      </c>
      <c r="F270" s="17"/>
      <c r="G270" s="17"/>
      <c r="H270" s="17" t="s">
        <v>648</v>
      </c>
      <c r="I270" s="17" t="s">
        <v>350</v>
      </c>
      <c r="J270" s="17" t="s">
        <v>76</v>
      </c>
      <c r="K270" s="17" t="s">
        <v>77</v>
      </c>
      <c r="L270" s="18">
        <v>42854</v>
      </c>
      <c r="M270" s="18" t="s">
        <v>6687</v>
      </c>
      <c r="N270" s="18"/>
      <c r="O270" s="18"/>
      <c r="P270" s="19"/>
      <c r="Q270" s="19"/>
      <c r="R270" s="19"/>
      <c r="S270" s="19"/>
      <c r="T270" s="19"/>
      <c r="U270" s="18">
        <v>43492</v>
      </c>
      <c r="V270" s="17" t="s">
        <v>350</v>
      </c>
      <c r="W270" s="17" t="s">
        <v>351</v>
      </c>
      <c r="Y270" s="4"/>
    </row>
    <row r="271" spans="2:25" ht="11.25" hidden="1" customHeight="1" x14ac:dyDescent="0.25">
      <c r="B271" s="17" t="s">
        <v>649</v>
      </c>
      <c r="C271" s="17" t="s">
        <v>649</v>
      </c>
      <c r="D271" s="17" t="s">
        <v>348</v>
      </c>
      <c r="E271" s="17" t="s">
        <v>28</v>
      </c>
      <c r="F271" s="17"/>
      <c r="G271" s="17"/>
      <c r="H271" s="17" t="s">
        <v>650</v>
      </c>
      <c r="I271" s="17" t="s">
        <v>651</v>
      </c>
      <c r="J271" s="17" t="s">
        <v>76</v>
      </c>
      <c r="K271" s="17" t="s">
        <v>77</v>
      </c>
      <c r="L271" s="18">
        <v>42897</v>
      </c>
      <c r="M271" s="18" t="s">
        <v>6687</v>
      </c>
      <c r="N271" s="18"/>
      <c r="O271" s="18"/>
      <c r="P271" s="19"/>
      <c r="Q271" s="19"/>
      <c r="R271" s="19"/>
      <c r="S271" s="19"/>
      <c r="T271" s="19"/>
      <c r="U271" s="18"/>
      <c r="V271" s="17" t="s">
        <v>651</v>
      </c>
      <c r="W271" s="17" t="s">
        <v>472</v>
      </c>
      <c r="Y271" s="4"/>
    </row>
    <row r="272" spans="2:25" ht="11.25" hidden="1" customHeight="1" x14ac:dyDescent="0.25">
      <c r="B272" s="17" t="s">
        <v>652</v>
      </c>
      <c r="C272" s="17" t="s">
        <v>652</v>
      </c>
      <c r="D272" s="17" t="s">
        <v>348</v>
      </c>
      <c r="E272" s="17" t="s">
        <v>28</v>
      </c>
      <c r="F272" s="17"/>
      <c r="G272" s="17"/>
      <c r="H272" s="17" t="s">
        <v>653</v>
      </c>
      <c r="I272" s="17" t="s">
        <v>651</v>
      </c>
      <c r="J272" s="17" t="s">
        <v>34</v>
      </c>
      <c r="K272" s="17" t="s">
        <v>35</v>
      </c>
      <c r="L272" s="18">
        <v>42897</v>
      </c>
      <c r="M272" s="18" t="s">
        <v>6687</v>
      </c>
      <c r="N272" s="18"/>
      <c r="O272" s="18"/>
      <c r="P272" s="19"/>
      <c r="Q272" s="19"/>
      <c r="R272" s="19"/>
      <c r="S272" s="19"/>
      <c r="T272" s="19"/>
      <c r="U272" s="18"/>
      <c r="V272" s="17" t="s">
        <v>651</v>
      </c>
      <c r="W272" s="17" t="s">
        <v>472</v>
      </c>
      <c r="Y272" s="4"/>
    </row>
    <row r="273" spans="2:25" ht="11.25" hidden="1" customHeight="1" x14ac:dyDescent="0.25">
      <c r="B273" s="17" t="s">
        <v>654</v>
      </c>
      <c r="C273" s="17" t="s">
        <v>654</v>
      </c>
      <c r="D273" s="17" t="s">
        <v>348</v>
      </c>
      <c r="E273" s="17" t="s">
        <v>21</v>
      </c>
      <c r="F273" s="17"/>
      <c r="G273" s="17"/>
      <c r="H273" s="17" t="s">
        <v>655</v>
      </c>
      <c r="I273" s="17" t="s">
        <v>350</v>
      </c>
      <c r="J273" s="17" t="s">
        <v>124</v>
      </c>
      <c r="K273" s="17" t="s">
        <v>125</v>
      </c>
      <c r="L273" s="18">
        <v>42951</v>
      </c>
      <c r="M273" s="18" t="s">
        <v>6687</v>
      </c>
      <c r="N273" s="18"/>
      <c r="O273" s="18"/>
      <c r="P273" s="19">
        <v>45626</v>
      </c>
      <c r="Q273" s="19" t="s">
        <v>6687</v>
      </c>
      <c r="R273" s="19" t="s">
        <v>47</v>
      </c>
      <c r="S273" s="19" t="s">
        <v>656</v>
      </c>
      <c r="T273" s="19"/>
      <c r="U273" s="18"/>
      <c r="V273" s="17" t="s">
        <v>350</v>
      </c>
      <c r="W273" s="17" t="s">
        <v>351</v>
      </c>
      <c r="Y273" s="4"/>
    </row>
    <row r="274" spans="2:25" hidden="1" x14ac:dyDescent="0.25">
      <c r="B274" s="17" t="s">
        <v>657</v>
      </c>
      <c r="C274" s="17" t="s">
        <v>657</v>
      </c>
      <c r="D274" s="17" t="s">
        <v>348</v>
      </c>
      <c r="E274" s="17" t="s">
        <v>28</v>
      </c>
      <c r="F274" s="17"/>
      <c r="G274" s="17"/>
      <c r="H274" s="17" t="s">
        <v>658</v>
      </c>
      <c r="I274" s="17" t="s">
        <v>350</v>
      </c>
      <c r="J274" s="17" t="s">
        <v>76</v>
      </c>
      <c r="K274" s="17" t="s">
        <v>77</v>
      </c>
      <c r="L274" s="18">
        <v>42963</v>
      </c>
      <c r="M274" s="18" t="s">
        <v>6687</v>
      </c>
      <c r="N274" s="18"/>
      <c r="O274" s="18"/>
      <c r="P274" s="20"/>
      <c r="Q274" s="20"/>
      <c r="R274" s="20"/>
      <c r="S274" s="20"/>
      <c r="T274" s="19"/>
      <c r="U274" s="18"/>
      <c r="V274" s="17" t="s">
        <v>350</v>
      </c>
      <c r="W274" s="17" t="s">
        <v>351</v>
      </c>
      <c r="Y274" s="4"/>
    </row>
    <row r="275" spans="2:25" s="23" customFormat="1" ht="11.25" hidden="1" customHeight="1" x14ac:dyDescent="0.25">
      <c r="B275" s="17" t="s">
        <v>659</v>
      </c>
      <c r="C275" s="17" t="s">
        <v>659</v>
      </c>
      <c r="D275" s="17" t="s">
        <v>348</v>
      </c>
      <c r="E275" s="17" t="s">
        <v>28</v>
      </c>
      <c r="F275" s="17"/>
      <c r="G275" s="17"/>
      <c r="H275" s="17" t="s">
        <v>660</v>
      </c>
      <c r="I275" s="17" t="s">
        <v>350</v>
      </c>
      <c r="J275" s="17" t="s">
        <v>34</v>
      </c>
      <c r="K275" s="17" t="s">
        <v>35</v>
      </c>
      <c r="L275" s="18">
        <v>42964</v>
      </c>
      <c r="M275" s="18" t="s">
        <v>6687</v>
      </c>
      <c r="N275" s="18"/>
      <c r="O275" s="18"/>
      <c r="P275" s="19"/>
      <c r="Q275" s="19"/>
      <c r="R275" s="19"/>
      <c r="S275" s="19"/>
      <c r="T275" s="19"/>
      <c r="U275" s="18"/>
      <c r="V275" s="17" t="s">
        <v>350</v>
      </c>
      <c r="W275" s="17" t="s">
        <v>351</v>
      </c>
      <c r="Y275" s="24"/>
    </row>
    <row r="276" spans="2:25" ht="11.25" hidden="1" customHeight="1" x14ac:dyDescent="0.25">
      <c r="B276" s="17" t="s">
        <v>661</v>
      </c>
      <c r="C276" s="17" t="s">
        <v>661</v>
      </c>
      <c r="D276" s="17" t="s">
        <v>348</v>
      </c>
      <c r="E276" s="17" t="s">
        <v>28</v>
      </c>
      <c r="F276" s="17"/>
      <c r="G276" s="17"/>
      <c r="H276" s="17" t="s">
        <v>662</v>
      </c>
      <c r="I276" s="17" t="s">
        <v>497</v>
      </c>
      <c r="J276" s="17" t="s">
        <v>51</v>
      </c>
      <c r="K276" s="17" t="s">
        <v>52</v>
      </c>
      <c r="L276" s="18">
        <v>42965</v>
      </c>
      <c r="M276" s="18" t="s">
        <v>6687</v>
      </c>
      <c r="N276" s="18"/>
      <c r="O276" s="18"/>
      <c r="P276" s="19"/>
      <c r="Q276" s="19"/>
      <c r="R276" s="19"/>
      <c r="S276" s="19"/>
      <c r="T276" s="19"/>
      <c r="U276" s="18"/>
      <c r="V276" s="17" t="s">
        <v>497</v>
      </c>
      <c r="W276" s="17" t="s">
        <v>472</v>
      </c>
      <c r="Y276" s="4"/>
    </row>
    <row r="277" spans="2:25" ht="11.25" hidden="1" customHeight="1" x14ac:dyDescent="0.25">
      <c r="B277" s="17" t="s">
        <v>663</v>
      </c>
      <c r="C277" s="17" t="s">
        <v>663</v>
      </c>
      <c r="D277" s="17" t="s">
        <v>348</v>
      </c>
      <c r="E277" s="17" t="s">
        <v>28</v>
      </c>
      <c r="F277" s="17"/>
      <c r="G277" s="17"/>
      <c r="H277" s="17" t="s">
        <v>664</v>
      </c>
      <c r="I277" s="17" t="s">
        <v>350</v>
      </c>
      <c r="J277" s="17" t="s">
        <v>76</v>
      </c>
      <c r="K277" s="17" t="s">
        <v>77</v>
      </c>
      <c r="L277" s="18">
        <v>42967</v>
      </c>
      <c r="M277" s="18" t="s">
        <v>6687</v>
      </c>
      <c r="N277" s="18"/>
      <c r="O277" s="18"/>
      <c r="P277" s="19"/>
      <c r="Q277" s="19"/>
      <c r="R277" s="19"/>
      <c r="S277" s="19"/>
      <c r="T277" s="19"/>
      <c r="U277" s="18"/>
      <c r="V277" s="17" t="s">
        <v>350</v>
      </c>
      <c r="W277" s="17" t="s">
        <v>351</v>
      </c>
      <c r="Y277" s="4"/>
    </row>
    <row r="278" spans="2:25" ht="11.25" hidden="1" customHeight="1" x14ac:dyDescent="0.25">
      <c r="B278" s="17" t="s">
        <v>665</v>
      </c>
      <c r="C278" s="17" t="s">
        <v>665</v>
      </c>
      <c r="D278" s="17" t="s">
        <v>348</v>
      </c>
      <c r="E278" s="17" t="s">
        <v>28</v>
      </c>
      <c r="F278" s="17"/>
      <c r="G278" s="17"/>
      <c r="H278" s="17" t="s">
        <v>666</v>
      </c>
      <c r="I278" s="17" t="s">
        <v>350</v>
      </c>
      <c r="J278" s="17" t="s">
        <v>24</v>
      </c>
      <c r="K278" s="17" t="s">
        <v>25</v>
      </c>
      <c r="L278" s="18">
        <v>42978</v>
      </c>
      <c r="M278" s="18" t="s">
        <v>6687</v>
      </c>
      <c r="N278" s="18"/>
      <c r="O278" s="18"/>
      <c r="P278" s="19"/>
      <c r="Q278" s="19"/>
      <c r="R278" s="19"/>
      <c r="S278" s="19"/>
      <c r="T278" s="19"/>
      <c r="U278" s="18"/>
      <c r="V278" s="17" t="s">
        <v>350</v>
      </c>
      <c r="W278" s="17" t="s">
        <v>351</v>
      </c>
      <c r="Y278" s="4">
        <v>43575</v>
      </c>
    </row>
    <row r="279" spans="2:25" ht="11.25" hidden="1" customHeight="1" x14ac:dyDescent="0.25">
      <c r="B279" s="17" t="s">
        <v>667</v>
      </c>
      <c r="C279" s="17" t="s">
        <v>667</v>
      </c>
      <c r="D279" s="17" t="s">
        <v>348</v>
      </c>
      <c r="E279" s="17" t="s">
        <v>21</v>
      </c>
      <c r="F279" s="17"/>
      <c r="G279" s="17"/>
      <c r="H279" s="17" t="s">
        <v>668</v>
      </c>
      <c r="I279" s="17" t="s">
        <v>350</v>
      </c>
      <c r="J279" s="17" t="s">
        <v>65</v>
      </c>
      <c r="K279" s="17" t="s">
        <v>66</v>
      </c>
      <c r="L279" s="18">
        <v>42979</v>
      </c>
      <c r="M279" s="18" t="s">
        <v>6687</v>
      </c>
      <c r="N279" s="18"/>
      <c r="O279" s="18"/>
      <c r="P279" s="19">
        <v>44712</v>
      </c>
      <c r="Q279" s="19" t="s">
        <v>6687</v>
      </c>
      <c r="R279" s="19"/>
      <c r="S279" s="19"/>
      <c r="T279" s="19"/>
      <c r="U279" s="18"/>
      <c r="V279" s="17" t="s">
        <v>350</v>
      </c>
      <c r="W279" s="17" t="s">
        <v>351</v>
      </c>
      <c r="Y279" s="4"/>
    </row>
    <row r="280" spans="2:25" ht="11.25" hidden="1" customHeight="1" x14ac:dyDescent="0.25">
      <c r="B280" s="17" t="s">
        <v>669</v>
      </c>
      <c r="C280" s="17" t="s">
        <v>669</v>
      </c>
      <c r="D280" s="17" t="s">
        <v>348</v>
      </c>
      <c r="E280" s="17" t="s">
        <v>28</v>
      </c>
      <c r="F280" s="17"/>
      <c r="G280" s="17"/>
      <c r="H280" s="17" t="s">
        <v>670</v>
      </c>
      <c r="I280" s="17" t="s">
        <v>350</v>
      </c>
      <c r="J280" s="17" t="s">
        <v>34</v>
      </c>
      <c r="K280" s="17" t="s">
        <v>35</v>
      </c>
      <c r="L280" s="18">
        <v>42988</v>
      </c>
      <c r="M280" s="18" t="s">
        <v>6687</v>
      </c>
      <c r="N280" s="18"/>
      <c r="O280" s="18"/>
      <c r="P280" s="19"/>
      <c r="Q280" s="19"/>
      <c r="R280" s="19"/>
      <c r="S280" s="19"/>
      <c r="T280" s="19"/>
      <c r="U280" s="18"/>
      <c r="V280" s="17" t="s">
        <v>350</v>
      </c>
      <c r="W280" s="17" t="s">
        <v>351</v>
      </c>
      <c r="Y280" s="4"/>
    </row>
    <row r="281" spans="2:25" ht="11.25" hidden="1" customHeight="1" x14ac:dyDescent="0.25">
      <c r="B281" s="17" t="s">
        <v>671</v>
      </c>
      <c r="C281" s="17" t="s">
        <v>671</v>
      </c>
      <c r="D281" s="17" t="s">
        <v>348</v>
      </c>
      <c r="E281" s="17" t="s">
        <v>28</v>
      </c>
      <c r="F281" s="17"/>
      <c r="G281" s="17"/>
      <c r="H281" s="17" t="s">
        <v>672</v>
      </c>
      <c r="I281" s="17" t="s">
        <v>350</v>
      </c>
      <c r="J281" s="17" t="s">
        <v>76</v>
      </c>
      <c r="K281" s="17" t="s">
        <v>77</v>
      </c>
      <c r="L281" s="18">
        <v>43006</v>
      </c>
      <c r="M281" s="18" t="s">
        <v>6687</v>
      </c>
      <c r="N281" s="18"/>
      <c r="O281" s="18"/>
      <c r="P281" s="19"/>
      <c r="Q281" s="19"/>
      <c r="R281" s="19"/>
      <c r="S281" s="19"/>
      <c r="T281" s="19"/>
      <c r="U281" s="18"/>
      <c r="V281" s="17" t="s">
        <v>350</v>
      </c>
      <c r="W281" s="17" t="s">
        <v>351</v>
      </c>
      <c r="Y281" s="4"/>
    </row>
    <row r="282" spans="2:25" ht="11.25" hidden="1" customHeight="1" x14ac:dyDescent="0.25">
      <c r="B282" s="17" t="s">
        <v>673</v>
      </c>
      <c r="C282" s="17" t="s">
        <v>673</v>
      </c>
      <c r="D282" s="17" t="s">
        <v>348</v>
      </c>
      <c r="E282" s="17" t="s">
        <v>28</v>
      </c>
      <c r="F282" s="17"/>
      <c r="G282" s="17"/>
      <c r="H282" s="17" t="s">
        <v>674</v>
      </c>
      <c r="I282" s="17" t="s">
        <v>350</v>
      </c>
      <c r="J282" s="17" t="s">
        <v>34</v>
      </c>
      <c r="K282" s="17" t="s">
        <v>35</v>
      </c>
      <c r="L282" s="18">
        <v>43006</v>
      </c>
      <c r="M282" s="18" t="s">
        <v>6687</v>
      </c>
      <c r="N282" s="18"/>
      <c r="O282" s="18"/>
      <c r="P282" s="19"/>
      <c r="Q282" s="19"/>
      <c r="R282" s="19"/>
      <c r="S282" s="19"/>
      <c r="T282" s="19"/>
      <c r="U282" s="18"/>
      <c r="V282" s="17" t="s">
        <v>350</v>
      </c>
      <c r="W282" s="17" t="s">
        <v>351</v>
      </c>
      <c r="Y282" s="4"/>
    </row>
    <row r="283" spans="2:25" ht="11.25" hidden="1" customHeight="1" x14ac:dyDescent="0.25">
      <c r="B283" s="17" t="s">
        <v>675</v>
      </c>
      <c r="C283" s="17" t="s">
        <v>675</v>
      </c>
      <c r="D283" s="17" t="s">
        <v>348</v>
      </c>
      <c r="E283" s="17" t="s">
        <v>28</v>
      </c>
      <c r="F283" s="17"/>
      <c r="G283" s="17"/>
      <c r="H283" s="17" t="s">
        <v>676</v>
      </c>
      <c r="I283" s="17" t="s">
        <v>497</v>
      </c>
      <c r="J283" s="17" t="s">
        <v>76</v>
      </c>
      <c r="K283" s="17" t="s">
        <v>77</v>
      </c>
      <c r="L283" s="18">
        <v>43050</v>
      </c>
      <c r="M283" s="18" t="s">
        <v>6687</v>
      </c>
      <c r="N283" s="18"/>
      <c r="O283" s="18"/>
      <c r="P283" s="19"/>
      <c r="Q283" s="19"/>
      <c r="R283" s="19"/>
      <c r="S283" s="19"/>
      <c r="T283" s="19"/>
      <c r="U283" s="18"/>
      <c r="V283" s="17" t="s">
        <v>497</v>
      </c>
      <c r="W283" s="17" t="s">
        <v>472</v>
      </c>
      <c r="Y283" s="4"/>
    </row>
    <row r="284" spans="2:25" ht="11.25" hidden="1" customHeight="1" x14ac:dyDescent="0.25">
      <c r="B284" s="17" t="s">
        <v>677</v>
      </c>
      <c r="C284" s="17" t="s">
        <v>677</v>
      </c>
      <c r="D284" s="17" t="s">
        <v>348</v>
      </c>
      <c r="E284" s="17" t="s">
        <v>28</v>
      </c>
      <c r="F284" s="17"/>
      <c r="G284" s="17"/>
      <c r="H284" s="17" t="s">
        <v>678</v>
      </c>
      <c r="I284" s="17" t="s">
        <v>497</v>
      </c>
      <c r="J284" s="17" t="s">
        <v>34</v>
      </c>
      <c r="K284" s="17" t="s">
        <v>35</v>
      </c>
      <c r="L284" s="18">
        <v>43050</v>
      </c>
      <c r="M284" s="18" t="s">
        <v>6687</v>
      </c>
      <c r="N284" s="18"/>
      <c r="O284" s="18"/>
      <c r="P284" s="19"/>
      <c r="Q284" s="19"/>
      <c r="R284" s="19"/>
      <c r="S284" s="19"/>
      <c r="T284" s="19"/>
      <c r="U284" s="18"/>
      <c r="V284" s="17" t="s">
        <v>497</v>
      </c>
      <c r="W284" s="17" t="s">
        <v>472</v>
      </c>
      <c r="Y284" s="4"/>
    </row>
    <row r="285" spans="2:25" ht="11.25" hidden="1" customHeight="1" x14ac:dyDescent="0.25">
      <c r="B285" s="17" t="s">
        <v>679</v>
      </c>
      <c r="C285" s="17" t="s">
        <v>679</v>
      </c>
      <c r="D285" s="17" t="s">
        <v>348</v>
      </c>
      <c r="E285" s="17" t="s">
        <v>28</v>
      </c>
      <c r="F285" s="17"/>
      <c r="G285" s="17"/>
      <c r="H285" s="17" t="s">
        <v>680</v>
      </c>
      <c r="I285" s="17" t="s">
        <v>350</v>
      </c>
      <c r="J285" s="17" t="s">
        <v>24</v>
      </c>
      <c r="K285" s="17" t="s">
        <v>25</v>
      </c>
      <c r="L285" s="18">
        <v>43085</v>
      </c>
      <c r="M285" s="18" t="s">
        <v>6687</v>
      </c>
      <c r="N285" s="18"/>
      <c r="O285" s="18"/>
      <c r="P285" s="19"/>
      <c r="Q285" s="19"/>
      <c r="R285" s="19"/>
      <c r="S285" s="19"/>
      <c r="T285" s="19"/>
      <c r="U285" s="18"/>
      <c r="V285" s="17" t="s">
        <v>350</v>
      </c>
      <c r="W285" s="17" t="s">
        <v>351</v>
      </c>
      <c r="Y285" s="4"/>
    </row>
    <row r="286" spans="2:25" ht="11.25" hidden="1" customHeight="1" x14ac:dyDescent="0.25">
      <c r="B286" s="17" t="s">
        <v>681</v>
      </c>
      <c r="C286" s="17" t="s">
        <v>681</v>
      </c>
      <c r="D286" s="17" t="s">
        <v>348</v>
      </c>
      <c r="E286" s="17" t="s">
        <v>21</v>
      </c>
      <c r="F286" s="17"/>
      <c r="G286" s="17"/>
      <c r="H286" s="17" t="s">
        <v>682</v>
      </c>
      <c r="I286" s="17" t="s">
        <v>350</v>
      </c>
      <c r="J286" s="17" t="s">
        <v>124</v>
      </c>
      <c r="K286" s="17" t="s">
        <v>125</v>
      </c>
      <c r="L286" s="18">
        <v>43086</v>
      </c>
      <c r="M286" s="18" t="s">
        <v>6687</v>
      </c>
      <c r="N286" s="18"/>
      <c r="O286" s="18"/>
      <c r="P286" s="19">
        <v>44033</v>
      </c>
      <c r="Q286" s="19" t="s">
        <v>6687</v>
      </c>
      <c r="R286" s="19" t="s">
        <v>47</v>
      </c>
      <c r="S286" s="19"/>
      <c r="T286" s="19"/>
      <c r="U286" s="18"/>
      <c r="V286" s="17" t="s">
        <v>350</v>
      </c>
      <c r="W286" s="17" t="s">
        <v>351</v>
      </c>
      <c r="Y286" s="4"/>
    </row>
    <row r="287" spans="2:25" ht="11.25" hidden="1" customHeight="1" x14ac:dyDescent="0.25">
      <c r="B287" s="17" t="s">
        <v>683</v>
      </c>
      <c r="C287" s="17" t="s">
        <v>683</v>
      </c>
      <c r="D287" s="17" t="s">
        <v>348</v>
      </c>
      <c r="E287" s="17" t="s">
        <v>21</v>
      </c>
      <c r="F287" s="17"/>
      <c r="G287" s="17"/>
      <c r="H287" s="17" t="s">
        <v>684</v>
      </c>
      <c r="I287" s="17" t="s">
        <v>350</v>
      </c>
      <c r="J287" s="17" t="s">
        <v>51</v>
      </c>
      <c r="K287" s="17" t="s">
        <v>52</v>
      </c>
      <c r="L287" s="18">
        <v>43086</v>
      </c>
      <c r="M287" s="18" t="s">
        <v>6687</v>
      </c>
      <c r="N287" s="18"/>
      <c r="O287" s="18"/>
      <c r="P287" s="19">
        <v>44032</v>
      </c>
      <c r="Q287" s="19" t="s">
        <v>6687</v>
      </c>
      <c r="R287" s="19"/>
      <c r="S287" s="19"/>
      <c r="T287" s="19"/>
      <c r="U287" s="18"/>
      <c r="V287" s="17" t="s">
        <v>350</v>
      </c>
      <c r="W287" s="17" t="s">
        <v>351</v>
      </c>
      <c r="Y287" s="4"/>
    </row>
    <row r="288" spans="2:25" ht="11.25" hidden="1" customHeight="1" x14ac:dyDescent="0.25">
      <c r="B288" s="17" t="s">
        <v>685</v>
      </c>
      <c r="C288" s="17" t="s">
        <v>685</v>
      </c>
      <c r="D288" s="17" t="s">
        <v>348</v>
      </c>
      <c r="E288" s="17" t="s">
        <v>28</v>
      </c>
      <c r="F288" s="17"/>
      <c r="G288" s="17"/>
      <c r="H288" s="17" t="s">
        <v>686</v>
      </c>
      <c r="I288" s="17" t="s">
        <v>522</v>
      </c>
      <c r="J288" s="17" t="s">
        <v>76</v>
      </c>
      <c r="K288" s="17" t="s">
        <v>77</v>
      </c>
      <c r="L288" s="18">
        <v>43097</v>
      </c>
      <c r="M288" s="18" t="s">
        <v>6687</v>
      </c>
      <c r="N288" s="18"/>
      <c r="O288" s="18"/>
      <c r="P288" s="19"/>
      <c r="Q288" s="19"/>
      <c r="R288" s="19"/>
      <c r="S288" s="19"/>
      <c r="T288" s="19"/>
      <c r="U288" s="18"/>
      <c r="V288" s="17" t="s">
        <v>522</v>
      </c>
      <c r="W288" s="17" t="s">
        <v>472</v>
      </c>
      <c r="Y288" s="4"/>
    </row>
    <row r="289" spans="1:25" ht="11.25" hidden="1" customHeight="1" x14ac:dyDescent="0.25">
      <c r="B289" s="17" t="s">
        <v>687</v>
      </c>
      <c r="C289" s="17" t="s">
        <v>687</v>
      </c>
      <c r="D289" s="17" t="s">
        <v>348</v>
      </c>
      <c r="E289" s="17" t="s">
        <v>21</v>
      </c>
      <c r="F289" s="17"/>
      <c r="G289" s="17"/>
      <c r="H289" s="17" t="s">
        <v>688</v>
      </c>
      <c r="I289" s="17" t="s">
        <v>522</v>
      </c>
      <c r="J289" s="17" t="s">
        <v>34</v>
      </c>
      <c r="K289" s="17" t="s">
        <v>35</v>
      </c>
      <c r="L289" s="18">
        <v>43097</v>
      </c>
      <c r="M289" s="18" t="s">
        <v>6687</v>
      </c>
      <c r="N289" s="18"/>
      <c r="O289" s="18"/>
      <c r="P289" s="19">
        <v>45901</v>
      </c>
      <c r="Q289" s="19" t="s">
        <v>6687</v>
      </c>
      <c r="R289" s="19" t="s">
        <v>40</v>
      </c>
      <c r="S289" s="19"/>
      <c r="T289" s="19"/>
      <c r="U289" s="18"/>
      <c r="V289" s="17" t="s">
        <v>522</v>
      </c>
      <c r="W289" s="17" t="s">
        <v>472</v>
      </c>
      <c r="Y289" s="4"/>
    </row>
    <row r="290" spans="1:25" ht="11.25" hidden="1" customHeight="1" x14ac:dyDescent="0.25">
      <c r="B290" s="17" t="s">
        <v>689</v>
      </c>
      <c r="C290" s="17" t="s">
        <v>689</v>
      </c>
      <c r="D290" s="17" t="s">
        <v>348</v>
      </c>
      <c r="E290" s="17" t="s">
        <v>21</v>
      </c>
      <c r="F290" s="17"/>
      <c r="G290" s="17"/>
      <c r="H290" s="17" t="s">
        <v>690</v>
      </c>
      <c r="I290" s="17" t="s">
        <v>601</v>
      </c>
      <c r="J290" s="17" t="s">
        <v>124</v>
      </c>
      <c r="K290" s="17" t="s">
        <v>125</v>
      </c>
      <c r="L290" s="18">
        <v>43121</v>
      </c>
      <c r="M290" s="18" t="s">
        <v>6687</v>
      </c>
      <c r="N290" s="18"/>
      <c r="O290" s="18"/>
      <c r="P290" s="19">
        <v>44315</v>
      </c>
      <c r="Q290" s="19" t="s">
        <v>6687</v>
      </c>
      <c r="R290" s="19"/>
      <c r="S290" s="19"/>
      <c r="T290" s="19"/>
      <c r="U290" s="18"/>
      <c r="V290" s="17" t="s">
        <v>601</v>
      </c>
      <c r="W290" s="17" t="s">
        <v>472</v>
      </c>
      <c r="Y290" s="4"/>
    </row>
    <row r="291" spans="1:25" ht="11.25" hidden="1" customHeight="1" x14ac:dyDescent="0.25">
      <c r="B291" s="17" t="s">
        <v>691</v>
      </c>
      <c r="C291" s="17" t="s">
        <v>691</v>
      </c>
      <c r="D291" s="17" t="s">
        <v>348</v>
      </c>
      <c r="E291" s="17" t="s">
        <v>28</v>
      </c>
      <c r="F291" s="17"/>
      <c r="G291" s="17"/>
      <c r="H291" s="17" t="s">
        <v>692</v>
      </c>
      <c r="I291" s="17" t="s">
        <v>601</v>
      </c>
      <c r="J291" s="17" t="s">
        <v>76</v>
      </c>
      <c r="K291" s="17" t="s">
        <v>77</v>
      </c>
      <c r="L291" s="18">
        <v>43122</v>
      </c>
      <c r="M291" s="18" t="s">
        <v>6687</v>
      </c>
      <c r="N291" s="18"/>
      <c r="O291" s="18"/>
      <c r="P291" s="19"/>
      <c r="Q291" s="19"/>
      <c r="R291" s="19"/>
      <c r="S291" s="19"/>
      <c r="T291" s="19"/>
      <c r="U291" s="18"/>
      <c r="V291" s="17" t="s">
        <v>601</v>
      </c>
      <c r="W291" s="17" t="s">
        <v>472</v>
      </c>
      <c r="Y291" s="4"/>
    </row>
    <row r="292" spans="1:25" ht="11.25" hidden="1" customHeight="1" x14ac:dyDescent="0.25">
      <c r="B292" s="17" t="s">
        <v>693</v>
      </c>
      <c r="C292" s="17" t="s">
        <v>693</v>
      </c>
      <c r="D292" s="17" t="s">
        <v>348</v>
      </c>
      <c r="E292" s="17" t="s">
        <v>21</v>
      </c>
      <c r="F292" s="17"/>
      <c r="G292" s="17"/>
      <c r="H292" s="17" t="s">
        <v>694</v>
      </c>
      <c r="I292" s="17" t="s">
        <v>601</v>
      </c>
      <c r="J292" s="17" t="s">
        <v>94</v>
      </c>
      <c r="K292" s="17" t="s">
        <v>95</v>
      </c>
      <c r="L292" s="18">
        <v>43123</v>
      </c>
      <c r="M292" s="18" t="s">
        <v>6687</v>
      </c>
      <c r="N292" s="18"/>
      <c r="O292" s="18"/>
      <c r="P292" s="19">
        <v>44722</v>
      </c>
      <c r="Q292" s="19" t="s">
        <v>6687</v>
      </c>
      <c r="R292" s="19"/>
      <c r="S292" s="19"/>
      <c r="T292" s="19"/>
      <c r="U292" s="18"/>
      <c r="V292" s="17" t="s">
        <v>601</v>
      </c>
      <c r="W292" s="17" t="s">
        <v>472</v>
      </c>
      <c r="Y292" s="4"/>
    </row>
    <row r="293" spans="1:25" ht="11.25" hidden="1" customHeight="1" x14ac:dyDescent="0.25">
      <c r="B293" s="17" t="s">
        <v>695</v>
      </c>
      <c r="C293" s="17" t="s">
        <v>695</v>
      </c>
      <c r="D293" s="17" t="s">
        <v>348</v>
      </c>
      <c r="E293" s="17" t="s">
        <v>28</v>
      </c>
      <c r="F293" s="17"/>
      <c r="G293" s="17"/>
      <c r="H293" s="17" t="s">
        <v>696</v>
      </c>
      <c r="I293" s="17" t="s">
        <v>350</v>
      </c>
      <c r="J293" s="17" t="s">
        <v>379</v>
      </c>
      <c r="K293" s="17" t="s">
        <v>380</v>
      </c>
      <c r="L293" s="18">
        <v>43125</v>
      </c>
      <c r="M293" s="18" t="s">
        <v>6687</v>
      </c>
      <c r="N293" s="18"/>
      <c r="O293" s="18"/>
      <c r="P293" s="19"/>
      <c r="Q293" s="19"/>
      <c r="R293" s="19"/>
      <c r="S293" s="19"/>
      <c r="T293" s="19"/>
      <c r="U293" s="18"/>
      <c r="V293" s="17" t="s">
        <v>350</v>
      </c>
      <c r="W293" s="17" t="s">
        <v>351</v>
      </c>
      <c r="Y293" s="4"/>
    </row>
    <row r="294" spans="1:25" ht="11.25" hidden="1" customHeight="1" x14ac:dyDescent="0.25">
      <c r="B294" s="17" t="s">
        <v>697</v>
      </c>
      <c r="C294" s="17" t="s">
        <v>697</v>
      </c>
      <c r="D294" s="17" t="s">
        <v>348</v>
      </c>
      <c r="E294" s="17" t="s">
        <v>28</v>
      </c>
      <c r="F294" s="17"/>
      <c r="G294" s="17"/>
      <c r="H294" s="17" t="s">
        <v>698</v>
      </c>
      <c r="I294" s="17" t="s">
        <v>350</v>
      </c>
      <c r="J294" s="17" t="s">
        <v>76</v>
      </c>
      <c r="K294" s="17" t="s">
        <v>77</v>
      </c>
      <c r="L294" s="18">
        <v>43125</v>
      </c>
      <c r="M294" s="18" t="s">
        <v>6687</v>
      </c>
      <c r="N294" s="18"/>
      <c r="O294" s="18"/>
      <c r="P294" s="19"/>
      <c r="Q294" s="19"/>
      <c r="R294" s="19"/>
      <c r="S294" s="19"/>
      <c r="T294" s="19"/>
      <c r="U294" s="18"/>
      <c r="V294" s="17" t="s">
        <v>350</v>
      </c>
      <c r="W294" s="17" t="s">
        <v>351</v>
      </c>
      <c r="Y294" s="4"/>
    </row>
    <row r="295" spans="1:25" ht="11.25" hidden="1" customHeight="1" x14ac:dyDescent="0.25">
      <c r="B295" s="17" t="s">
        <v>699</v>
      </c>
      <c r="C295" s="17" t="s">
        <v>699</v>
      </c>
      <c r="D295" s="17" t="s">
        <v>348</v>
      </c>
      <c r="E295" s="17" t="s">
        <v>21</v>
      </c>
      <c r="F295" s="17"/>
      <c r="G295" s="17"/>
      <c r="H295" s="17" t="s">
        <v>700</v>
      </c>
      <c r="I295" s="17" t="s">
        <v>350</v>
      </c>
      <c r="J295" s="17" t="s">
        <v>124</v>
      </c>
      <c r="K295" s="17" t="s">
        <v>125</v>
      </c>
      <c r="L295" s="18">
        <v>43125</v>
      </c>
      <c r="M295" s="18" t="s">
        <v>6687</v>
      </c>
      <c r="N295" s="18"/>
      <c r="O295" s="18"/>
      <c r="P295" s="19">
        <v>45986</v>
      </c>
      <c r="Q295" s="19" t="s">
        <v>6687</v>
      </c>
      <c r="R295" s="19" t="s">
        <v>47</v>
      </c>
      <c r="S295" s="17" t="s">
        <v>701</v>
      </c>
      <c r="T295" s="19"/>
      <c r="U295" s="18"/>
      <c r="V295" s="17" t="s">
        <v>350</v>
      </c>
      <c r="W295" s="17" t="s">
        <v>351</v>
      </c>
      <c r="Y295" s="4"/>
    </row>
    <row r="296" spans="1:25" ht="11.25" hidden="1" customHeight="1" x14ac:dyDescent="0.25">
      <c r="B296" s="17" t="s">
        <v>702</v>
      </c>
      <c r="C296" s="17" t="s">
        <v>702</v>
      </c>
      <c r="D296" s="17" t="s">
        <v>348</v>
      </c>
      <c r="E296" s="17" t="s">
        <v>28</v>
      </c>
      <c r="F296" s="17"/>
      <c r="G296" s="17"/>
      <c r="H296" s="17" t="s">
        <v>703</v>
      </c>
      <c r="I296" s="17" t="s">
        <v>350</v>
      </c>
      <c r="J296" s="17" t="s">
        <v>34</v>
      </c>
      <c r="K296" s="17" t="s">
        <v>35</v>
      </c>
      <c r="L296" s="18">
        <v>43125</v>
      </c>
      <c r="M296" s="18" t="s">
        <v>6687</v>
      </c>
      <c r="N296" s="18"/>
      <c r="O296" s="18"/>
      <c r="P296" s="19"/>
      <c r="Q296" s="19"/>
      <c r="R296" s="19"/>
      <c r="S296" s="19"/>
      <c r="T296" s="19"/>
      <c r="U296" s="18"/>
      <c r="V296" s="17" t="s">
        <v>350</v>
      </c>
      <c r="W296" s="17" t="s">
        <v>351</v>
      </c>
      <c r="Y296" s="4"/>
    </row>
    <row r="297" spans="1:25" ht="11.25" hidden="1" customHeight="1" x14ac:dyDescent="0.25">
      <c r="B297" s="17" t="s">
        <v>704</v>
      </c>
      <c r="C297" s="17" t="s">
        <v>704</v>
      </c>
      <c r="D297" s="17" t="s">
        <v>348</v>
      </c>
      <c r="E297" s="17" t="s">
        <v>21</v>
      </c>
      <c r="F297" s="17"/>
      <c r="G297" s="17"/>
      <c r="H297" s="17" t="s">
        <v>705</v>
      </c>
      <c r="I297" s="17" t="s">
        <v>350</v>
      </c>
      <c r="J297" s="17" t="s">
        <v>597</v>
      </c>
      <c r="K297" s="17" t="s">
        <v>598</v>
      </c>
      <c r="L297" s="18">
        <v>43125</v>
      </c>
      <c r="M297" s="18" t="s">
        <v>6687</v>
      </c>
      <c r="N297" s="18"/>
      <c r="O297" s="18"/>
      <c r="P297" s="19">
        <v>43915</v>
      </c>
      <c r="Q297" s="19" t="s">
        <v>6687</v>
      </c>
      <c r="R297" s="19"/>
      <c r="S297" s="19"/>
      <c r="T297" s="19"/>
      <c r="U297" s="18"/>
      <c r="V297" s="17" t="s">
        <v>350</v>
      </c>
      <c r="W297" s="17" t="s">
        <v>351</v>
      </c>
      <c r="Y297" s="4"/>
    </row>
    <row r="298" spans="1:25" ht="11.25" hidden="1" customHeight="1" x14ac:dyDescent="0.25">
      <c r="B298" s="17" t="s">
        <v>706</v>
      </c>
      <c r="C298" s="17" t="s">
        <v>706</v>
      </c>
      <c r="D298" s="17" t="s">
        <v>348</v>
      </c>
      <c r="E298" s="17" t="s">
        <v>21</v>
      </c>
      <c r="F298" s="17"/>
      <c r="G298" s="17"/>
      <c r="H298" s="17" t="s">
        <v>707</v>
      </c>
      <c r="I298" s="17" t="s">
        <v>350</v>
      </c>
      <c r="J298" s="17" t="s">
        <v>51</v>
      </c>
      <c r="K298" s="17" t="s">
        <v>52</v>
      </c>
      <c r="L298" s="18">
        <v>43126</v>
      </c>
      <c r="M298" s="18" t="s">
        <v>6687</v>
      </c>
      <c r="N298" s="18"/>
      <c r="O298" s="18"/>
      <c r="P298" s="19">
        <v>45597</v>
      </c>
      <c r="Q298" s="19" t="s">
        <v>6687</v>
      </c>
      <c r="R298" s="19" t="s">
        <v>47</v>
      </c>
      <c r="S298" s="19" t="s">
        <v>708</v>
      </c>
      <c r="T298" s="19"/>
      <c r="U298" s="18"/>
      <c r="V298" s="17" t="s">
        <v>350</v>
      </c>
      <c r="W298" s="17" t="s">
        <v>351</v>
      </c>
      <c r="Y298" s="4"/>
    </row>
    <row r="299" spans="1:25" ht="11.25" hidden="1" customHeight="1" x14ac:dyDescent="0.25">
      <c r="B299" s="17" t="s">
        <v>709</v>
      </c>
      <c r="C299" s="17" t="s">
        <v>709</v>
      </c>
      <c r="D299" s="17" t="s">
        <v>348</v>
      </c>
      <c r="E299" s="17" t="s">
        <v>21</v>
      </c>
      <c r="F299" s="17"/>
      <c r="G299" s="17"/>
      <c r="H299" s="17" t="s">
        <v>710</v>
      </c>
      <c r="I299" s="17" t="s">
        <v>601</v>
      </c>
      <c r="J299" s="17" t="s">
        <v>379</v>
      </c>
      <c r="K299" s="17" t="s">
        <v>380</v>
      </c>
      <c r="L299" s="18">
        <v>43126</v>
      </c>
      <c r="M299" s="18" t="s">
        <v>6687</v>
      </c>
      <c r="N299" s="18"/>
      <c r="O299" s="18"/>
      <c r="P299" s="19">
        <v>44228</v>
      </c>
      <c r="Q299" s="19" t="s">
        <v>6687</v>
      </c>
      <c r="R299" s="19"/>
      <c r="S299" s="19"/>
      <c r="T299" s="19"/>
      <c r="U299" s="18"/>
      <c r="V299" s="17" t="s">
        <v>601</v>
      </c>
      <c r="W299" s="17" t="s">
        <v>472</v>
      </c>
      <c r="Y299" s="4"/>
    </row>
    <row r="300" spans="1:25" ht="11.25" hidden="1" customHeight="1" x14ac:dyDescent="0.25">
      <c r="B300" s="17" t="s">
        <v>711</v>
      </c>
      <c r="C300" s="17" t="s">
        <v>711</v>
      </c>
      <c r="D300" s="17" t="s">
        <v>348</v>
      </c>
      <c r="E300" s="17" t="s">
        <v>21</v>
      </c>
      <c r="F300" s="17"/>
      <c r="G300" s="17"/>
      <c r="H300" s="17" t="s">
        <v>712</v>
      </c>
      <c r="I300" s="17" t="s">
        <v>601</v>
      </c>
      <c r="J300" s="17" t="s">
        <v>51</v>
      </c>
      <c r="K300" s="17" t="s">
        <v>52</v>
      </c>
      <c r="L300" s="18">
        <v>43126</v>
      </c>
      <c r="M300" s="18" t="s">
        <v>6687</v>
      </c>
      <c r="N300" s="18"/>
      <c r="O300" s="18"/>
      <c r="P300" s="19">
        <v>44531</v>
      </c>
      <c r="Q300" s="19" t="s">
        <v>6687</v>
      </c>
      <c r="R300" s="19"/>
      <c r="S300" s="19"/>
      <c r="T300" s="19"/>
      <c r="U300" s="18"/>
      <c r="V300" s="17" t="s">
        <v>601</v>
      </c>
      <c r="W300" s="17" t="s">
        <v>472</v>
      </c>
      <c r="Y300" s="4"/>
    </row>
    <row r="301" spans="1:25" ht="11.25" hidden="1" customHeight="1" x14ac:dyDescent="0.25">
      <c r="B301" s="17" t="s">
        <v>713</v>
      </c>
      <c r="C301" s="17" t="s">
        <v>713</v>
      </c>
      <c r="D301" s="17" t="s">
        <v>348</v>
      </c>
      <c r="E301" s="17" t="s">
        <v>28</v>
      </c>
      <c r="F301" s="17"/>
      <c r="G301" s="17"/>
      <c r="H301" s="17" t="s">
        <v>714</v>
      </c>
      <c r="I301" s="17" t="s">
        <v>601</v>
      </c>
      <c r="J301" s="17" t="s">
        <v>34</v>
      </c>
      <c r="K301" s="17" t="s">
        <v>35</v>
      </c>
      <c r="L301" s="18">
        <v>43128</v>
      </c>
      <c r="M301" s="18" t="s">
        <v>6687</v>
      </c>
      <c r="N301" s="18"/>
      <c r="O301" s="18"/>
      <c r="P301" s="19"/>
      <c r="Q301" s="19"/>
      <c r="R301" s="19"/>
      <c r="S301" s="19"/>
      <c r="T301" s="19"/>
      <c r="U301" s="18"/>
      <c r="V301" s="17" t="s">
        <v>601</v>
      </c>
      <c r="W301" s="17" t="s">
        <v>472</v>
      </c>
      <c r="Y301" s="4"/>
    </row>
    <row r="302" spans="1:25" ht="11.25" hidden="1" customHeight="1" x14ac:dyDescent="0.25">
      <c r="B302" s="17" t="s">
        <v>715</v>
      </c>
      <c r="C302" s="17" t="s">
        <v>715</v>
      </c>
      <c r="D302" s="17" t="s">
        <v>348</v>
      </c>
      <c r="E302" s="17" t="s">
        <v>21</v>
      </c>
      <c r="F302" s="17"/>
      <c r="G302" s="17"/>
      <c r="H302" s="1" t="s">
        <v>716</v>
      </c>
      <c r="I302" s="1" t="s">
        <v>471</v>
      </c>
      <c r="J302" s="1" t="s">
        <v>112</v>
      </c>
      <c r="K302" s="1" t="s">
        <v>113</v>
      </c>
      <c r="L302" s="2">
        <v>44315</v>
      </c>
      <c r="M302" s="18" t="s">
        <v>6687</v>
      </c>
      <c r="P302" s="3">
        <v>45705</v>
      </c>
      <c r="Q302" s="19" t="s">
        <v>6687</v>
      </c>
      <c r="R302" s="3" t="s">
        <v>40</v>
      </c>
      <c r="T302" s="19"/>
      <c r="V302" s="4" t="s">
        <v>471</v>
      </c>
      <c r="W302" s="17" t="s">
        <v>472</v>
      </c>
    </row>
    <row r="303" spans="1:25" ht="11.25" hidden="1" customHeight="1" x14ac:dyDescent="0.25">
      <c r="B303" s="17" t="s">
        <v>717</v>
      </c>
      <c r="C303" s="17" t="s">
        <v>717</v>
      </c>
      <c r="D303" s="17" t="s">
        <v>348</v>
      </c>
      <c r="E303" s="17" t="s">
        <v>21</v>
      </c>
      <c r="F303" s="17"/>
      <c r="G303" s="17"/>
      <c r="H303" s="17" t="s">
        <v>718</v>
      </c>
      <c r="I303" s="17" t="s">
        <v>350</v>
      </c>
      <c r="J303" s="17" t="s">
        <v>124</v>
      </c>
      <c r="K303" s="17" t="s">
        <v>125</v>
      </c>
      <c r="L303" s="18">
        <v>43150</v>
      </c>
      <c r="M303" s="18" t="s">
        <v>6687</v>
      </c>
      <c r="N303" s="18"/>
      <c r="O303" s="18"/>
      <c r="P303" s="19">
        <v>45215</v>
      </c>
      <c r="Q303" s="19" t="s">
        <v>6687</v>
      </c>
      <c r="R303" s="19"/>
      <c r="S303" s="19"/>
      <c r="T303" s="19"/>
      <c r="U303" s="18"/>
      <c r="V303" s="17" t="s">
        <v>350</v>
      </c>
      <c r="W303" s="17" t="s">
        <v>351</v>
      </c>
      <c r="Y303" s="4"/>
    </row>
    <row r="304" spans="1:25" ht="11.25" hidden="1" customHeight="1" x14ac:dyDescent="0.25">
      <c r="A304" s="1" t="s">
        <v>719</v>
      </c>
      <c r="B304" s="17" t="s">
        <v>720</v>
      </c>
      <c r="C304" s="17" t="s">
        <v>720</v>
      </c>
      <c r="D304" s="1" t="s">
        <v>20</v>
      </c>
      <c r="E304" s="1" t="s">
        <v>21</v>
      </c>
      <c r="H304" s="1" t="s">
        <v>721</v>
      </c>
      <c r="I304" s="1" t="s">
        <v>23</v>
      </c>
      <c r="J304" s="1" t="s">
        <v>722</v>
      </c>
      <c r="K304" s="1" t="s">
        <v>723</v>
      </c>
      <c r="L304" s="2">
        <v>45324</v>
      </c>
      <c r="M304" s="18" t="s">
        <v>6687</v>
      </c>
      <c r="P304" s="3">
        <v>45705</v>
      </c>
      <c r="Q304" s="19" t="s">
        <v>6687</v>
      </c>
      <c r="R304" s="3" t="s">
        <v>40</v>
      </c>
      <c r="T304" s="19" t="s">
        <v>724</v>
      </c>
      <c r="V304" s="4" t="s">
        <v>23</v>
      </c>
      <c r="W304" s="1" t="s">
        <v>26</v>
      </c>
    </row>
    <row r="305" spans="1:25" ht="11.25" hidden="1" customHeight="1" x14ac:dyDescent="0.25">
      <c r="B305" s="17" t="s">
        <v>725</v>
      </c>
      <c r="C305" s="17" t="s">
        <v>725</v>
      </c>
      <c r="D305" s="17" t="s">
        <v>348</v>
      </c>
      <c r="E305" s="17" t="s">
        <v>21</v>
      </c>
      <c r="F305" s="17"/>
      <c r="G305" s="17"/>
      <c r="H305" s="17" t="s">
        <v>726</v>
      </c>
      <c r="I305" s="17" t="s">
        <v>350</v>
      </c>
      <c r="J305" s="17" t="s">
        <v>76</v>
      </c>
      <c r="K305" s="17" t="s">
        <v>77</v>
      </c>
      <c r="L305" s="18">
        <v>43160</v>
      </c>
      <c r="M305" s="18" t="s">
        <v>6687</v>
      </c>
      <c r="N305" s="18"/>
      <c r="O305" s="18"/>
      <c r="P305" s="19">
        <v>43915</v>
      </c>
      <c r="Q305" s="19" t="s">
        <v>6687</v>
      </c>
      <c r="R305" s="19"/>
      <c r="S305" s="19"/>
      <c r="T305" s="19"/>
      <c r="U305" s="18"/>
      <c r="V305" s="17" t="s">
        <v>350</v>
      </c>
      <c r="W305" s="17" t="s">
        <v>351</v>
      </c>
      <c r="Y305" s="4"/>
    </row>
    <row r="306" spans="1:25" ht="11.25" hidden="1" customHeight="1" x14ac:dyDescent="0.25">
      <c r="B306" s="17" t="s">
        <v>727</v>
      </c>
      <c r="C306" s="17" t="s">
        <v>727</v>
      </c>
      <c r="D306" s="17" t="s">
        <v>348</v>
      </c>
      <c r="E306" s="17" t="s">
        <v>21</v>
      </c>
      <c r="F306" s="17"/>
      <c r="G306" s="17"/>
      <c r="H306" s="17" t="s">
        <v>728</v>
      </c>
      <c r="I306" s="17" t="s">
        <v>350</v>
      </c>
      <c r="J306" s="17" t="s">
        <v>124</v>
      </c>
      <c r="K306" s="17" t="s">
        <v>125</v>
      </c>
      <c r="L306" s="18">
        <v>43241</v>
      </c>
      <c r="M306" s="18" t="s">
        <v>6687</v>
      </c>
      <c r="N306" s="18"/>
      <c r="O306" s="18"/>
      <c r="P306" s="19">
        <v>43840</v>
      </c>
      <c r="Q306" s="19" t="s">
        <v>6687</v>
      </c>
      <c r="R306" s="19"/>
      <c r="S306" s="19"/>
      <c r="T306" s="19"/>
      <c r="U306" s="18"/>
      <c r="V306" s="17" t="s">
        <v>350</v>
      </c>
      <c r="W306" s="17" t="s">
        <v>351</v>
      </c>
      <c r="Y306" s="4"/>
    </row>
    <row r="307" spans="1:25" ht="11.25" hidden="1" customHeight="1" x14ac:dyDescent="0.25">
      <c r="B307" s="17" t="s">
        <v>729</v>
      </c>
      <c r="C307" s="17" t="s">
        <v>729</v>
      </c>
      <c r="D307" s="17" t="s">
        <v>348</v>
      </c>
      <c r="E307" s="17" t="s">
        <v>21</v>
      </c>
      <c r="F307" s="17"/>
      <c r="G307" s="17"/>
      <c r="H307" s="17" t="s">
        <v>730</v>
      </c>
      <c r="I307" s="17" t="s">
        <v>350</v>
      </c>
      <c r="J307" s="17" t="s">
        <v>124</v>
      </c>
      <c r="K307" s="17" t="s">
        <v>125</v>
      </c>
      <c r="L307" s="18">
        <v>43252</v>
      </c>
      <c r="M307" s="18" t="s">
        <v>6687</v>
      </c>
      <c r="N307" s="18"/>
      <c r="O307" s="18"/>
      <c r="P307" s="19">
        <v>45238</v>
      </c>
      <c r="Q307" s="19" t="s">
        <v>6687</v>
      </c>
      <c r="R307" s="19"/>
      <c r="S307" s="19"/>
      <c r="T307" s="19"/>
      <c r="U307" s="18"/>
      <c r="V307" s="17" t="s">
        <v>350</v>
      </c>
      <c r="W307" s="17" t="s">
        <v>351</v>
      </c>
    </row>
    <row r="308" spans="1:25" ht="11.25" hidden="1" customHeight="1" x14ac:dyDescent="0.25">
      <c r="B308" s="17" t="s">
        <v>731</v>
      </c>
      <c r="C308" s="21" t="s">
        <v>731</v>
      </c>
      <c r="D308" s="17" t="s">
        <v>348</v>
      </c>
      <c r="E308" s="17" t="s">
        <v>21</v>
      </c>
      <c r="F308" s="17"/>
      <c r="G308" s="17"/>
      <c r="H308" s="17" t="s">
        <v>732</v>
      </c>
      <c r="I308" s="17" t="s">
        <v>494</v>
      </c>
      <c r="J308" s="17" t="s">
        <v>76</v>
      </c>
      <c r="K308" s="17" t="s">
        <v>77</v>
      </c>
      <c r="L308" s="18">
        <v>43267</v>
      </c>
      <c r="M308" s="18" t="s">
        <v>6687</v>
      </c>
      <c r="N308" s="18"/>
      <c r="O308" s="18"/>
      <c r="P308" s="20">
        <v>45139</v>
      </c>
      <c r="Q308" s="19" t="s">
        <v>6687</v>
      </c>
      <c r="R308" s="19"/>
      <c r="S308" s="20"/>
      <c r="T308" s="19"/>
      <c r="U308" s="18">
        <v>44230</v>
      </c>
      <c r="V308" s="17" t="s">
        <v>494</v>
      </c>
      <c r="W308" s="17" t="s">
        <v>472</v>
      </c>
    </row>
    <row r="309" spans="1:25" ht="11.25" hidden="1" customHeight="1" x14ac:dyDescent="0.25">
      <c r="B309" s="17" t="s">
        <v>733</v>
      </c>
      <c r="C309" s="17" t="s">
        <v>733</v>
      </c>
      <c r="D309" s="17" t="s">
        <v>348</v>
      </c>
      <c r="E309" s="17" t="s">
        <v>28</v>
      </c>
      <c r="F309" s="17"/>
      <c r="G309" s="17"/>
      <c r="H309" s="17" t="s">
        <v>734</v>
      </c>
      <c r="I309" s="17" t="s">
        <v>471</v>
      </c>
      <c r="J309" s="17" t="s">
        <v>76</v>
      </c>
      <c r="K309" s="17" t="s">
        <v>77</v>
      </c>
      <c r="L309" s="18">
        <v>43297</v>
      </c>
      <c r="M309" s="18" t="s">
        <v>6687</v>
      </c>
      <c r="N309" s="18"/>
      <c r="O309" s="18"/>
      <c r="P309" s="19"/>
      <c r="Q309" s="19"/>
      <c r="R309" s="19"/>
      <c r="S309" s="19"/>
      <c r="T309" s="19"/>
      <c r="U309" s="18"/>
      <c r="V309" s="17" t="s">
        <v>471</v>
      </c>
      <c r="W309" s="17" t="s">
        <v>472</v>
      </c>
    </row>
    <row r="310" spans="1:25" ht="11.25" hidden="1" customHeight="1" x14ac:dyDescent="0.25">
      <c r="B310" s="17" t="s">
        <v>735</v>
      </c>
      <c r="C310" s="17" t="s">
        <v>735</v>
      </c>
      <c r="D310" s="17" t="s">
        <v>348</v>
      </c>
      <c r="E310" s="17" t="s">
        <v>28</v>
      </c>
      <c r="F310" s="17"/>
      <c r="G310" s="17"/>
      <c r="H310" s="17" t="s">
        <v>736</v>
      </c>
      <c r="I310" s="17" t="s">
        <v>471</v>
      </c>
      <c r="J310" s="17" t="s">
        <v>34</v>
      </c>
      <c r="K310" s="17" t="s">
        <v>35</v>
      </c>
      <c r="L310" s="18">
        <v>43297</v>
      </c>
      <c r="M310" s="18" t="s">
        <v>6687</v>
      </c>
      <c r="N310" s="18"/>
      <c r="O310" s="18"/>
      <c r="P310" s="19"/>
      <c r="Q310" s="19"/>
      <c r="R310" s="19"/>
      <c r="S310" s="19"/>
      <c r="T310" s="19"/>
      <c r="U310" s="18"/>
      <c r="V310" s="17" t="s">
        <v>471</v>
      </c>
      <c r="W310" s="17" t="s">
        <v>472</v>
      </c>
    </row>
    <row r="311" spans="1:25" ht="11.25" hidden="1" customHeight="1" x14ac:dyDescent="0.25">
      <c r="B311" s="17" t="s">
        <v>737</v>
      </c>
      <c r="C311" s="17" t="s">
        <v>737</v>
      </c>
      <c r="D311" s="17" t="s">
        <v>348</v>
      </c>
      <c r="E311" s="17" t="s">
        <v>21</v>
      </c>
      <c r="F311" s="17"/>
      <c r="G311" s="17"/>
      <c r="H311" s="17" t="s">
        <v>738</v>
      </c>
      <c r="I311" s="17" t="s">
        <v>350</v>
      </c>
      <c r="J311" s="17" t="s">
        <v>61</v>
      </c>
      <c r="K311" s="17" t="s">
        <v>62</v>
      </c>
      <c r="L311" s="18">
        <v>43297</v>
      </c>
      <c r="M311" s="18" t="s">
        <v>6687</v>
      </c>
      <c r="N311" s="18"/>
      <c r="O311" s="18"/>
      <c r="P311" s="20">
        <v>45261</v>
      </c>
      <c r="Q311" s="19" t="s">
        <v>6687</v>
      </c>
      <c r="R311" s="19"/>
      <c r="S311" s="20" t="s">
        <v>739</v>
      </c>
      <c r="T311" s="19"/>
      <c r="U311" s="18"/>
      <c r="V311" s="17" t="s">
        <v>350</v>
      </c>
      <c r="W311" s="17" t="s">
        <v>351</v>
      </c>
    </row>
    <row r="312" spans="1:25" ht="11.25" hidden="1" customHeight="1" x14ac:dyDescent="0.25">
      <c r="B312" s="17" t="s">
        <v>740</v>
      </c>
      <c r="C312" s="17" t="s">
        <v>740</v>
      </c>
      <c r="D312" s="17" t="s">
        <v>348</v>
      </c>
      <c r="E312" s="17" t="s">
        <v>28</v>
      </c>
      <c r="F312" s="17"/>
      <c r="G312" s="17"/>
      <c r="H312" s="17" t="s">
        <v>741</v>
      </c>
      <c r="I312" s="17" t="s">
        <v>350</v>
      </c>
      <c r="J312" s="17" t="s">
        <v>76</v>
      </c>
      <c r="K312" s="17" t="s">
        <v>77</v>
      </c>
      <c r="L312" s="18">
        <v>43305</v>
      </c>
      <c r="M312" s="18" t="s">
        <v>6687</v>
      </c>
      <c r="N312" s="18"/>
      <c r="O312" s="18"/>
      <c r="P312" s="20"/>
      <c r="Q312" s="20"/>
      <c r="R312" s="20"/>
      <c r="S312" s="20"/>
      <c r="T312" s="19"/>
      <c r="U312" s="18"/>
      <c r="V312" s="17" t="s">
        <v>350</v>
      </c>
      <c r="W312" s="17" t="s">
        <v>351</v>
      </c>
    </row>
    <row r="313" spans="1:25" ht="11.25" hidden="1" customHeight="1" x14ac:dyDescent="0.25">
      <c r="B313" s="17" t="s">
        <v>742</v>
      </c>
      <c r="C313" s="17" t="s">
        <v>742</v>
      </c>
      <c r="D313" s="17" t="s">
        <v>348</v>
      </c>
      <c r="E313" s="17" t="s">
        <v>28</v>
      </c>
      <c r="F313" s="17"/>
      <c r="G313" s="17"/>
      <c r="H313" s="17" t="s">
        <v>743</v>
      </c>
      <c r="I313" s="17" t="s">
        <v>350</v>
      </c>
      <c r="J313" s="17" t="s">
        <v>112</v>
      </c>
      <c r="K313" s="17" t="s">
        <v>744</v>
      </c>
      <c r="L313" s="18">
        <v>43316</v>
      </c>
      <c r="M313" s="18" t="s">
        <v>6687</v>
      </c>
      <c r="N313" s="18"/>
      <c r="O313" s="18"/>
      <c r="P313" s="19"/>
      <c r="Q313" s="19"/>
      <c r="R313" s="19"/>
      <c r="S313" s="19"/>
      <c r="T313" s="19"/>
      <c r="U313" s="18"/>
      <c r="V313" s="17" t="s">
        <v>350</v>
      </c>
      <c r="W313" s="17" t="s">
        <v>351</v>
      </c>
    </row>
    <row r="314" spans="1:25" ht="11.25" hidden="1" customHeight="1" x14ac:dyDescent="0.25">
      <c r="A314" s="1" t="s">
        <v>719</v>
      </c>
      <c r="B314" s="17" t="s">
        <v>745</v>
      </c>
      <c r="C314" s="17" t="s">
        <v>745</v>
      </c>
      <c r="D314" s="17" t="s">
        <v>348</v>
      </c>
      <c r="E314" s="1" t="s">
        <v>21</v>
      </c>
      <c r="H314" s="1" t="s">
        <v>746</v>
      </c>
      <c r="I314" s="1" t="s">
        <v>350</v>
      </c>
      <c r="J314" s="1" t="s">
        <v>722</v>
      </c>
      <c r="K314" s="1" t="s">
        <v>723</v>
      </c>
      <c r="L314" s="2">
        <v>45585</v>
      </c>
      <c r="M314" s="18" t="s">
        <v>6687</v>
      </c>
      <c r="P314" s="3">
        <v>45711</v>
      </c>
      <c r="Q314" s="19" t="s">
        <v>6687</v>
      </c>
      <c r="R314" s="3" t="s">
        <v>40</v>
      </c>
      <c r="T314" s="19" t="s">
        <v>747</v>
      </c>
      <c r="V314" s="4" t="s">
        <v>350</v>
      </c>
      <c r="W314" s="17" t="s">
        <v>351</v>
      </c>
    </row>
    <row r="315" spans="1:25" ht="11.25" hidden="1" customHeight="1" x14ac:dyDescent="0.25">
      <c r="B315" s="17" t="s">
        <v>748</v>
      </c>
      <c r="C315" s="17" t="s">
        <v>748</v>
      </c>
      <c r="D315" s="17" t="s">
        <v>348</v>
      </c>
      <c r="E315" s="17" t="s">
        <v>28</v>
      </c>
      <c r="F315" s="17"/>
      <c r="G315" s="17"/>
      <c r="H315" s="17" t="s">
        <v>749</v>
      </c>
      <c r="I315" s="17" t="s">
        <v>350</v>
      </c>
      <c r="J315" s="17" t="s">
        <v>76</v>
      </c>
      <c r="K315" s="17" t="s">
        <v>77</v>
      </c>
      <c r="L315" s="18">
        <v>43344</v>
      </c>
      <c r="M315" s="18" t="s">
        <v>6687</v>
      </c>
      <c r="N315" s="18"/>
      <c r="O315" s="18"/>
      <c r="P315" s="19"/>
      <c r="Q315" s="19"/>
      <c r="R315" s="19"/>
      <c r="S315" s="19"/>
      <c r="T315" s="19"/>
      <c r="U315" s="18"/>
      <c r="V315" s="17" t="s">
        <v>350</v>
      </c>
      <c r="W315" s="17" t="s">
        <v>351</v>
      </c>
    </row>
    <row r="316" spans="1:25" ht="11.25" hidden="1" customHeight="1" x14ac:dyDescent="0.25">
      <c r="B316" s="17" t="s">
        <v>750</v>
      </c>
      <c r="C316" s="17" t="s">
        <v>750</v>
      </c>
      <c r="D316" s="17" t="s">
        <v>348</v>
      </c>
      <c r="E316" s="17" t="s">
        <v>21</v>
      </c>
      <c r="F316" s="17"/>
      <c r="G316" s="17"/>
      <c r="H316" s="17" t="s">
        <v>751</v>
      </c>
      <c r="I316" s="17" t="s">
        <v>350</v>
      </c>
      <c r="J316" s="17" t="s">
        <v>51</v>
      </c>
      <c r="K316" s="17" t="s">
        <v>52</v>
      </c>
      <c r="L316" s="18">
        <v>43389</v>
      </c>
      <c r="M316" s="18" t="s">
        <v>6687</v>
      </c>
      <c r="N316" s="18"/>
      <c r="O316" s="18"/>
      <c r="P316" s="19">
        <v>45138</v>
      </c>
      <c r="Q316" s="19" t="s">
        <v>6687</v>
      </c>
      <c r="R316" s="19"/>
      <c r="S316" s="19"/>
      <c r="T316" s="19"/>
      <c r="U316" s="18"/>
      <c r="V316" s="17" t="s">
        <v>350</v>
      </c>
      <c r="W316" s="17" t="s">
        <v>351</v>
      </c>
    </row>
    <row r="317" spans="1:25" ht="11.25" hidden="1" customHeight="1" x14ac:dyDescent="0.25">
      <c r="B317" s="17" t="s">
        <v>752</v>
      </c>
      <c r="C317" s="17" t="s">
        <v>752</v>
      </c>
      <c r="D317" s="17" t="s">
        <v>348</v>
      </c>
      <c r="E317" s="17" t="s">
        <v>28</v>
      </c>
      <c r="F317" s="17"/>
      <c r="G317" s="17"/>
      <c r="H317" s="17" t="s">
        <v>753</v>
      </c>
      <c r="I317" s="17" t="s">
        <v>494</v>
      </c>
      <c r="J317" s="17" t="s">
        <v>76</v>
      </c>
      <c r="K317" s="17" t="s">
        <v>77</v>
      </c>
      <c r="L317" s="18">
        <v>43402</v>
      </c>
      <c r="M317" s="18" t="s">
        <v>6687</v>
      </c>
      <c r="N317" s="18"/>
      <c r="O317" s="18"/>
      <c r="P317" s="19"/>
      <c r="Q317" s="19"/>
      <c r="R317" s="19"/>
      <c r="S317" s="19"/>
      <c r="T317" s="19"/>
      <c r="U317" s="18"/>
      <c r="V317" s="17" t="s">
        <v>494</v>
      </c>
      <c r="W317" s="17" t="s">
        <v>472</v>
      </c>
    </row>
    <row r="318" spans="1:25" ht="11.25" hidden="1" customHeight="1" x14ac:dyDescent="0.25">
      <c r="B318" s="17" t="s">
        <v>754</v>
      </c>
      <c r="C318" s="17" t="s">
        <v>754</v>
      </c>
      <c r="D318" s="17" t="s">
        <v>348</v>
      </c>
      <c r="E318" s="17" t="s">
        <v>28</v>
      </c>
      <c r="F318" s="17"/>
      <c r="G318" s="17"/>
      <c r="H318" s="17" t="s">
        <v>755</v>
      </c>
      <c r="I318" s="17" t="s">
        <v>494</v>
      </c>
      <c r="J318" s="17" t="s">
        <v>34</v>
      </c>
      <c r="K318" s="17" t="s">
        <v>35</v>
      </c>
      <c r="L318" s="18">
        <v>43403</v>
      </c>
      <c r="M318" s="18" t="s">
        <v>6687</v>
      </c>
      <c r="N318" s="18"/>
      <c r="O318" s="18"/>
      <c r="P318" s="19"/>
      <c r="Q318" s="19"/>
      <c r="R318" s="19"/>
      <c r="S318" s="19"/>
      <c r="T318" s="19"/>
      <c r="U318" s="18"/>
      <c r="V318" s="17" t="s">
        <v>494</v>
      </c>
      <c r="W318" s="17" t="s">
        <v>472</v>
      </c>
    </row>
    <row r="319" spans="1:25" ht="11.25" hidden="1" customHeight="1" x14ac:dyDescent="0.25">
      <c r="B319" s="17" t="s">
        <v>756</v>
      </c>
      <c r="C319" s="17" t="s">
        <v>756</v>
      </c>
      <c r="D319" s="17" t="s">
        <v>348</v>
      </c>
      <c r="E319" s="17" t="s">
        <v>28</v>
      </c>
      <c r="F319" s="17"/>
      <c r="G319" s="17"/>
      <c r="H319" s="17" t="s">
        <v>757</v>
      </c>
      <c r="I319" s="17" t="s">
        <v>522</v>
      </c>
      <c r="J319" s="17" t="s">
        <v>112</v>
      </c>
      <c r="K319" s="17" t="s">
        <v>744</v>
      </c>
      <c r="L319" s="18">
        <v>43426</v>
      </c>
      <c r="M319" s="18" t="s">
        <v>6687</v>
      </c>
      <c r="N319" s="18"/>
      <c r="O319" s="18"/>
      <c r="P319" s="19"/>
      <c r="Q319" s="19"/>
      <c r="R319" s="19"/>
      <c r="S319" s="19"/>
      <c r="T319" s="19"/>
      <c r="U319" s="18"/>
      <c r="V319" s="17" t="s">
        <v>522</v>
      </c>
      <c r="W319" s="17" t="s">
        <v>472</v>
      </c>
    </row>
    <row r="320" spans="1:25" ht="11.25" hidden="1" customHeight="1" x14ac:dyDescent="0.25">
      <c r="B320" s="17" t="s">
        <v>758</v>
      </c>
      <c r="C320" s="17" t="s">
        <v>758</v>
      </c>
      <c r="D320" s="17" t="s">
        <v>348</v>
      </c>
      <c r="E320" s="17" t="s">
        <v>28</v>
      </c>
      <c r="F320" s="17"/>
      <c r="G320" s="17"/>
      <c r="H320" s="17" t="s">
        <v>759</v>
      </c>
      <c r="I320" s="17" t="s">
        <v>760</v>
      </c>
      <c r="J320" s="17" t="s">
        <v>76</v>
      </c>
      <c r="K320" s="17" t="s">
        <v>77</v>
      </c>
      <c r="L320" s="18">
        <v>43429</v>
      </c>
      <c r="M320" s="18" t="s">
        <v>6687</v>
      </c>
      <c r="N320" s="18"/>
      <c r="O320" s="18"/>
      <c r="P320" s="19"/>
      <c r="Q320" s="19"/>
      <c r="R320" s="19"/>
      <c r="S320" s="19"/>
      <c r="T320" s="19"/>
      <c r="U320" s="18"/>
      <c r="V320" s="17" t="s">
        <v>760</v>
      </c>
      <c r="W320" s="17" t="s">
        <v>472</v>
      </c>
    </row>
    <row r="321" spans="2:23" ht="11.25" hidden="1" customHeight="1" x14ac:dyDescent="0.25">
      <c r="B321" s="17" t="s">
        <v>761</v>
      </c>
      <c r="C321" s="17" t="s">
        <v>761</v>
      </c>
      <c r="D321" s="17" t="s">
        <v>348</v>
      </c>
      <c r="E321" s="17" t="s">
        <v>28</v>
      </c>
      <c r="F321" s="17"/>
      <c r="G321" s="17"/>
      <c r="H321" s="17" t="s">
        <v>762</v>
      </c>
      <c r="I321" s="17" t="s">
        <v>760</v>
      </c>
      <c r="J321" s="17" t="s">
        <v>34</v>
      </c>
      <c r="K321" s="17" t="s">
        <v>35</v>
      </c>
      <c r="L321" s="18">
        <v>43429</v>
      </c>
      <c r="M321" s="18" t="s">
        <v>6687</v>
      </c>
      <c r="N321" s="18"/>
      <c r="O321" s="18"/>
      <c r="P321" s="19"/>
      <c r="Q321" s="19"/>
      <c r="R321" s="19"/>
      <c r="S321" s="19"/>
      <c r="T321" s="19"/>
      <c r="U321" s="18"/>
      <c r="V321" s="17" t="s">
        <v>760</v>
      </c>
      <c r="W321" s="17" t="s">
        <v>472</v>
      </c>
    </row>
    <row r="322" spans="2:23" ht="11.25" hidden="1" customHeight="1" x14ac:dyDescent="0.25">
      <c r="B322" s="17" t="s">
        <v>763</v>
      </c>
      <c r="C322" s="17" t="s">
        <v>763</v>
      </c>
      <c r="D322" s="17" t="s">
        <v>348</v>
      </c>
      <c r="E322" s="17" t="s">
        <v>28</v>
      </c>
      <c r="F322" s="17"/>
      <c r="G322" s="17"/>
      <c r="H322" s="17" t="s">
        <v>764</v>
      </c>
      <c r="I322" s="17" t="s">
        <v>350</v>
      </c>
      <c r="J322" s="17" t="s">
        <v>61</v>
      </c>
      <c r="K322" s="17" t="s">
        <v>62</v>
      </c>
      <c r="L322" s="18">
        <v>43430</v>
      </c>
      <c r="M322" s="18" t="s">
        <v>6687</v>
      </c>
      <c r="N322" s="18"/>
      <c r="O322" s="18"/>
      <c r="P322" s="19"/>
      <c r="Q322" s="19"/>
      <c r="R322" s="19"/>
      <c r="S322" s="19"/>
      <c r="T322" s="19"/>
      <c r="U322" s="18"/>
      <c r="V322" s="17" t="s">
        <v>350</v>
      </c>
      <c r="W322" s="17" t="s">
        <v>351</v>
      </c>
    </row>
    <row r="323" spans="2:23" ht="11.25" hidden="1" customHeight="1" x14ac:dyDescent="0.25">
      <c r="B323" s="17" t="s">
        <v>765</v>
      </c>
      <c r="C323" s="17" t="s">
        <v>765</v>
      </c>
      <c r="D323" s="17" t="s">
        <v>348</v>
      </c>
      <c r="E323" s="17" t="s">
        <v>21</v>
      </c>
      <c r="F323" s="17"/>
      <c r="G323" s="17"/>
      <c r="H323" s="17" t="s">
        <v>766</v>
      </c>
      <c r="I323" s="17" t="s">
        <v>522</v>
      </c>
      <c r="J323" s="17" t="s">
        <v>767</v>
      </c>
      <c r="K323" s="17" t="s">
        <v>768</v>
      </c>
      <c r="L323" s="18">
        <v>43435</v>
      </c>
      <c r="M323" s="18" t="s">
        <v>6687</v>
      </c>
      <c r="N323" s="18"/>
      <c r="O323" s="18"/>
      <c r="P323" s="19">
        <v>45017</v>
      </c>
      <c r="Q323" s="19" t="s">
        <v>6687</v>
      </c>
      <c r="R323" s="19"/>
      <c r="S323" s="19"/>
      <c r="T323" s="19"/>
      <c r="U323" s="18"/>
      <c r="V323" s="17" t="s">
        <v>522</v>
      </c>
      <c r="W323" s="17" t="s">
        <v>472</v>
      </c>
    </row>
    <row r="324" spans="2:23" ht="11.25" hidden="1" customHeight="1" x14ac:dyDescent="0.25">
      <c r="B324" s="17" t="s">
        <v>769</v>
      </c>
      <c r="C324" s="17" t="s">
        <v>769</v>
      </c>
      <c r="D324" s="17" t="s">
        <v>348</v>
      </c>
      <c r="E324" s="17" t="s">
        <v>28</v>
      </c>
      <c r="F324" s="17"/>
      <c r="G324" s="17"/>
      <c r="H324" s="17" t="s">
        <v>770</v>
      </c>
      <c r="I324" s="17" t="s">
        <v>350</v>
      </c>
      <c r="J324" s="17" t="s">
        <v>34</v>
      </c>
      <c r="K324" s="17" t="s">
        <v>35</v>
      </c>
      <c r="L324" s="18">
        <v>43437</v>
      </c>
      <c r="M324" s="18" t="s">
        <v>6687</v>
      </c>
      <c r="N324" s="18"/>
      <c r="O324" s="18"/>
      <c r="P324" s="19"/>
      <c r="Q324" s="19"/>
      <c r="R324" s="19"/>
      <c r="S324" s="19"/>
      <c r="T324" s="19"/>
      <c r="U324" s="18"/>
      <c r="V324" s="17" t="s">
        <v>350</v>
      </c>
      <c r="W324" s="17" t="s">
        <v>351</v>
      </c>
    </row>
    <row r="325" spans="2:23" ht="11.25" hidden="1" customHeight="1" x14ac:dyDescent="0.25">
      <c r="B325" s="17" t="s">
        <v>771</v>
      </c>
      <c r="C325" s="17" t="s">
        <v>771</v>
      </c>
      <c r="D325" s="17" t="s">
        <v>348</v>
      </c>
      <c r="E325" s="17" t="s">
        <v>28</v>
      </c>
      <c r="F325" s="17"/>
      <c r="G325" s="17"/>
      <c r="H325" s="17" t="s">
        <v>772</v>
      </c>
      <c r="I325" s="17" t="s">
        <v>350</v>
      </c>
      <c r="J325" s="17" t="s">
        <v>76</v>
      </c>
      <c r="K325" s="17" t="s">
        <v>77</v>
      </c>
      <c r="L325" s="18">
        <v>43438</v>
      </c>
      <c r="M325" s="18" t="s">
        <v>6687</v>
      </c>
      <c r="N325" s="18"/>
      <c r="O325" s="18"/>
      <c r="P325" s="19"/>
      <c r="Q325" s="19"/>
      <c r="R325" s="19"/>
      <c r="S325" s="19"/>
      <c r="T325" s="19"/>
      <c r="U325" s="18"/>
      <c r="V325" s="17" t="s">
        <v>350</v>
      </c>
      <c r="W325" s="17" t="s">
        <v>351</v>
      </c>
    </row>
    <row r="326" spans="2:23" ht="11.25" hidden="1" customHeight="1" x14ac:dyDescent="0.25">
      <c r="B326" s="17" t="s">
        <v>773</v>
      </c>
      <c r="C326" s="17" t="s">
        <v>773</v>
      </c>
      <c r="D326" s="17" t="s">
        <v>348</v>
      </c>
      <c r="E326" s="17" t="s">
        <v>28</v>
      </c>
      <c r="F326" s="17"/>
      <c r="G326" s="17"/>
      <c r="H326" s="17" t="s">
        <v>774</v>
      </c>
      <c r="I326" s="17" t="s">
        <v>350</v>
      </c>
      <c r="J326" s="17" t="s">
        <v>112</v>
      </c>
      <c r="K326" s="17" t="s">
        <v>744</v>
      </c>
      <c r="L326" s="18">
        <v>43456</v>
      </c>
      <c r="M326" s="18" t="s">
        <v>6687</v>
      </c>
      <c r="N326" s="18"/>
      <c r="O326" s="18"/>
      <c r="P326" s="19"/>
      <c r="Q326" s="19"/>
      <c r="R326" s="19"/>
      <c r="S326" s="19"/>
      <c r="T326" s="19"/>
      <c r="U326" s="18"/>
      <c r="V326" s="17" t="s">
        <v>350</v>
      </c>
      <c r="W326" s="17" t="s">
        <v>351</v>
      </c>
    </row>
    <row r="327" spans="2:23" ht="11.25" hidden="1" customHeight="1" x14ac:dyDescent="0.25">
      <c r="B327" s="17" t="s">
        <v>775</v>
      </c>
      <c r="C327" s="17" t="s">
        <v>775</v>
      </c>
      <c r="D327" s="17" t="s">
        <v>348</v>
      </c>
      <c r="E327" s="17" t="s">
        <v>28</v>
      </c>
      <c r="F327" s="17"/>
      <c r="G327" s="17"/>
      <c r="H327" s="17" t="s">
        <v>776</v>
      </c>
      <c r="I327" s="17" t="s">
        <v>497</v>
      </c>
      <c r="J327" s="17" t="s">
        <v>112</v>
      </c>
      <c r="K327" s="17" t="s">
        <v>744</v>
      </c>
      <c r="L327" s="18">
        <v>43459</v>
      </c>
      <c r="M327" s="18" t="s">
        <v>6687</v>
      </c>
      <c r="N327" s="18"/>
      <c r="O327" s="18"/>
      <c r="P327" s="19"/>
      <c r="Q327" s="19"/>
      <c r="R327" s="19"/>
      <c r="S327" s="19"/>
      <c r="T327" s="19"/>
      <c r="U327" s="18"/>
      <c r="V327" s="17" t="s">
        <v>497</v>
      </c>
      <c r="W327" s="17" t="s">
        <v>472</v>
      </c>
    </row>
    <row r="328" spans="2:23" ht="11.25" hidden="1" customHeight="1" x14ac:dyDescent="0.25">
      <c r="B328" s="17" t="s">
        <v>777</v>
      </c>
      <c r="C328" s="17" t="s">
        <v>777</v>
      </c>
      <c r="D328" s="17" t="s">
        <v>348</v>
      </c>
      <c r="E328" s="17" t="s">
        <v>28</v>
      </c>
      <c r="F328" s="17"/>
      <c r="G328" s="17"/>
      <c r="H328" s="17" t="s">
        <v>778</v>
      </c>
      <c r="I328" s="17" t="s">
        <v>350</v>
      </c>
      <c r="J328" s="17" t="s">
        <v>112</v>
      </c>
      <c r="K328" s="17" t="s">
        <v>744</v>
      </c>
      <c r="L328" s="18">
        <v>43477</v>
      </c>
      <c r="M328" s="18" t="s">
        <v>6687</v>
      </c>
      <c r="N328" s="18"/>
      <c r="O328" s="18"/>
      <c r="P328" s="19"/>
      <c r="Q328" s="19"/>
      <c r="R328" s="19"/>
      <c r="S328" s="19"/>
      <c r="T328" s="19"/>
      <c r="U328" s="18"/>
      <c r="V328" s="17" t="s">
        <v>350</v>
      </c>
      <c r="W328" s="17" t="s">
        <v>351</v>
      </c>
    </row>
    <row r="329" spans="2:23" ht="11.25" hidden="1" customHeight="1" x14ac:dyDescent="0.25">
      <c r="B329" s="17" t="s">
        <v>779</v>
      </c>
      <c r="C329" s="17" t="s">
        <v>779</v>
      </c>
      <c r="D329" s="17" t="s">
        <v>348</v>
      </c>
      <c r="E329" s="17" t="s">
        <v>28</v>
      </c>
      <c r="F329" s="17"/>
      <c r="G329" s="17"/>
      <c r="H329" s="17" t="s">
        <v>780</v>
      </c>
      <c r="I329" s="17" t="s">
        <v>350</v>
      </c>
      <c r="J329" s="17" t="s">
        <v>51</v>
      </c>
      <c r="K329" s="17" t="s">
        <v>52</v>
      </c>
      <c r="L329" s="18">
        <v>43477</v>
      </c>
      <c r="M329" s="18" t="s">
        <v>6687</v>
      </c>
      <c r="N329" s="18"/>
      <c r="O329" s="18"/>
      <c r="P329" s="19"/>
      <c r="Q329" s="19"/>
      <c r="R329" s="19"/>
      <c r="S329" s="19"/>
      <c r="T329" s="19"/>
      <c r="U329" s="18"/>
      <c r="V329" s="17" t="s">
        <v>350</v>
      </c>
      <c r="W329" s="17" t="s">
        <v>351</v>
      </c>
    </row>
    <row r="330" spans="2:23" ht="11.25" hidden="1" customHeight="1" x14ac:dyDescent="0.25">
      <c r="B330" s="17" t="s">
        <v>781</v>
      </c>
      <c r="C330" s="17" t="s">
        <v>781</v>
      </c>
      <c r="D330" s="17" t="s">
        <v>348</v>
      </c>
      <c r="E330" s="17" t="s">
        <v>28</v>
      </c>
      <c r="F330" s="17"/>
      <c r="G330" s="17"/>
      <c r="H330" s="17" t="s">
        <v>782</v>
      </c>
      <c r="I330" s="17" t="s">
        <v>350</v>
      </c>
      <c r="J330" s="17" t="s">
        <v>76</v>
      </c>
      <c r="K330" s="17" t="s">
        <v>77</v>
      </c>
      <c r="L330" s="18">
        <v>43477</v>
      </c>
      <c r="M330" s="18" t="s">
        <v>6687</v>
      </c>
      <c r="N330" s="18"/>
      <c r="O330" s="18"/>
      <c r="P330" s="19"/>
      <c r="Q330" s="19"/>
      <c r="R330" s="19"/>
      <c r="S330" s="19"/>
      <c r="T330" s="19"/>
      <c r="U330" s="18"/>
      <c r="V330" s="17" t="s">
        <v>350</v>
      </c>
      <c r="W330" s="17" t="s">
        <v>351</v>
      </c>
    </row>
    <row r="331" spans="2:23" ht="11.25" hidden="1" customHeight="1" x14ac:dyDescent="0.25">
      <c r="B331" s="17" t="s">
        <v>783</v>
      </c>
      <c r="C331" s="17" t="s">
        <v>783</v>
      </c>
      <c r="D331" s="17" t="s">
        <v>348</v>
      </c>
      <c r="E331" s="17" t="s">
        <v>28</v>
      </c>
      <c r="F331" s="17"/>
      <c r="G331" s="17"/>
      <c r="H331" s="17" t="s">
        <v>784</v>
      </c>
      <c r="I331" s="17" t="s">
        <v>350</v>
      </c>
      <c r="J331" s="17" t="s">
        <v>34</v>
      </c>
      <c r="K331" s="17" t="s">
        <v>35</v>
      </c>
      <c r="L331" s="18">
        <v>43477</v>
      </c>
      <c r="M331" s="18" t="s">
        <v>6687</v>
      </c>
      <c r="N331" s="18"/>
      <c r="O331" s="18"/>
      <c r="P331" s="19"/>
      <c r="Q331" s="19"/>
      <c r="R331" s="19"/>
      <c r="S331" s="19"/>
      <c r="T331" s="19"/>
      <c r="U331" s="18"/>
      <c r="V331" s="17" t="s">
        <v>350</v>
      </c>
      <c r="W331" s="17" t="s">
        <v>351</v>
      </c>
    </row>
    <row r="332" spans="2:23" ht="11.25" hidden="1" customHeight="1" x14ac:dyDescent="0.25">
      <c r="B332" s="17" t="s">
        <v>785</v>
      </c>
      <c r="C332" s="17" t="s">
        <v>785</v>
      </c>
      <c r="D332" s="17" t="s">
        <v>348</v>
      </c>
      <c r="E332" s="17" t="s">
        <v>28</v>
      </c>
      <c r="F332" s="17"/>
      <c r="G332" s="17"/>
      <c r="H332" s="17" t="s">
        <v>786</v>
      </c>
      <c r="I332" s="17" t="s">
        <v>350</v>
      </c>
      <c r="J332" s="17" t="s">
        <v>34</v>
      </c>
      <c r="K332" s="17" t="s">
        <v>35</v>
      </c>
      <c r="L332" s="18">
        <v>43477</v>
      </c>
      <c r="M332" s="18" t="s">
        <v>6687</v>
      </c>
      <c r="N332" s="18"/>
      <c r="O332" s="18"/>
      <c r="P332" s="19"/>
      <c r="Q332" s="19"/>
      <c r="R332" s="19"/>
      <c r="S332" s="19"/>
      <c r="T332" s="19"/>
      <c r="U332" s="18"/>
      <c r="V332" s="17" t="s">
        <v>350</v>
      </c>
      <c r="W332" s="17" t="s">
        <v>351</v>
      </c>
    </row>
    <row r="333" spans="2:23" ht="11.25" hidden="1" customHeight="1" x14ac:dyDescent="0.25">
      <c r="B333" s="17" t="s">
        <v>787</v>
      </c>
      <c r="C333" s="17" t="s">
        <v>787</v>
      </c>
      <c r="D333" s="17" t="s">
        <v>348</v>
      </c>
      <c r="E333" s="17" t="s">
        <v>28</v>
      </c>
      <c r="F333" s="17"/>
      <c r="G333" s="17"/>
      <c r="H333" s="17" t="s">
        <v>788</v>
      </c>
      <c r="I333" s="17" t="s">
        <v>527</v>
      </c>
      <c r="J333" s="17" t="s">
        <v>34</v>
      </c>
      <c r="K333" s="17" t="s">
        <v>35</v>
      </c>
      <c r="L333" s="18">
        <v>43495</v>
      </c>
      <c r="M333" s="18" t="s">
        <v>6687</v>
      </c>
      <c r="N333" s="18"/>
      <c r="O333" s="18"/>
      <c r="P333" s="19"/>
      <c r="Q333" s="19"/>
      <c r="R333" s="19"/>
      <c r="S333" s="19"/>
      <c r="T333" s="19"/>
      <c r="U333" s="18"/>
      <c r="V333" s="17" t="s">
        <v>527</v>
      </c>
      <c r="W333" s="17" t="s">
        <v>472</v>
      </c>
    </row>
    <row r="334" spans="2:23" ht="11.25" hidden="1" customHeight="1" x14ac:dyDescent="0.25">
      <c r="B334" s="17" t="s">
        <v>789</v>
      </c>
      <c r="C334" s="17" t="s">
        <v>789</v>
      </c>
      <c r="D334" s="17" t="s">
        <v>348</v>
      </c>
      <c r="E334" s="17" t="s">
        <v>21</v>
      </c>
      <c r="F334" s="17"/>
      <c r="G334" s="17"/>
      <c r="H334" s="17" t="s">
        <v>790</v>
      </c>
      <c r="I334" s="17" t="s">
        <v>791</v>
      </c>
      <c r="J334" s="17" t="s">
        <v>76</v>
      </c>
      <c r="K334" s="17" t="s">
        <v>77</v>
      </c>
      <c r="L334" s="18">
        <v>43513</v>
      </c>
      <c r="M334" s="18" t="s">
        <v>6687</v>
      </c>
      <c r="N334" s="18"/>
      <c r="O334" s="18"/>
      <c r="P334" s="19">
        <v>45541</v>
      </c>
      <c r="Q334" s="19" t="s">
        <v>6687</v>
      </c>
      <c r="R334" s="19" t="s">
        <v>40</v>
      </c>
      <c r="S334" s="19"/>
      <c r="T334" s="19"/>
      <c r="U334" s="18">
        <v>43788</v>
      </c>
      <c r="V334" s="17" t="s">
        <v>791</v>
      </c>
      <c r="W334" s="17" t="s">
        <v>472</v>
      </c>
    </row>
    <row r="335" spans="2:23" ht="11.25" hidden="1" customHeight="1" x14ac:dyDescent="0.25">
      <c r="B335" s="17" t="s">
        <v>792</v>
      </c>
      <c r="C335" s="17" t="s">
        <v>792</v>
      </c>
      <c r="D335" s="17" t="s">
        <v>348</v>
      </c>
      <c r="E335" s="17" t="s">
        <v>21</v>
      </c>
      <c r="F335" s="17"/>
      <c r="G335" s="17"/>
      <c r="H335" s="17" t="s">
        <v>793</v>
      </c>
      <c r="I335" s="17" t="s">
        <v>791</v>
      </c>
      <c r="J335" s="17" t="s">
        <v>34</v>
      </c>
      <c r="K335" s="17" t="s">
        <v>35</v>
      </c>
      <c r="L335" s="18">
        <v>43513</v>
      </c>
      <c r="M335" s="18" t="s">
        <v>6687</v>
      </c>
      <c r="N335" s="18"/>
      <c r="O335" s="18"/>
      <c r="P335" s="19">
        <v>45541</v>
      </c>
      <c r="Q335" s="19" t="s">
        <v>6687</v>
      </c>
      <c r="R335" s="19" t="s">
        <v>40</v>
      </c>
      <c r="S335" s="19"/>
      <c r="T335" s="19"/>
      <c r="U335" s="18">
        <v>43788</v>
      </c>
      <c r="V335" s="17" t="s">
        <v>791</v>
      </c>
      <c r="W335" s="17" t="s">
        <v>472</v>
      </c>
    </row>
    <row r="336" spans="2:23" ht="11.25" hidden="1" customHeight="1" x14ac:dyDescent="0.25">
      <c r="B336" s="17" t="s">
        <v>794</v>
      </c>
      <c r="C336" s="17" t="s">
        <v>794</v>
      </c>
      <c r="D336" s="17" t="s">
        <v>348</v>
      </c>
      <c r="E336" s="17" t="s">
        <v>21</v>
      </c>
      <c r="F336" s="17"/>
      <c r="G336" s="17"/>
      <c r="H336" s="17" t="s">
        <v>795</v>
      </c>
      <c r="I336" s="17" t="s">
        <v>796</v>
      </c>
      <c r="J336" s="17" t="s">
        <v>34</v>
      </c>
      <c r="K336" s="17" t="s">
        <v>35</v>
      </c>
      <c r="L336" s="18">
        <v>43532</v>
      </c>
      <c r="M336" s="18" t="s">
        <v>6687</v>
      </c>
      <c r="N336" s="18"/>
      <c r="O336" s="18"/>
      <c r="P336" s="19">
        <v>45572</v>
      </c>
      <c r="Q336" s="19" t="s">
        <v>6687</v>
      </c>
      <c r="R336" s="19" t="s">
        <v>40</v>
      </c>
      <c r="S336" s="19"/>
      <c r="T336" s="19"/>
      <c r="U336" s="18"/>
      <c r="V336" s="17" t="s">
        <v>796</v>
      </c>
      <c r="W336" s="17" t="s">
        <v>472</v>
      </c>
    </row>
    <row r="337" spans="2:23" ht="11.25" hidden="1" customHeight="1" x14ac:dyDescent="0.25">
      <c r="B337" s="17" t="s">
        <v>797</v>
      </c>
      <c r="C337" s="17" t="s">
        <v>797</v>
      </c>
      <c r="D337" s="17" t="s">
        <v>348</v>
      </c>
      <c r="E337" s="17" t="s">
        <v>21</v>
      </c>
      <c r="F337" s="17"/>
      <c r="G337" s="17"/>
      <c r="H337" s="17" t="s">
        <v>798</v>
      </c>
      <c r="I337" s="17" t="s">
        <v>350</v>
      </c>
      <c r="J337" s="17" t="s">
        <v>228</v>
      </c>
      <c r="K337" s="17" t="s">
        <v>229</v>
      </c>
      <c r="L337" s="18">
        <v>43471</v>
      </c>
      <c r="M337" s="18" t="s">
        <v>6687</v>
      </c>
      <c r="N337" s="18"/>
      <c r="O337" s="18"/>
      <c r="P337" s="19">
        <v>44197</v>
      </c>
      <c r="Q337" s="19" t="s">
        <v>6687</v>
      </c>
      <c r="R337" s="19"/>
      <c r="S337" s="19"/>
      <c r="T337" s="19"/>
      <c r="U337" s="18"/>
      <c r="V337" s="17" t="s">
        <v>350</v>
      </c>
      <c r="W337" s="17" t="s">
        <v>351</v>
      </c>
    </row>
    <row r="338" spans="2:23" ht="11.25" hidden="1" customHeight="1" x14ac:dyDescent="0.25">
      <c r="B338" s="17" t="s">
        <v>799</v>
      </c>
      <c r="C338" s="17" t="s">
        <v>799</v>
      </c>
      <c r="D338" s="17" t="s">
        <v>348</v>
      </c>
      <c r="E338" s="17" t="s">
        <v>21</v>
      </c>
      <c r="F338" s="17"/>
      <c r="G338" s="17"/>
      <c r="H338" s="17" t="s">
        <v>800</v>
      </c>
      <c r="I338" s="17" t="s">
        <v>350</v>
      </c>
      <c r="J338" s="17" t="s">
        <v>228</v>
      </c>
      <c r="K338" s="17" t="s">
        <v>229</v>
      </c>
      <c r="L338" s="18">
        <v>43477</v>
      </c>
      <c r="M338" s="18" t="s">
        <v>6687</v>
      </c>
      <c r="N338" s="18"/>
      <c r="O338" s="18"/>
      <c r="P338" s="19">
        <v>45373</v>
      </c>
      <c r="Q338" s="19" t="s">
        <v>6687</v>
      </c>
      <c r="R338" s="19" t="s">
        <v>47</v>
      </c>
      <c r="S338" s="19" t="s">
        <v>801</v>
      </c>
      <c r="T338" s="19"/>
      <c r="U338" s="18"/>
      <c r="V338" s="17" t="s">
        <v>350</v>
      </c>
      <c r="W338" s="17" t="s">
        <v>351</v>
      </c>
    </row>
    <row r="339" spans="2:23" ht="11.25" hidden="1" customHeight="1" x14ac:dyDescent="0.25">
      <c r="B339" s="17" t="s">
        <v>802</v>
      </c>
      <c r="C339" s="17" t="s">
        <v>802</v>
      </c>
      <c r="D339" s="17" t="s">
        <v>348</v>
      </c>
      <c r="E339" s="17" t="s">
        <v>28</v>
      </c>
      <c r="F339" s="17"/>
      <c r="G339" s="17"/>
      <c r="H339" s="17" t="s">
        <v>803</v>
      </c>
      <c r="I339" s="17" t="s">
        <v>350</v>
      </c>
      <c r="J339" s="17" t="s">
        <v>112</v>
      </c>
      <c r="K339" s="17" t="s">
        <v>744</v>
      </c>
      <c r="L339" s="18">
        <v>43469</v>
      </c>
      <c r="M339" s="18" t="s">
        <v>6687</v>
      </c>
      <c r="N339" s="18"/>
      <c r="O339" s="18"/>
      <c r="P339" s="19"/>
      <c r="Q339" s="19"/>
      <c r="R339" s="19"/>
      <c r="S339" s="19"/>
      <c r="T339" s="19"/>
      <c r="U339" s="18"/>
      <c r="V339" s="17" t="s">
        <v>350</v>
      </c>
      <c r="W339" s="17" t="s">
        <v>351</v>
      </c>
    </row>
    <row r="340" spans="2:23" ht="11.25" hidden="1" customHeight="1" x14ac:dyDescent="0.25">
      <c r="B340" s="17" t="s">
        <v>804</v>
      </c>
      <c r="C340" s="17" t="s">
        <v>804</v>
      </c>
      <c r="D340" s="17" t="s">
        <v>348</v>
      </c>
      <c r="E340" s="17" t="s">
        <v>28</v>
      </c>
      <c r="F340" s="17"/>
      <c r="G340" s="17"/>
      <c r="H340" s="17" t="s">
        <v>805</v>
      </c>
      <c r="I340" s="17" t="s">
        <v>350</v>
      </c>
      <c r="J340" s="17" t="s">
        <v>76</v>
      </c>
      <c r="K340" s="17" t="s">
        <v>77</v>
      </c>
      <c r="L340" s="18">
        <v>43703</v>
      </c>
      <c r="M340" s="18" t="s">
        <v>6687</v>
      </c>
      <c r="N340" s="18"/>
      <c r="O340" s="18"/>
      <c r="P340" s="19"/>
      <c r="Q340" s="19"/>
      <c r="R340" s="19"/>
      <c r="S340" s="19"/>
      <c r="T340" s="19"/>
      <c r="U340" s="18"/>
      <c r="V340" s="17" t="s">
        <v>350</v>
      </c>
      <c r="W340" s="17" t="s">
        <v>351</v>
      </c>
    </row>
    <row r="341" spans="2:23" ht="11.25" hidden="1" customHeight="1" x14ac:dyDescent="0.25">
      <c r="B341" s="17" t="s">
        <v>806</v>
      </c>
      <c r="C341" s="17" t="s">
        <v>806</v>
      </c>
      <c r="D341" s="17" t="s">
        <v>348</v>
      </c>
      <c r="E341" s="17" t="s">
        <v>21</v>
      </c>
      <c r="F341" s="17"/>
      <c r="G341" s="17"/>
      <c r="H341" s="17" t="s">
        <v>807</v>
      </c>
      <c r="I341" s="17" t="s">
        <v>350</v>
      </c>
      <c r="J341" s="17" t="s">
        <v>228</v>
      </c>
      <c r="K341" s="17" t="s">
        <v>229</v>
      </c>
      <c r="L341" s="18">
        <v>43686</v>
      </c>
      <c r="M341" s="18" t="s">
        <v>6687</v>
      </c>
      <c r="N341" s="18"/>
      <c r="O341" s="18"/>
      <c r="P341" s="19">
        <v>44287</v>
      </c>
      <c r="Q341" s="19" t="s">
        <v>6687</v>
      </c>
      <c r="R341" s="19"/>
      <c r="S341" s="19"/>
      <c r="T341" s="19"/>
      <c r="U341" s="18"/>
      <c r="V341" s="17" t="s">
        <v>350</v>
      </c>
      <c r="W341" s="17" t="s">
        <v>351</v>
      </c>
    </row>
    <row r="342" spans="2:23" ht="11.25" hidden="1" customHeight="1" x14ac:dyDescent="0.25">
      <c r="B342" s="17" t="s">
        <v>808</v>
      </c>
      <c r="C342" s="17" t="s">
        <v>808</v>
      </c>
      <c r="D342" s="17" t="s">
        <v>348</v>
      </c>
      <c r="E342" s="17" t="s">
        <v>21</v>
      </c>
      <c r="F342" s="17"/>
      <c r="G342" s="17"/>
      <c r="H342" s="17" t="s">
        <v>809</v>
      </c>
      <c r="I342" s="17" t="s">
        <v>810</v>
      </c>
      <c r="J342" s="17" t="s">
        <v>76</v>
      </c>
      <c r="K342" s="17" t="s">
        <v>77</v>
      </c>
      <c r="L342" s="18">
        <v>43665</v>
      </c>
      <c r="M342" s="18" t="s">
        <v>6687</v>
      </c>
      <c r="N342" s="18"/>
      <c r="O342" s="18"/>
      <c r="P342" s="19">
        <v>44855</v>
      </c>
      <c r="Q342" s="19" t="s">
        <v>6687</v>
      </c>
      <c r="R342" s="19"/>
      <c r="S342" s="19"/>
      <c r="T342" s="19"/>
      <c r="U342" s="18"/>
      <c r="V342" s="17" t="s">
        <v>810</v>
      </c>
      <c r="W342" s="17" t="s">
        <v>472</v>
      </c>
    </row>
    <row r="343" spans="2:23" ht="11.25" hidden="1" customHeight="1" x14ac:dyDescent="0.25">
      <c r="B343" s="17" t="s">
        <v>811</v>
      </c>
      <c r="C343" s="17" t="s">
        <v>811</v>
      </c>
      <c r="D343" s="17" t="s">
        <v>348</v>
      </c>
      <c r="E343" s="17" t="s">
        <v>21</v>
      </c>
      <c r="F343" s="17"/>
      <c r="G343" s="17"/>
      <c r="H343" s="17" t="s">
        <v>812</v>
      </c>
      <c r="I343" s="17" t="s">
        <v>494</v>
      </c>
      <c r="J343" s="17" t="s">
        <v>112</v>
      </c>
      <c r="K343" s="17" t="s">
        <v>744</v>
      </c>
      <c r="L343" s="18">
        <v>43496</v>
      </c>
      <c r="M343" s="18" t="s">
        <v>6687</v>
      </c>
      <c r="N343" s="18"/>
      <c r="O343" s="18"/>
      <c r="P343" s="19">
        <v>45138</v>
      </c>
      <c r="Q343" s="19" t="s">
        <v>6687</v>
      </c>
      <c r="R343" s="19"/>
      <c r="S343" s="19"/>
      <c r="T343" s="19"/>
      <c r="U343" s="18"/>
      <c r="V343" s="17" t="s">
        <v>494</v>
      </c>
      <c r="W343" s="17" t="s">
        <v>472</v>
      </c>
    </row>
    <row r="344" spans="2:23" ht="11.25" hidden="1" customHeight="1" x14ac:dyDescent="0.25">
      <c r="B344" s="17" t="s">
        <v>813</v>
      </c>
      <c r="C344" s="17" t="s">
        <v>813</v>
      </c>
      <c r="D344" s="17" t="s">
        <v>348</v>
      </c>
      <c r="E344" s="17" t="s">
        <v>21</v>
      </c>
      <c r="F344" s="17"/>
      <c r="G344" s="17"/>
      <c r="H344" s="17" t="s">
        <v>814</v>
      </c>
      <c r="I344" s="17" t="s">
        <v>471</v>
      </c>
      <c r="J344" s="17" t="s">
        <v>112</v>
      </c>
      <c r="K344" s="17" t="s">
        <v>744</v>
      </c>
      <c r="L344" s="18">
        <v>43496</v>
      </c>
      <c r="M344" s="18" t="s">
        <v>6687</v>
      </c>
      <c r="N344" s="18"/>
      <c r="O344" s="18"/>
      <c r="P344" s="19">
        <v>44991</v>
      </c>
      <c r="Q344" s="19" t="s">
        <v>6687</v>
      </c>
      <c r="R344" s="19"/>
      <c r="S344" s="19"/>
      <c r="T344" s="19"/>
      <c r="U344" s="18"/>
      <c r="V344" s="17" t="s">
        <v>471</v>
      </c>
      <c r="W344" s="17" t="s">
        <v>472</v>
      </c>
    </row>
    <row r="345" spans="2:23" ht="11.25" hidden="1" customHeight="1" x14ac:dyDescent="0.25">
      <c r="B345" s="17" t="s">
        <v>815</v>
      </c>
      <c r="C345" s="17" t="s">
        <v>815</v>
      </c>
      <c r="D345" s="17" t="s">
        <v>348</v>
      </c>
      <c r="E345" s="17" t="s">
        <v>28</v>
      </c>
      <c r="F345" s="17"/>
      <c r="G345" s="17"/>
      <c r="H345" s="17" t="s">
        <v>816</v>
      </c>
      <c r="I345" s="17" t="s">
        <v>494</v>
      </c>
      <c r="J345" s="17" t="s">
        <v>76</v>
      </c>
      <c r="K345" s="17" t="s">
        <v>77</v>
      </c>
      <c r="L345" s="18">
        <v>43651</v>
      </c>
      <c r="M345" s="18" t="s">
        <v>6687</v>
      </c>
      <c r="N345" s="18"/>
      <c r="O345" s="18"/>
      <c r="P345" s="19"/>
      <c r="Q345" s="19"/>
      <c r="R345" s="19"/>
      <c r="S345" s="19"/>
      <c r="T345" s="19"/>
      <c r="U345" s="18"/>
      <c r="V345" s="17" t="s">
        <v>494</v>
      </c>
      <c r="W345" s="17" t="s">
        <v>472</v>
      </c>
    </row>
    <row r="346" spans="2:23" ht="11.25" hidden="1" customHeight="1" x14ac:dyDescent="0.25">
      <c r="B346" s="17" t="s">
        <v>817</v>
      </c>
      <c r="C346" s="17" t="s">
        <v>817</v>
      </c>
      <c r="D346" s="17" t="s">
        <v>348</v>
      </c>
      <c r="E346" s="17" t="s">
        <v>28</v>
      </c>
      <c r="F346" s="17"/>
      <c r="G346" s="17"/>
      <c r="H346" s="17" t="s">
        <v>818</v>
      </c>
      <c r="I346" s="17" t="s">
        <v>494</v>
      </c>
      <c r="J346" s="17" t="s">
        <v>34</v>
      </c>
      <c r="K346" s="17" t="s">
        <v>35</v>
      </c>
      <c r="L346" s="18">
        <v>43651</v>
      </c>
      <c r="M346" s="18" t="s">
        <v>6687</v>
      </c>
      <c r="N346" s="18"/>
      <c r="O346" s="18"/>
      <c r="P346" s="19"/>
      <c r="Q346" s="19"/>
      <c r="R346" s="19"/>
      <c r="S346" s="19"/>
      <c r="T346" s="19"/>
      <c r="U346" s="18"/>
      <c r="V346" s="17" t="s">
        <v>494</v>
      </c>
      <c r="W346" s="17" t="s">
        <v>472</v>
      </c>
    </row>
    <row r="347" spans="2:23" ht="11.25" hidden="1" customHeight="1" x14ac:dyDescent="0.25">
      <c r="B347" s="17" t="s">
        <v>819</v>
      </c>
      <c r="C347" s="17" t="s">
        <v>819</v>
      </c>
      <c r="D347" s="17" t="s">
        <v>348</v>
      </c>
      <c r="E347" s="17" t="s">
        <v>21</v>
      </c>
      <c r="F347" s="17"/>
      <c r="G347" s="17"/>
      <c r="H347" s="17" t="s">
        <v>820</v>
      </c>
      <c r="I347" s="17" t="s">
        <v>522</v>
      </c>
      <c r="J347" s="17" t="s">
        <v>228</v>
      </c>
      <c r="K347" s="17" t="s">
        <v>229</v>
      </c>
      <c r="L347" s="18">
        <v>43647</v>
      </c>
      <c r="M347" s="18" t="s">
        <v>6687</v>
      </c>
      <c r="N347" s="18"/>
      <c r="O347" s="18"/>
      <c r="P347" s="19">
        <v>44501</v>
      </c>
      <c r="Q347" s="19" t="s">
        <v>6687</v>
      </c>
      <c r="R347" s="19"/>
      <c r="S347" s="19"/>
      <c r="T347" s="19"/>
      <c r="U347" s="18"/>
      <c r="V347" s="17" t="s">
        <v>522</v>
      </c>
      <c r="W347" s="17" t="s">
        <v>472</v>
      </c>
    </row>
    <row r="348" spans="2:23" ht="11.25" hidden="1" customHeight="1" x14ac:dyDescent="0.25">
      <c r="B348" s="17" t="s">
        <v>821</v>
      </c>
      <c r="C348" s="17" t="s">
        <v>821</v>
      </c>
      <c r="D348" s="17" t="s">
        <v>348</v>
      </c>
      <c r="E348" s="17" t="s">
        <v>21</v>
      </c>
      <c r="F348" s="17"/>
      <c r="G348" s="17"/>
      <c r="H348" s="17" t="s">
        <v>822</v>
      </c>
      <c r="I348" s="17" t="s">
        <v>350</v>
      </c>
      <c r="J348" s="17" t="s">
        <v>34</v>
      </c>
      <c r="K348" s="17" t="s">
        <v>35</v>
      </c>
      <c r="L348" s="18">
        <v>43709</v>
      </c>
      <c r="M348" s="18" t="s">
        <v>6687</v>
      </c>
      <c r="N348" s="18"/>
      <c r="O348" s="18"/>
      <c r="P348" s="19">
        <v>45870</v>
      </c>
      <c r="Q348" s="19" t="s">
        <v>6687</v>
      </c>
      <c r="R348" s="19" t="s">
        <v>40</v>
      </c>
      <c r="S348" s="19"/>
      <c r="T348" s="19"/>
      <c r="U348" s="18"/>
      <c r="V348" s="17" t="s">
        <v>350</v>
      </c>
      <c r="W348" s="17" t="s">
        <v>351</v>
      </c>
    </row>
    <row r="349" spans="2:23" ht="11.25" hidden="1" customHeight="1" x14ac:dyDescent="0.25">
      <c r="B349" s="17" t="s">
        <v>823</v>
      </c>
      <c r="C349" s="17" t="s">
        <v>823</v>
      </c>
      <c r="D349" s="17" t="s">
        <v>348</v>
      </c>
      <c r="E349" s="17" t="s">
        <v>21</v>
      </c>
      <c r="F349" s="17"/>
      <c r="G349" s="17"/>
      <c r="H349" s="17" t="s">
        <v>824</v>
      </c>
      <c r="I349" s="17" t="s">
        <v>350</v>
      </c>
      <c r="J349" s="17" t="s">
        <v>379</v>
      </c>
      <c r="K349" s="17" t="s">
        <v>380</v>
      </c>
      <c r="L349" s="18">
        <v>43708</v>
      </c>
      <c r="M349" s="18" t="s">
        <v>6687</v>
      </c>
      <c r="N349" s="18"/>
      <c r="O349" s="18"/>
      <c r="P349" s="19">
        <v>45561</v>
      </c>
      <c r="Q349" s="19" t="s">
        <v>6687</v>
      </c>
      <c r="R349" s="19" t="s">
        <v>47</v>
      </c>
      <c r="S349" s="19" t="s">
        <v>825</v>
      </c>
      <c r="T349" s="19"/>
      <c r="U349" s="18"/>
      <c r="V349" s="17" t="s">
        <v>350</v>
      </c>
      <c r="W349" s="17" t="s">
        <v>351</v>
      </c>
    </row>
    <row r="350" spans="2:23" ht="11.25" hidden="1" customHeight="1" x14ac:dyDescent="0.25">
      <c r="B350" s="17" t="s">
        <v>826</v>
      </c>
      <c r="C350" s="17" t="s">
        <v>826</v>
      </c>
      <c r="D350" s="17" t="s">
        <v>348</v>
      </c>
      <c r="E350" s="17" t="s">
        <v>28</v>
      </c>
      <c r="F350" s="17"/>
      <c r="G350" s="17"/>
      <c r="H350" s="17" t="s">
        <v>827</v>
      </c>
      <c r="I350" s="17" t="s">
        <v>350</v>
      </c>
      <c r="J350" s="17" t="s">
        <v>76</v>
      </c>
      <c r="K350" s="17" t="s">
        <v>77</v>
      </c>
      <c r="L350" s="18">
        <v>43709</v>
      </c>
      <c r="M350" s="18" t="s">
        <v>6687</v>
      </c>
      <c r="N350" s="18"/>
      <c r="O350" s="18"/>
      <c r="P350" s="19"/>
      <c r="Q350" s="19"/>
      <c r="R350" s="19"/>
      <c r="S350" s="19"/>
      <c r="T350" s="19"/>
      <c r="U350" s="18"/>
      <c r="V350" s="17" t="s">
        <v>350</v>
      </c>
      <c r="W350" s="17" t="s">
        <v>351</v>
      </c>
    </row>
    <row r="351" spans="2:23" ht="11.25" hidden="1" customHeight="1" x14ac:dyDescent="0.25">
      <c r="B351" s="17" t="s">
        <v>828</v>
      </c>
      <c r="C351" s="17" t="s">
        <v>828</v>
      </c>
      <c r="D351" s="17" t="s">
        <v>348</v>
      </c>
      <c r="E351" s="17" t="s">
        <v>21</v>
      </c>
      <c r="F351" s="17"/>
      <c r="G351" s="17"/>
      <c r="H351" s="17" t="s">
        <v>829</v>
      </c>
      <c r="I351" s="17" t="s">
        <v>350</v>
      </c>
      <c r="J351" s="17" t="s">
        <v>34</v>
      </c>
      <c r="K351" s="17" t="s">
        <v>35</v>
      </c>
      <c r="L351" s="18">
        <v>43709</v>
      </c>
      <c r="M351" s="18" t="s">
        <v>6687</v>
      </c>
      <c r="N351" s="18"/>
      <c r="O351" s="18"/>
      <c r="P351" s="19">
        <v>44550</v>
      </c>
      <c r="Q351" s="19" t="s">
        <v>6687</v>
      </c>
      <c r="R351" s="19"/>
      <c r="S351" s="19"/>
      <c r="T351" s="19"/>
      <c r="U351" s="18"/>
      <c r="V351" s="17" t="s">
        <v>350</v>
      </c>
      <c r="W351" s="17" t="s">
        <v>351</v>
      </c>
    </row>
    <row r="352" spans="2:23" ht="11.25" hidden="1" customHeight="1" x14ac:dyDescent="0.25">
      <c r="B352" s="17" t="s">
        <v>830</v>
      </c>
      <c r="C352" s="17" t="s">
        <v>830</v>
      </c>
      <c r="D352" s="17" t="s">
        <v>348</v>
      </c>
      <c r="E352" s="17" t="s">
        <v>28</v>
      </c>
      <c r="F352" s="17"/>
      <c r="G352" s="17"/>
      <c r="H352" s="17" t="s">
        <v>831</v>
      </c>
      <c r="I352" s="17" t="s">
        <v>350</v>
      </c>
      <c r="J352" s="17" t="s">
        <v>34</v>
      </c>
      <c r="K352" s="17" t="s">
        <v>35</v>
      </c>
      <c r="L352" s="18">
        <v>43709</v>
      </c>
      <c r="M352" s="18" t="s">
        <v>6687</v>
      </c>
      <c r="N352" s="18"/>
      <c r="O352" s="18"/>
      <c r="P352" s="19"/>
      <c r="Q352" s="19"/>
      <c r="R352" s="19"/>
      <c r="S352" s="19"/>
      <c r="T352" s="19"/>
      <c r="U352" s="18"/>
      <c r="V352" s="17" t="s">
        <v>350</v>
      </c>
      <c r="W352" s="17" t="s">
        <v>351</v>
      </c>
    </row>
    <row r="353" spans="2:25" ht="11.25" hidden="1" customHeight="1" x14ac:dyDescent="0.25">
      <c r="B353" s="17" t="s">
        <v>832</v>
      </c>
      <c r="C353" s="17" t="s">
        <v>832</v>
      </c>
      <c r="D353" s="17" t="s">
        <v>348</v>
      </c>
      <c r="E353" s="17" t="s">
        <v>21</v>
      </c>
      <c r="F353" s="17"/>
      <c r="G353" s="17"/>
      <c r="H353" s="17" t="s">
        <v>833</v>
      </c>
      <c r="I353" s="17" t="s">
        <v>350</v>
      </c>
      <c r="J353" s="17" t="s">
        <v>228</v>
      </c>
      <c r="K353" s="17" t="s">
        <v>229</v>
      </c>
      <c r="L353" s="18">
        <v>43710</v>
      </c>
      <c r="M353" s="18" t="s">
        <v>6687</v>
      </c>
      <c r="N353" s="18"/>
      <c r="O353" s="18"/>
      <c r="P353" s="19">
        <v>43911</v>
      </c>
      <c r="Q353" s="19" t="s">
        <v>6687</v>
      </c>
      <c r="R353" s="19"/>
      <c r="S353" s="19"/>
      <c r="T353" s="19"/>
      <c r="U353" s="18"/>
      <c r="V353" s="17" t="s">
        <v>350</v>
      </c>
      <c r="W353" s="17" t="s">
        <v>351</v>
      </c>
    </row>
    <row r="354" spans="2:25" ht="11.25" hidden="1" customHeight="1" x14ac:dyDescent="0.25">
      <c r="B354" s="17" t="s">
        <v>834</v>
      </c>
      <c r="C354" s="17" t="s">
        <v>834</v>
      </c>
      <c r="D354" s="17" t="s">
        <v>348</v>
      </c>
      <c r="E354" s="17" t="s">
        <v>28</v>
      </c>
      <c r="F354" s="17"/>
      <c r="G354" s="17"/>
      <c r="H354" s="17" t="s">
        <v>835</v>
      </c>
      <c r="I354" s="17" t="s">
        <v>836</v>
      </c>
      <c r="J354" s="17" t="s">
        <v>76</v>
      </c>
      <c r="K354" s="17" t="s">
        <v>77</v>
      </c>
      <c r="L354" s="18">
        <v>43706</v>
      </c>
      <c r="M354" s="18" t="s">
        <v>6687</v>
      </c>
      <c r="N354" s="18"/>
      <c r="O354" s="18"/>
      <c r="P354" s="19"/>
      <c r="Q354" s="19"/>
      <c r="R354" s="19"/>
      <c r="S354" s="19"/>
      <c r="T354" s="19"/>
      <c r="U354" s="18"/>
      <c r="V354" s="17" t="s">
        <v>836</v>
      </c>
      <c r="W354" s="17" t="s">
        <v>472</v>
      </c>
    </row>
    <row r="355" spans="2:25" ht="11.25" hidden="1" customHeight="1" x14ac:dyDescent="0.25">
      <c r="B355" s="17" t="s">
        <v>837</v>
      </c>
      <c r="C355" s="17" t="s">
        <v>837</v>
      </c>
      <c r="D355" s="17" t="s">
        <v>348</v>
      </c>
      <c r="E355" s="17" t="s">
        <v>21</v>
      </c>
      <c r="F355" s="17"/>
      <c r="G355" s="17"/>
      <c r="H355" s="17" t="s">
        <v>838</v>
      </c>
      <c r="I355" s="17" t="s">
        <v>810</v>
      </c>
      <c r="J355" s="17" t="s">
        <v>228</v>
      </c>
      <c r="K355" s="17" t="s">
        <v>229</v>
      </c>
      <c r="L355" s="18">
        <v>43665</v>
      </c>
      <c r="M355" s="18" t="s">
        <v>6687</v>
      </c>
      <c r="N355" s="18"/>
      <c r="O355" s="18"/>
      <c r="P355" s="19">
        <v>44271</v>
      </c>
      <c r="Q355" s="19" t="s">
        <v>6687</v>
      </c>
      <c r="R355" s="19"/>
      <c r="S355" s="19"/>
      <c r="T355" s="19"/>
      <c r="U355" s="18"/>
      <c r="V355" s="17" t="s">
        <v>810</v>
      </c>
      <c r="W355" s="17" t="s">
        <v>472</v>
      </c>
    </row>
    <row r="356" spans="2:25" ht="11.25" hidden="1" customHeight="1" x14ac:dyDescent="0.25">
      <c r="B356" s="17" t="s">
        <v>839</v>
      </c>
      <c r="C356" s="17" t="s">
        <v>839</v>
      </c>
      <c r="D356" s="17" t="s">
        <v>348</v>
      </c>
      <c r="E356" s="17" t="s">
        <v>21</v>
      </c>
      <c r="F356" s="17"/>
      <c r="G356" s="17"/>
      <c r="H356" s="17" t="s">
        <v>840</v>
      </c>
      <c r="I356" s="17" t="s">
        <v>350</v>
      </c>
      <c r="J356" s="17" t="s">
        <v>76</v>
      </c>
      <c r="K356" s="17" t="s">
        <v>77</v>
      </c>
      <c r="L356" s="18">
        <v>43709</v>
      </c>
      <c r="M356" s="18" t="s">
        <v>6687</v>
      </c>
      <c r="N356" s="18"/>
      <c r="O356" s="18"/>
      <c r="P356" s="19">
        <v>44550</v>
      </c>
      <c r="Q356" s="19" t="s">
        <v>6687</v>
      </c>
      <c r="R356" s="19"/>
      <c r="S356" s="19"/>
      <c r="T356" s="19"/>
      <c r="U356" s="18"/>
      <c r="V356" s="17" t="s">
        <v>350</v>
      </c>
      <c r="W356" s="17" t="s">
        <v>351</v>
      </c>
    </row>
    <row r="357" spans="2:25" ht="11.25" hidden="1" customHeight="1" x14ac:dyDescent="0.25">
      <c r="B357" s="17" t="s">
        <v>841</v>
      </c>
      <c r="C357" s="17" t="s">
        <v>841</v>
      </c>
      <c r="D357" s="17" t="s">
        <v>348</v>
      </c>
      <c r="E357" s="17" t="s">
        <v>21</v>
      </c>
      <c r="F357" s="17"/>
      <c r="G357" s="17"/>
      <c r="H357" s="17" t="s">
        <v>842</v>
      </c>
      <c r="I357" s="17" t="s">
        <v>350</v>
      </c>
      <c r="J357" s="17" t="s">
        <v>76</v>
      </c>
      <c r="K357" s="17" t="s">
        <v>77</v>
      </c>
      <c r="L357" s="18">
        <v>43150</v>
      </c>
      <c r="M357" s="18" t="s">
        <v>6687</v>
      </c>
      <c r="N357" s="18"/>
      <c r="O357" s="18"/>
      <c r="P357" s="19">
        <v>45717</v>
      </c>
      <c r="Q357" s="19" t="s">
        <v>6687</v>
      </c>
      <c r="R357" s="19" t="s">
        <v>40</v>
      </c>
      <c r="S357" s="19"/>
      <c r="T357" s="19"/>
      <c r="U357" s="18"/>
      <c r="V357" s="17" t="s">
        <v>350</v>
      </c>
      <c r="W357" s="17" t="s">
        <v>351</v>
      </c>
      <c r="Y357" s="4"/>
    </row>
    <row r="358" spans="2:25" ht="11.25" hidden="1" customHeight="1" x14ac:dyDescent="0.25">
      <c r="B358" s="17" t="s">
        <v>843</v>
      </c>
      <c r="C358" s="17" t="s">
        <v>843</v>
      </c>
      <c r="D358" s="17" t="s">
        <v>348</v>
      </c>
      <c r="E358" s="17" t="s">
        <v>21</v>
      </c>
      <c r="F358" s="17"/>
      <c r="G358" s="17"/>
      <c r="H358" s="17" t="s">
        <v>844</v>
      </c>
      <c r="I358" s="17" t="s">
        <v>350</v>
      </c>
      <c r="J358" s="17" t="s">
        <v>76</v>
      </c>
      <c r="K358" s="17" t="s">
        <v>77</v>
      </c>
      <c r="L358" s="18">
        <v>43722</v>
      </c>
      <c r="M358" s="18" t="s">
        <v>6687</v>
      </c>
      <c r="N358" s="18"/>
      <c r="O358" s="18"/>
      <c r="P358" s="19">
        <v>45597</v>
      </c>
      <c r="Q358" s="19" t="s">
        <v>6687</v>
      </c>
      <c r="R358" s="19" t="s">
        <v>40</v>
      </c>
      <c r="S358" s="19"/>
      <c r="T358" s="19"/>
      <c r="U358" s="18"/>
      <c r="V358" s="17" t="s">
        <v>350</v>
      </c>
      <c r="W358" s="17" t="s">
        <v>351</v>
      </c>
    </row>
    <row r="359" spans="2:25" ht="11.25" hidden="1" customHeight="1" x14ac:dyDescent="0.25">
      <c r="B359" s="17" t="s">
        <v>845</v>
      </c>
      <c r="C359" s="17" t="s">
        <v>845</v>
      </c>
      <c r="D359" s="17" t="s">
        <v>348</v>
      </c>
      <c r="E359" s="17" t="s">
        <v>28</v>
      </c>
      <c r="F359" s="17"/>
      <c r="G359" s="17"/>
      <c r="H359" s="17" t="s">
        <v>846</v>
      </c>
      <c r="I359" s="17" t="s">
        <v>350</v>
      </c>
      <c r="J359" s="17" t="s">
        <v>124</v>
      </c>
      <c r="K359" s="17" t="s">
        <v>125</v>
      </c>
      <c r="L359" s="18">
        <v>43708</v>
      </c>
      <c r="M359" s="18" t="s">
        <v>6687</v>
      </c>
      <c r="N359" s="18"/>
      <c r="O359" s="18"/>
      <c r="P359" s="19"/>
      <c r="Q359" s="19"/>
      <c r="R359" s="19"/>
      <c r="S359" s="19"/>
      <c r="T359" s="19"/>
      <c r="U359" s="18"/>
      <c r="V359" s="17" t="s">
        <v>350</v>
      </c>
      <c r="W359" s="17" t="s">
        <v>351</v>
      </c>
    </row>
    <row r="360" spans="2:25" ht="11.25" hidden="1" customHeight="1" x14ac:dyDescent="0.25">
      <c r="B360" s="17" t="s">
        <v>847</v>
      </c>
      <c r="C360" s="17" t="s">
        <v>847</v>
      </c>
      <c r="D360" s="17" t="s">
        <v>348</v>
      </c>
      <c r="E360" s="17" t="s">
        <v>21</v>
      </c>
      <c r="F360" s="17"/>
      <c r="G360" s="17"/>
      <c r="H360" s="17" t="s">
        <v>848</v>
      </c>
      <c r="I360" s="17" t="s">
        <v>796</v>
      </c>
      <c r="J360" s="17" t="s">
        <v>76</v>
      </c>
      <c r="K360" s="17" t="s">
        <v>77</v>
      </c>
      <c r="L360" s="18">
        <v>43743</v>
      </c>
      <c r="M360" s="18" t="s">
        <v>6687</v>
      </c>
      <c r="N360" s="18"/>
      <c r="O360" s="18"/>
      <c r="P360" s="19">
        <v>45572</v>
      </c>
      <c r="Q360" s="19" t="s">
        <v>6687</v>
      </c>
      <c r="R360" s="19" t="s">
        <v>40</v>
      </c>
      <c r="S360" s="19"/>
      <c r="T360" s="19"/>
      <c r="U360" s="18"/>
      <c r="V360" s="17" t="s">
        <v>796</v>
      </c>
      <c r="W360" s="17" t="s">
        <v>472</v>
      </c>
    </row>
    <row r="361" spans="2:25" ht="11.25" hidden="1" customHeight="1" x14ac:dyDescent="0.25">
      <c r="B361" s="17" t="s">
        <v>849</v>
      </c>
      <c r="C361" s="17" t="s">
        <v>849</v>
      </c>
      <c r="D361" s="17" t="s">
        <v>348</v>
      </c>
      <c r="E361" s="17" t="s">
        <v>28</v>
      </c>
      <c r="F361" s="17"/>
      <c r="G361" s="17"/>
      <c r="H361" s="17" t="s">
        <v>850</v>
      </c>
      <c r="I361" s="17" t="s">
        <v>851</v>
      </c>
      <c r="J361" s="17" t="s">
        <v>34</v>
      </c>
      <c r="K361" s="17" t="s">
        <v>35</v>
      </c>
      <c r="L361" s="18">
        <v>43743</v>
      </c>
      <c r="M361" s="18" t="s">
        <v>6687</v>
      </c>
      <c r="N361" s="18"/>
      <c r="O361" s="18"/>
      <c r="P361" s="19"/>
      <c r="Q361" s="19"/>
      <c r="R361" s="19"/>
      <c r="S361" s="19"/>
      <c r="T361" s="19"/>
      <c r="U361" s="18"/>
      <c r="V361" s="17" t="s">
        <v>851</v>
      </c>
      <c r="W361" s="17" t="s">
        <v>472</v>
      </c>
    </row>
    <row r="362" spans="2:25" ht="11.25" hidden="1" customHeight="1" x14ac:dyDescent="0.25">
      <c r="B362" s="17" t="s">
        <v>852</v>
      </c>
      <c r="C362" s="17" t="s">
        <v>852</v>
      </c>
      <c r="D362" s="17" t="s">
        <v>348</v>
      </c>
      <c r="E362" s="17" t="s">
        <v>28</v>
      </c>
      <c r="F362" s="17"/>
      <c r="G362" s="17"/>
      <c r="H362" s="17" t="s">
        <v>853</v>
      </c>
      <c r="I362" s="17" t="s">
        <v>527</v>
      </c>
      <c r="J362" s="17" t="s">
        <v>112</v>
      </c>
      <c r="K362" s="17" t="s">
        <v>744</v>
      </c>
      <c r="L362" s="18">
        <v>43789</v>
      </c>
      <c r="M362" s="18" t="s">
        <v>6687</v>
      </c>
      <c r="N362" s="18"/>
      <c r="O362" s="18"/>
      <c r="P362" s="19"/>
      <c r="Q362" s="19"/>
      <c r="R362" s="19"/>
      <c r="S362" s="19"/>
      <c r="T362" s="19"/>
      <c r="U362" s="18"/>
      <c r="V362" s="17" t="s">
        <v>527</v>
      </c>
      <c r="W362" s="17" t="s">
        <v>472</v>
      </c>
    </row>
    <row r="363" spans="2:25" ht="11.25" hidden="1" customHeight="1" x14ac:dyDescent="0.25">
      <c r="B363" s="17" t="s">
        <v>854</v>
      </c>
      <c r="C363" s="17" t="s">
        <v>854</v>
      </c>
      <c r="D363" s="17" t="s">
        <v>348</v>
      </c>
      <c r="E363" s="17" t="s">
        <v>28</v>
      </c>
      <c r="F363" s="17"/>
      <c r="G363" s="17"/>
      <c r="H363" s="17" t="s">
        <v>855</v>
      </c>
      <c r="I363" s="17" t="s">
        <v>856</v>
      </c>
      <c r="J363" s="17" t="s">
        <v>76</v>
      </c>
      <c r="K363" s="17" t="s">
        <v>77</v>
      </c>
      <c r="L363" s="18">
        <v>43786</v>
      </c>
      <c r="M363" s="18" t="s">
        <v>6687</v>
      </c>
      <c r="N363" s="18"/>
      <c r="O363" s="18"/>
      <c r="P363" s="19"/>
      <c r="Q363" s="19"/>
      <c r="R363" s="19"/>
      <c r="S363" s="19"/>
      <c r="T363" s="19"/>
      <c r="U363" s="18"/>
      <c r="V363" s="17" t="s">
        <v>856</v>
      </c>
      <c r="W363" s="17" t="s">
        <v>472</v>
      </c>
    </row>
    <row r="364" spans="2:25" ht="11.25" hidden="1" customHeight="1" x14ac:dyDescent="0.25">
      <c r="B364" s="17" t="s">
        <v>857</v>
      </c>
      <c r="C364" s="17" t="s">
        <v>857</v>
      </c>
      <c r="D364" s="17" t="s">
        <v>348</v>
      </c>
      <c r="E364" s="17" t="s">
        <v>21</v>
      </c>
      <c r="F364" s="17"/>
      <c r="G364" s="17"/>
      <c r="H364" s="17" t="s">
        <v>858</v>
      </c>
      <c r="I364" s="17" t="s">
        <v>350</v>
      </c>
      <c r="J364" s="17" t="s">
        <v>34</v>
      </c>
      <c r="K364" s="17" t="s">
        <v>35</v>
      </c>
      <c r="L364" s="18">
        <v>43150</v>
      </c>
      <c r="M364" s="18" t="s">
        <v>6687</v>
      </c>
      <c r="N364" s="18"/>
      <c r="O364" s="18"/>
      <c r="P364" s="19">
        <v>45717</v>
      </c>
      <c r="Q364" s="19" t="s">
        <v>6687</v>
      </c>
      <c r="R364" s="19" t="s">
        <v>40</v>
      </c>
      <c r="S364" s="19"/>
      <c r="T364" s="19"/>
      <c r="U364" s="18"/>
      <c r="V364" s="17" t="s">
        <v>350</v>
      </c>
      <c r="W364" s="17" t="s">
        <v>351</v>
      </c>
      <c r="Y364" s="4"/>
    </row>
    <row r="365" spans="2:25" ht="11.25" hidden="1" customHeight="1" x14ac:dyDescent="0.25">
      <c r="B365" s="17" t="s">
        <v>859</v>
      </c>
      <c r="C365" s="17" t="s">
        <v>859</v>
      </c>
      <c r="D365" s="17" t="s">
        <v>348</v>
      </c>
      <c r="E365" s="17" t="s">
        <v>28</v>
      </c>
      <c r="F365" s="17"/>
      <c r="G365" s="17"/>
      <c r="H365" s="17" t="s">
        <v>860</v>
      </c>
      <c r="I365" s="17" t="s">
        <v>856</v>
      </c>
      <c r="J365" s="17" t="s">
        <v>34</v>
      </c>
      <c r="K365" s="17" t="s">
        <v>35</v>
      </c>
      <c r="L365" s="18">
        <v>43786</v>
      </c>
      <c r="M365" s="18" t="s">
        <v>6687</v>
      </c>
      <c r="N365" s="18"/>
      <c r="O365" s="18"/>
      <c r="P365" s="19"/>
      <c r="Q365" s="19"/>
      <c r="R365" s="19"/>
      <c r="S365" s="19"/>
      <c r="T365" s="19"/>
      <c r="U365" s="18"/>
      <c r="V365" s="17" t="s">
        <v>856</v>
      </c>
      <c r="W365" s="17" t="s">
        <v>472</v>
      </c>
    </row>
    <row r="366" spans="2:25" ht="11.25" hidden="1" customHeight="1" x14ac:dyDescent="0.25">
      <c r="B366" s="17" t="s">
        <v>861</v>
      </c>
      <c r="C366" s="17" t="s">
        <v>861</v>
      </c>
      <c r="D366" s="17" t="s">
        <v>348</v>
      </c>
      <c r="E366" s="17" t="s">
        <v>28</v>
      </c>
      <c r="F366" s="17"/>
      <c r="G366" s="17"/>
      <c r="H366" s="17" t="s">
        <v>862</v>
      </c>
      <c r="I366" s="17" t="s">
        <v>522</v>
      </c>
      <c r="J366" s="17" t="s">
        <v>76</v>
      </c>
      <c r="K366" s="17" t="s">
        <v>77</v>
      </c>
      <c r="L366" s="18">
        <v>43765</v>
      </c>
      <c r="M366" s="18" t="s">
        <v>6687</v>
      </c>
      <c r="N366" s="18"/>
      <c r="O366" s="18"/>
      <c r="P366" s="19"/>
      <c r="Q366" s="19"/>
      <c r="R366" s="19"/>
      <c r="S366" s="19"/>
      <c r="T366" s="19"/>
      <c r="U366" s="18"/>
      <c r="V366" s="17" t="s">
        <v>522</v>
      </c>
      <c r="W366" s="17" t="s">
        <v>472</v>
      </c>
    </row>
    <row r="367" spans="2:25" ht="11.25" hidden="1" customHeight="1" x14ac:dyDescent="0.25">
      <c r="B367" s="17" t="s">
        <v>863</v>
      </c>
      <c r="C367" s="17" t="s">
        <v>863</v>
      </c>
      <c r="D367" s="17" t="s">
        <v>348</v>
      </c>
      <c r="E367" s="17" t="s">
        <v>28</v>
      </c>
      <c r="F367" s="17"/>
      <c r="G367" s="17"/>
      <c r="H367" s="17" t="s">
        <v>864</v>
      </c>
      <c r="I367" s="17" t="s">
        <v>522</v>
      </c>
      <c r="J367" s="17" t="s">
        <v>34</v>
      </c>
      <c r="K367" s="17" t="s">
        <v>35</v>
      </c>
      <c r="L367" s="18">
        <v>43765</v>
      </c>
      <c r="M367" s="18" t="s">
        <v>6687</v>
      </c>
      <c r="N367" s="18"/>
      <c r="O367" s="18"/>
      <c r="P367" s="19"/>
      <c r="Q367" s="19"/>
      <c r="R367" s="19"/>
      <c r="S367" s="19"/>
      <c r="T367" s="19"/>
      <c r="U367" s="18"/>
      <c r="V367" s="17" t="s">
        <v>522</v>
      </c>
      <c r="W367" s="17" t="s">
        <v>472</v>
      </c>
    </row>
    <row r="368" spans="2:25" ht="11.25" hidden="1" customHeight="1" x14ac:dyDescent="0.25">
      <c r="B368" s="17" t="s">
        <v>865</v>
      </c>
      <c r="C368" s="17" t="s">
        <v>865</v>
      </c>
      <c r="D368" s="17" t="s">
        <v>348</v>
      </c>
      <c r="E368" s="17" t="s">
        <v>21</v>
      </c>
      <c r="F368" s="17"/>
      <c r="G368" s="17"/>
      <c r="H368" s="17" t="s">
        <v>866</v>
      </c>
      <c r="I368" s="17" t="s">
        <v>350</v>
      </c>
      <c r="J368" s="17" t="s">
        <v>24</v>
      </c>
      <c r="K368" s="17" t="s">
        <v>25</v>
      </c>
      <c r="L368" s="18">
        <v>43697</v>
      </c>
      <c r="M368" s="18" t="s">
        <v>6687</v>
      </c>
      <c r="N368" s="18"/>
      <c r="O368" s="18"/>
      <c r="P368" s="19">
        <v>45839</v>
      </c>
      <c r="Q368" s="19" t="s">
        <v>6687</v>
      </c>
      <c r="R368" s="19" t="s">
        <v>40</v>
      </c>
      <c r="S368" s="19"/>
      <c r="T368" s="19"/>
      <c r="U368" s="18"/>
      <c r="V368" s="17" t="s">
        <v>350</v>
      </c>
      <c r="W368" s="17" t="s">
        <v>351</v>
      </c>
    </row>
    <row r="369" spans="2:23" ht="11.25" hidden="1" customHeight="1" x14ac:dyDescent="0.25">
      <c r="B369" s="17" t="s">
        <v>867</v>
      </c>
      <c r="C369" s="17" t="s">
        <v>867</v>
      </c>
      <c r="D369" s="17" t="s">
        <v>348</v>
      </c>
      <c r="E369" s="17" t="s">
        <v>28</v>
      </c>
      <c r="F369" s="17"/>
      <c r="G369" s="17"/>
      <c r="H369" s="17" t="s">
        <v>868</v>
      </c>
      <c r="I369" s="17" t="s">
        <v>350</v>
      </c>
      <c r="J369" s="17" t="s">
        <v>34</v>
      </c>
      <c r="K369" s="17" t="s">
        <v>35</v>
      </c>
      <c r="L369" s="18">
        <v>43795</v>
      </c>
      <c r="M369" s="18" t="s">
        <v>6687</v>
      </c>
      <c r="N369" s="18"/>
      <c r="O369" s="18"/>
      <c r="P369" s="19"/>
      <c r="Q369" s="19"/>
      <c r="R369" s="19"/>
      <c r="S369" s="19"/>
      <c r="T369" s="19"/>
      <c r="U369" s="18"/>
      <c r="V369" s="17" t="s">
        <v>350</v>
      </c>
      <c r="W369" s="17" t="s">
        <v>351</v>
      </c>
    </row>
    <row r="370" spans="2:23" ht="11.25" hidden="1" customHeight="1" x14ac:dyDescent="0.25">
      <c r="B370" s="17" t="s">
        <v>869</v>
      </c>
      <c r="C370" s="17" t="s">
        <v>869</v>
      </c>
      <c r="D370" s="17" t="s">
        <v>348</v>
      </c>
      <c r="E370" s="17" t="s">
        <v>28</v>
      </c>
      <c r="F370" s="17"/>
      <c r="G370" s="17"/>
      <c r="H370" s="17" t="s">
        <v>870</v>
      </c>
      <c r="I370" s="17" t="s">
        <v>350</v>
      </c>
      <c r="J370" s="17" t="s">
        <v>112</v>
      </c>
      <c r="K370" s="17" t="s">
        <v>744</v>
      </c>
      <c r="L370" s="18">
        <v>43686</v>
      </c>
      <c r="M370" s="18" t="s">
        <v>6687</v>
      </c>
      <c r="N370" s="18"/>
      <c r="O370" s="18"/>
      <c r="P370" s="19"/>
      <c r="Q370" s="19"/>
      <c r="R370" s="19"/>
      <c r="S370" s="19"/>
      <c r="T370" s="19"/>
      <c r="U370" s="18"/>
      <c r="V370" s="17" t="s">
        <v>350</v>
      </c>
      <c r="W370" s="17" t="s">
        <v>351</v>
      </c>
    </row>
    <row r="371" spans="2:23" ht="11.25" hidden="1" customHeight="1" x14ac:dyDescent="0.25">
      <c r="B371" s="17" t="s">
        <v>871</v>
      </c>
      <c r="C371" s="17" t="s">
        <v>871</v>
      </c>
      <c r="D371" s="17" t="s">
        <v>348</v>
      </c>
      <c r="E371" s="17" t="s">
        <v>28</v>
      </c>
      <c r="F371" s="17"/>
      <c r="G371" s="17"/>
      <c r="H371" s="17" t="s">
        <v>872</v>
      </c>
      <c r="I371" s="17" t="s">
        <v>873</v>
      </c>
      <c r="J371" s="17" t="s">
        <v>76</v>
      </c>
      <c r="K371" s="17" t="s">
        <v>77</v>
      </c>
      <c r="L371" s="18">
        <v>43754</v>
      </c>
      <c r="M371" s="18" t="s">
        <v>6687</v>
      </c>
      <c r="N371" s="18"/>
      <c r="O371" s="18"/>
      <c r="P371" s="19"/>
      <c r="Q371" s="19"/>
      <c r="R371" s="19"/>
      <c r="S371" s="19"/>
      <c r="T371" s="19"/>
      <c r="U371" s="18"/>
      <c r="V371" s="17" t="s">
        <v>873</v>
      </c>
      <c r="W371" s="17" t="s">
        <v>472</v>
      </c>
    </row>
    <row r="372" spans="2:23" ht="11.25" hidden="1" customHeight="1" x14ac:dyDescent="0.25">
      <c r="B372" s="17" t="s">
        <v>874</v>
      </c>
      <c r="C372" s="17" t="s">
        <v>874</v>
      </c>
      <c r="D372" s="17" t="s">
        <v>348</v>
      </c>
      <c r="E372" s="17" t="s">
        <v>28</v>
      </c>
      <c r="F372" s="17"/>
      <c r="G372" s="17"/>
      <c r="H372" s="17" t="s">
        <v>875</v>
      </c>
      <c r="I372" s="17" t="s">
        <v>873</v>
      </c>
      <c r="J372" s="17" t="s">
        <v>34</v>
      </c>
      <c r="K372" s="17" t="s">
        <v>35</v>
      </c>
      <c r="L372" s="18">
        <v>43754</v>
      </c>
      <c r="M372" s="18" t="s">
        <v>6687</v>
      </c>
      <c r="N372" s="18"/>
      <c r="O372" s="18"/>
      <c r="P372" s="19"/>
      <c r="Q372" s="19"/>
      <c r="R372" s="19"/>
      <c r="S372" s="19"/>
      <c r="T372" s="19"/>
      <c r="U372" s="18"/>
      <c r="V372" s="17" t="s">
        <v>873</v>
      </c>
      <c r="W372" s="17" t="s">
        <v>472</v>
      </c>
    </row>
    <row r="373" spans="2:23" ht="11.25" hidden="1" customHeight="1" x14ac:dyDescent="0.25">
      <c r="B373" s="17" t="s">
        <v>876</v>
      </c>
      <c r="C373" s="17" t="s">
        <v>876</v>
      </c>
      <c r="D373" s="17" t="s">
        <v>348</v>
      </c>
      <c r="E373" s="17" t="s">
        <v>28</v>
      </c>
      <c r="F373" s="17"/>
      <c r="G373" s="17"/>
      <c r="H373" s="17" t="s">
        <v>877</v>
      </c>
      <c r="I373" s="17" t="s">
        <v>350</v>
      </c>
      <c r="J373" s="17" t="s">
        <v>112</v>
      </c>
      <c r="K373" s="17" t="s">
        <v>744</v>
      </c>
      <c r="L373" s="18">
        <v>43613</v>
      </c>
      <c r="M373" s="18" t="s">
        <v>6687</v>
      </c>
      <c r="N373" s="18"/>
      <c r="O373" s="18"/>
      <c r="P373" s="20"/>
      <c r="Q373" s="20"/>
      <c r="R373" s="20"/>
      <c r="S373" s="20"/>
      <c r="T373" s="19"/>
      <c r="U373" s="18"/>
      <c r="V373" s="17" t="s">
        <v>350</v>
      </c>
      <c r="W373" s="17" t="s">
        <v>351</v>
      </c>
    </row>
    <row r="374" spans="2:23" ht="11.25" hidden="1" customHeight="1" x14ac:dyDescent="0.25">
      <c r="B374" s="17" t="s">
        <v>878</v>
      </c>
      <c r="C374" s="17" t="s">
        <v>878</v>
      </c>
      <c r="D374" s="17" t="s">
        <v>348</v>
      </c>
      <c r="E374" s="17" t="s">
        <v>21</v>
      </c>
      <c r="F374" s="17"/>
      <c r="G374" s="17"/>
      <c r="H374" s="17" t="s">
        <v>879</v>
      </c>
      <c r="I374" s="17" t="s">
        <v>810</v>
      </c>
      <c r="J374" s="17" t="s">
        <v>34</v>
      </c>
      <c r="K374" s="17" t="s">
        <v>35</v>
      </c>
      <c r="L374" s="18">
        <v>43665</v>
      </c>
      <c r="M374" s="18" t="s">
        <v>6687</v>
      </c>
      <c r="N374" s="18"/>
      <c r="O374" s="18"/>
      <c r="P374" s="19">
        <v>44855</v>
      </c>
      <c r="Q374" s="19" t="s">
        <v>6687</v>
      </c>
      <c r="R374" s="19"/>
      <c r="S374" s="19"/>
      <c r="T374" s="19"/>
      <c r="U374" s="18"/>
      <c r="V374" s="17" t="s">
        <v>810</v>
      </c>
      <c r="W374" s="17" t="s">
        <v>472</v>
      </c>
    </row>
    <row r="375" spans="2:23" ht="11.25" hidden="1" customHeight="1" x14ac:dyDescent="0.25">
      <c r="B375" s="17" t="s">
        <v>880</v>
      </c>
      <c r="C375" s="17" t="s">
        <v>880</v>
      </c>
      <c r="D375" s="17" t="s">
        <v>348</v>
      </c>
      <c r="E375" s="17" t="s">
        <v>21</v>
      </c>
      <c r="F375" s="17"/>
      <c r="G375" s="17"/>
      <c r="H375" s="17" t="s">
        <v>881</v>
      </c>
      <c r="I375" s="17" t="s">
        <v>522</v>
      </c>
      <c r="J375" s="17" t="s">
        <v>141</v>
      </c>
      <c r="K375" s="17" t="s">
        <v>142</v>
      </c>
      <c r="L375" s="18">
        <v>43704</v>
      </c>
      <c r="M375" s="18" t="s">
        <v>6687</v>
      </c>
      <c r="N375" s="18"/>
      <c r="O375" s="18"/>
      <c r="P375" s="19">
        <v>44849</v>
      </c>
      <c r="Q375" s="19" t="s">
        <v>6687</v>
      </c>
      <c r="R375" s="19"/>
      <c r="S375" s="19"/>
      <c r="T375" s="19"/>
      <c r="U375" s="18"/>
      <c r="V375" s="17" t="s">
        <v>522</v>
      </c>
      <c r="W375" s="17" t="s">
        <v>472</v>
      </c>
    </row>
    <row r="376" spans="2:23" ht="11.25" hidden="1" customHeight="1" x14ac:dyDescent="0.25">
      <c r="B376" s="17" t="s">
        <v>882</v>
      </c>
      <c r="C376" s="17" t="s">
        <v>882</v>
      </c>
      <c r="D376" s="17" t="s">
        <v>348</v>
      </c>
      <c r="E376" s="17" t="s">
        <v>28</v>
      </c>
      <c r="F376" s="17"/>
      <c r="G376" s="17"/>
      <c r="H376" s="17" t="s">
        <v>883</v>
      </c>
      <c r="I376" s="17" t="s">
        <v>552</v>
      </c>
      <c r="J376" s="17" t="s">
        <v>112</v>
      </c>
      <c r="K376" s="17" t="s">
        <v>744</v>
      </c>
      <c r="L376" s="18">
        <v>43709</v>
      </c>
      <c r="M376" s="18" t="s">
        <v>6687</v>
      </c>
      <c r="N376" s="18"/>
      <c r="O376" s="18"/>
      <c r="P376" s="19"/>
      <c r="Q376" s="19"/>
      <c r="R376" s="19"/>
      <c r="S376" s="19"/>
      <c r="T376" s="19"/>
      <c r="U376" s="18"/>
      <c r="V376" s="17" t="s">
        <v>552</v>
      </c>
      <c r="W376" s="17" t="s">
        <v>472</v>
      </c>
    </row>
    <row r="377" spans="2:23" ht="11.25" hidden="1" customHeight="1" x14ac:dyDescent="0.25">
      <c r="B377" s="17" t="s">
        <v>884</v>
      </c>
      <c r="C377" s="17" t="s">
        <v>884</v>
      </c>
      <c r="D377" s="17" t="s">
        <v>348</v>
      </c>
      <c r="E377" s="17" t="s">
        <v>21</v>
      </c>
      <c r="F377" s="17"/>
      <c r="G377" s="17"/>
      <c r="H377" s="17" t="s">
        <v>885</v>
      </c>
      <c r="I377" s="17" t="s">
        <v>552</v>
      </c>
      <c r="J377" s="17" t="s">
        <v>228</v>
      </c>
      <c r="K377" s="17" t="s">
        <v>229</v>
      </c>
      <c r="L377" s="18">
        <v>43725</v>
      </c>
      <c r="M377" s="18" t="s">
        <v>6687</v>
      </c>
      <c r="N377" s="18"/>
      <c r="O377" s="18"/>
      <c r="P377" s="19">
        <v>43911</v>
      </c>
      <c r="Q377" s="19" t="s">
        <v>6687</v>
      </c>
      <c r="R377" s="19"/>
      <c r="S377" s="19"/>
      <c r="T377" s="19"/>
      <c r="U377" s="18"/>
      <c r="V377" s="17" t="s">
        <v>552</v>
      </c>
      <c r="W377" s="17" t="s">
        <v>472</v>
      </c>
    </row>
    <row r="378" spans="2:23" ht="11.25" hidden="1" customHeight="1" x14ac:dyDescent="0.25">
      <c r="B378" s="17" t="s">
        <v>886</v>
      </c>
      <c r="C378" s="17" t="s">
        <v>886</v>
      </c>
      <c r="D378" s="17" t="s">
        <v>348</v>
      </c>
      <c r="E378" s="17" t="s">
        <v>21</v>
      </c>
      <c r="F378" s="17"/>
      <c r="G378" s="17"/>
      <c r="H378" s="17" t="s">
        <v>887</v>
      </c>
      <c r="I378" s="17" t="s">
        <v>350</v>
      </c>
      <c r="J378" s="17" t="s">
        <v>379</v>
      </c>
      <c r="K378" s="17" t="s">
        <v>380</v>
      </c>
      <c r="L378" s="18">
        <v>43761</v>
      </c>
      <c r="M378" s="18" t="s">
        <v>6687</v>
      </c>
      <c r="N378" s="18"/>
      <c r="O378" s="18"/>
      <c r="P378" s="19">
        <v>45323</v>
      </c>
      <c r="Q378" s="19" t="s">
        <v>6687</v>
      </c>
      <c r="R378" s="19" t="s">
        <v>40</v>
      </c>
      <c r="S378" s="19"/>
      <c r="T378" s="19"/>
      <c r="U378" s="18"/>
      <c r="V378" s="17" t="s">
        <v>350</v>
      </c>
      <c r="W378" s="17" t="s">
        <v>351</v>
      </c>
    </row>
    <row r="379" spans="2:23" ht="11.25" hidden="1" customHeight="1" x14ac:dyDescent="0.25">
      <c r="B379" s="17" t="s">
        <v>888</v>
      </c>
      <c r="C379" s="17" t="s">
        <v>888</v>
      </c>
      <c r="D379" s="17" t="s">
        <v>348</v>
      </c>
      <c r="E379" s="17" t="s">
        <v>21</v>
      </c>
      <c r="F379" s="17"/>
      <c r="G379" s="17"/>
      <c r="H379" s="17" t="s">
        <v>889</v>
      </c>
      <c r="I379" s="17" t="s">
        <v>350</v>
      </c>
      <c r="J379" s="17" t="s">
        <v>141</v>
      </c>
      <c r="K379" s="17" t="s">
        <v>142</v>
      </c>
      <c r="L379" s="18">
        <v>43748</v>
      </c>
      <c r="M379" s="18" t="s">
        <v>6687</v>
      </c>
      <c r="N379" s="18"/>
      <c r="O379" s="18"/>
      <c r="P379" s="19">
        <v>45444</v>
      </c>
      <c r="Q379" s="19" t="s">
        <v>6687</v>
      </c>
      <c r="R379" s="19" t="s">
        <v>40</v>
      </c>
      <c r="S379" s="19"/>
      <c r="T379" s="19"/>
      <c r="U379" s="18"/>
      <c r="V379" s="17" t="s">
        <v>350</v>
      </c>
      <c r="W379" s="17" t="s">
        <v>351</v>
      </c>
    </row>
    <row r="380" spans="2:23" ht="11.25" hidden="1" customHeight="1" x14ac:dyDescent="0.25">
      <c r="B380" s="17" t="s">
        <v>890</v>
      </c>
      <c r="C380" s="17" t="s">
        <v>890</v>
      </c>
      <c r="D380" s="17" t="s">
        <v>348</v>
      </c>
      <c r="E380" s="17" t="s">
        <v>28</v>
      </c>
      <c r="F380" s="17"/>
      <c r="G380" s="17"/>
      <c r="H380" s="17" t="s">
        <v>891</v>
      </c>
      <c r="I380" s="17" t="s">
        <v>350</v>
      </c>
      <c r="J380" s="17" t="s">
        <v>112</v>
      </c>
      <c r="K380" s="17" t="s">
        <v>744</v>
      </c>
      <c r="L380" s="18">
        <v>43747</v>
      </c>
      <c r="M380" s="18" t="s">
        <v>6687</v>
      </c>
      <c r="N380" s="18"/>
      <c r="O380" s="18"/>
      <c r="P380" s="19"/>
      <c r="Q380" s="19"/>
      <c r="R380" s="19"/>
      <c r="S380" s="19"/>
      <c r="T380" s="19"/>
      <c r="U380" s="18"/>
      <c r="V380" s="17" t="s">
        <v>350</v>
      </c>
      <c r="W380" s="17" t="s">
        <v>351</v>
      </c>
    </row>
    <row r="381" spans="2:23" ht="11.25" hidden="1" customHeight="1" x14ac:dyDescent="0.25">
      <c r="B381" s="17" t="s">
        <v>892</v>
      </c>
      <c r="C381" s="17" t="s">
        <v>892</v>
      </c>
      <c r="D381" s="17" t="s">
        <v>348</v>
      </c>
      <c r="E381" s="17" t="s">
        <v>21</v>
      </c>
      <c r="F381" s="17"/>
      <c r="G381" s="17"/>
      <c r="H381" s="17" t="s">
        <v>893</v>
      </c>
      <c r="I381" s="17" t="s">
        <v>497</v>
      </c>
      <c r="J381" s="17" t="s">
        <v>112</v>
      </c>
      <c r="K381" s="17" t="s">
        <v>744</v>
      </c>
      <c r="L381" s="18">
        <v>43764</v>
      </c>
      <c r="M381" s="18" t="s">
        <v>6687</v>
      </c>
      <c r="N381" s="18"/>
      <c r="O381" s="18"/>
      <c r="P381" s="19">
        <v>45000</v>
      </c>
      <c r="Q381" s="19" t="s">
        <v>6687</v>
      </c>
      <c r="R381" s="19"/>
      <c r="S381" s="19"/>
      <c r="T381" s="19"/>
      <c r="U381" s="18"/>
      <c r="V381" s="17" t="s">
        <v>497</v>
      </c>
      <c r="W381" s="17" t="s">
        <v>472</v>
      </c>
    </row>
    <row r="382" spans="2:23" ht="11.25" hidden="1" customHeight="1" x14ac:dyDescent="0.25">
      <c r="B382" s="17" t="s">
        <v>894</v>
      </c>
      <c r="C382" s="17" t="s">
        <v>894</v>
      </c>
      <c r="D382" s="17" t="s">
        <v>348</v>
      </c>
      <c r="E382" s="17" t="s">
        <v>21</v>
      </c>
      <c r="F382" s="17"/>
      <c r="G382" s="17"/>
      <c r="H382" s="17" t="s">
        <v>895</v>
      </c>
      <c r="I382" s="17" t="s">
        <v>497</v>
      </c>
      <c r="J382" s="17" t="s">
        <v>34</v>
      </c>
      <c r="K382" s="17" t="s">
        <v>35</v>
      </c>
      <c r="L382" s="18">
        <v>43764</v>
      </c>
      <c r="M382" s="18" t="s">
        <v>6687</v>
      </c>
      <c r="N382" s="18"/>
      <c r="O382" s="18"/>
      <c r="P382" s="19">
        <v>45138</v>
      </c>
      <c r="Q382" s="19" t="s">
        <v>6687</v>
      </c>
      <c r="R382" s="19"/>
      <c r="S382" s="19"/>
      <c r="T382" s="19"/>
      <c r="U382" s="18"/>
      <c r="V382" s="17" t="s">
        <v>497</v>
      </c>
      <c r="W382" s="17" t="s">
        <v>472</v>
      </c>
    </row>
    <row r="383" spans="2:23" ht="11.25" hidden="1" customHeight="1" x14ac:dyDescent="0.25">
      <c r="B383" s="17" t="s">
        <v>896</v>
      </c>
      <c r="C383" s="17" t="s">
        <v>896</v>
      </c>
      <c r="D383" s="17" t="s">
        <v>348</v>
      </c>
      <c r="E383" s="17" t="s">
        <v>21</v>
      </c>
      <c r="F383" s="17"/>
      <c r="G383" s="17"/>
      <c r="H383" s="17" t="s">
        <v>897</v>
      </c>
      <c r="I383" s="17" t="s">
        <v>350</v>
      </c>
      <c r="J383" s="17" t="s">
        <v>898</v>
      </c>
      <c r="K383" s="17" t="s">
        <v>899</v>
      </c>
      <c r="L383" s="18">
        <v>43803</v>
      </c>
      <c r="M383" s="18" t="s">
        <v>6687</v>
      </c>
      <c r="N383" s="18"/>
      <c r="O383" s="18"/>
      <c r="P383" s="19">
        <v>44533</v>
      </c>
      <c r="Q383" s="19" t="s">
        <v>6687</v>
      </c>
      <c r="R383" s="19"/>
      <c r="S383" s="19"/>
      <c r="T383" s="19"/>
      <c r="U383" s="18"/>
      <c r="V383" s="17" t="s">
        <v>350</v>
      </c>
      <c r="W383" s="17" t="s">
        <v>351</v>
      </c>
    </row>
    <row r="384" spans="2:23" ht="11.25" hidden="1" customHeight="1" x14ac:dyDescent="0.25">
      <c r="B384" s="17" t="s">
        <v>900</v>
      </c>
      <c r="C384" s="17" t="s">
        <v>900</v>
      </c>
      <c r="D384" s="17" t="s">
        <v>348</v>
      </c>
      <c r="E384" s="17" t="s">
        <v>21</v>
      </c>
      <c r="F384" s="17"/>
      <c r="G384" s="17"/>
      <c r="H384" s="17" t="s">
        <v>901</v>
      </c>
      <c r="I384" s="17" t="s">
        <v>350</v>
      </c>
      <c r="J384" s="17" t="s">
        <v>124</v>
      </c>
      <c r="K384" s="17" t="s">
        <v>902</v>
      </c>
      <c r="L384" s="18">
        <v>43808</v>
      </c>
      <c r="M384" s="18" t="s">
        <v>6687</v>
      </c>
      <c r="N384" s="18"/>
      <c r="O384" s="18"/>
      <c r="P384" s="19">
        <v>45595</v>
      </c>
      <c r="Q384" s="19" t="s">
        <v>6687</v>
      </c>
      <c r="R384" s="19" t="s">
        <v>47</v>
      </c>
      <c r="S384" s="19" t="s">
        <v>903</v>
      </c>
      <c r="T384" s="19"/>
      <c r="U384" s="18"/>
      <c r="V384" s="17" t="s">
        <v>350</v>
      </c>
      <c r="W384" s="17" t="s">
        <v>351</v>
      </c>
    </row>
    <row r="385" spans="1:26" ht="11.25" hidden="1" customHeight="1" x14ac:dyDescent="0.25">
      <c r="B385" s="17" t="s">
        <v>904</v>
      </c>
      <c r="C385" s="17" t="s">
        <v>904</v>
      </c>
      <c r="D385" s="17" t="s">
        <v>348</v>
      </c>
      <c r="E385" s="17" t="s">
        <v>21</v>
      </c>
      <c r="F385" s="17"/>
      <c r="G385" s="17"/>
      <c r="H385" s="17" t="s">
        <v>905</v>
      </c>
      <c r="I385" s="17" t="s">
        <v>350</v>
      </c>
      <c r="J385" s="17" t="s">
        <v>767</v>
      </c>
      <c r="K385" s="17" t="s">
        <v>768</v>
      </c>
      <c r="L385" s="18">
        <v>43800</v>
      </c>
      <c r="M385" s="18" t="s">
        <v>6687</v>
      </c>
      <c r="N385" s="18"/>
      <c r="O385" s="18"/>
      <c r="P385" s="19">
        <v>44206</v>
      </c>
      <c r="Q385" s="19" t="s">
        <v>6687</v>
      </c>
      <c r="R385" s="19"/>
      <c r="S385" s="19"/>
      <c r="T385" s="19"/>
      <c r="U385" s="18"/>
      <c r="V385" s="17" t="s">
        <v>350</v>
      </c>
      <c r="W385" s="17" t="s">
        <v>351</v>
      </c>
    </row>
    <row r="386" spans="1:26" ht="11.25" hidden="1" customHeight="1" x14ac:dyDescent="0.25">
      <c r="B386" s="17" t="s">
        <v>906</v>
      </c>
      <c r="C386" s="17" t="s">
        <v>906</v>
      </c>
      <c r="D386" s="17" t="s">
        <v>348</v>
      </c>
      <c r="E386" s="17" t="s">
        <v>21</v>
      </c>
      <c r="F386" s="17"/>
      <c r="G386" s="17"/>
      <c r="H386" s="17" t="s">
        <v>907</v>
      </c>
      <c r="I386" s="17" t="s">
        <v>791</v>
      </c>
      <c r="J386" s="17" t="s">
        <v>112</v>
      </c>
      <c r="K386" s="17" t="s">
        <v>113</v>
      </c>
      <c r="L386" s="18">
        <v>43819</v>
      </c>
      <c r="M386" s="18" t="s">
        <v>6687</v>
      </c>
      <c r="N386" s="18"/>
      <c r="O386" s="18"/>
      <c r="P386" s="19">
        <v>45541</v>
      </c>
      <c r="Q386" s="19" t="s">
        <v>6687</v>
      </c>
      <c r="R386" s="19" t="s">
        <v>40</v>
      </c>
      <c r="S386" s="19"/>
      <c r="T386" s="19"/>
      <c r="U386" s="18"/>
      <c r="V386" s="17" t="s">
        <v>791</v>
      </c>
      <c r="W386" s="17" t="s">
        <v>472</v>
      </c>
    </row>
    <row r="387" spans="1:26" ht="11.25" hidden="1" customHeight="1" x14ac:dyDescent="0.25">
      <c r="B387" s="17" t="s">
        <v>908</v>
      </c>
      <c r="C387" s="17" t="s">
        <v>908</v>
      </c>
      <c r="D387" s="17" t="s">
        <v>348</v>
      </c>
      <c r="E387" s="17" t="s">
        <v>28</v>
      </c>
      <c r="F387" s="17"/>
      <c r="G387" s="17"/>
      <c r="H387" s="17" t="s">
        <v>909</v>
      </c>
      <c r="I387" s="17" t="s">
        <v>910</v>
      </c>
      <c r="J387" s="17" t="s">
        <v>76</v>
      </c>
      <c r="K387" s="17" t="s">
        <v>77</v>
      </c>
      <c r="L387" s="18">
        <v>43823</v>
      </c>
      <c r="M387" s="18" t="s">
        <v>6687</v>
      </c>
      <c r="N387" s="18"/>
      <c r="O387" s="18"/>
      <c r="P387" s="19"/>
      <c r="Q387" s="19"/>
      <c r="R387" s="19"/>
      <c r="S387" s="19"/>
      <c r="T387" s="19"/>
      <c r="U387" s="18"/>
      <c r="V387" s="17" t="s">
        <v>910</v>
      </c>
      <c r="W387" s="17" t="s">
        <v>472</v>
      </c>
    </row>
    <row r="388" spans="1:26" ht="11.25" hidden="1" customHeight="1" x14ac:dyDescent="0.25">
      <c r="B388" s="17" t="s">
        <v>911</v>
      </c>
      <c r="C388" s="17" t="s">
        <v>911</v>
      </c>
      <c r="D388" s="17" t="s">
        <v>348</v>
      </c>
      <c r="E388" s="17" t="s">
        <v>21</v>
      </c>
      <c r="F388" s="17"/>
      <c r="G388" s="17"/>
      <c r="H388" s="17" t="s">
        <v>912</v>
      </c>
      <c r="I388" s="17" t="s">
        <v>350</v>
      </c>
      <c r="J388" s="17" t="s">
        <v>34</v>
      </c>
      <c r="K388" s="17" t="s">
        <v>35</v>
      </c>
      <c r="L388" s="18">
        <v>43786</v>
      </c>
      <c r="M388" s="18" t="s">
        <v>6687</v>
      </c>
      <c r="N388" s="18"/>
      <c r="O388" s="18"/>
      <c r="P388" s="19">
        <v>45717</v>
      </c>
      <c r="Q388" s="19" t="s">
        <v>6687</v>
      </c>
      <c r="R388" s="19" t="s">
        <v>40</v>
      </c>
      <c r="S388" s="19"/>
      <c r="T388" s="19"/>
      <c r="U388" s="18"/>
      <c r="V388" s="17" t="s">
        <v>350</v>
      </c>
      <c r="W388" s="17" t="s">
        <v>351</v>
      </c>
    </row>
    <row r="389" spans="1:26" ht="11.25" hidden="1" customHeight="1" x14ac:dyDescent="0.25">
      <c r="B389" s="17" t="s">
        <v>913</v>
      </c>
      <c r="C389" s="17" t="s">
        <v>913</v>
      </c>
      <c r="D389" s="17" t="s">
        <v>348</v>
      </c>
      <c r="E389" s="17" t="s">
        <v>28</v>
      </c>
      <c r="F389" s="17"/>
      <c r="G389" s="17"/>
      <c r="H389" s="17" t="s">
        <v>914</v>
      </c>
      <c r="I389" s="17" t="s">
        <v>915</v>
      </c>
      <c r="J389" s="17" t="s">
        <v>34</v>
      </c>
      <c r="K389" s="17" t="s">
        <v>365</v>
      </c>
      <c r="L389" s="18">
        <v>43823</v>
      </c>
      <c r="M389" s="18" t="s">
        <v>6687</v>
      </c>
      <c r="N389" s="18"/>
      <c r="O389" s="18"/>
      <c r="P389" s="19"/>
      <c r="Q389" s="19"/>
      <c r="R389" s="19"/>
      <c r="S389" s="19"/>
      <c r="T389" s="19"/>
      <c r="U389" s="18"/>
      <c r="V389" s="17" t="s">
        <v>915</v>
      </c>
      <c r="W389" s="17" t="s">
        <v>472</v>
      </c>
    </row>
    <row r="390" spans="1:26" ht="11.25" hidden="1" customHeight="1" x14ac:dyDescent="0.25">
      <c r="B390" s="17" t="s">
        <v>916</v>
      </c>
      <c r="C390" s="17" t="s">
        <v>916</v>
      </c>
      <c r="D390" s="17" t="s">
        <v>348</v>
      </c>
      <c r="E390" s="17" t="s">
        <v>28</v>
      </c>
      <c r="F390" s="17"/>
      <c r="G390" s="17"/>
      <c r="H390" s="17" t="s">
        <v>917</v>
      </c>
      <c r="I390" s="17" t="s">
        <v>915</v>
      </c>
      <c r="J390" s="17" t="s">
        <v>76</v>
      </c>
      <c r="K390" s="17" t="s">
        <v>77</v>
      </c>
      <c r="L390" s="18">
        <v>43823</v>
      </c>
      <c r="M390" s="18" t="s">
        <v>6687</v>
      </c>
      <c r="N390" s="18"/>
      <c r="O390" s="18"/>
      <c r="P390" s="19"/>
      <c r="Q390" s="19"/>
      <c r="R390" s="19"/>
      <c r="S390" s="19"/>
      <c r="T390" s="19"/>
      <c r="U390" s="18"/>
      <c r="V390" s="17" t="s">
        <v>915</v>
      </c>
      <c r="W390" s="17" t="s">
        <v>472</v>
      </c>
    </row>
    <row r="391" spans="1:26" ht="11.25" hidden="1" customHeight="1" x14ac:dyDescent="0.25">
      <c r="B391" s="17" t="s">
        <v>918</v>
      </c>
      <c r="C391" s="17" t="s">
        <v>918</v>
      </c>
      <c r="D391" s="17" t="s">
        <v>348</v>
      </c>
      <c r="E391" s="17" t="s">
        <v>28</v>
      </c>
      <c r="F391" s="17"/>
      <c r="G391" s="17"/>
      <c r="H391" s="17" t="s">
        <v>919</v>
      </c>
      <c r="I391" s="17" t="s">
        <v>836</v>
      </c>
      <c r="J391" s="17" t="s">
        <v>34</v>
      </c>
      <c r="K391" s="17" t="s">
        <v>35</v>
      </c>
      <c r="L391" s="18">
        <v>43834</v>
      </c>
      <c r="M391" s="18" t="s">
        <v>6687</v>
      </c>
      <c r="N391" s="18"/>
      <c r="O391" s="18"/>
      <c r="P391" s="19"/>
      <c r="Q391" s="19"/>
      <c r="R391" s="19"/>
      <c r="S391" s="19"/>
      <c r="T391" s="19"/>
      <c r="U391" s="18"/>
      <c r="V391" s="17" t="s">
        <v>836</v>
      </c>
      <c r="W391" s="17" t="s">
        <v>472</v>
      </c>
    </row>
    <row r="392" spans="1:26" ht="11.25" hidden="1" customHeight="1" x14ac:dyDescent="0.25">
      <c r="B392" s="17" t="s">
        <v>920</v>
      </c>
      <c r="C392" s="17" t="s">
        <v>920</v>
      </c>
      <c r="D392" s="17" t="s">
        <v>348</v>
      </c>
      <c r="E392" s="17" t="s">
        <v>28</v>
      </c>
      <c r="F392" s="17"/>
      <c r="G392" s="17"/>
      <c r="H392" s="17" t="s">
        <v>921</v>
      </c>
      <c r="I392" s="17" t="s">
        <v>497</v>
      </c>
      <c r="J392" s="17" t="s">
        <v>34</v>
      </c>
      <c r="K392" s="17" t="s">
        <v>35</v>
      </c>
      <c r="L392" s="18">
        <v>43836</v>
      </c>
      <c r="M392" s="18" t="s">
        <v>6687</v>
      </c>
      <c r="N392" s="18"/>
      <c r="O392" s="18"/>
      <c r="P392" s="19"/>
      <c r="Q392" s="19"/>
      <c r="R392" s="19"/>
      <c r="S392" s="19"/>
      <c r="T392" s="19"/>
      <c r="U392" s="18"/>
      <c r="V392" s="17" t="s">
        <v>497</v>
      </c>
      <c r="W392" s="17" t="s">
        <v>472</v>
      </c>
    </row>
    <row r="393" spans="1:26" ht="11.25" hidden="1" customHeight="1" x14ac:dyDescent="0.25">
      <c r="B393" s="17" t="s">
        <v>922</v>
      </c>
      <c r="C393" s="17" t="s">
        <v>922</v>
      </c>
      <c r="D393" s="17" t="s">
        <v>348</v>
      </c>
      <c r="E393" s="17" t="s">
        <v>28</v>
      </c>
      <c r="F393" s="17"/>
      <c r="G393" s="17"/>
      <c r="H393" s="17" t="s">
        <v>923</v>
      </c>
      <c r="I393" s="17" t="s">
        <v>350</v>
      </c>
      <c r="J393" s="17" t="s">
        <v>76</v>
      </c>
      <c r="K393" s="17" t="s">
        <v>77</v>
      </c>
      <c r="L393" s="18">
        <v>44042</v>
      </c>
      <c r="M393" s="18" t="s">
        <v>6687</v>
      </c>
      <c r="N393" s="18"/>
      <c r="O393" s="18"/>
      <c r="P393" s="19"/>
      <c r="Q393" s="19"/>
      <c r="R393" s="19"/>
      <c r="S393" s="19"/>
      <c r="T393" s="19"/>
      <c r="U393" s="18"/>
      <c r="V393" s="17" t="s">
        <v>350</v>
      </c>
      <c r="W393" s="17" t="s">
        <v>351</v>
      </c>
    </row>
    <row r="394" spans="1:26" ht="11.25" hidden="1" customHeight="1" x14ac:dyDescent="0.25">
      <c r="B394" s="17" t="s">
        <v>924</v>
      </c>
      <c r="C394" s="17" t="s">
        <v>924</v>
      </c>
      <c r="D394" s="17" t="s">
        <v>348</v>
      </c>
      <c r="E394" s="17" t="s">
        <v>28</v>
      </c>
      <c r="F394" s="17"/>
      <c r="G394" s="17"/>
      <c r="H394" s="17" t="s">
        <v>925</v>
      </c>
      <c r="I394" s="17" t="s">
        <v>926</v>
      </c>
      <c r="J394" s="17" t="s">
        <v>76</v>
      </c>
      <c r="K394" s="17" t="s">
        <v>77</v>
      </c>
      <c r="L394" s="18">
        <v>43983</v>
      </c>
      <c r="M394" s="18" t="s">
        <v>6687</v>
      </c>
      <c r="N394" s="18"/>
      <c r="O394" s="18"/>
      <c r="P394" s="19"/>
      <c r="Q394" s="19"/>
      <c r="R394" s="19"/>
      <c r="S394" s="19"/>
      <c r="T394" s="19"/>
      <c r="U394" s="18"/>
      <c r="V394" s="17" t="s">
        <v>926</v>
      </c>
      <c r="W394" s="17" t="s">
        <v>472</v>
      </c>
    </row>
    <row r="395" spans="1:26" ht="11.25" hidden="1" customHeight="1" x14ac:dyDescent="0.25">
      <c r="B395" s="17" t="s">
        <v>927</v>
      </c>
      <c r="C395" s="17" t="s">
        <v>927</v>
      </c>
      <c r="D395" s="17" t="s">
        <v>348</v>
      </c>
      <c r="E395" s="17" t="s">
        <v>21</v>
      </c>
      <c r="F395" s="17"/>
      <c r="G395" s="17"/>
      <c r="H395" s="17" t="s">
        <v>928</v>
      </c>
      <c r="I395" s="17" t="s">
        <v>350</v>
      </c>
      <c r="J395" s="17" t="s">
        <v>124</v>
      </c>
      <c r="K395" s="17" t="s">
        <v>902</v>
      </c>
      <c r="L395" s="18">
        <v>44050</v>
      </c>
      <c r="M395" s="18" t="s">
        <v>6687</v>
      </c>
      <c r="N395" s="18"/>
      <c r="O395" s="18"/>
      <c r="P395" s="19">
        <v>45586</v>
      </c>
      <c r="Q395" s="19" t="s">
        <v>6687</v>
      </c>
      <c r="R395" s="19" t="s">
        <v>47</v>
      </c>
      <c r="S395" s="19" t="s">
        <v>929</v>
      </c>
      <c r="T395" s="19"/>
      <c r="U395" s="18"/>
      <c r="V395" s="17" t="s">
        <v>350</v>
      </c>
      <c r="W395" s="17" t="s">
        <v>351</v>
      </c>
    </row>
    <row r="396" spans="1:26" ht="11.25" hidden="1" customHeight="1" x14ac:dyDescent="0.25">
      <c r="B396" s="17" t="s">
        <v>930</v>
      </c>
      <c r="C396" s="17" t="s">
        <v>930</v>
      </c>
      <c r="D396" s="17" t="s">
        <v>348</v>
      </c>
      <c r="E396" s="17" t="s">
        <v>28</v>
      </c>
      <c r="F396" s="17"/>
      <c r="G396" s="17"/>
      <c r="H396" s="17" t="s">
        <v>931</v>
      </c>
      <c r="I396" s="17" t="s">
        <v>350</v>
      </c>
      <c r="J396" s="17" t="s">
        <v>141</v>
      </c>
      <c r="K396" s="17" t="s">
        <v>142</v>
      </c>
      <c r="L396" s="18">
        <v>44077</v>
      </c>
      <c r="M396" s="18" t="s">
        <v>6687</v>
      </c>
      <c r="N396" s="18"/>
      <c r="O396" s="18"/>
      <c r="P396" s="19"/>
      <c r="Q396" s="19"/>
      <c r="R396" s="19"/>
      <c r="S396" s="19"/>
      <c r="T396" s="19"/>
      <c r="U396" s="18"/>
      <c r="V396" s="17" t="s">
        <v>350</v>
      </c>
      <c r="W396" s="17" t="s">
        <v>351</v>
      </c>
    </row>
    <row r="397" spans="1:26" ht="11.25" hidden="1" customHeight="1" x14ac:dyDescent="0.25">
      <c r="B397" s="17" t="s">
        <v>932</v>
      </c>
      <c r="C397" s="17" t="s">
        <v>932</v>
      </c>
      <c r="D397" s="17" t="s">
        <v>348</v>
      </c>
      <c r="E397" s="17" t="s">
        <v>21</v>
      </c>
      <c r="F397" s="17"/>
      <c r="G397" s="17"/>
      <c r="H397" s="18" t="s">
        <v>933</v>
      </c>
      <c r="I397" s="17" t="s">
        <v>350</v>
      </c>
      <c r="J397" s="17" t="s">
        <v>70</v>
      </c>
      <c r="K397" s="17" t="s">
        <v>360</v>
      </c>
      <c r="L397" s="18">
        <v>44030</v>
      </c>
      <c r="M397" s="18" t="s">
        <v>6687</v>
      </c>
      <c r="N397" s="18"/>
      <c r="O397" s="18"/>
      <c r="P397" s="19">
        <v>44336</v>
      </c>
      <c r="Q397" s="19" t="s">
        <v>6687</v>
      </c>
      <c r="R397" s="19"/>
      <c r="S397" s="19"/>
      <c r="T397" s="19"/>
      <c r="U397" s="18"/>
      <c r="V397" s="17" t="s">
        <v>350</v>
      </c>
      <c r="W397" s="17" t="s">
        <v>351</v>
      </c>
    </row>
    <row r="398" spans="1:26" ht="11.25" hidden="1" customHeight="1" x14ac:dyDescent="0.25">
      <c r="B398" s="17" t="s">
        <v>934</v>
      </c>
      <c r="C398" s="17" t="s">
        <v>934</v>
      </c>
      <c r="D398" s="17" t="s">
        <v>348</v>
      </c>
      <c r="E398" s="17" t="s">
        <v>28</v>
      </c>
      <c r="F398" s="17"/>
      <c r="G398" s="17"/>
      <c r="H398" s="17" t="s">
        <v>935</v>
      </c>
      <c r="I398" s="17" t="s">
        <v>851</v>
      </c>
      <c r="J398" s="17" t="s">
        <v>76</v>
      </c>
      <c r="K398" s="17" t="s">
        <v>77</v>
      </c>
      <c r="L398" s="18">
        <v>44008</v>
      </c>
      <c r="M398" s="18" t="s">
        <v>6687</v>
      </c>
      <c r="N398" s="18"/>
      <c r="O398" s="18"/>
      <c r="P398" s="19"/>
      <c r="Q398" s="19"/>
      <c r="R398" s="19"/>
      <c r="S398" s="19"/>
      <c r="T398" s="19"/>
      <c r="U398" s="18"/>
      <c r="V398" s="17" t="s">
        <v>851</v>
      </c>
      <c r="W398" s="17" t="s">
        <v>472</v>
      </c>
    </row>
    <row r="399" spans="1:26" s="23" customFormat="1" ht="11.25" hidden="1" customHeight="1" x14ac:dyDescent="0.25">
      <c r="B399" s="17" t="s">
        <v>936</v>
      </c>
      <c r="C399" s="17" t="s">
        <v>936</v>
      </c>
      <c r="D399" s="17" t="s">
        <v>348</v>
      </c>
      <c r="E399" s="17" t="s">
        <v>28</v>
      </c>
      <c r="F399" s="17"/>
      <c r="G399" s="17"/>
      <c r="H399" s="17" t="s">
        <v>937</v>
      </c>
      <c r="I399" s="17" t="s">
        <v>350</v>
      </c>
      <c r="J399" s="17" t="s">
        <v>76</v>
      </c>
      <c r="K399" s="17" t="s">
        <v>161</v>
      </c>
      <c r="L399" s="18">
        <v>43847</v>
      </c>
      <c r="M399" s="18" t="s">
        <v>6687</v>
      </c>
      <c r="N399" s="18"/>
      <c r="O399" s="18"/>
      <c r="P399" s="19"/>
      <c r="Q399" s="19"/>
      <c r="R399" s="19"/>
      <c r="S399" s="19"/>
      <c r="T399" s="19"/>
      <c r="U399" s="18"/>
      <c r="V399" s="17" t="s">
        <v>350</v>
      </c>
      <c r="W399" s="17" t="s">
        <v>351</v>
      </c>
    </row>
    <row r="400" spans="1:26" s="23" customFormat="1" ht="11.25" hidden="1" customHeight="1" x14ac:dyDescent="0.25">
      <c r="A400" s="1"/>
      <c r="B400" s="17" t="s">
        <v>938</v>
      </c>
      <c r="C400" s="17" t="s">
        <v>938</v>
      </c>
      <c r="D400" s="17" t="s">
        <v>348</v>
      </c>
      <c r="E400" s="17" t="s">
        <v>21</v>
      </c>
      <c r="F400" s="17"/>
      <c r="G400" s="17"/>
      <c r="H400" s="17" t="s">
        <v>939</v>
      </c>
      <c r="I400" s="17" t="s">
        <v>350</v>
      </c>
      <c r="J400" s="17" t="s">
        <v>34</v>
      </c>
      <c r="K400" s="17" t="s">
        <v>365</v>
      </c>
      <c r="L400" s="18">
        <v>43853</v>
      </c>
      <c r="M400" s="18" t="s">
        <v>6687</v>
      </c>
      <c r="N400" s="18"/>
      <c r="O400" s="18"/>
      <c r="P400" s="19">
        <v>45717</v>
      </c>
      <c r="Q400" s="19" t="s">
        <v>6687</v>
      </c>
      <c r="R400" s="19" t="s">
        <v>40</v>
      </c>
      <c r="S400" s="19"/>
      <c r="T400" s="19"/>
      <c r="U400" s="18"/>
      <c r="V400" s="17" t="s">
        <v>350</v>
      </c>
      <c r="W400" s="17" t="s">
        <v>351</v>
      </c>
      <c r="X400" s="1"/>
      <c r="Y400" s="1"/>
      <c r="Z400" s="1"/>
    </row>
    <row r="401" spans="2:23" ht="11.25" hidden="1" customHeight="1" x14ac:dyDescent="0.25">
      <c r="B401" s="17" t="s">
        <v>940</v>
      </c>
      <c r="C401" s="17" t="s">
        <v>940</v>
      </c>
      <c r="D401" s="17" t="s">
        <v>348</v>
      </c>
      <c r="E401" s="17" t="s">
        <v>21</v>
      </c>
      <c r="F401" s="17"/>
      <c r="G401" s="17"/>
      <c r="H401" s="17" t="s">
        <v>941</v>
      </c>
      <c r="I401" s="17" t="s">
        <v>350</v>
      </c>
      <c r="J401" s="17" t="s">
        <v>141</v>
      </c>
      <c r="K401" s="17" t="s">
        <v>142</v>
      </c>
      <c r="L401" s="18">
        <v>43850</v>
      </c>
      <c r="M401" s="18" t="s">
        <v>6687</v>
      </c>
      <c r="N401" s="18"/>
      <c r="O401" s="18"/>
      <c r="P401" s="19">
        <v>45870</v>
      </c>
      <c r="Q401" s="19" t="s">
        <v>6687</v>
      </c>
      <c r="R401" s="19" t="s">
        <v>47</v>
      </c>
      <c r="S401" s="19" t="s">
        <v>942</v>
      </c>
      <c r="T401" s="19"/>
      <c r="U401" s="18"/>
      <c r="V401" s="17" t="s">
        <v>350</v>
      </c>
      <c r="W401" s="17" t="s">
        <v>351</v>
      </c>
    </row>
    <row r="402" spans="2:23" s="23" customFormat="1" ht="11.25" hidden="1" customHeight="1" x14ac:dyDescent="0.25">
      <c r="B402" s="17" t="s">
        <v>943</v>
      </c>
      <c r="C402" s="17" t="s">
        <v>943</v>
      </c>
      <c r="D402" s="17" t="s">
        <v>348</v>
      </c>
      <c r="E402" s="17" t="s">
        <v>28</v>
      </c>
      <c r="F402" s="17"/>
      <c r="G402" s="17"/>
      <c r="H402" s="17" t="s">
        <v>944</v>
      </c>
      <c r="I402" s="17" t="s">
        <v>350</v>
      </c>
      <c r="J402" s="17" t="s">
        <v>34</v>
      </c>
      <c r="K402" s="17" t="s">
        <v>365</v>
      </c>
      <c r="L402" s="18">
        <v>43852</v>
      </c>
      <c r="M402" s="18" t="s">
        <v>6687</v>
      </c>
      <c r="N402" s="18"/>
      <c r="O402" s="18"/>
      <c r="P402" s="19"/>
      <c r="Q402" s="19"/>
      <c r="R402" s="19"/>
      <c r="S402" s="19"/>
      <c r="T402" s="19"/>
      <c r="U402" s="18"/>
      <c r="V402" s="17" t="s">
        <v>350</v>
      </c>
      <c r="W402" s="17" t="s">
        <v>351</v>
      </c>
    </row>
    <row r="403" spans="2:23" ht="11.25" hidden="1" customHeight="1" x14ac:dyDescent="0.25">
      <c r="B403" s="17" t="s">
        <v>945</v>
      </c>
      <c r="C403" s="17" t="s">
        <v>945</v>
      </c>
      <c r="D403" s="17" t="s">
        <v>348</v>
      </c>
      <c r="E403" s="1" t="s">
        <v>21</v>
      </c>
      <c r="H403" s="1" t="s">
        <v>946</v>
      </c>
      <c r="I403" s="1" t="s">
        <v>350</v>
      </c>
      <c r="J403" s="1" t="s">
        <v>112</v>
      </c>
      <c r="K403" s="1" t="s">
        <v>113</v>
      </c>
      <c r="L403" s="2">
        <v>45219</v>
      </c>
      <c r="M403" s="18" t="s">
        <v>6687</v>
      </c>
      <c r="P403" s="3">
        <v>45717</v>
      </c>
      <c r="Q403" s="19" t="s">
        <v>6687</v>
      </c>
      <c r="R403" s="19" t="s">
        <v>40</v>
      </c>
      <c r="T403" s="19"/>
      <c r="V403" s="4" t="s">
        <v>350</v>
      </c>
      <c r="W403" s="17" t="s">
        <v>351</v>
      </c>
    </row>
    <row r="404" spans="2:23" ht="11.25" hidden="1" customHeight="1" x14ac:dyDescent="0.25">
      <c r="B404" s="17" t="s">
        <v>947</v>
      </c>
      <c r="C404" s="17" t="s">
        <v>947</v>
      </c>
      <c r="D404" s="17" t="s">
        <v>348</v>
      </c>
      <c r="E404" s="17" t="s">
        <v>21</v>
      </c>
      <c r="F404" s="17"/>
      <c r="G404" s="17"/>
      <c r="H404" s="17" t="s">
        <v>948</v>
      </c>
      <c r="I404" s="17" t="s">
        <v>350</v>
      </c>
      <c r="J404" s="17" t="s">
        <v>112</v>
      </c>
      <c r="K404" s="17" t="s">
        <v>113</v>
      </c>
      <c r="L404" s="18">
        <v>43858</v>
      </c>
      <c r="M404" s="18" t="s">
        <v>6687</v>
      </c>
      <c r="N404" s="18"/>
      <c r="O404" s="18"/>
      <c r="P404" s="19">
        <v>45352</v>
      </c>
      <c r="Q404" s="19" t="s">
        <v>6687</v>
      </c>
      <c r="R404" s="19" t="s">
        <v>40</v>
      </c>
      <c r="S404" s="19"/>
      <c r="T404" s="19"/>
      <c r="U404" s="18"/>
      <c r="V404" s="17" t="s">
        <v>350</v>
      </c>
      <c r="W404" s="17" t="s">
        <v>351</v>
      </c>
    </row>
    <row r="405" spans="2:23" ht="11.25" hidden="1" customHeight="1" x14ac:dyDescent="0.25">
      <c r="B405" s="17" t="s">
        <v>949</v>
      </c>
      <c r="C405" s="17" t="s">
        <v>949</v>
      </c>
      <c r="D405" s="17" t="s">
        <v>348</v>
      </c>
      <c r="E405" s="17" t="s">
        <v>21</v>
      </c>
      <c r="F405" s="17"/>
      <c r="G405" s="17"/>
      <c r="H405" s="17" t="s">
        <v>950</v>
      </c>
      <c r="I405" s="17" t="s">
        <v>601</v>
      </c>
      <c r="J405" s="17" t="s">
        <v>112</v>
      </c>
      <c r="K405" s="17" t="s">
        <v>113</v>
      </c>
      <c r="L405" s="18">
        <v>43847</v>
      </c>
      <c r="M405" s="18" t="s">
        <v>6687</v>
      </c>
      <c r="N405" s="18"/>
      <c r="O405" s="18"/>
      <c r="P405" s="19">
        <v>45413</v>
      </c>
      <c r="Q405" s="19" t="s">
        <v>6687</v>
      </c>
      <c r="R405" s="19" t="s">
        <v>40</v>
      </c>
      <c r="S405" s="19"/>
      <c r="T405" s="19"/>
      <c r="U405" s="18"/>
      <c r="V405" s="17" t="s">
        <v>601</v>
      </c>
      <c r="W405" s="17" t="s">
        <v>472</v>
      </c>
    </row>
    <row r="406" spans="2:23" ht="11.25" hidden="1" customHeight="1" x14ac:dyDescent="0.25">
      <c r="B406" s="17" t="s">
        <v>951</v>
      </c>
      <c r="C406" s="17" t="s">
        <v>951</v>
      </c>
      <c r="D406" s="17" t="s">
        <v>348</v>
      </c>
      <c r="E406" s="17" t="s">
        <v>21</v>
      </c>
      <c r="F406" s="17"/>
      <c r="G406" s="17"/>
      <c r="H406" s="17" t="s">
        <v>952</v>
      </c>
      <c r="I406" s="17" t="s">
        <v>953</v>
      </c>
      <c r="J406" s="17" t="s">
        <v>34</v>
      </c>
      <c r="K406" s="17" t="s">
        <v>365</v>
      </c>
      <c r="L406" s="18">
        <v>43916</v>
      </c>
      <c r="M406" s="18" t="s">
        <v>6687</v>
      </c>
      <c r="N406" s="18"/>
      <c r="O406" s="18"/>
      <c r="P406" s="19">
        <v>45653</v>
      </c>
      <c r="Q406" s="19" t="s">
        <v>6687</v>
      </c>
      <c r="R406" s="19" t="s">
        <v>40</v>
      </c>
      <c r="S406" s="19"/>
      <c r="T406" s="19"/>
      <c r="U406" s="18"/>
      <c r="V406" s="17" t="s">
        <v>953</v>
      </c>
      <c r="W406" s="17" t="s">
        <v>472</v>
      </c>
    </row>
    <row r="407" spans="2:23" ht="11.25" hidden="1" customHeight="1" x14ac:dyDescent="0.25">
      <c r="B407" s="17" t="s">
        <v>954</v>
      </c>
      <c r="C407" s="17" t="s">
        <v>954</v>
      </c>
      <c r="D407" s="1" t="s">
        <v>20</v>
      </c>
      <c r="E407" s="17" t="s">
        <v>28</v>
      </c>
      <c r="F407" s="17"/>
      <c r="G407" s="17"/>
      <c r="H407" s="1" t="s">
        <v>955</v>
      </c>
      <c r="I407" s="1" t="s">
        <v>956</v>
      </c>
      <c r="J407" s="17" t="s">
        <v>76</v>
      </c>
      <c r="K407" s="1" t="s">
        <v>77</v>
      </c>
      <c r="L407" s="18">
        <v>44121</v>
      </c>
      <c r="M407" s="18" t="s">
        <v>6687</v>
      </c>
      <c r="N407" s="18"/>
      <c r="O407" s="18"/>
      <c r="P407" s="30"/>
      <c r="Q407" s="30"/>
      <c r="R407" s="30"/>
      <c r="S407" s="30"/>
      <c r="T407" s="19"/>
      <c r="V407" s="4" t="s">
        <v>956</v>
      </c>
      <c r="W407" s="17" t="s">
        <v>107</v>
      </c>
    </row>
    <row r="408" spans="2:23" ht="11.25" hidden="1" customHeight="1" x14ac:dyDescent="0.25">
      <c r="B408" s="17" t="s">
        <v>957</v>
      </c>
      <c r="C408" s="17" t="s">
        <v>957</v>
      </c>
      <c r="D408" s="1" t="s">
        <v>20</v>
      </c>
      <c r="E408" s="17" t="s">
        <v>21</v>
      </c>
      <c r="F408" s="17"/>
      <c r="G408" s="17"/>
      <c r="H408" s="1" t="s">
        <v>958</v>
      </c>
      <c r="I408" s="1" t="s">
        <v>140</v>
      </c>
      <c r="J408" s="1" t="s">
        <v>228</v>
      </c>
      <c r="K408" s="1" t="s">
        <v>229</v>
      </c>
      <c r="L408" s="18">
        <v>44108</v>
      </c>
      <c r="M408" s="18" t="s">
        <v>6687</v>
      </c>
      <c r="N408" s="18"/>
      <c r="O408" s="18"/>
      <c r="P408" s="19">
        <v>44946</v>
      </c>
      <c r="Q408" s="19" t="s">
        <v>6687</v>
      </c>
      <c r="R408" s="19" t="s">
        <v>40</v>
      </c>
      <c r="S408" s="19"/>
      <c r="T408" s="19"/>
      <c r="V408" s="4" t="s">
        <v>140</v>
      </c>
      <c r="W408" s="17" t="s">
        <v>107</v>
      </c>
    </row>
    <row r="409" spans="2:23" ht="11.25" hidden="1" customHeight="1" x14ac:dyDescent="0.25">
      <c r="B409" s="17" t="s">
        <v>959</v>
      </c>
      <c r="C409" s="17" t="s">
        <v>959</v>
      </c>
      <c r="D409" s="17" t="s">
        <v>348</v>
      </c>
      <c r="E409" s="17" t="s">
        <v>28</v>
      </c>
      <c r="F409" s="17"/>
      <c r="G409" s="17"/>
      <c r="H409" s="1" t="s">
        <v>960</v>
      </c>
      <c r="I409" s="1" t="s">
        <v>350</v>
      </c>
      <c r="J409" s="17" t="s">
        <v>76</v>
      </c>
      <c r="K409" s="1" t="s">
        <v>77</v>
      </c>
      <c r="L409" s="31">
        <v>44120</v>
      </c>
      <c r="M409" s="18" t="s">
        <v>6687</v>
      </c>
      <c r="N409" s="31"/>
      <c r="O409" s="31"/>
      <c r="P409" s="30"/>
      <c r="Q409" s="30"/>
      <c r="R409" s="30"/>
      <c r="S409" s="30"/>
      <c r="T409" s="19"/>
      <c r="V409" s="4" t="s">
        <v>350</v>
      </c>
      <c r="W409" s="17" t="s">
        <v>351</v>
      </c>
    </row>
    <row r="410" spans="2:23" ht="11.25" hidden="1" customHeight="1" x14ac:dyDescent="0.25">
      <c r="B410" s="17" t="s">
        <v>961</v>
      </c>
      <c r="C410" s="17" t="s">
        <v>961</v>
      </c>
      <c r="D410" s="17" t="s">
        <v>348</v>
      </c>
      <c r="E410" s="17" t="s">
        <v>28</v>
      </c>
      <c r="F410" s="17"/>
      <c r="G410" s="17"/>
      <c r="H410" s="1" t="s">
        <v>962</v>
      </c>
      <c r="I410" s="1" t="s">
        <v>350</v>
      </c>
      <c r="J410" s="1" t="s">
        <v>112</v>
      </c>
      <c r="K410" s="1" t="s">
        <v>744</v>
      </c>
      <c r="L410" s="31">
        <v>44110</v>
      </c>
      <c r="M410" s="18" t="s">
        <v>6687</v>
      </c>
      <c r="N410" s="31"/>
      <c r="O410" s="31"/>
      <c r="P410" s="30"/>
      <c r="Q410" s="30"/>
      <c r="R410" s="30"/>
      <c r="S410" s="30"/>
      <c r="T410" s="19"/>
      <c r="V410" s="4" t="s">
        <v>350</v>
      </c>
      <c r="W410" s="17" t="s">
        <v>351</v>
      </c>
    </row>
    <row r="411" spans="2:23" ht="11.25" hidden="1" customHeight="1" x14ac:dyDescent="0.25">
      <c r="B411" s="17" t="s">
        <v>963</v>
      </c>
      <c r="C411" s="17" t="s">
        <v>963</v>
      </c>
      <c r="D411" s="17" t="s">
        <v>348</v>
      </c>
      <c r="E411" s="17" t="s">
        <v>28</v>
      </c>
      <c r="F411" s="17"/>
      <c r="G411" s="17"/>
      <c r="H411" s="1" t="s">
        <v>964</v>
      </c>
      <c r="I411" s="1" t="s">
        <v>350</v>
      </c>
      <c r="J411" s="17" t="s">
        <v>76</v>
      </c>
      <c r="K411" s="1" t="s">
        <v>77</v>
      </c>
      <c r="L411" s="31">
        <v>44132</v>
      </c>
      <c r="M411" s="18" t="s">
        <v>6687</v>
      </c>
      <c r="N411" s="31"/>
      <c r="O411" s="31"/>
      <c r="P411" s="30"/>
      <c r="Q411" s="30"/>
      <c r="R411" s="30"/>
      <c r="S411" s="30"/>
      <c r="T411" s="19"/>
      <c r="V411" s="4" t="s">
        <v>350</v>
      </c>
      <c r="W411" s="17" t="s">
        <v>351</v>
      </c>
    </row>
    <row r="412" spans="2:23" ht="11.25" hidden="1" customHeight="1" x14ac:dyDescent="0.25">
      <c r="B412" s="17" t="s">
        <v>965</v>
      </c>
      <c r="C412" s="17" t="s">
        <v>965</v>
      </c>
      <c r="D412" s="17" t="s">
        <v>348</v>
      </c>
      <c r="E412" s="17" t="s">
        <v>28</v>
      </c>
      <c r="F412" s="17"/>
      <c r="G412" s="17"/>
      <c r="H412" s="1" t="s">
        <v>966</v>
      </c>
      <c r="I412" s="1" t="s">
        <v>967</v>
      </c>
      <c r="J412" s="1" t="s">
        <v>34</v>
      </c>
      <c r="K412" s="1" t="s">
        <v>35</v>
      </c>
      <c r="L412" s="31">
        <v>44134</v>
      </c>
      <c r="M412" s="18" t="s">
        <v>6687</v>
      </c>
      <c r="N412" s="31"/>
      <c r="O412" s="31"/>
      <c r="P412" s="30"/>
      <c r="Q412" s="30"/>
      <c r="R412" s="30"/>
      <c r="S412" s="30"/>
      <c r="T412" s="19"/>
      <c r="V412" s="4" t="s">
        <v>967</v>
      </c>
      <c r="W412" s="17" t="s">
        <v>472</v>
      </c>
    </row>
    <row r="413" spans="2:23" ht="11.25" hidden="1" customHeight="1" x14ac:dyDescent="0.25">
      <c r="B413" s="17" t="s">
        <v>968</v>
      </c>
      <c r="C413" s="17" t="s">
        <v>968</v>
      </c>
      <c r="D413" s="17" t="s">
        <v>348</v>
      </c>
      <c r="E413" s="17" t="s">
        <v>28</v>
      </c>
      <c r="F413" s="17"/>
      <c r="G413" s="17"/>
      <c r="H413" s="1" t="s">
        <v>969</v>
      </c>
      <c r="I413" s="1" t="s">
        <v>967</v>
      </c>
      <c r="J413" s="17" t="s">
        <v>76</v>
      </c>
      <c r="K413" s="1" t="s">
        <v>77</v>
      </c>
      <c r="L413" s="31">
        <v>44134</v>
      </c>
      <c r="M413" s="18" t="s">
        <v>6687</v>
      </c>
      <c r="N413" s="31"/>
      <c r="O413" s="31"/>
      <c r="P413" s="30"/>
      <c r="Q413" s="30"/>
      <c r="R413" s="30"/>
      <c r="S413" s="30"/>
      <c r="T413" s="19"/>
      <c r="V413" s="4" t="s">
        <v>967</v>
      </c>
      <c r="W413" s="17" t="s">
        <v>472</v>
      </c>
    </row>
    <row r="414" spans="2:23" ht="11.25" hidden="1" customHeight="1" x14ac:dyDescent="0.25">
      <c r="B414" s="17" t="s">
        <v>970</v>
      </c>
      <c r="C414" s="17" t="s">
        <v>970</v>
      </c>
      <c r="D414" s="1" t="s">
        <v>20</v>
      </c>
      <c r="E414" s="17" t="s">
        <v>28</v>
      </c>
      <c r="F414" s="17"/>
      <c r="G414" s="17"/>
      <c r="H414" s="1" t="s">
        <v>971</v>
      </c>
      <c r="I414" s="1" t="s">
        <v>23</v>
      </c>
      <c r="J414" s="17" t="s">
        <v>76</v>
      </c>
      <c r="K414" s="1" t="s">
        <v>77</v>
      </c>
      <c r="L414" s="31">
        <v>44155</v>
      </c>
      <c r="M414" s="18" t="s">
        <v>6687</v>
      </c>
      <c r="N414" s="31"/>
      <c r="O414" s="31"/>
      <c r="P414" s="30"/>
      <c r="Q414" s="30"/>
      <c r="R414" s="30"/>
      <c r="S414" s="30"/>
      <c r="T414" s="19"/>
      <c r="V414" s="4" t="s">
        <v>23</v>
      </c>
      <c r="W414" s="17" t="s">
        <v>26</v>
      </c>
    </row>
    <row r="415" spans="2:23" ht="11.25" hidden="1" customHeight="1" x14ac:dyDescent="0.25">
      <c r="B415" s="17" t="s">
        <v>972</v>
      </c>
      <c r="C415" s="17" t="s">
        <v>972</v>
      </c>
      <c r="D415" s="17" t="s">
        <v>348</v>
      </c>
      <c r="E415" s="17" t="s">
        <v>21</v>
      </c>
      <c r="F415" s="17"/>
      <c r="G415" s="17"/>
      <c r="H415" s="1" t="s">
        <v>973</v>
      </c>
      <c r="I415" s="1" t="s">
        <v>471</v>
      </c>
      <c r="J415" s="17" t="s">
        <v>76</v>
      </c>
      <c r="K415" s="1" t="s">
        <v>77</v>
      </c>
      <c r="L415" s="31">
        <v>44145</v>
      </c>
      <c r="M415" s="18" t="s">
        <v>6687</v>
      </c>
      <c r="N415" s="31"/>
      <c r="O415" s="31"/>
      <c r="P415" s="30">
        <v>45922</v>
      </c>
      <c r="Q415" s="19" t="s">
        <v>6687</v>
      </c>
      <c r="R415" s="30" t="s">
        <v>40</v>
      </c>
      <c r="S415" s="30"/>
      <c r="T415" s="19"/>
      <c r="V415" s="4" t="s">
        <v>471</v>
      </c>
      <c r="W415" s="17" t="s">
        <v>472</v>
      </c>
    </row>
    <row r="416" spans="2:23" ht="11.25" hidden="1" customHeight="1" x14ac:dyDescent="0.25">
      <c r="B416" s="17" t="s">
        <v>974</v>
      </c>
      <c r="C416" s="17" t="s">
        <v>974</v>
      </c>
      <c r="D416" s="17" t="s">
        <v>348</v>
      </c>
      <c r="E416" s="17" t="s">
        <v>21</v>
      </c>
      <c r="F416" s="17"/>
      <c r="G416" s="17"/>
      <c r="H416" s="1" t="s">
        <v>975</v>
      </c>
      <c r="I416" s="1" t="s">
        <v>471</v>
      </c>
      <c r="J416" s="1" t="s">
        <v>34</v>
      </c>
      <c r="K416" s="1" t="s">
        <v>35</v>
      </c>
      <c r="L416" s="31">
        <v>44145</v>
      </c>
      <c r="M416" s="18" t="s">
        <v>6687</v>
      </c>
      <c r="N416" s="31"/>
      <c r="O416" s="31"/>
      <c r="P416" s="31">
        <v>45757</v>
      </c>
      <c r="Q416" s="19" t="s">
        <v>6687</v>
      </c>
      <c r="R416" s="30" t="s">
        <v>40</v>
      </c>
      <c r="S416" s="30"/>
      <c r="T416" s="19"/>
      <c r="V416" s="4" t="s">
        <v>471</v>
      </c>
      <c r="W416" s="17" t="s">
        <v>472</v>
      </c>
    </row>
    <row r="417" spans="2:23" ht="11.25" hidden="1" customHeight="1" x14ac:dyDescent="0.25">
      <c r="B417" s="17" t="s">
        <v>976</v>
      </c>
      <c r="C417" s="17" t="s">
        <v>976</v>
      </c>
      <c r="D417" s="17" t="s">
        <v>348</v>
      </c>
      <c r="E417" s="17" t="s">
        <v>28</v>
      </c>
      <c r="F417" s="17"/>
      <c r="G417" s="17"/>
      <c r="H417" s="1" t="s">
        <v>977</v>
      </c>
      <c r="I417" s="1" t="s">
        <v>978</v>
      </c>
      <c r="J417" s="17" t="s">
        <v>76</v>
      </c>
      <c r="K417" s="1" t="s">
        <v>77</v>
      </c>
      <c r="L417" s="31">
        <v>44145</v>
      </c>
      <c r="M417" s="18" t="s">
        <v>6687</v>
      </c>
      <c r="N417" s="31"/>
      <c r="O417" s="31"/>
      <c r="P417" s="30"/>
      <c r="Q417" s="30"/>
      <c r="R417" s="30"/>
      <c r="S417" s="30"/>
      <c r="T417" s="19"/>
      <c r="V417" s="4" t="s">
        <v>978</v>
      </c>
      <c r="W417" s="17" t="s">
        <v>472</v>
      </c>
    </row>
    <row r="418" spans="2:23" ht="11.25" hidden="1" customHeight="1" x14ac:dyDescent="0.25">
      <c r="B418" s="17" t="s">
        <v>979</v>
      </c>
      <c r="C418" s="17" t="s">
        <v>979</v>
      </c>
      <c r="D418" s="17" t="s">
        <v>348</v>
      </c>
      <c r="E418" s="17" t="s">
        <v>28</v>
      </c>
      <c r="F418" s="17"/>
      <c r="G418" s="17"/>
      <c r="H418" s="1" t="s">
        <v>980</v>
      </c>
      <c r="I418" s="1" t="s">
        <v>978</v>
      </c>
      <c r="J418" s="1" t="s">
        <v>34</v>
      </c>
      <c r="K418" s="1" t="s">
        <v>35</v>
      </c>
      <c r="L418" s="31">
        <v>44145</v>
      </c>
      <c r="M418" s="18" t="s">
        <v>6687</v>
      </c>
      <c r="N418" s="31"/>
      <c r="O418" s="31"/>
      <c r="P418" s="30"/>
      <c r="Q418" s="30"/>
      <c r="R418" s="30"/>
      <c r="S418" s="30"/>
      <c r="T418" s="19"/>
      <c r="V418" s="4" t="s">
        <v>978</v>
      </c>
      <c r="W418" s="17" t="s">
        <v>472</v>
      </c>
    </row>
    <row r="419" spans="2:23" ht="11.25" hidden="1" customHeight="1" x14ac:dyDescent="0.25">
      <c r="B419" s="17" t="s">
        <v>981</v>
      </c>
      <c r="C419" s="17" t="s">
        <v>981</v>
      </c>
      <c r="D419" s="17" t="s">
        <v>20</v>
      </c>
      <c r="E419" s="17" t="s">
        <v>28</v>
      </c>
      <c r="F419" s="17"/>
      <c r="G419" s="17"/>
      <c r="H419" s="1" t="s">
        <v>982</v>
      </c>
      <c r="I419" s="1" t="s">
        <v>23</v>
      </c>
      <c r="J419" s="1" t="s">
        <v>34</v>
      </c>
      <c r="K419" s="1" t="s">
        <v>35</v>
      </c>
      <c r="L419" s="2">
        <v>44176</v>
      </c>
      <c r="M419" s="18" t="s">
        <v>6687</v>
      </c>
      <c r="T419" s="19"/>
      <c r="V419" s="4" t="s">
        <v>23</v>
      </c>
      <c r="W419" s="17" t="s">
        <v>26</v>
      </c>
    </row>
    <row r="420" spans="2:23" ht="11.25" hidden="1" customHeight="1" x14ac:dyDescent="0.25">
      <c r="B420" s="17" t="s">
        <v>983</v>
      </c>
      <c r="C420" s="17" t="s">
        <v>983</v>
      </c>
      <c r="D420" s="1" t="s">
        <v>20</v>
      </c>
      <c r="E420" s="17" t="s">
        <v>28</v>
      </c>
      <c r="F420" s="17"/>
      <c r="G420" s="17"/>
      <c r="H420" s="1" t="s">
        <v>984</v>
      </c>
      <c r="I420" s="1" t="s">
        <v>23</v>
      </c>
      <c r="J420" s="17" t="s">
        <v>76</v>
      </c>
      <c r="K420" s="1" t="s">
        <v>77</v>
      </c>
      <c r="L420" s="2">
        <v>44176</v>
      </c>
      <c r="M420" s="18" t="s">
        <v>6687</v>
      </c>
      <c r="T420" s="19"/>
      <c r="V420" s="4" t="s">
        <v>23</v>
      </c>
      <c r="W420" s="17" t="s">
        <v>26</v>
      </c>
    </row>
    <row r="421" spans="2:23" ht="11.25" hidden="1" customHeight="1" x14ac:dyDescent="0.25">
      <c r="B421" s="17" t="s">
        <v>985</v>
      </c>
      <c r="C421" s="17" t="s">
        <v>985</v>
      </c>
      <c r="D421" s="1" t="s">
        <v>20</v>
      </c>
      <c r="E421" s="17" t="s">
        <v>28</v>
      </c>
      <c r="F421" s="17"/>
      <c r="G421" s="17"/>
      <c r="H421" s="1" t="s">
        <v>986</v>
      </c>
      <c r="I421" s="1" t="s">
        <v>23</v>
      </c>
      <c r="J421" s="1" t="s">
        <v>112</v>
      </c>
      <c r="K421" s="1" t="s">
        <v>113</v>
      </c>
      <c r="L421" s="2">
        <v>44176</v>
      </c>
      <c r="M421" s="18" t="s">
        <v>6687</v>
      </c>
      <c r="T421" s="19"/>
      <c r="V421" s="4" t="s">
        <v>23</v>
      </c>
      <c r="W421" s="17" t="s">
        <v>26</v>
      </c>
    </row>
    <row r="422" spans="2:23" ht="11.25" hidden="1" customHeight="1" x14ac:dyDescent="0.25">
      <c r="B422" s="17" t="s">
        <v>987</v>
      </c>
      <c r="C422" s="17" t="s">
        <v>987</v>
      </c>
      <c r="D422" s="1" t="s">
        <v>20</v>
      </c>
      <c r="E422" s="17" t="s">
        <v>28</v>
      </c>
      <c r="F422" s="17"/>
      <c r="G422" s="17"/>
      <c r="H422" s="1" t="s">
        <v>988</v>
      </c>
      <c r="I422" s="1" t="s">
        <v>140</v>
      </c>
      <c r="J422" s="17" t="s">
        <v>76</v>
      </c>
      <c r="K422" s="1" t="s">
        <v>77</v>
      </c>
      <c r="L422" s="2">
        <v>44179</v>
      </c>
      <c r="M422" s="18" t="s">
        <v>6687</v>
      </c>
      <c r="T422" s="19"/>
      <c r="V422" s="4" t="s">
        <v>140</v>
      </c>
      <c r="W422" s="17" t="s">
        <v>107</v>
      </c>
    </row>
    <row r="423" spans="2:23" ht="11.25" hidden="1" customHeight="1" x14ac:dyDescent="0.25">
      <c r="B423" s="17" t="s">
        <v>989</v>
      </c>
      <c r="C423" s="17" t="s">
        <v>989</v>
      </c>
      <c r="D423" s="17" t="s">
        <v>20</v>
      </c>
      <c r="E423" s="17" t="s">
        <v>28</v>
      </c>
      <c r="F423" s="17"/>
      <c r="G423" s="17"/>
      <c r="H423" s="1" t="s">
        <v>990</v>
      </c>
      <c r="I423" s="1" t="s">
        <v>140</v>
      </c>
      <c r="J423" s="1" t="s">
        <v>34</v>
      </c>
      <c r="K423" s="1" t="s">
        <v>365</v>
      </c>
      <c r="L423" s="2">
        <v>44179</v>
      </c>
      <c r="M423" s="18" t="s">
        <v>6687</v>
      </c>
      <c r="T423" s="19"/>
      <c r="V423" s="4" t="s">
        <v>140</v>
      </c>
      <c r="W423" s="17" t="s">
        <v>107</v>
      </c>
    </row>
    <row r="424" spans="2:23" ht="11.25" hidden="1" customHeight="1" x14ac:dyDescent="0.25">
      <c r="B424" s="17" t="s">
        <v>991</v>
      </c>
      <c r="C424" s="17" t="s">
        <v>991</v>
      </c>
      <c r="D424" s="1" t="s">
        <v>20</v>
      </c>
      <c r="E424" s="17" t="s">
        <v>28</v>
      </c>
      <c r="F424" s="17"/>
      <c r="G424" s="17"/>
      <c r="H424" s="1" t="s">
        <v>992</v>
      </c>
      <c r="I424" s="1" t="s">
        <v>140</v>
      </c>
      <c r="J424" s="1" t="s">
        <v>112</v>
      </c>
      <c r="K424" s="1" t="s">
        <v>113</v>
      </c>
      <c r="L424" s="2">
        <v>44179</v>
      </c>
      <c r="M424" s="18" t="s">
        <v>6687</v>
      </c>
      <c r="T424" s="19"/>
      <c r="V424" s="4" t="s">
        <v>140</v>
      </c>
      <c r="W424" s="17" t="s">
        <v>107</v>
      </c>
    </row>
    <row r="425" spans="2:23" ht="11.25" hidden="1" customHeight="1" x14ac:dyDescent="0.25">
      <c r="B425" s="17" t="s">
        <v>993</v>
      </c>
      <c r="C425" s="17" t="s">
        <v>993</v>
      </c>
      <c r="D425" s="1" t="s">
        <v>20</v>
      </c>
      <c r="E425" s="17" t="s">
        <v>28</v>
      </c>
      <c r="F425" s="17"/>
      <c r="G425" s="17"/>
      <c r="H425" s="1" t="s">
        <v>994</v>
      </c>
      <c r="I425" s="1" t="s">
        <v>140</v>
      </c>
      <c r="J425" s="1" t="s">
        <v>141</v>
      </c>
      <c r="K425" s="1" t="s">
        <v>142</v>
      </c>
      <c r="L425" s="2">
        <v>44179</v>
      </c>
      <c r="M425" s="18" t="s">
        <v>6687</v>
      </c>
      <c r="T425" s="19"/>
      <c r="V425" s="4" t="s">
        <v>140</v>
      </c>
      <c r="W425" s="17" t="s">
        <v>107</v>
      </c>
    </row>
    <row r="426" spans="2:23" ht="11.25" hidden="1" customHeight="1" x14ac:dyDescent="0.25">
      <c r="B426" s="17" t="s">
        <v>995</v>
      </c>
      <c r="C426" s="17" t="s">
        <v>995</v>
      </c>
      <c r="D426" s="1" t="s">
        <v>20</v>
      </c>
      <c r="E426" s="17" t="s">
        <v>28</v>
      </c>
      <c r="F426" s="17"/>
      <c r="G426" s="17"/>
      <c r="H426" s="1" t="s">
        <v>996</v>
      </c>
      <c r="I426" s="1" t="s">
        <v>23</v>
      </c>
      <c r="J426" s="1" t="s">
        <v>228</v>
      </c>
      <c r="K426" s="1" t="s">
        <v>376</v>
      </c>
      <c r="L426" s="2">
        <v>44173</v>
      </c>
      <c r="M426" s="18" t="s">
        <v>6687</v>
      </c>
      <c r="T426" s="19"/>
      <c r="V426" s="4" t="s">
        <v>23</v>
      </c>
      <c r="W426" s="17" t="s">
        <v>26</v>
      </c>
    </row>
    <row r="427" spans="2:23" ht="11.25" hidden="1" customHeight="1" x14ac:dyDescent="0.25">
      <c r="B427" s="17" t="s">
        <v>997</v>
      </c>
      <c r="C427" s="17" t="s">
        <v>997</v>
      </c>
      <c r="D427" s="17" t="s">
        <v>348</v>
      </c>
      <c r="E427" s="17" t="s">
        <v>28</v>
      </c>
      <c r="F427" s="17"/>
      <c r="G427" s="17"/>
      <c r="H427" s="1" t="s">
        <v>998</v>
      </c>
      <c r="I427" s="1" t="s">
        <v>350</v>
      </c>
      <c r="J427" s="1" t="s">
        <v>34</v>
      </c>
      <c r="K427" s="1" t="s">
        <v>365</v>
      </c>
      <c r="L427" s="2">
        <v>44186</v>
      </c>
      <c r="M427" s="18" t="s">
        <v>6687</v>
      </c>
      <c r="T427" s="19"/>
      <c r="V427" s="4" t="s">
        <v>350</v>
      </c>
      <c r="W427" s="17" t="s">
        <v>351</v>
      </c>
    </row>
    <row r="428" spans="2:23" ht="11.25" hidden="1" customHeight="1" x14ac:dyDescent="0.25">
      <c r="B428" s="17" t="s">
        <v>999</v>
      </c>
      <c r="C428" s="17" t="s">
        <v>999</v>
      </c>
      <c r="D428" s="17" t="s">
        <v>348</v>
      </c>
      <c r="E428" s="17" t="s">
        <v>21</v>
      </c>
      <c r="F428" s="17"/>
      <c r="G428" s="17"/>
      <c r="H428" s="1" t="s">
        <v>1000</v>
      </c>
      <c r="I428" s="1" t="s">
        <v>350</v>
      </c>
      <c r="J428" s="1" t="s">
        <v>141</v>
      </c>
      <c r="K428" s="1" t="s">
        <v>142</v>
      </c>
      <c r="L428" s="2">
        <v>44182</v>
      </c>
      <c r="M428" s="18" t="s">
        <v>6687</v>
      </c>
      <c r="P428" s="3">
        <v>45587</v>
      </c>
      <c r="Q428" s="19" t="s">
        <v>6687</v>
      </c>
      <c r="R428" s="19" t="s">
        <v>47</v>
      </c>
      <c r="S428" s="19"/>
      <c r="T428" s="19"/>
      <c r="V428" s="4" t="s">
        <v>350</v>
      </c>
      <c r="W428" s="17" t="s">
        <v>351</v>
      </c>
    </row>
    <row r="429" spans="2:23" ht="11.25" hidden="1" customHeight="1" x14ac:dyDescent="0.25">
      <c r="B429" s="17" t="s">
        <v>1001</v>
      </c>
      <c r="C429" s="17" t="s">
        <v>1001</v>
      </c>
      <c r="D429" s="17" t="s">
        <v>348</v>
      </c>
      <c r="E429" s="17" t="s">
        <v>28</v>
      </c>
      <c r="F429" s="17"/>
      <c r="G429" s="17"/>
      <c r="H429" s="1" t="s">
        <v>1002</v>
      </c>
      <c r="I429" s="1" t="s">
        <v>350</v>
      </c>
      <c r="J429" s="1" t="s">
        <v>112</v>
      </c>
      <c r="K429" s="1" t="s">
        <v>113</v>
      </c>
      <c r="L429" s="2">
        <v>44190</v>
      </c>
      <c r="M429" s="18" t="s">
        <v>6687</v>
      </c>
      <c r="T429" s="19"/>
      <c r="V429" s="4" t="s">
        <v>350</v>
      </c>
      <c r="W429" s="17" t="s">
        <v>351</v>
      </c>
    </row>
    <row r="430" spans="2:23" ht="11.25" hidden="1" customHeight="1" x14ac:dyDescent="0.25">
      <c r="B430" s="17" t="s">
        <v>1003</v>
      </c>
      <c r="C430" s="17" t="s">
        <v>1003</v>
      </c>
      <c r="D430" s="17" t="s">
        <v>348</v>
      </c>
      <c r="E430" s="17" t="s">
        <v>28</v>
      </c>
      <c r="F430" s="17"/>
      <c r="G430" s="17"/>
      <c r="H430" s="1" t="s">
        <v>1004</v>
      </c>
      <c r="I430" s="1" t="s">
        <v>471</v>
      </c>
      <c r="J430" s="1" t="s">
        <v>112</v>
      </c>
      <c r="K430" s="1" t="s">
        <v>113</v>
      </c>
      <c r="L430" s="2">
        <v>44170</v>
      </c>
      <c r="M430" s="18" t="s">
        <v>6687</v>
      </c>
      <c r="T430" s="19"/>
      <c r="V430" s="4" t="s">
        <v>471</v>
      </c>
      <c r="W430" s="17" t="s">
        <v>472</v>
      </c>
    </row>
    <row r="431" spans="2:23" ht="11.25" hidden="1" customHeight="1" x14ac:dyDescent="0.25">
      <c r="B431" s="17" t="s">
        <v>1005</v>
      </c>
      <c r="C431" s="17" t="s">
        <v>1005</v>
      </c>
      <c r="D431" s="17" t="s">
        <v>348</v>
      </c>
      <c r="E431" s="17" t="s">
        <v>21</v>
      </c>
      <c r="F431" s="17"/>
      <c r="G431" s="17"/>
      <c r="H431" s="1" t="s">
        <v>1006</v>
      </c>
      <c r="I431" s="1" t="s">
        <v>497</v>
      </c>
      <c r="J431" s="1" t="s">
        <v>70</v>
      </c>
      <c r="K431" s="1" t="s">
        <v>360</v>
      </c>
      <c r="L431" s="2">
        <v>44189</v>
      </c>
      <c r="M431" s="18" t="s">
        <v>6687</v>
      </c>
      <c r="P431" s="3">
        <v>44561</v>
      </c>
      <c r="Q431" s="19" t="s">
        <v>6687</v>
      </c>
      <c r="R431" s="19"/>
      <c r="T431" s="19"/>
      <c r="V431" s="4" t="s">
        <v>497</v>
      </c>
      <c r="W431" s="17" t="s">
        <v>472</v>
      </c>
    </row>
    <row r="432" spans="2:23" ht="11.25" hidden="1" customHeight="1" x14ac:dyDescent="0.25">
      <c r="B432" s="17" t="s">
        <v>1007</v>
      </c>
      <c r="C432" s="17" t="s">
        <v>1007</v>
      </c>
      <c r="D432" s="1" t="s">
        <v>20</v>
      </c>
      <c r="E432" s="17" t="s">
        <v>21</v>
      </c>
      <c r="F432" s="17"/>
      <c r="G432" s="17"/>
      <c r="H432" s="1" t="s">
        <v>1008</v>
      </c>
      <c r="I432" s="1" t="s">
        <v>23</v>
      </c>
      <c r="J432" s="1" t="s">
        <v>141</v>
      </c>
      <c r="K432" s="1" t="s">
        <v>142</v>
      </c>
      <c r="L432" s="31">
        <v>44216</v>
      </c>
      <c r="M432" s="18" t="s">
        <v>6687</v>
      </c>
      <c r="N432" s="31"/>
      <c r="O432" s="31"/>
      <c r="P432" s="30">
        <v>45419</v>
      </c>
      <c r="Q432" s="19" t="s">
        <v>6687</v>
      </c>
      <c r="R432" s="19" t="s">
        <v>47</v>
      </c>
      <c r="S432" s="19" t="s">
        <v>1009</v>
      </c>
      <c r="T432" s="19"/>
      <c r="V432" s="4" t="s">
        <v>23</v>
      </c>
      <c r="W432" s="17" t="s">
        <v>26</v>
      </c>
    </row>
    <row r="433" spans="2:23" ht="11.25" hidden="1" customHeight="1" x14ac:dyDescent="0.25">
      <c r="B433" s="17" t="s">
        <v>1010</v>
      </c>
      <c r="C433" s="17" t="s">
        <v>1010</v>
      </c>
      <c r="D433" s="1" t="s">
        <v>20</v>
      </c>
      <c r="E433" s="17" t="s">
        <v>28</v>
      </c>
      <c r="F433" s="17"/>
      <c r="G433" s="17"/>
      <c r="H433" s="1" t="s">
        <v>1011</v>
      </c>
      <c r="I433" s="1" t="s">
        <v>23</v>
      </c>
      <c r="J433" s="1" t="s">
        <v>379</v>
      </c>
      <c r="K433" s="1" t="s">
        <v>380</v>
      </c>
      <c r="L433" s="31">
        <v>44217</v>
      </c>
      <c r="M433" s="18" t="s">
        <v>6687</v>
      </c>
      <c r="N433" s="31"/>
      <c r="O433" s="31"/>
      <c r="P433" s="30"/>
      <c r="Q433" s="30"/>
      <c r="R433" s="30"/>
      <c r="S433" s="30"/>
      <c r="T433" s="19"/>
      <c r="V433" s="4" t="s">
        <v>23</v>
      </c>
      <c r="W433" s="17" t="s">
        <v>26</v>
      </c>
    </row>
    <row r="434" spans="2:23" ht="11.25" hidden="1" customHeight="1" x14ac:dyDescent="0.25">
      <c r="B434" s="17" t="s">
        <v>1012</v>
      </c>
      <c r="C434" s="17" t="s">
        <v>1012</v>
      </c>
      <c r="D434" s="1" t="s">
        <v>20</v>
      </c>
      <c r="E434" s="17" t="s">
        <v>21</v>
      </c>
      <c r="F434" s="17"/>
      <c r="G434" s="17"/>
      <c r="H434" s="1" t="s">
        <v>1013</v>
      </c>
      <c r="I434" s="1" t="s">
        <v>23</v>
      </c>
      <c r="J434" s="1" t="s">
        <v>405</v>
      </c>
      <c r="K434" s="17" t="s">
        <v>406</v>
      </c>
      <c r="L434" s="31">
        <v>44217</v>
      </c>
      <c r="M434" s="18" t="s">
        <v>6687</v>
      </c>
      <c r="N434" s="31"/>
      <c r="O434" s="31"/>
      <c r="P434" s="30">
        <v>45175</v>
      </c>
      <c r="Q434" s="19" t="s">
        <v>6687</v>
      </c>
      <c r="R434" s="19"/>
      <c r="S434" s="30"/>
      <c r="T434" s="19"/>
      <c r="V434" s="4" t="s">
        <v>23</v>
      </c>
      <c r="W434" s="17" t="s">
        <v>26</v>
      </c>
    </row>
    <row r="435" spans="2:23" ht="11.25" hidden="1" customHeight="1" x14ac:dyDescent="0.25">
      <c r="B435" s="17" t="s">
        <v>1014</v>
      </c>
      <c r="C435" s="17" t="s">
        <v>1014</v>
      </c>
      <c r="D435" s="17" t="s">
        <v>348</v>
      </c>
      <c r="E435" s="17" t="s">
        <v>21</v>
      </c>
      <c r="F435" s="17"/>
      <c r="G435" s="17"/>
      <c r="H435" s="1" t="s">
        <v>1015</v>
      </c>
      <c r="I435" s="1" t="s">
        <v>350</v>
      </c>
      <c r="J435" s="1" t="s">
        <v>124</v>
      </c>
      <c r="K435" s="1" t="s">
        <v>902</v>
      </c>
      <c r="L435" s="2">
        <v>44215</v>
      </c>
      <c r="M435" s="18" t="s">
        <v>6687</v>
      </c>
      <c r="P435" s="3">
        <v>46040</v>
      </c>
      <c r="Q435" s="19" t="s">
        <v>6687</v>
      </c>
      <c r="R435" s="3" t="s">
        <v>47</v>
      </c>
      <c r="S435" s="3" t="s">
        <v>1016</v>
      </c>
      <c r="T435" s="19"/>
      <c r="V435" s="4" t="s">
        <v>350</v>
      </c>
      <c r="W435" s="17" t="s">
        <v>351</v>
      </c>
    </row>
    <row r="436" spans="2:23" ht="11.25" hidden="1" customHeight="1" x14ac:dyDescent="0.25">
      <c r="B436" s="17" t="s">
        <v>1017</v>
      </c>
      <c r="C436" s="17" t="s">
        <v>1017</v>
      </c>
      <c r="D436" s="1" t="s">
        <v>20</v>
      </c>
      <c r="E436" s="1" t="s">
        <v>21</v>
      </c>
      <c r="H436" s="1" t="s">
        <v>1018</v>
      </c>
      <c r="I436" s="1" t="s">
        <v>23</v>
      </c>
      <c r="J436" s="1" t="s">
        <v>1019</v>
      </c>
      <c r="K436" s="1" t="s">
        <v>1020</v>
      </c>
      <c r="L436" s="2">
        <v>45440</v>
      </c>
      <c r="M436" s="18" t="s">
        <v>6687</v>
      </c>
      <c r="P436" s="3">
        <v>45658</v>
      </c>
      <c r="Q436" s="19" t="s">
        <v>6687</v>
      </c>
      <c r="R436" s="3" t="s">
        <v>47</v>
      </c>
      <c r="S436" s="3" t="s">
        <v>1021</v>
      </c>
      <c r="T436" s="19"/>
      <c r="V436" s="4" t="s">
        <v>23</v>
      </c>
      <c r="W436" s="1" t="s">
        <v>26</v>
      </c>
    </row>
    <row r="437" spans="2:23" ht="11.25" hidden="1" customHeight="1" x14ac:dyDescent="0.25">
      <c r="B437" s="17" t="s">
        <v>1022</v>
      </c>
      <c r="C437" s="17" t="s">
        <v>1022</v>
      </c>
      <c r="D437" s="17" t="s">
        <v>348</v>
      </c>
      <c r="E437" s="17" t="s">
        <v>21</v>
      </c>
      <c r="F437" s="17"/>
      <c r="G437" s="17"/>
      <c r="H437" s="1" t="s">
        <v>1023</v>
      </c>
      <c r="I437" s="1" t="s">
        <v>350</v>
      </c>
      <c r="J437" s="17" t="s">
        <v>76</v>
      </c>
      <c r="K437" s="1" t="s">
        <v>77</v>
      </c>
      <c r="L437" s="2">
        <v>44214</v>
      </c>
      <c r="M437" s="18" t="s">
        <v>6687</v>
      </c>
      <c r="P437" s="3">
        <v>45951</v>
      </c>
      <c r="Q437" s="19" t="s">
        <v>6687</v>
      </c>
      <c r="R437" s="3" t="s">
        <v>40</v>
      </c>
      <c r="T437" s="19"/>
      <c r="V437" s="4" t="s">
        <v>350</v>
      </c>
      <c r="W437" s="17" t="s">
        <v>351</v>
      </c>
    </row>
    <row r="438" spans="2:23" ht="11.25" hidden="1" customHeight="1" x14ac:dyDescent="0.25">
      <c r="B438" s="17" t="s">
        <v>1024</v>
      </c>
      <c r="C438" s="17" t="s">
        <v>1024</v>
      </c>
      <c r="D438" s="17" t="s">
        <v>348</v>
      </c>
      <c r="E438" s="17" t="s">
        <v>28</v>
      </c>
      <c r="F438" s="17"/>
      <c r="G438" s="17"/>
      <c r="H438" s="1" t="s">
        <v>1025</v>
      </c>
      <c r="I438" s="1" t="s">
        <v>565</v>
      </c>
      <c r="J438" s="1" t="s">
        <v>34</v>
      </c>
      <c r="K438" s="1" t="s">
        <v>365</v>
      </c>
      <c r="L438" s="2">
        <v>44211</v>
      </c>
      <c r="M438" s="18" t="s">
        <v>6687</v>
      </c>
      <c r="T438" s="19"/>
      <c r="V438" s="4" t="s">
        <v>565</v>
      </c>
      <c r="W438" s="17" t="s">
        <v>472</v>
      </c>
    </row>
    <row r="439" spans="2:23" ht="11.25" hidden="1" customHeight="1" x14ac:dyDescent="0.25">
      <c r="B439" s="17" t="s">
        <v>1026</v>
      </c>
      <c r="C439" s="17" t="s">
        <v>1026</v>
      </c>
      <c r="D439" s="17" t="s">
        <v>348</v>
      </c>
      <c r="E439" s="17" t="s">
        <v>28</v>
      </c>
      <c r="F439" s="17"/>
      <c r="G439" s="17"/>
      <c r="H439" s="1" t="s">
        <v>1027</v>
      </c>
      <c r="I439" s="1" t="s">
        <v>926</v>
      </c>
      <c r="J439" s="1" t="s">
        <v>34</v>
      </c>
      <c r="K439" s="1" t="s">
        <v>365</v>
      </c>
      <c r="L439" s="2">
        <v>44217</v>
      </c>
      <c r="M439" s="18" t="s">
        <v>6687</v>
      </c>
      <c r="T439" s="19"/>
      <c r="V439" s="4" t="s">
        <v>926</v>
      </c>
      <c r="W439" s="17" t="s">
        <v>472</v>
      </c>
    </row>
    <row r="440" spans="2:23" ht="11.25" hidden="1" customHeight="1" x14ac:dyDescent="0.25">
      <c r="B440" s="17" t="s">
        <v>1028</v>
      </c>
      <c r="C440" s="17" t="s">
        <v>1028</v>
      </c>
      <c r="D440" s="17" t="s">
        <v>20</v>
      </c>
      <c r="E440" s="17" t="s">
        <v>28</v>
      </c>
      <c r="F440" s="17"/>
      <c r="G440" s="17"/>
      <c r="H440" s="1" t="s">
        <v>1029</v>
      </c>
      <c r="I440" s="1" t="s">
        <v>23</v>
      </c>
      <c r="J440" s="1" t="s">
        <v>34</v>
      </c>
      <c r="K440" s="1" t="s">
        <v>365</v>
      </c>
      <c r="L440" s="31">
        <v>44234</v>
      </c>
      <c r="M440" s="18" t="s">
        <v>6687</v>
      </c>
      <c r="N440" s="31"/>
      <c r="O440" s="31"/>
      <c r="P440" s="30"/>
      <c r="Q440" s="30"/>
      <c r="R440" s="30"/>
      <c r="S440" s="30"/>
      <c r="T440" s="19"/>
      <c r="V440" s="1" t="s">
        <v>23</v>
      </c>
      <c r="W440" s="17" t="s">
        <v>26</v>
      </c>
    </row>
    <row r="441" spans="2:23" ht="11.25" hidden="1" customHeight="1" x14ac:dyDescent="0.25">
      <c r="B441" s="17" t="s">
        <v>1030</v>
      </c>
      <c r="C441" s="17" t="s">
        <v>1030</v>
      </c>
      <c r="D441" s="1" t="s">
        <v>20</v>
      </c>
      <c r="E441" s="17" t="s">
        <v>28</v>
      </c>
      <c r="F441" s="17"/>
      <c r="G441" s="17"/>
      <c r="H441" s="1" t="s">
        <v>1031</v>
      </c>
      <c r="I441" s="1" t="s">
        <v>23</v>
      </c>
      <c r="J441" s="1" t="s">
        <v>183</v>
      </c>
      <c r="K441" s="1" t="s">
        <v>436</v>
      </c>
      <c r="L441" s="31">
        <v>44232</v>
      </c>
      <c r="M441" s="18" t="s">
        <v>6687</v>
      </c>
      <c r="N441" s="31"/>
      <c r="O441" s="31"/>
      <c r="P441" s="30"/>
      <c r="Q441" s="30"/>
      <c r="R441" s="30"/>
      <c r="S441" s="30"/>
      <c r="T441" s="19"/>
      <c r="V441" s="1" t="s">
        <v>23</v>
      </c>
      <c r="W441" s="17" t="s">
        <v>26</v>
      </c>
    </row>
    <row r="442" spans="2:23" ht="11.25" hidden="1" customHeight="1" x14ac:dyDescent="0.25">
      <c r="B442" s="17" t="s">
        <v>1032</v>
      </c>
      <c r="C442" s="17" t="s">
        <v>1032</v>
      </c>
      <c r="D442" s="1" t="s">
        <v>20</v>
      </c>
      <c r="E442" s="17" t="s">
        <v>28</v>
      </c>
      <c r="F442" s="17"/>
      <c r="G442" s="17"/>
      <c r="H442" s="1" t="s">
        <v>1033</v>
      </c>
      <c r="I442" s="1" t="s">
        <v>23</v>
      </c>
      <c r="J442" s="1" t="s">
        <v>112</v>
      </c>
      <c r="K442" s="1" t="s">
        <v>113</v>
      </c>
      <c r="L442" s="31">
        <v>44232</v>
      </c>
      <c r="M442" s="18" t="s">
        <v>6687</v>
      </c>
      <c r="N442" s="31"/>
      <c r="O442" s="31"/>
      <c r="P442" s="30"/>
      <c r="Q442" s="30"/>
      <c r="R442" s="30"/>
      <c r="S442" s="30"/>
      <c r="T442" s="19"/>
      <c r="V442" s="1" t="s">
        <v>23</v>
      </c>
      <c r="W442" s="17" t="s">
        <v>26</v>
      </c>
    </row>
    <row r="443" spans="2:23" ht="11.25" hidden="1" customHeight="1" x14ac:dyDescent="0.25">
      <c r="B443" s="17" t="s">
        <v>1034</v>
      </c>
      <c r="C443" s="17" t="s">
        <v>1034</v>
      </c>
      <c r="D443" s="1" t="s">
        <v>20</v>
      </c>
      <c r="E443" s="17" t="s">
        <v>21</v>
      </c>
      <c r="F443" s="17"/>
      <c r="G443" s="17"/>
      <c r="H443" s="1" t="s">
        <v>1035</v>
      </c>
      <c r="I443" s="1" t="s">
        <v>1036</v>
      </c>
      <c r="J443" s="1" t="s">
        <v>94</v>
      </c>
      <c r="K443" s="1" t="s">
        <v>1037</v>
      </c>
      <c r="L443" s="31">
        <v>44228</v>
      </c>
      <c r="M443" s="18" t="s">
        <v>6687</v>
      </c>
      <c r="N443" s="31"/>
      <c r="O443" s="31"/>
      <c r="P443" s="30">
        <v>45474</v>
      </c>
      <c r="Q443" s="19" t="s">
        <v>6687</v>
      </c>
      <c r="R443" s="19" t="s">
        <v>47</v>
      </c>
      <c r="S443" s="32" t="s">
        <v>1038</v>
      </c>
      <c r="T443" s="19"/>
      <c r="V443" s="1" t="s">
        <v>1036</v>
      </c>
      <c r="W443" s="17" t="s">
        <v>107</v>
      </c>
    </row>
    <row r="444" spans="2:23" ht="11.25" hidden="1" customHeight="1" x14ac:dyDescent="0.25">
      <c r="B444" s="17" t="s">
        <v>1039</v>
      </c>
      <c r="C444" s="17" t="s">
        <v>1039</v>
      </c>
      <c r="D444" s="1" t="s">
        <v>20</v>
      </c>
      <c r="E444" s="17" t="s">
        <v>28</v>
      </c>
      <c r="F444" s="17"/>
      <c r="G444" s="17"/>
      <c r="H444" s="1" t="s">
        <v>1040</v>
      </c>
      <c r="I444" s="1" t="s">
        <v>1036</v>
      </c>
      <c r="J444" s="17" t="s">
        <v>76</v>
      </c>
      <c r="K444" s="1" t="s">
        <v>161</v>
      </c>
      <c r="L444" s="31">
        <v>44228</v>
      </c>
      <c r="M444" s="18" t="s">
        <v>6687</v>
      </c>
      <c r="N444" s="31"/>
      <c r="O444" s="31"/>
      <c r="P444" s="30"/>
      <c r="Q444" s="30"/>
      <c r="R444" s="30"/>
      <c r="S444" s="30"/>
      <c r="T444" s="19"/>
      <c r="V444" s="1" t="s">
        <v>1036</v>
      </c>
      <c r="W444" s="17" t="s">
        <v>107</v>
      </c>
    </row>
    <row r="445" spans="2:23" ht="11.25" hidden="1" customHeight="1" x14ac:dyDescent="0.25">
      <c r="B445" s="17" t="s">
        <v>1041</v>
      </c>
      <c r="C445" s="17" t="s">
        <v>1041</v>
      </c>
      <c r="D445" s="1" t="s">
        <v>20</v>
      </c>
      <c r="E445" s="17" t="s">
        <v>21</v>
      </c>
      <c r="F445" s="17"/>
      <c r="G445" s="17"/>
      <c r="H445" s="1" t="s">
        <v>1042</v>
      </c>
      <c r="I445" s="1" t="s">
        <v>1036</v>
      </c>
      <c r="J445" s="1" t="s">
        <v>124</v>
      </c>
      <c r="K445" s="1" t="s">
        <v>902</v>
      </c>
      <c r="L445" s="31">
        <v>44228</v>
      </c>
      <c r="M445" s="18" t="s">
        <v>6687</v>
      </c>
      <c r="N445" s="31"/>
      <c r="O445" s="31"/>
      <c r="P445" s="30">
        <v>44963</v>
      </c>
      <c r="Q445" s="19" t="s">
        <v>6687</v>
      </c>
      <c r="R445" s="19"/>
      <c r="S445" s="30"/>
      <c r="T445" s="19"/>
      <c r="V445" s="1" t="s">
        <v>1036</v>
      </c>
      <c r="W445" s="17" t="s">
        <v>107</v>
      </c>
    </row>
    <row r="446" spans="2:23" ht="11.25" hidden="1" customHeight="1" x14ac:dyDescent="0.25">
      <c r="B446" s="17" t="s">
        <v>1043</v>
      </c>
      <c r="C446" s="17" t="s">
        <v>1043</v>
      </c>
      <c r="D446" s="17" t="s">
        <v>348</v>
      </c>
      <c r="E446" s="17" t="s">
        <v>28</v>
      </c>
      <c r="F446" s="17"/>
      <c r="G446" s="17"/>
      <c r="H446" s="1" t="s">
        <v>1044</v>
      </c>
      <c r="I446" s="1" t="s">
        <v>471</v>
      </c>
      <c r="J446" s="17" t="s">
        <v>76</v>
      </c>
      <c r="K446" s="1" t="s">
        <v>77</v>
      </c>
      <c r="L446" s="31">
        <v>44234</v>
      </c>
      <c r="M446" s="18" t="s">
        <v>6687</v>
      </c>
      <c r="N446" s="31"/>
      <c r="O446" s="31"/>
      <c r="P446" s="30"/>
      <c r="Q446" s="30"/>
      <c r="R446" s="30"/>
      <c r="S446" s="30"/>
      <c r="T446" s="19"/>
      <c r="V446" s="1" t="s">
        <v>471</v>
      </c>
      <c r="W446" s="17" t="s">
        <v>472</v>
      </c>
    </row>
    <row r="447" spans="2:23" ht="11.25" hidden="1" customHeight="1" x14ac:dyDescent="0.25">
      <c r="B447" s="17" t="s">
        <v>1045</v>
      </c>
      <c r="C447" s="17" t="s">
        <v>1045</v>
      </c>
      <c r="D447" s="17" t="s">
        <v>348</v>
      </c>
      <c r="E447" s="17" t="s">
        <v>21</v>
      </c>
      <c r="F447" s="17"/>
      <c r="G447" s="17"/>
      <c r="H447" s="1" t="s">
        <v>1046</v>
      </c>
      <c r="I447" s="1" t="s">
        <v>471</v>
      </c>
      <c r="J447" s="1" t="s">
        <v>34</v>
      </c>
      <c r="K447" s="1" t="s">
        <v>365</v>
      </c>
      <c r="L447" s="31">
        <v>44231</v>
      </c>
      <c r="M447" s="18" t="s">
        <v>6687</v>
      </c>
      <c r="N447" s="31"/>
      <c r="O447" s="31"/>
      <c r="P447" s="30">
        <v>45536</v>
      </c>
      <c r="Q447" s="19" t="s">
        <v>6687</v>
      </c>
      <c r="R447" s="19" t="s">
        <v>40</v>
      </c>
      <c r="S447" s="30"/>
      <c r="T447" s="19"/>
      <c r="V447" s="1" t="s">
        <v>471</v>
      </c>
      <c r="W447" s="17" t="s">
        <v>472</v>
      </c>
    </row>
    <row r="448" spans="2:23" ht="11.25" hidden="1" customHeight="1" x14ac:dyDescent="0.25">
      <c r="B448" s="17" t="s">
        <v>1047</v>
      </c>
      <c r="C448" s="17" t="s">
        <v>1047</v>
      </c>
      <c r="D448" s="17" t="s">
        <v>348</v>
      </c>
      <c r="E448" s="17" t="s">
        <v>28</v>
      </c>
      <c r="F448" s="17"/>
      <c r="G448" s="17"/>
      <c r="H448" s="1" t="s">
        <v>1048</v>
      </c>
      <c r="I448" s="1" t="s">
        <v>350</v>
      </c>
      <c r="J448" s="1" t="s">
        <v>61</v>
      </c>
      <c r="K448" s="1" t="s">
        <v>373</v>
      </c>
      <c r="L448" s="2">
        <v>44286</v>
      </c>
      <c r="M448" s="18" t="s">
        <v>6687</v>
      </c>
      <c r="T448" s="19"/>
      <c r="V448" s="4" t="s">
        <v>350</v>
      </c>
      <c r="W448" s="17" t="s">
        <v>351</v>
      </c>
    </row>
    <row r="449" spans="2:23" ht="11.25" hidden="1" customHeight="1" x14ac:dyDescent="0.25">
      <c r="B449" s="17" t="s">
        <v>1049</v>
      </c>
      <c r="C449" s="17" t="s">
        <v>1049</v>
      </c>
      <c r="D449" s="17" t="s">
        <v>348</v>
      </c>
      <c r="E449" s="17" t="s">
        <v>21</v>
      </c>
      <c r="F449" s="17"/>
      <c r="G449" s="17"/>
      <c r="H449" s="1" t="s">
        <v>1050</v>
      </c>
      <c r="I449" s="1" t="s">
        <v>1051</v>
      </c>
      <c r="J449" s="17" t="s">
        <v>76</v>
      </c>
      <c r="K449" s="1" t="s">
        <v>77</v>
      </c>
      <c r="L449" s="2">
        <v>44274</v>
      </c>
      <c r="M449" s="18" t="s">
        <v>6687</v>
      </c>
      <c r="P449" s="3">
        <v>45884</v>
      </c>
      <c r="Q449" s="19" t="s">
        <v>6687</v>
      </c>
      <c r="R449" s="19" t="s">
        <v>40</v>
      </c>
      <c r="T449" s="19"/>
      <c r="V449" s="4" t="s">
        <v>1051</v>
      </c>
      <c r="W449" s="17" t="s">
        <v>472</v>
      </c>
    </row>
    <row r="450" spans="2:23" ht="11.25" hidden="1" customHeight="1" x14ac:dyDescent="0.25">
      <c r="B450" s="17" t="s">
        <v>1052</v>
      </c>
      <c r="C450" s="17" t="s">
        <v>1052</v>
      </c>
      <c r="D450" s="17" t="s">
        <v>348</v>
      </c>
      <c r="E450" s="17" t="s">
        <v>21</v>
      </c>
      <c r="F450" s="17"/>
      <c r="G450" s="17"/>
      <c r="H450" s="1" t="s">
        <v>1053</v>
      </c>
      <c r="I450" s="1" t="s">
        <v>1051</v>
      </c>
      <c r="J450" s="1" t="s">
        <v>34</v>
      </c>
      <c r="K450" s="1" t="s">
        <v>365</v>
      </c>
      <c r="L450" s="2">
        <v>44274</v>
      </c>
      <c r="M450" s="18" t="s">
        <v>6687</v>
      </c>
      <c r="P450" s="3">
        <v>45751</v>
      </c>
      <c r="Q450" s="19" t="s">
        <v>6687</v>
      </c>
      <c r="R450" s="3" t="s">
        <v>40</v>
      </c>
      <c r="T450" s="19"/>
      <c r="V450" s="4" t="s">
        <v>1051</v>
      </c>
      <c r="W450" s="17" t="s">
        <v>472</v>
      </c>
    </row>
    <row r="451" spans="2:23" ht="11.25" hidden="1" customHeight="1" x14ac:dyDescent="0.25">
      <c r="B451" s="17" t="s">
        <v>1054</v>
      </c>
      <c r="C451" s="17" t="s">
        <v>1054</v>
      </c>
      <c r="D451" s="1" t="s">
        <v>20</v>
      </c>
      <c r="E451" s="1" t="s">
        <v>21</v>
      </c>
      <c r="H451" s="1" t="s">
        <v>1055</v>
      </c>
      <c r="I451" s="1" t="s">
        <v>23</v>
      </c>
      <c r="J451" s="1" t="s">
        <v>1056</v>
      </c>
      <c r="K451" s="1" t="s">
        <v>1057</v>
      </c>
      <c r="L451" s="2">
        <v>45570</v>
      </c>
      <c r="M451" s="18" t="s">
        <v>6687</v>
      </c>
      <c r="P451" s="2">
        <v>45726</v>
      </c>
      <c r="Q451" s="19" t="s">
        <v>6687</v>
      </c>
      <c r="R451" s="3" t="s">
        <v>40</v>
      </c>
      <c r="S451" s="19"/>
      <c r="T451" s="19" t="s">
        <v>1058</v>
      </c>
      <c r="V451" s="4" t="s">
        <v>23</v>
      </c>
      <c r="W451" s="1" t="s">
        <v>26</v>
      </c>
    </row>
    <row r="452" spans="2:23" ht="11.25" hidden="1" customHeight="1" x14ac:dyDescent="0.25">
      <c r="B452" s="17" t="s">
        <v>1059</v>
      </c>
      <c r="C452" s="17" t="s">
        <v>1059</v>
      </c>
      <c r="D452" s="1" t="s">
        <v>20</v>
      </c>
      <c r="E452" s="17" t="s">
        <v>28</v>
      </c>
      <c r="F452" s="17"/>
      <c r="G452" s="17"/>
      <c r="H452" s="1" t="s">
        <v>1060</v>
      </c>
      <c r="I452" s="1" t="s">
        <v>23</v>
      </c>
      <c r="J452" s="17" t="s">
        <v>76</v>
      </c>
      <c r="K452" s="1" t="s">
        <v>77</v>
      </c>
      <c r="L452" s="31">
        <v>44316</v>
      </c>
      <c r="M452" s="18" t="s">
        <v>6687</v>
      </c>
      <c r="N452" s="31"/>
      <c r="O452" s="31"/>
      <c r="P452" s="30"/>
      <c r="Q452" s="30"/>
      <c r="R452" s="30"/>
      <c r="S452" s="30"/>
      <c r="T452" s="19"/>
      <c r="V452" s="4" t="s">
        <v>23</v>
      </c>
      <c r="W452" s="17" t="s">
        <v>26</v>
      </c>
    </row>
    <row r="453" spans="2:23" ht="11.25" hidden="1" customHeight="1" x14ac:dyDescent="0.25">
      <c r="B453" s="17" t="s">
        <v>1061</v>
      </c>
      <c r="C453" s="17" t="s">
        <v>1061</v>
      </c>
      <c r="D453" s="1" t="s">
        <v>20</v>
      </c>
      <c r="E453" s="17" t="s">
        <v>21</v>
      </c>
      <c r="F453" s="17"/>
      <c r="G453" s="17"/>
      <c r="H453" s="1" t="s">
        <v>1062</v>
      </c>
      <c r="I453" s="1" t="s">
        <v>23</v>
      </c>
      <c r="J453" s="1" t="s">
        <v>1063</v>
      </c>
      <c r="K453" s="1" t="s">
        <v>1064</v>
      </c>
      <c r="L453" s="31">
        <v>44305</v>
      </c>
      <c r="M453" s="18" t="s">
        <v>6687</v>
      </c>
      <c r="N453" s="31"/>
      <c r="O453" s="31"/>
      <c r="P453" s="30">
        <v>44564</v>
      </c>
      <c r="Q453" s="19" t="s">
        <v>6687</v>
      </c>
      <c r="R453" s="19"/>
      <c r="S453" s="30"/>
      <c r="T453" s="19"/>
      <c r="V453" s="4" t="s">
        <v>23</v>
      </c>
      <c r="W453" s="17" t="s">
        <v>26</v>
      </c>
    </row>
    <row r="454" spans="2:23" ht="11.25" hidden="1" customHeight="1" x14ac:dyDescent="0.25">
      <c r="B454" s="17" t="s">
        <v>1065</v>
      </c>
      <c r="C454" s="17" t="s">
        <v>1065</v>
      </c>
      <c r="D454" s="1" t="s">
        <v>20</v>
      </c>
      <c r="E454" s="17" t="s">
        <v>21</v>
      </c>
      <c r="F454" s="17"/>
      <c r="G454" s="17"/>
      <c r="H454" s="1" t="s">
        <v>1066</v>
      </c>
      <c r="I454" s="1" t="s">
        <v>106</v>
      </c>
      <c r="J454" s="1" t="s">
        <v>405</v>
      </c>
      <c r="K454" s="17" t="s">
        <v>406</v>
      </c>
      <c r="L454" s="31">
        <v>44316</v>
      </c>
      <c r="M454" s="18" t="s">
        <v>6687</v>
      </c>
      <c r="N454" s="31"/>
      <c r="O454" s="31"/>
      <c r="P454" s="30">
        <v>45152</v>
      </c>
      <c r="Q454" s="19" t="s">
        <v>6687</v>
      </c>
      <c r="R454" s="19"/>
      <c r="S454" s="30"/>
      <c r="T454" s="19"/>
      <c r="V454" s="4" t="s">
        <v>106</v>
      </c>
      <c r="W454" s="17" t="s">
        <v>107</v>
      </c>
    </row>
    <row r="455" spans="2:23" ht="11.25" hidden="1" customHeight="1" x14ac:dyDescent="0.25">
      <c r="B455" s="17" t="s">
        <v>1067</v>
      </c>
      <c r="C455" s="17" t="s">
        <v>1067</v>
      </c>
      <c r="D455" s="1" t="s">
        <v>20</v>
      </c>
      <c r="E455" s="17" t="s">
        <v>21</v>
      </c>
      <c r="F455" s="17"/>
      <c r="G455" s="17"/>
      <c r="H455" s="1" t="s">
        <v>1068</v>
      </c>
      <c r="I455" s="1" t="s">
        <v>106</v>
      </c>
      <c r="J455" s="17" t="s">
        <v>76</v>
      </c>
      <c r="K455" s="1" t="s">
        <v>77</v>
      </c>
      <c r="L455" s="31">
        <v>44316</v>
      </c>
      <c r="M455" s="18" t="s">
        <v>6687</v>
      </c>
      <c r="N455" s="31"/>
      <c r="O455" s="31"/>
      <c r="P455" s="30">
        <v>45875</v>
      </c>
      <c r="Q455" s="19" t="s">
        <v>6687</v>
      </c>
      <c r="R455" s="30" t="s">
        <v>40</v>
      </c>
      <c r="S455" s="30"/>
      <c r="T455" s="19"/>
      <c r="V455" s="4" t="s">
        <v>106</v>
      </c>
      <c r="W455" s="17" t="s">
        <v>107</v>
      </c>
    </row>
    <row r="456" spans="2:23" ht="11.25" hidden="1" customHeight="1" x14ac:dyDescent="0.25">
      <c r="B456" s="17" t="s">
        <v>1069</v>
      </c>
      <c r="C456" s="17" t="s">
        <v>1069</v>
      </c>
      <c r="D456" s="1" t="s">
        <v>20</v>
      </c>
      <c r="E456" s="17" t="s">
        <v>21</v>
      </c>
      <c r="F456" s="17"/>
      <c r="G456" s="17"/>
      <c r="H456" s="1" t="s">
        <v>1070</v>
      </c>
      <c r="I456" s="1" t="s">
        <v>385</v>
      </c>
      <c r="J456" s="1" t="s">
        <v>405</v>
      </c>
      <c r="K456" s="17" t="s">
        <v>406</v>
      </c>
      <c r="L456" s="31">
        <v>44313</v>
      </c>
      <c r="M456" s="18" t="s">
        <v>6687</v>
      </c>
      <c r="N456" s="31"/>
      <c r="O456" s="31"/>
      <c r="P456" s="30">
        <v>44671</v>
      </c>
      <c r="Q456" s="19" t="s">
        <v>6687</v>
      </c>
      <c r="R456" s="19"/>
      <c r="S456" s="30"/>
      <c r="T456" s="19"/>
      <c r="V456" s="4" t="s">
        <v>385</v>
      </c>
      <c r="W456" s="17" t="s">
        <v>107</v>
      </c>
    </row>
    <row r="457" spans="2:23" ht="11.25" hidden="1" customHeight="1" x14ac:dyDescent="0.25">
      <c r="B457" s="17" t="s">
        <v>1071</v>
      </c>
      <c r="C457" s="17" t="s">
        <v>1071</v>
      </c>
      <c r="D457" s="1" t="s">
        <v>20</v>
      </c>
      <c r="E457" s="17" t="s">
        <v>21</v>
      </c>
      <c r="F457" s="17"/>
      <c r="G457" s="17"/>
      <c r="H457" s="1" t="s">
        <v>1072</v>
      </c>
      <c r="I457" s="1" t="s">
        <v>385</v>
      </c>
      <c r="J457" s="1" t="s">
        <v>141</v>
      </c>
      <c r="K457" s="1" t="s">
        <v>142</v>
      </c>
      <c r="L457" s="31">
        <v>44313</v>
      </c>
      <c r="M457" s="18" t="s">
        <v>6687</v>
      </c>
      <c r="N457" s="31"/>
      <c r="O457" s="31"/>
      <c r="P457" s="33">
        <v>45280</v>
      </c>
      <c r="Q457" s="19" t="s">
        <v>6687</v>
      </c>
      <c r="R457" s="19"/>
      <c r="S457" s="33"/>
      <c r="T457" s="19"/>
      <c r="V457" s="4" t="s">
        <v>385</v>
      </c>
      <c r="W457" s="17" t="s">
        <v>107</v>
      </c>
    </row>
    <row r="458" spans="2:23" ht="11.25" hidden="1" customHeight="1" x14ac:dyDescent="0.25">
      <c r="B458" s="17" t="s">
        <v>1073</v>
      </c>
      <c r="C458" s="17" t="s">
        <v>1073</v>
      </c>
      <c r="D458" s="1" t="s">
        <v>20</v>
      </c>
      <c r="E458" s="17" t="s">
        <v>21</v>
      </c>
      <c r="F458" s="17"/>
      <c r="G458" s="17"/>
      <c r="H458" s="1" t="s">
        <v>1074</v>
      </c>
      <c r="I458" s="1" t="s">
        <v>23</v>
      </c>
      <c r="J458" s="1" t="s">
        <v>61</v>
      </c>
      <c r="K458" s="1" t="s">
        <v>373</v>
      </c>
      <c r="L458" s="31">
        <v>44307</v>
      </c>
      <c r="M458" s="18" t="s">
        <v>6687</v>
      </c>
      <c r="N458" s="31"/>
      <c r="O458" s="31"/>
      <c r="P458" s="30">
        <v>45461</v>
      </c>
      <c r="Q458" s="19" t="s">
        <v>6687</v>
      </c>
      <c r="R458" s="19" t="s">
        <v>40</v>
      </c>
      <c r="S458" s="30"/>
      <c r="T458" s="19"/>
      <c r="V458" s="4" t="s">
        <v>23</v>
      </c>
      <c r="W458" s="17" t="s">
        <v>26</v>
      </c>
    </row>
    <row r="459" spans="2:23" ht="11.25" hidden="1" customHeight="1" x14ac:dyDescent="0.25">
      <c r="B459" s="17" t="s">
        <v>635</v>
      </c>
      <c r="C459" s="17" t="s">
        <v>635</v>
      </c>
      <c r="D459" s="1" t="s">
        <v>20</v>
      </c>
      <c r="E459" s="17" t="s">
        <v>21</v>
      </c>
      <c r="F459" s="17"/>
      <c r="G459" s="17"/>
      <c r="H459" s="1" t="s">
        <v>1075</v>
      </c>
      <c r="I459" s="1" t="s">
        <v>213</v>
      </c>
      <c r="J459" s="1" t="s">
        <v>405</v>
      </c>
      <c r="K459" s="17" t="s">
        <v>406</v>
      </c>
      <c r="L459" s="31">
        <v>44316</v>
      </c>
      <c r="M459" s="18" t="s">
        <v>6687</v>
      </c>
      <c r="N459" s="31"/>
      <c r="O459" s="31"/>
      <c r="P459" s="30">
        <v>45024</v>
      </c>
      <c r="Q459" s="19" t="s">
        <v>6687</v>
      </c>
      <c r="R459" s="19"/>
      <c r="S459" s="30"/>
      <c r="T459" s="19"/>
      <c r="V459" s="4" t="s">
        <v>213</v>
      </c>
      <c r="W459" s="17" t="s">
        <v>107</v>
      </c>
    </row>
    <row r="460" spans="2:23" ht="11.25" hidden="1" customHeight="1" x14ac:dyDescent="0.25">
      <c r="B460" s="17" t="s">
        <v>437</v>
      </c>
      <c r="C460" s="17" t="s">
        <v>437</v>
      </c>
      <c r="D460" s="1" t="s">
        <v>20</v>
      </c>
      <c r="E460" s="17" t="s">
        <v>21</v>
      </c>
      <c r="F460" s="17"/>
      <c r="G460" s="17"/>
      <c r="H460" s="1" t="s">
        <v>1076</v>
      </c>
      <c r="I460" s="1" t="s">
        <v>213</v>
      </c>
      <c r="J460" s="1" t="s">
        <v>141</v>
      </c>
      <c r="K460" s="1" t="s">
        <v>142</v>
      </c>
      <c r="L460" s="31">
        <v>44316</v>
      </c>
      <c r="M460" s="18" t="s">
        <v>6687</v>
      </c>
      <c r="N460" s="31"/>
      <c r="O460" s="31"/>
      <c r="P460" s="30">
        <v>45043</v>
      </c>
      <c r="Q460" s="19" t="s">
        <v>6687</v>
      </c>
      <c r="R460" s="19"/>
      <c r="S460" s="30"/>
      <c r="T460" s="19"/>
      <c r="V460" s="4" t="s">
        <v>213</v>
      </c>
      <c r="W460" s="17" t="s">
        <v>107</v>
      </c>
    </row>
    <row r="461" spans="2:23" ht="11.25" hidden="1" customHeight="1" x14ac:dyDescent="0.25">
      <c r="B461" s="17" t="s">
        <v>1077</v>
      </c>
      <c r="C461" s="17" t="s">
        <v>1077</v>
      </c>
      <c r="D461" s="1" t="s">
        <v>20</v>
      </c>
      <c r="E461" s="17" t="s">
        <v>21</v>
      </c>
      <c r="F461" s="17"/>
      <c r="G461" s="17"/>
      <c r="H461" s="1" t="s">
        <v>1078</v>
      </c>
      <c r="I461" s="1" t="s">
        <v>23</v>
      </c>
      <c r="J461" s="1" t="s">
        <v>141</v>
      </c>
      <c r="K461" s="1" t="s">
        <v>142</v>
      </c>
      <c r="L461" s="31">
        <v>44316</v>
      </c>
      <c r="M461" s="18" t="s">
        <v>6687</v>
      </c>
      <c r="N461" s="31"/>
      <c r="O461" s="31"/>
      <c r="P461" s="30">
        <v>45558</v>
      </c>
      <c r="Q461" s="19" t="s">
        <v>6687</v>
      </c>
      <c r="R461" s="19" t="s">
        <v>47</v>
      </c>
      <c r="S461" s="30" t="s">
        <v>1079</v>
      </c>
      <c r="T461" s="19"/>
      <c r="V461" s="4" t="s">
        <v>23</v>
      </c>
      <c r="W461" s="17" t="s">
        <v>26</v>
      </c>
    </row>
    <row r="462" spans="2:23" ht="11.25" hidden="1" customHeight="1" x14ac:dyDescent="0.25">
      <c r="B462" s="17" t="s">
        <v>1080</v>
      </c>
      <c r="C462" s="17" t="s">
        <v>1080</v>
      </c>
      <c r="D462" s="17" t="s">
        <v>348</v>
      </c>
      <c r="E462" s="17" t="s">
        <v>28</v>
      </c>
      <c r="F462" s="17"/>
      <c r="G462" s="17"/>
      <c r="H462" s="1" t="s">
        <v>1081</v>
      </c>
      <c r="I462" s="1" t="s">
        <v>350</v>
      </c>
      <c r="J462" s="1" t="s">
        <v>112</v>
      </c>
      <c r="K462" s="1" t="s">
        <v>113</v>
      </c>
      <c r="L462" s="2">
        <v>44317</v>
      </c>
      <c r="M462" s="18" t="s">
        <v>6687</v>
      </c>
      <c r="T462" s="19"/>
      <c r="V462" s="1" t="s">
        <v>350</v>
      </c>
      <c r="W462" s="17" t="s">
        <v>351</v>
      </c>
    </row>
    <row r="463" spans="2:23" ht="11.25" hidden="1" customHeight="1" x14ac:dyDescent="0.25">
      <c r="B463" s="17" t="s">
        <v>1082</v>
      </c>
      <c r="C463" s="17" t="s">
        <v>1082</v>
      </c>
      <c r="D463" s="17" t="s">
        <v>348</v>
      </c>
      <c r="E463" s="17" t="s">
        <v>21</v>
      </c>
      <c r="F463" s="17"/>
      <c r="G463" s="17"/>
      <c r="H463" s="1" t="s">
        <v>1083</v>
      </c>
      <c r="I463" s="1" t="s">
        <v>350</v>
      </c>
      <c r="J463" s="1" t="s">
        <v>141</v>
      </c>
      <c r="K463" s="1" t="s">
        <v>142</v>
      </c>
      <c r="L463" s="2">
        <v>44325</v>
      </c>
      <c r="M463" s="18" t="s">
        <v>6687</v>
      </c>
      <c r="P463" s="3">
        <v>45444</v>
      </c>
      <c r="Q463" s="19" t="s">
        <v>6687</v>
      </c>
      <c r="R463" s="19" t="s">
        <v>40</v>
      </c>
      <c r="T463" s="19"/>
      <c r="V463" s="1" t="s">
        <v>350</v>
      </c>
      <c r="W463" s="17" t="s">
        <v>351</v>
      </c>
    </row>
    <row r="464" spans="2:23" ht="11.25" hidden="1" customHeight="1" x14ac:dyDescent="0.25">
      <c r="B464" s="17" t="s">
        <v>1084</v>
      </c>
      <c r="C464" s="17" t="s">
        <v>1084</v>
      </c>
      <c r="D464" s="17" t="s">
        <v>348</v>
      </c>
      <c r="E464" s="17" t="s">
        <v>28</v>
      </c>
      <c r="F464" s="17"/>
      <c r="G464" s="17"/>
      <c r="H464" s="1" t="s">
        <v>1085</v>
      </c>
      <c r="I464" s="1" t="s">
        <v>527</v>
      </c>
      <c r="J464" s="1" t="s">
        <v>112</v>
      </c>
      <c r="K464" s="1" t="s">
        <v>113</v>
      </c>
      <c r="L464" s="2">
        <v>44336</v>
      </c>
      <c r="M464" s="18" t="s">
        <v>6687</v>
      </c>
      <c r="T464" s="19"/>
      <c r="V464" s="1" t="s">
        <v>527</v>
      </c>
      <c r="W464" s="17" t="s">
        <v>472</v>
      </c>
    </row>
    <row r="465" spans="2:23" ht="11.25" hidden="1" customHeight="1" x14ac:dyDescent="0.25">
      <c r="B465" s="17" t="s">
        <v>1086</v>
      </c>
      <c r="C465" s="17" t="s">
        <v>1086</v>
      </c>
      <c r="D465" s="1" t="s">
        <v>20</v>
      </c>
      <c r="E465" s="17" t="s">
        <v>21</v>
      </c>
      <c r="F465" s="17"/>
      <c r="G465" s="17"/>
      <c r="H465" s="1" t="s">
        <v>1087</v>
      </c>
      <c r="I465" s="1" t="s">
        <v>306</v>
      </c>
      <c r="J465" s="1" t="s">
        <v>141</v>
      </c>
      <c r="K465" s="1" t="s">
        <v>142</v>
      </c>
      <c r="L465" s="2">
        <v>44319</v>
      </c>
      <c r="M465" s="18" t="s">
        <v>6687</v>
      </c>
      <c r="P465" s="3">
        <v>45042</v>
      </c>
      <c r="Q465" s="19" t="s">
        <v>6687</v>
      </c>
      <c r="R465" s="19"/>
      <c r="T465" s="19"/>
      <c r="V465" s="1" t="s">
        <v>306</v>
      </c>
      <c r="W465" s="17" t="s">
        <v>107</v>
      </c>
    </row>
    <row r="466" spans="2:23" ht="11.25" hidden="1" customHeight="1" x14ac:dyDescent="0.25">
      <c r="B466" s="17" t="s">
        <v>1088</v>
      </c>
      <c r="C466" s="17" t="s">
        <v>1088</v>
      </c>
      <c r="D466" s="1" t="s">
        <v>20</v>
      </c>
      <c r="E466" s="17" t="s">
        <v>21</v>
      </c>
      <c r="F466" s="17"/>
      <c r="G466" s="17"/>
      <c r="H466" s="1" t="s">
        <v>1089</v>
      </c>
      <c r="I466" s="1" t="s">
        <v>265</v>
      </c>
      <c r="J466" s="1" t="s">
        <v>141</v>
      </c>
      <c r="K466" s="1" t="s">
        <v>142</v>
      </c>
      <c r="L466" s="2">
        <v>44351</v>
      </c>
      <c r="M466" s="18" t="s">
        <v>6687</v>
      </c>
      <c r="P466" s="3">
        <v>44746</v>
      </c>
      <c r="Q466" s="19" t="s">
        <v>6687</v>
      </c>
      <c r="R466" s="19"/>
      <c r="T466" s="19"/>
      <c r="V466" s="4" t="s">
        <v>265</v>
      </c>
      <c r="W466" s="17" t="s">
        <v>107</v>
      </c>
    </row>
    <row r="467" spans="2:23" ht="11.25" hidden="1" customHeight="1" x14ac:dyDescent="0.25">
      <c r="B467" s="17" t="s">
        <v>1090</v>
      </c>
      <c r="C467" s="17" t="s">
        <v>1090</v>
      </c>
      <c r="D467" s="1" t="s">
        <v>20</v>
      </c>
      <c r="E467" s="17" t="s">
        <v>21</v>
      </c>
      <c r="F467" s="17"/>
      <c r="G467" s="17"/>
      <c r="H467" s="1" t="s">
        <v>1091</v>
      </c>
      <c r="I467" s="1" t="s">
        <v>23</v>
      </c>
      <c r="J467" s="1" t="s">
        <v>1092</v>
      </c>
      <c r="K467" s="1" t="s">
        <v>1093</v>
      </c>
      <c r="L467" s="2">
        <v>44371</v>
      </c>
      <c r="M467" s="18" t="s">
        <v>6687</v>
      </c>
      <c r="P467" s="3">
        <v>44986</v>
      </c>
      <c r="Q467" s="19" t="s">
        <v>6687</v>
      </c>
      <c r="R467" s="19"/>
      <c r="T467" s="19"/>
      <c r="V467" s="4" t="s">
        <v>23</v>
      </c>
      <c r="W467" s="17" t="s">
        <v>26</v>
      </c>
    </row>
    <row r="468" spans="2:23" ht="11.25" hidden="1" customHeight="1" x14ac:dyDescent="0.25">
      <c r="B468" s="17" t="s">
        <v>1094</v>
      </c>
      <c r="C468" s="17" t="s">
        <v>1094</v>
      </c>
      <c r="D468" s="1" t="s">
        <v>20</v>
      </c>
      <c r="E468" s="17" t="s">
        <v>21</v>
      </c>
      <c r="F468" s="17"/>
      <c r="G468" s="17"/>
      <c r="H468" s="1" t="s">
        <v>1095</v>
      </c>
      <c r="I468" s="1" t="s">
        <v>140</v>
      </c>
      <c r="J468" s="1" t="s">
        <v>141</v>
      </c>
      <c r="K468" s="1" t="s">
        <v>142</v>
      </c>
      <c r="L468" s="2">
        <v>44376</v>
      </c>
      <c r="M468" s="18" t="s">
        <v>6687</v>
      </c>
      <c r="P468" s="3">
        <v>45355</v>
      </c>
      <c r="Q468" s="19" t="s">
        <v>6687</v>
      </c>
      <c r="R468" s="19" t="s">
        <v>47</v>
      </c>
      <c r="S468" s="19" t="s">
        <v>1096</v>
      </c>
      <c r="T468" s="19"/>
      <c r="V468" s="4" t="s">
        <v>140</v>
      </c>
      <c r="W468" s="17" t="s">
        <v>107</v>
      </c>
    </row>
    <row r="469" spans="2:23" ht="11.25" hidden="1" customHeight="1" x14ac:dyDescent="0.25">
      <c r="B469" s="17" t="s">
        <v>1097</v>
      </c>
      <c r="C469" s="17" t="s">
        <v>1097</v>
      </c>
      <c r="D469" s="1" t="s">
        <v>20</v>
      </c>
      <c r="E469" s="17" t="s">
        <v>28</v>
      </c>
      <c r="F469" s="17"/>
      <c r="G469" s="17"/>
      <c r="H469" s="1" t="s">
        <v>1098</v>
      </c>
      <c r="I469" s="1" t="s">
        <v>23</v>
      </c>
      <c r="J469" s="17" t="s">
        <v>76</v>
      </c>
      <c r="K469" s="1" t="s">
        <v>161</v>
      </c>
      <c r="L469" s="2">
        <v>44378</v>
      </c>
      <c r="M469" s="18" t="s">
        <v>6687</v>
      </c>
      <c r="T469" s="19"/>
      <c r="V469" s="4" t="s">
        <v>23</v>
      </c>
      <c r="W469" s="17" t="s">
        <v>26</v>
      </c>
    </row>
    <row r="470" spans="2:23" ht="11.25" hidden="1" customHeight="1" x14ac:dyDescent="0.25">
      <c r="B470" s="17" t="s">
        <v>1099</v>
      </c>
      <c r="C470" s="17" t="s">
        <v>1099</v>
      </c>
      <c r="D470" s="1" t="s">
        <v>20</v>
      </c>
      <c r="E470" s="17" t="s">
        <v>21</v>
      </c>
      <c r="F470" s="17"/>
      <c r="G470" s="17"/>
      <c r="H470" s="1" t="s">
        <v>1100</v>
      </c>
      <c r="I470" s="1" t="s">
        <v>23</v>
      </c>
      <c r="J470" s="1" t="s">
        <v>390</v>
      </c>
      <c r="K470" s="1" t="s">
        <v>391</v>
      </c>
      <c r="L470" s="2">
        <v>44378</v>
      </c>
      <c r="M470" s="18" t="s">
        <v>6687</v>
      </c>
      <c r="P470" s="3">
        <v>45047</v>
      </c>
      <c r="Q470" s="19" t="s">
        <v>6687</v>
      </c>
      <c r="R470" s="19"/>
      <c r="T470" s="19"/>
      <c r="V470" s="4" t="s">
        <v>23</v>
      </c>
      <c r="W470" s="17" t="s">
        <v>26</v>
      </c>
    </row>
    <row r="471" spans="2:23" ht="11.25" hidden="1" customHeight="1" x14ac:dyDescent="0.25">
      <c r="B471" s="17" t="s">
        <v>1101</v>
      </c>
      <c r="C471" s="17" t="s">
        <v>1101</v>
      </c>
      <c r="D471" s="1" t="s">
        <v>20</v>
      </c>
      <c r="E471" s="17" t="s">
        <v>28</v>
      </c>
      <c r="F471" s="17"/>
      <c r="G471" s="17"/>
      <c r="H471" s="1" t="s">
        <v>1102</v>
      </c>
      <c r="I471" s="1" t="s">
        <v>187</v>
      </c>
      <c r="J471" s="1" t="s">
        <v>183</v>
      </c>
      <c r="K471" s="1" t="s">
        <v>436</v>
      </c>
      <c r="L471" s="2">
        <v>44483</v>
      </c>
      <c r="M471" s="18" t="s">
        <v>6687</v>
      </c>
      <c r="T471" s="19"/>
      <c r="V471" s="4" t="s">
        <v>187</v>
      </c>
      <c r="W471" s="17" t="s">
        <v>107</v>
      </c>
    </row>
    <row r="472" spans="2:23" ht="11.25" hidden="1" customHeight="1" x14ac:dyDescent="0.25">
      <c r="B472" s="17" t="s">
        <v>1103</v>
      </c>
      <c r="C472" s="17" t="s">
        <v>1103</v>
      </c>
      <c r="D472" s="1" t="s">
        <v>20</v>
      </c>
      <c r="E472" s="17" t="s">
        <v>28</v>
      </c>
      <c r="F472" s="17"/>
      <c r="G472" s="17"/>
      <c r="H472" s="1" t="s">
        <v>1104</v>
      </c>
      <c r="I472" s="1" t="s">
        <v>23</v>
      </c>
      <c r="J472" s="17" t="s">
        <v>76</v>
      </c>
      <c r="K472" s="1" t="s">
        <v>161</v>
      </c>
      <c r="L472" s="2">
        <v>44486</v>
      </c>
      <c r="M472" s="18" t="s">
        <v>6687</v>
      </c>
      <c r="T472" s="19"/>
      <c r="V472" s="4" t="s">
        <v>23</v>
      </c>
      <c r="W472" s="1" t="s">
        <v>26</v>
      </c>
    </row>
    <row r="473" spans="2:23" ht="11.25" hidden="1" customHeight="1" x14ac:dyDescent="0.25">
      <c r="B473" s="17" t="s">
        <v>1105</v>
      </c>
      <c r="C473" s="17" t="s">
        <v>1105</v>
      </c>
      <c r="D473" s="1" t="s">
        <v>20</v>
      </c>
      <c r="E473" s="17" t="s">
        <v>21</v>
      </c>
      <c r="F473" s="17"/>
      <c r="G473" s="17"/>
      <c r="H473" s="1" t="s">
        <v>1106</v>
      </c>
      <c r="I473" s="1" t="s">
        <v>23</v>
      </c>
      <c r="J473" s="1" t="s">
        <v>228</v>
      </c>
      <c r="K473" s="1" t="s">
        <v>376</v>
      </c>
      <c r="L473" s="2">
        <v>44488</v>
      </c>
      <c r="M473" s="18" t="s">
        <v>6687</v>
      </c>
      <c r="P473" s="19">
        <v>45637</v>
      </c>
      <c r="Q473" s="19" t="s">
        <v>6687</v>
      </c>
      <c r="R473" s="19" t="s">
        <v>47</v>
      </c>
      <c r="S473" s="19" t="s">
        <v>1107</v>
      </c>
      <c r="T473" s="19"/>
      <c r="V473" s="4" t="s">
        <v>23</v>
      </c>
      <c r="W473" s="1" t="s">
        <v>26</v>
      </c>
    </row>
    <row r="474" spans="2:23" s="17" customFormat="1" hidden="1" x14ac:dyDescent="0.25">
      <c r="B474" s="17" t="s">
        <v>1108</v>
      </c>
      <c r="C474" s="17" t="s">
        <v>1108</v>
      </c>
      <c r="D474" s="17" t="s">
        <v>348</v>
      </c>
      <c r="E474" s="17" t="s">
        <v>28</v>
      </c>
      <c r="H474" s="1" t="s">
        <v>1109</v>
      </c>
      <c r="I474" s="1" t="s">
        <v>350</v>
      </c>
      <c r="J474" s="1" t="s">
        <v>112</v>
      </c>
      <c r="K474" s="1" t="s">
        <v>113</v>
      </c>
      <c r="L474" s="2">
        <v>44522</v>
      </c>
      <c r="M474" s="18" t="s">
        <v>6687</v>
      </c>
      <c r="N474" s="2"/>
      <c r="O474" s="2"/>
      <c r="P474" s="3"/>
      <c r="Q474" s="3"/>
      <c r="R474" s="3"/>
      <c r="S474" s="3"/>
      <c r="T474" s="19"/>
      <c r="U474" s="4"/>
      <c r="V474" s="4" t="s">
        <v>350</v>
      </c>
      <c r="W474" s="17" t="s">
        <v>351</v>
      </c>
    </row>
    <row r="475" spans="2:23" s="17" customFormat="1" hidden="1" x14ac:dyDescent="0.25">
      <c r="B475" s="17" t="s">
        <v>1110</v>
      </c>
      <c r="C475" s="17" t="s">
        <v>1110</v>
      </c>
      <c r="D475" s="1" t="s">
        <v>20</v>
      </c>
      <c r="E475" s="17" t="s">
        <v>21</v>
      </c>
      <c r="H475" s="1" t="s">
        <v>1111</v>
      </c>
      <c r="I475" s="1" t="s">
        <v>23</v>
      </c>
      <c r="J475" s="1" t="s">
        <v>141</v>
      </c>
      <c r="K475" s="1" t="s">
        <v>142</v>
      </c>
      <c r="L475" s="2">
        <v>44503</v>
      </c>
      <c r="M475" s="18" t="s">
        <v>6687</v>
      </c>
      <c r="N475" s="2"/>
      <c r="O475" s="2"/>
      <c r="P475" s="3">
        <v>45072</v>
      </c>
      <c r="Q475" s="19" t="s">
        <v>6687</v>
      </c>
      <c r="R475" s="19"/>
      <c r="S475" s="3"/>
      <c r="T475" s="19"/>
      <c r="U475" s="4"/>
      <c r="V475" s="4" t="s">
        <v>23</v>
      </c>
      <c r="W475" s="1" t="s">
        <v>26</v>
      </c>
    </row>
    <row r="476" spans="2:23" ht="11.25" hidden="1" customHeight="1" x14ac:dyDescent="0.25">
      <c r="B476" s="17" t="s">
        <v>1112</v>
      </c>
      <c r="C476" s="17" t="s">
        <v>1112</v>
      </c>
      <c r="D476" s="1" t="s">
        <v>20</v>
      </c>
      <c r="E476" s="17" t="s">
        <v>21</v>
      </c>
      <c r="F476" s="17"/>
      <c r="G476" s="17"/>
      <c r="H476" s="1" t="s">
        <v>1113</v>
      </c>
      <c r="I476" s="1" t="s">
        <v>23</v>
      </c>
      <c r="J476" s="1" t="s">
        <v>141</v>
      </c>
      <c r="K476" s="1" t="s">
        <v>142</v>
      </c>
      <c r="L476" s="2">
        <v>44534</v>
      </c>
      <c r="M476" s="18" t="s">
        <v>6687</v>
      </c>
      <c r="P476" s="3">
        <v>44952</v>
      </c>
      <c r="Q476" s="19" t="s">
        <v>6687</v>
      </c>
      <c r="R476" s="19"/>
      <c r="T476" s="19"/>
      <c r="V476" s="4" t="s">
        <v>23</v>
      </c>
      <c r="W476" s="1" t="s">
        <v>26</v>
      </c>
    </row>
    <row r="477" spans="2:23" s="23" customFormat="1" ht="11.25" hidden="1" customHeight="1" x14ac:dyDescent="0.25">
      <c r="B477" s="17" t="s">
        <v>1114</v>
      </c>
      <c r="C477" s="17" t="s">
        <v>1114</v>
      </c>
      <c r="D477" s="17" t="s">
        <v>348</v>
      </c>
      <c r="E477" s="17" t="s">
        <v>28</v>
      </c>
      <c r="F477" s="17"/>
      <c r="G477" s="17"/>
      <c r="H477" s="23" t="s">
        <v>1115</v>
      </c>
      <c r="I477" s="23" t="s">
        <v>350</v>
      </c>
      <c r="J477" s="23" t="s">
        <v>61</v>
      </c>
      <c r="K477" s="23" t="s">
        <v>373</v>
      </c>
      <c r="L477" s="34">
        <v>44589</v>
      </c>
      <c r="M477" s="18" t="s">
        <v>6687</v>
      </c>
      <c r="N477" s="34"/>
      <c r="O477" s="34"/>
      <c r="P477" s="33"/>
      <c r="Q477" s="33"/>
      <c r="R477" s="33"/>
      <c r="S477" s="33"/>
      <c r="T477" s="19"/>
      <c r="U477" s="24"/>
      <c r="V477" s="24" t="s">
        <v>350</v>
      </c>
      <c r="W477" s="17" t="s">
        <v>351</v>
      </c>
    </row>
    <row r="478" spans="2:23" ht="11.25" hidden="1" customHeight="1" x14ac:dyDescent="0.25">
      <c r="B478" s="17" t="s">
        <v>1116</v>
      </c>
      <c r="C478" s="17" t="s">
        <v>1116</v>
      </c>
      <c r="D478" s="17" t="s">
        <v>348</v>
      </c>
      <c r="E478" s="17" t="s">
        <v>28</v>
      </c>
      <c r="F478" s="17"/>
      <c r="G478" s="17"/>
      <c r="H478" s="1" t="s">
        <v>1117</v>
      </c>
      <c r="I478" s="1" t="s">
        <v>350</v>
      </c>
      <c r="J478" s="17" t="s">
        <v>76</v>
      </c>
      <c r="K478" s="1" t="s">
        <v>161</v>
      </c>
      <c r="L478" s="2">
        <v>44583</v>
      </c>
      <c r="M478" s="18" t="s">
        <v>6687</v>
      </c>
      <c r="T478" s="19"/>
      <c r="V478" s="4" t="s">
        <v>350</v>
      </c>
      <c r="W478" s="17" t="s">
        <v>351</v>
      </c>
    </row>
    <row r="479" spans="2:23" ht="11.25" hidden="1" customHeight="1" x14ac:dyDescent="0.25">
      <c r="B479" s="17" t="s">
        <v>1118</v>
      </c>
      <c r="C479" s="17" t="s">
        <v>1118</v>
      </c>
      <c r="D479" s="17" t="s">
        <v>348</v>
      </c>
      <c r="E479" s="17" t="s">
        <v>28</v>
      </c>
      <c r="F479" s="17"/>
      <c r="G479" s="17"/>
      <c r="H479" s="1" t="s">
        <v>1119</v>
      </c>
      <c r="I479" s="1" t="s">
        <v>350</v>
      </c>
      <c r="J479" s="17" t="s">
        <v>76</v>
      </c>
      <c r="K479" s="1" t="s">
        <v>161</v>
      </c>
      <c r="L479" s="2">
        <v>44587</v>
      </c>
      <c r="M479" s="18" t="s">
        <v>6687</v>
      </c>
      <c r="T479" s="19"/>
      <c r="V479" s="4" t="s">
        <v>350</v>
      </c>
      <c r="W479" s="17" t="s">
        <v>351</v>
      </c>
    </row>
    <row r="480" spans="2:23" ht="11.25" hidden="1" customHeight="1" x14ac:dyDescent="0.25">
      <c r="B480" s="17" t="s">
        <v>1120</v>
      </c>
      <c r="C480" s="17" t="s">
        <v>1120</v>
      </c>
      <c r="D480" s="17" t="s">
        <v>348</v>
      </c>
      <c r="E480" s="17" t="s">
        <v>28</v>
      </c>
      <c r="F480" s="17"/>
      <c r="G480" s="17"/>
      <c r="H480" s="1" t="s">
        <v>1121</v>
      </c>
      <c r="I480" s="1" t="s">
        <v>350</v>
      </c>
      <c r="J480" s="1" t="s">
        <v>34</v>
      </c>
      <c r="K480" s="1" t="s">
        <v>365</v>
      </c>
      <c r="L480" s="2">
        <v>44584</v>
      </c>
      <c r="M480" s="18" t="s">
        <v>6687</v>
      </c>
      <c r="T480" s="19"/>
      <c r="V480" s="4" t="s">
        <v>350</v>
      </c>
      <c r="W480" s="17" t="s">
        <v>351</v>
      </c>
    </row>
    <row r="481" spans="2:23" ht="11.25" hidden="1" customHeight="1" x14ac:dyDescent="0.25">
      <c r="B481" s="17" t="s">
        <v>1122</v>
      </c>
      <c r="C481" s="17" t="s">
        <v>1122</v>
      </c>
      <c r="D481" s="17" t="s">
        <v>348</v>
      </c>
      <c r="E481" s="17" t="s">
        <v>28</v>
      </c>
      <c r="F481" s="17"/>
      <c r="G481" s="17"/>
      <c r="H481" s="1" t="s">
        <v>1123</v>
      </c>
      <c r="I481" s="1" t="s">
        <v>350</v>
      </c>
      <c r="J481" s="1" t="s">
        <v>112</v>
      </c>
      <c r="K481" s="1" t="s">
        <v>113</v>
      </c>
      <c r="L481" s="2">
        <v>44589</v>
      </c>
      <c r="M481" s="18" t="s">
        <v>6687</v>
      </c>
      <c r="T481" s="19"/>
      <c r="V481" s="4" t="s">
        <v>350</v>
      </c>
      <c r="W481" s="17" t="s">
        <v>351</v>
      </c>
    </row>
    <row r="482" spans="2:23" ht="11.25" hidden="1" customHeight="1" x14ac:dyDescent="0.25">
      <c r="B482" s="17" t="s">
        <v>1124</v>
      </c>
      <c r="C482" s="17" t="s">
        <v>1124</v>
      </c>
      <c r="D482" s="17" t="s">
        <v>348</v>
      </c>
      <c r="E482" s="17" t="s">
        <v>28</v>
      </c>
      <c r="F482" s="17"/>
      <c r="G482" s="17"/>
      <c r="H482" s="1" t="s">
        <v>1125</v>
      </c>
      <c r="I482" s="1" t="s">
        <v>471</v>
      </c>
      <c r="J482" s="1" t="s">
        <v>34</v>
      </c>
      <c r="K482" s="1" t="s">
        <v>365</v>
      </c>
      <c r="L482" s="2">
        <v>44587</v>
      </c>
      <c r="M482" s="18" t="s">
        <v>6687</v>
      </c>
      <c r="T482" s="19"/>
      <c r="V482" s="4" t="s">
        <v>471</v>
      </c>
      <c r="W482" s="17" t="s">
        <v>472</v>
      </c>
    </row>
    <row r="483" spans="2:23" ht="11.25" hidden="1" customHeight="1" x14ac:dyDescent="0.25">
      <c r="B483" s="17" t="s">
        <v>1126</v>
      </c>
      <c r="C483" s="17" t="s">
        <v>1126</v>
      </c>
      <c r="D483" s="1" t="s">
        <v>20</v>
      </c>
      <c r="E483" s="17" t="s">
        <v>28</v>
      </c>
      <c r="F483" s="17"/>
      <c r="G483" s="17"/>
      <c r="H483" s="1" t="s">
        <v>1127</v>
      </c>
      <c r="I483" s="1" t="s">
        <v>23</v>
      </c>
      <c r="J483" s="1" t="s">
        <v>112</v>
      </c>
      <c r="K483" s="1" t="s">
        <v>113</v>
      </c>
      <c r="L483" s="2">
        <v>44563</v>
      </c>
      <c r="M483" s="18" t="s">
        <v>6687</v>
      </c>
      <c r="T483" s="19"/>
      <c r="V483" s="4" t="s">
        <v>23</v>
      </c>
      <c r="W483" s="1" t="s">
        <v>26</v>
      </c>
    </row>
    <row r="484" spans="2:23" ht="11.25" hidden="1" customHeight="1" x14ac:dyDescent="0.25">
      <c r="B484" s="17" t="s">
        <v>1128</v>
      </c>
      <c r="C484" s="17" t="s">
        <v>1128</v>
      </c>
      <c r="D484" s="17" t="s">
        <v>20</v>
      </c>
      <c r="E484" s="17" t="s">
        <v>28</v>
      </c>
      <c r="F484" s="17"/>
      <c r="G484" s="17"/>
      <c r="H484" s="1" t="s">
        <v>1129</v>
      </c>
      <c r="I484" s="1" t="s">
        <v>23</v>
      </c>
      <c r="J484" s="1" t="s">
        <v>34</v>
      </c>
      <c r="K484" s="1" t="s">
        <v>365</v>
      </c>
      <c r="L484" s="2">
        <v>44623</v>
      </c>
      <c r="M484" s="18" t="s">
        <v>6687</v>
      </c>
      <c r="T484" s="19"/>
      <c r="V484" s="4" t="s">
        <v>23</v>
      </c>
      <c r="W484" s="1" t="s">
        <v>26</v>
      </c>
    </row>
    <row r="485" spans="2:23" ht="11.25" hidden="1" customHeight="1" x14ac:dyDescent="0.25">
      <c r="B485" s="17" t="s">
        <v>1130</v>
      </c>
      <c r="C485" s="17" t="s">
        <v>1130</v>
      </c>
      <c r="D485" s="1" t="s">
        <v>20</v>
      </c>
      <c r="E485" s="17" t="s">
        <v>28</v>
      </c>
      <c r="F485" s="17"/>
      <c r="G485" s="17"/>
      <c r="H485" s="1" t="s">
        <v>1131</v>
      </c>
      <c r="I485" s="1" t="s">
        <v>23</v>
      </c>
      <c r="J485" s="1" t="s">
        <v>112</v>
      </c>
      <c r="K485" s="1" t="s">
        <v>113</v>
      </c>
      <c r="L485" s="2">
        <v>44570</v>
      </c>
      <c r="M485" s="18" t="s">
        <v>6687</v>
      </c>
      <c r="T485" s="19"/>
      <c r="V485" s="4" t="s">
        <v>23</v>
      </c>
      <c r="W485" s="1" t="s">
        <v>26</v>
      </c>
    </row>
    <row r="486" spans="2:23" ht="11.25" hidden="1" customHeight="1" x14ac:dyDescent="0.25">
      <c r="B486" s="17" t="s">
        <v>1132</v>
      </c>
      <c r="C486" s="17" t="s">
        <v>1132</v>
      </c>
      <c r="D486" s="1" t="s">
        <v>20</v>
      </c>
      <c r="E486" s="17" t="s">
        <v>21</v>
      </c>
      <c r="F486" s="17"/>
      <c r="G486" s="17"/>
      <c r="H486" s="1" t="s">
        <v>1133</v>
      </c>
      <c r="I486" s="1" t="s">
        <v>23</v>
      </c>
      <c r="J486" s="1" t="s">
        <v>141</v>
      </c>
      <c r="K486" s="1" t="s">
        <v>142</v>
      </c>
      <c r="L486" s="2">
        <v>44562</v>
      </c>
      <c r="M486" s="18" t="s">
        <v>6687</v>
      </c>
      <c r="P486" s="3">
        <v>45029</v>
      </c>
      <c r="Q486" s="19" t="s">
        <v>6687</v>
      </c>
      <c r="R486" s="19"/>
      <c r="T486" s="19"/>
      <c r="V486" s="4" t="s">
        <v>23</v>
      </c>
      <c r="W486" s="1" t="s">
        <v>26</v>
      </c>
    </row>
    <row r="487" spans="2:23" ht="11.25" hidden="1" customHeight="1" x14ac:dyDescent="0.25">
      <c r="B487" s="17" t="s">
        <v>1134</v>
      </c>
      <c r="C487" s="17" t="s">
        <v>1134</v>
      </c>
      <c r="D487" s="1" t="s">
        <v>20</v>
      </c>
      <c r="E487" s="17" t="s">
        <v>21</v>
      </c>
      <c r="F487" s="17"/>
      <c r="G487" s="17"/>
      <c r="H487" s="1" t="s">
        <v>1135</v>
      </c>
      <c r="I487" s="1" t="s">
        <v>23</v>
      </c>
      <c r="J487" s="1" t="s">
        <v>228</v>
      </c>
      <c r="K487" s="1" t="s">
        <v>376</v>
      </c>
      <c r="L487" s="2">
        <v>44581</v>
      </c>
      <c r="M487" s="18" t="s">
        <v>6687</v>
      </c>
      <c r="P487" s="3">
        <v>45619</v>
      </c>
      <c r="Q487" s="19" t="s">
        <v>6687</v>
      </c>
      <c r="R487" s="19" t="s">
        <v>47</v>
      </c>
      <c r="S487" s="19" t="s">
        <v>1136</v>
      </c>
      <c r="T487" s="19"/>
      <c r="V487" s="4" t="s">
        <v>23</v>
      </c>
      <c r="W487" s="1" t="s">
        <v>26</v>
      </c>
    </row>
    <row r="488" spans="2:23" ht="11.25" hidden="1" customHeight="1" x14ac:dyDescent="0.25">
      <c r="B488" s="17" t="s">
        <v>1137</v>
      </c>
      <c r="C488" s="17" t="s">
        <v>1137</v>
      </c>
      <c r="D488" s="1" t="s">
        <v>20</v>
      </c>
      <c r="E488" s="17" t="s">
        <v>21</v>
      </c>
      <c r="F488" s="17"/>
      <c r="G488" s="17"/>
      <c r="H488" s="1" t="s">
        <v>1138</v>
      </c>
      <c r="I488" s="1" t="s">
        <v>23</v>
      </c>
      <c r="J488" s="1" t="s">
        <v>141</v>
      </c>
      <c r="K488" s="1" t="s">
        <v>142</v>
      </c>
      <c r="L488" s="2">
        <v>44594</v>
      </c>
      <c r="M488" s="18" t="s">
        <v>6687</v>
      </c>
      <c r="P488" s="3">
        <v>45285</v>
      </c>
      <c r="Q488" s="19" t="s">
        <v>6687</v>
      </c>
      <c r="R488" s="19"/>
      <c r="T488" s="19"/>
      <c r="V488" s="4" t="s">
        <v>23</v>
      </c>
      <c r="W488" s="1" t="s">
        <v>26</v>
      </c>
    </row>
    <row r="489" spans="2:23" ht="11.25" hidden="1" customHeight="1" x14ac:dyDescent="0.25">
      <c r="B489" s="17" t="s">
        <v>1139</v>
      </c>
      <c r="C489" s="17" t="s">
        <v>1139</v>
      </c>
      <c r="D489" s="17" t="s">
        <v>348</v>
      </c>
      <c r="E489" s="17" t="s">
        <v>28</v>
      </c>
      <c r="F489" s="17"/>
      <c r="G489" s="17"/>
      <c r="H489" s="1" t="s">
        <v>1140</v>
      </c>
      <c r="I489" s="1" t="s">
        <v>350</v>
      </c>
      <c r="J489" s="1" t="s">
        <v>34</v>
      </c>
      <c r="K489" s="1" t="s">
        <v>365</v>
      </c>
      <c r="L489" s="2">
        <v>44594</v>
      </c>
      <c r="M489" s="18" t="s">
        <v>6687</v>
      </c>
      <c r="T489" s="19"/>
      <c r="V489" s="4" t="s">
        <v>350</v>
      </c>
      <c r="W489" s="17" t="s">
        <v>351</v>
      </c>
    </row>
    <row r="490" spans="2:23" ht="11.25" hidden="1" customHeight="1" x14ac:dyDescent="0.25">
      <c r="B490" s="17" t="s">
        <v>1141</v>
      </c>
      <c r="C490" s="17" t="s">
        <v>1141</v>
      </c>
      <c r="D490" s="1" t="s">
        <v>20</v>
      </c>
      <c r="E490" s="17" t="s">
        <v>28</v>
      </c>
      <c r="F490" s="17"/>
      <c r="G490" s="17"/>
      <c r="H490" s="1" t="s">
        <v>1142</v>
      </c>
      <c r="I490" s="1" t="s">
        <v>23</v>
      </c>
      <c r="J490" s="1" t="s">
        <v>112</v>
      </c>
      <c r="K490" s="1" t="s">
        <v>113</v>
      </c>
      <c r="L490" s="2">
        <v>44621</v>
      </c>
      <c r="M490" s="18" t="s">
        <v>6687</v>
      </c>
      <c r="T490" s="19"/>
      <c r="V490" s="4" t="s">
        <v>23</v>
      </c>
      <c r="W490" s="1" t="s">
        <v>26</v>
      </c>
    </row>
    <row r="491" spans="2:23" ht="11.25" hidden="1" customHeight="1" x14ac:dyDescent="0.25">
      <c r="B491" s="17" t="s">
        <v>1143</v>
      </c>
      <c r="C491" s="17" t="s">
        <v>1143</v>
      </c>
      <c r="D491" s="1" t="s">
        <v>20</v>
      </c>
      <c r="E491" s="17" t="s">
        <v>21</v>
      </c>
      <c r="F491" s="17"/>
      <c r="G491" s="17"/>
      <c r="H491" s="1" t="s">
        <v>1144</v>
      </c>
      <c r="I491" s="1" t="s">
        <v>23</v>
      </c>
      <c r="J491" s="1" t="s">
        <v>141</v>
      </c>
      <c r="K491" s="1" t="s">
        <v>142</v>
      </c>
      <c r="L491" s="2">
        <v>44674</v>
      </c>
      <c r="M491" s="18" t="s">
        <v>6687</v>
      </c>
      <c r="P491" s="3">
        <v>45149</v>
      </c>
      <c r="Q491" s="19" t="s">
        <v>6687</v>
      </c>
      <c r="R491" s="19"/>
      <c r="T491" s="19"/>
      <c r="V491" s="4" t="s">
        <v>23</v>
      </c>
      <c r="W491" s="1" t="s">
        <v>26</v>
      </c>
    </row>
    <row r="492" spans="2:23" ht="11.25" hidden="1" customHeight="1" x14ac:dyDescent="0.25">
      <c r="B492" s="17" t="s">
        <v>1145</v>
      </c>
      <c r="C492" s="17" t="s">
        <v>1145</v>
      </c>
      <c r="D492" s="17" t="s">
        <v>348</v>
      </c>
      <c r="E492" s="17" t="s">
        <v>21</v>
      </c>
      <c r="F492" s="17"/>
      <c r="G492" s="17"/>
      <c r="H492" s="1" t="s">
        <v>1146</v>
      </c>
      <c r="I492" s="1" t="s">
        <v>413</v>
      </c>
      <c r="J492" s="17" t="s">
        <v>76</v>
      </c>
      <c r="K492" s="1" t="s">
        <v>161</v>
      </c>
      <c r="L492" s="2">
        <v>44660</v>
      </c>
      <c r="M492" s="18" t="s">
        <v>6687</v>
      </c>
      <c r="P492" s="3">
        <v>45809</v>
      </c>
      <c r="Q492" s="19" t="s">
        <v>6687</v>
      </c>
      <c r="R492" s="19" t="s">
        <v>40</v>
      </c>
      <c r="T492" s="19"/>
      <c r="V492" s="4" t="s">
        <v>413</v>
      </c>
      <c r="W492" s="17" t="s">
        <v>472</v>
      </c>
    </row>
    <row r="493" spans="2:23" ht="11.25" hidden="1" customHeight="1" x14ac:dyDescent="0.25">
      <c r="B493" s="17" t="s">
        <v>1147</v>
      </c>
      <c r="C493" s="17" t="s">
        <v>1147</v>
      </c>
      <c r="D493" s="17" t="s">
        <v>348</v>
      </c>
      <c r="E493" s="17" t="s">
        <v>21</v>
      </c>
      <c r="F493" s="17"/>
      <c r="G493" s="17"/>
      <c r="H493" s="35" t="s">
        <v>1148</v>
      </c>
      <c r="I493" s="35" t="s">
        <v>350</v>
      </c>
      <c r="J493" s="35" t="s">
        <v>141</v>
      </c>
      <c r="K493" s="1" t="s">
        <v>142</v>
      </c>
      <c r="L493" s="2">
        <v>44708</v>
      </c>
      <c r="M493" s="18" t="s">
        <v>6687</v>
      </c>
      <c r="P493" s="3">
        <v>45138</v>
      </c>
      <c r="Q493" s="19" t="s">
        <v>6687</v>
      </c>
      <c r="R493" s="19"/>
      <c r="T493" s="19"/>
      <c r="V493" s="4" t="s">
        <v>350</v>
      </c>
      <c r="W493" s="17" t="s">
        <v>351</v>
      </c>
    </row>
    <row r="494" spans="2:23" ht="11.25" hidden="1" customHeight="1" x14ac:dyDescent="0.25">
      <c r="B494" s="17" t="s">
        <v>1149</v>
      </c>
      <c r="C494" s="17" t="s">
        <v>1149</v>
      </c>
      <c r="D494" s="17" t="s">
        <v>348</v>
      </c>
      <c r="E494" s="17" t="s">
        <v>21</v>
      </c>
      <c r="F494" s="17"/>
      <c r="G494" s="17"/>
      <c r="H494" s="36" t="s">
        <v>1150</v>
      </c>
      <c r="I494" s="36" t="s">
        <v>497</v>
      </c>
      <c r="J494" s="36" t="s">
        <v>76</v>
      </c>
      <c r="K494" s="1" t="s">
        <v>161</v>
      </c>
      <c r="L494" s="2">
        <v>44700</v>
      </c>
      <c r="M494" s="18" t="s">
        <v>6687</v>
      </c>
      <c r="P494" s="3">
        <v>45138</v>
      </c>
      <c r="Q494" s="19" t="s">
        <v>6687</v>
      </c>
      <c r="R494" s="19"/>
      <c r="T494" s="19"/>
      <c r="V494" s="4" t="s">
        <v>497</v>
      </c>
      <c r="W494" s="17" t="s">
        <v>472</v>
      </c>
    </row>
    <row r="495" spans="2:23" ht="11.25" hidden="1" customHeight="1" x14ac:dyDescent="0.25">
      <c r="B495" s="17" t="s">
        <v>1151</v>
      </c>
      <c r="C495" s="17" t="s">
        <v>1151</v>
      </c>
      <c r="D495" s="17" t="s">
        <v>348</v>
      </c>
      <c r="E495" s="17" t="s">
        <v>28</v>
      </c>
      <c r="F495" s="17"/>
      <c r="G495" s="17"/>
      <c r="H495" s="1" t="s">
        <v>1152</v>
      </c>
      <c r="I495" s="1" t="s">
        <v>350</v>
      </c>
      <c r="J495" s="1" t="s">
        <v>34</v>
      </c>
      <c r="K495" s="1" t="s">
        <v>365</v>
      </c>
      <c r="L495" s="2">
        <v>44531</v>
      </c>
      <c r="M495" s="18" t="s">
        <v>6687</v>
      </c>
      <c r="T495" s="19"/>
      <c r="V495" s="4" t="s">
        <v>350</v>
      </c>
      <c r="W495" s="17" t="s">
        <v>351</v>
      </c>
    </row>
    <row r="496" spans="2:23" ht="11.25" hidden="1" customHeight="1" x14ac:dyDescent="0.25">
      <c r="B496" s="17" t="s">
        <v>1153</v>
      </c>
      <c r="C496" s="17" t="s">
        <v>1153</v>
      </c>
      <c r="D496" s="17" t="s">
        <v>348</v>
      </c>
      <c r="E496" s="17" t="s">
        <v>28</v>
      </c>
      <c r="F496" s="17"/>
      <c r="G496" s="17"/>
      <c r="H496" s="1" t="s">
        <v>1154</v>
      </c>
      <c r="I496" s="1" t="s">
        <v>1155</v>
      </c>
      <c r="J496" s="1" t="s">
        <v>112</v>
      </c>
      <c r="K496" s="1" t="s">
        <v>113</v>
      </c>
      <c r="L496" s="2">
        <v>44553</v>
      </c>
      <c r="M496" s="18" t="s">
        <v>6687</v>
      </c>
      <c r="T496" s="19"/>
      <c r="V496" s="4" t="s">
        <v>1156</v>
      </c>
      <c r="W496" s="17" t="s">
        <v>472</v>
      </c>
    </row>
    <row r="497" spans="2:23" ht="11.25" hidden="1" customHeight="1" x14ac:dyDescent="0.25">
      <c r="B497" s="17" t="s">
        <v>1157</v>
      </c>
      <c r="C497" s="17" t="s">
        <v>1157</v>
      </c>
      <c r="D497" s="17" t="s">
        <v>348</v>
      </c>
      <c r="E497" s="17" t="s">
        <v>28</v>
      </c>
      <c r="F497" s="17"/>
      <c r="G497" s="17"/>
      <c r="H497" s="1" t="s">
        <v>1158</v>
      </c>
      <c r="I497" s="1" t="s">
        <v>497</v>
      </c>
      <c r="J497" s="1" t="s">
        <v>61</v>
      </c>
      <c r="K497" s="1" t="s">
        <v>373</v>
      </c>
      <c r="L497" s="2">
        <v>44551</v>
      </c>
      <c r="M497" s="18" t="s">
        <v>6687</v>
      </c>
      <c r="T497" s="19"/>
      <c r="V497" s="4" t="s">
        <v>497</v>
      </c>
      <c r="W497" s="17" t="s">
        <v>472</v>
      </c>
    </row>
    <row r="498" spans="2:23" ht="11.25" hidden="1" customHeight="1" x14ac:dyDescent="0.25">
      <c r="B498" s="17" t="s">
        <v>1159</v>
      </c>
      <c r="C498" s="17" t="s">
        <v>1159</v>
      </c>
      <c r="D498" s="17" t="s">
        <v>348</v>
      </c>
      <c r="E498" s="17" t="s">
        <v>21</v>
      </c>
      <c r="F498" s="17"/>
      <c r="G498" s="17"/>
      <c r="H498" s="1" t="s">
        <v>1160</v>
      </c>
      <c r="I498" s="1" t="s">
        <v>1155</v>
      </c>
      <c r="J498" s="1" t="s">
        <v>61</v>
      </c>
      <c r="K498" s="1" t="s">
        <v>373</v>
      </c>
      <c r="L498" s="2">
        <v>44553</v>
      </c>
      <c r="M498" s="18" t="s">
        <v>6687</v>
      </c>
      <c r="P498" s="19">
        <v>45341</v>
      </c>
      <c r="Q498" s="19" t="s">
        <v>6687</v>
      </c>
      <c r="R498" s="19" t="s">
        <v>47</v>
      </c>
      <c r="S498" s="19" t="s">
        <v>1161</v>
      </c>
      <c r="T498" s="19"/>
      <c r="V498" s="4" t="s">
        <v>61</v>
      </c>
      <c r="W498" s="17" t="s">
        <v>472</v>
      </c>
    </row>
    <row r="499" spans="2:23" ht="11.25" hidden="1" customHeight="1" x14ac:dyDescent="0.25">
      <c r="B499" s="17" t="s">
        <v>1162</v>
      </c>
      <c r="C499" s="17" t="s">
        <v>1162</v>
      </c>
      <c r="D499" s="17" t="s">
        <v>348</v>
      </c>
      <c r="E499" s="17" t="s">
        <v>28</v>
      </c>
      <c r="F499" s="17"/>
      <c r="G499" s="17"/>
      <c r="H499" s="1" t="s">
        <v>1163</v>
      </c>
      <c r="I499" s="1" t="s">
        <v>350</v>
      </c>
      <c r="J499" s="1" t="s">
        <v>141</v>
      </c>
      <c r="K499" s="1" t="s">
        <v>142</v>
      </c>
      <c r="L499" s="2">
        <v>44680</v>
      </c>
      <c r="M499" s="18" t="s">
        <v>6687</v>
      </c>
      <c r="T499" s="19"/>
      <c r="V499" s="4" t="s">
        <v>350</v>
      </c>
      <c r="W499" s="17" t="s">
        <v>351</v>
      </c>
    </row>
    <row r="500" spans="2:23" ht="11.25" hidden="1" customHeight="1" x14ac:dyDescent="0.25">
      <c r="B500" s="17" t="s">
        <v>1164</v>
      </c>
      <c r="C500" s="17" t="s">
        <v>1164</v>
      </c>
      <c r="D500" s="17" t="s">
        <v>348</v>
      </c>
      <c r="E500" s="17" t="s">
        <v>28</v>
      </c>
      <c r="F500" s="17"/>
      <c r="G500" s="17"/>
      <c r="H500" s="1" t="s">
        <v>1165</v>
      </c>
      <c r="I500" s="1" t="s">
        <v>350</v>
      </c>
      <c r="J500" s="17" t="s">
        <v>76</v>
      </c>
      <c r="K500" s="1" t="s">
        <v>161</v>
      </c>
      <c r="L500" s="2">
        <v>44680</v>
      </c>
      <c r="M500" s="18" t="s">
        <v>6687</v>
      </c>
      <c r="T500" s="19"/>
      <c r="V500" s="4" t="s">
        <v>350</v>
      </c>
      <c r="W500" s="17" t="s">
        <v>351</v>
      </c>
    </row>
    <row r="501" spans="2:23" ht="11.25" hidden="1" customHeight="1" x14ac:dyDescent="0.25">
      <c r="B501" s="17" t="s">
        <v>1166</v>
      </c>
      <c r="C501" s="17" t="s">
        <v>1166</v>
      </c>
      <c r="D501" s="17" t="s">
        <v>348</v>
      </c>
      <c r="E501" s="17" t="s">
        <v>28</v>
      </c>
      <c r="F501" s="17"/>
      <c r="G501" s="17"/>
      <c r="H501" s="1" t="s">
        <v>1167</v>
      </c>
      <c r="I501" s="1" t="s">
        <v>350</v>
      </c>
      <c r="J501" s="1" t="s">
        <v>34</v>
      </c>
      <c r="K501" s="1" t="s">
        <v>365</v>
      </c>
      <c r="L501" s="2">
        <v>44713</v>
      </c>
      <c r="M501" s="18" t="s">
        <v>6687</v>
      </c>
      <c r="T501" s="19"/>
      <c r="V501" s="4" t="s">
        <v>350</v>
      </c>
      <c r="W501" s="17" t="s">
        <v>351</v>
      </c>
    </row>
    <row r="502" spans="2:23" ht="11.25" hidden="1" customHeight="1" x14ac:dyDescent="0.25">
      <c r="B502" s="17" t="s">
        <v>1168</v>
      </c>
      <c r="C502" s="17" t="s">
        <v>1168</v>
      </c>
      <c r="D502" s="17" t="s">
        <v>348</v>
      </c>
      <c r="E502" s="17" t="s">
        <v>28</v>
      </c>
      <c r="F502" s="17"/>
      <c r="G502" s="17"/>
      <c r="H502" s="1" t="s">
        <v>1169</v>
      </c>
      <c r="I502" s="1" t="s">
        <v>350</v>
      </c>
      <c r="J502" s="1" t="s">
        <v>112</v>
      </c>
      <c r="K502" s="1" t="s">
        <v>113</v>
      </c>
      <c r="L502" s="2">
        <v>44681</v>
      </c>
      <c r="M502" s="18" t="s">
        <v>6687</v>
      </c>
      <c r="T502" s="19"/>
      <c r="V502" s="4" t="s">
        <v>350</v>
      </c>
      <c r="W502" s="17" t="s">
        <v>351</v>
      </c>
    </row>
    <row r="503" spans="2:23" ht="11.25" hidden="1" customHeight="1" x14ac:dyDescent="0.25">
      <c r="B503" s="17" t="s">
        <v>1170</v>
      </c>
      <c r="C503" s="17" t="s">
        <v>1170</v>
      </c>
      <c r="D503" s="1" t="s">
        <v>20</v>
      </c>
      <c r="E503" s="17" t="s">
        <v>21</v>
      </c>
      <c r="F503" s="17"/>
      <c r="G503" s="17"/>
      <c r="H503" s="1" t="s">
        <v>1171</v>
      </c>
      <c r="I503" s="1" t="s">
        <v>23</v>
      </c>
      <c r="J503" s="1" t="s">
        <v>1172</v>
      </c>
      <c r="K503" s="1" t="s">
        <v>1173</v>
      </c>
      <c r="L503" s="2">
        <v>44470</v>
      </c>
      <c r="M503" s="18" t="s">
        <v>6687</v>
      </c>
      <c r="P503" s="3">
        <v>44742</v>
      </c>
      <c r="Q503" s="19" t="s">
        <v>6687</v>
      </c>
      <c r="R503" s="19"/>
      <c r="T503" s="19"/>
      <c r="V503" s="4" t="s">
        <v>23</v>
      </c>
      <c r="W503" s="1" t="s">
        <v>26</v>
      </c>
    </row>
    <row r="504" spans="2:23" ht="11.25" hidden="1" customHeight="1" x14ac:dyDescent="0.25">
      <c r="B504" s="17" t="s">
        <v>1174</v>
      </c>
      <c r="C504" s="21" t="s">
        <v>1174</v>
      </c>
      <c r="D504" s="1" t="s">
        <v>20</v>
      </c>
      <c r="E504" s="17" t="s">
        <v>21</v>
      </c>
      <c r="F504" s="17"/>
      <c r="G504" s="17"/>
      <c r="H504" s="1" t="s">
        <v>1175</v>
      </c>
      <c r="I504" s="1" t="s">
        <v>23</v>
      </c>
      <c r="J504" s="1" t="s">
        <v>1176</v>
      </c>
      <c r="K504" s="1" t="s">
        <v>1177</v>
      </c>
      <c r="L504" s="2">
        <v>44638</v>
      </c>
      <c r="M504" s="18" t="s">
        <v>6687</v>
      </c>
      <c r="P504" s="3">
        <v>45095</v>
      </c>
      <c r="Q504" s="19" t="s">
        <v>6687</v>
      </c>
      <c r="R504" s="19"/>
      <c r="T504" s="19"/>
      <c r="V504" s="4" t="s">
        <v>23</v>
      </c>
      <c r="W504" s="1" t="s">
        <v>26</v>
      </c>
    </row>
    <row r="505" spans="2:23" ht="11.25" hidden="1" customHeight="1" x14ac:dyDescent="0.25">
      <c r="B505" s="17" t="s">
        <v>1178</v>
      </c>
      <c r="C505" s="17" t="s">
        <v>1178</v>
      </c>
      <c r="D505" s="1" t="s">
        <v>20</v>
      </c>
      <c r="E505" s="17" t="s">
        <v>21</v>
      </c>
      <c r="F505" s="17"/>
      <c r="G505" s="17"/>
      <c r="H505" s="1" t="s">
        <v>1179</v>
      </c>
      <c r="I505" s="1" t="s">
        <v>23</v>
      </c>
      <c r="J505" s="1" t="s">
        <v>1176</v>
      </c>
      <c r="K505" s="1" t="s">
        <v>1177</v>
      </c>
      <c r="L505" s="2">
        <v>44639</v>
      </c>
      <c r="M505" s="18" t="s">
        <v>6687</v>
      </c>
      <c r="P505" s="3">
        <v>45095</v>
      </c>
      <c r="Q505" s="19" t="s">
        <v>6687</v>
      </c>
      <c r="R505" s="19"/>
      <c r="T505" s="19"/>
      <c r="V505" s="4" t="s">
        <v>23</v>
      </c>
      <c r="W505" s="1" t="s">
        <v>26</v>
      </c>
    </row>
    <row r="506" spans="2:23" ht="11.25" hidden="1" customHeight="1" x14ac:dyDescent="0.25">
      <c r="B506" s="17" t="s">
        <v>1180</v>
      </c>
      <c r="C506" s="17" t="s">
        <v>1180</v>
      </c>
      <c r="D506" s="1" t="s">
        <v>20</v>
      </c>
      <c r="E506" s="17" t="s">
        <v>21</v>
      </c>
      <c r="F506" s="17"/>
      <c r="G506" s="17"/>
      <c r="H506" s="1" t="s">
        <v>1181</v>
      </c>
      <c r="I506" s="1" t="s">
        <v>23</v>
      </c>
      <c r="J506" s="1" t="s">
        <v>1182</v>
      </c>
      <c r="K506" s="1" t="s">
        <v>1183</v>
      </c>
      <c r="L506" s="4">
        <v>44645</v>
      </c>
      <c r="M506" s="18" t="s">
        <v>6687</v>
      </c>
      <c r="N506" s="4"/>
      <c r="O506" s="4"/>
      <c r="P506" s="37">
        <v>44805</v>
      </c>
      <c r="Q506" s="19" t="s">
        <v>6687</v>
      </c>
      <c r="R506" s="19"/>
      <c r="S506" s="37"/>
      <c r="T506" s="19"/>
      <c r="V506" s="4" t="s">
        <v>23</v>
      </c>
      <c r="W506" s="1" t="s">
        <v>26</v>
      </c>
    </row>
    <row r="507" spans="2:23" ht="11.25" hidden="1" customHeight="1" x14ac:dyDescent="0.25">
      <c r="B507" s="17" t="s">
        <v>1184</v>
      </c>
      <c r="C507" s="17" t="s">
        <v>1184</v>
      </c>
      <c r="D507" s="17" t="s">
        <v>348</v>
      </c>
      <c r="E507" s="17" t="s">
        <v>21</v>
      </c>
      <c r="F507" s="17"/>
      <c r="G507" s="17"/>
      <c r="H507" s="1" t="s">
        <v>1185</v>
      </c>
      <c r="I507" s="1" t="s">
        <v>350</v>
      </c>
      <c r="J507" s="1" t="s">
        <v>141</v>
      </c>
      <c r="K507" s="1" t="s">
        <v>142</v>
      </c>
      <c r="L507" s="2">
        <v>44214</v>
      </c>
      <c r="M507" s="18" t="s">
        <v>6687</v>
      </c>
      <c r="P507" s="3">
        <v>45713</v>
      </c>
      <c r="Q507" s="19" t="s">
        <v>6687</v>
      </c>
      <c r="R507" s="3" t="s">
        <v>47</v>
      </c>
      <c r="S507" s="3" t="s">
        <v>1186</v>
      </c>
      <c r="T507" s="19"/>
      <c r="V507" s="4" t="s">
        <v>350</v>
      </c>
      <c r="W507" s="17" t="s">
        <v>351</v>
      </c>
    </row>
    <row r="508" spans="2:23" ht="11.25" hidden="1" customHeight="1" x14ac:dyDescent="0.25">
      <c r="B508" s="17" t="s">
        <v>1187</v>
      </c>
      <c r="C508" s="17" t="s">
        <v>1187</v>
      </c>
      <c r="D508" s="1" t="s">
        <v>20</v>
      </c>
      <c r="E508" s="17" t="s">
        <v>21</v>
      </c>
      <c r="F508" s="17"/>
      <c r="G508" s="17"/>
      <c r="H508" s="38" t="s">
        <v>1188</v>
      </c>
      <c r="I508" s="1" t="s">
        <v>23</v>
      </c>
      <c r="J508" s="38" t="s">
        <v>183</v>
      </c>
      <c r="K508" s="38" t="s">
        <v>436</v>
      </c>
      <c r="L508" s="4">
        <v>44770</v>
      </c>
      <c r="M508" s="18" t="s">
        <v>6687</v>
      </c>
      <c r="N508" s="4"/>
      <c r="O508" s="4"/>
      <c r="P508" s="37">
        <v>45460</v>
      </c>
      <c r="Q508" s="19" t="s">
        <v>6687</v>
      </c>
      <c r="R508" s="19" t="s">
        <v>40</v>
      </c>
      <c r="S508" s="37"/>
      <c r="T508" s="19"/>
      <c r="V508" s="4" t="s">
        <v>23</v>
      </c>
      <c r="W508" s="1" t="s">
        <v>26</v>
      </c>
    </row>
    <row r="509" spans="2:23" ht="11.25" hidden="1" customHeight="1" x14ac:dyDescent="0.25">
      <c r="B509" s="17" t="s">
        <v>1189</v>
      </c>
      <c r="C509" s="17" t="s">
        <v>1189</v>
      </c>
      <c r="D509" s="1" t="s">
        <v>20</v>
      </c>
      <c r="E509" s="17" t="s">
        <v>28</v>
      </c>
      <c r="F509" s="17"/>
      <c r="G509" s="17"/>
      <c r="H509" s="38" t="s">
        <v>1190</v>
      </c>
      <c r="I509" s="1" t="s">
        <v>23</v>
      </c>
      <c r="J509" s="38" t="s">
        <v>51</v>
      </c>
      <c r="K509" s="38" t="s">
        <v>370</v>
      </c>
      <c r="L509" s="4">
        <v>44768</v>
      </c>
      <c r="M509" s="18" t="s">
        <v>6687</v>
      </c>
      <c r="N509" s="4"/>
      <c r="O509" s="4"/>
      <c r="T509" s="19"/>
      <c r="U509" s="4">
        <v>45838</v>
      </c>
      <c r="V509" s="4" t="s">
        <v>23</v>
      </c>
      <c r="W509" s="1" t="s">
        <v>26</v>
      </c>
    </row>
    <row r="510" spans="2:23" ht="11.25" hidden="1" customHeight="1" x14ac:dyDescent="0.25">
      <c r="B510" s="17" t="s">
        <v>1191</v>
      </c>
      <c r="C510" s="17" t="s">
        <v>1191</v>
      </c>
      <c r="D510" s="1" t="s">
        <v>20</v>
      </c>
      <c r="E510" s="17" t="s">
        <v>28</v>
      </c>
      <c r="F510" s="17"/>
      <c r="G510" s="17"/>
      <c r="H510" s="38" t="s">
        <v>1192</v>
      </c>
      <c r="I510" s="1" t="s">
        <v>23</v>
      </c>
      <c r="J510" s="38" t="s">
        <v>61</v>
      </c>
      <c r="K510" s="38" t="s">
        <v>373</v>
      </c>
      <c r="L510" s="4">
        <v>44758</v>
      </c>
      <c r="M510" s="18" t="s">
        <v>6687</v>
      </c>
      <c r="N510" s="4"/>
      <c r="O510" s="4"/>
      <c r="T510" s="19"/>
      <c r="V510" s="4" t="s">
        <v>23</v>
      </c>
      <c r="W510" s="1" t="s">
        <v>26</v>
      </c>
    </row>
    <row r="511" spans="2:23" ht="11.25" hidden="1" customHeight="1" x14ac:dyDescent="0.25">
      <c r="B511" s="17" t="s">
        <v>1193</v>
      </c>
      <c r="C511" s="17" t="s">
        <v>1193</v>
      </c>
      <c r="D511" s="1" t="s">
        <v>20</v>
      </c>
      <c r="E511" s="17" t="s">
        <v>21</v>
      </c>
      <c r="F511" s="17"/>
      <c r="G511" s="17"/>
      <c r="H511" s="38" t="s">
        <v>1194</v>
      </c>
      <c r="I511" s="1" t="s">
        <v>23</v>
      </c>
      <c r="J511" s="38" t="s">
        <v>1182</v>
      </c>
      <c r="K511" s="38" t="s">
        <v>1183</v>
      </c>
      <c r="L511" s="4">
        <v>44770</v>
      </c>
      <c r="M511" s="18" t="s">
        <v>6687</v>
      </c>
      <c r="N511" s="4"/>
      <c r="O511" s="4"/>
      <c r="P511" s="37">
        <v>44805</v>
      </c>
      <c r="Q511" s="19" t="s">
        <v>6687</v>
      </c>
      <c r="R511" s="19"/>
      <c r="S511" s="37"/>
      <c r="T511" s="19"/>
      <c r="V511" s="4" t="s">
        <v>23</v>
      </c>
      <c r="W511" s="1" t="s">
        <v>26</v>
      </c>
    </row>
    <row r="512" spans="2:23" ht="11.25" hidden="1" customHeight="1" x14ac:dyDescent="0.25">
      <c r="B512" s="17" t="s">
        <v>1195</v>
      </c>
      <c r="C512" s="17" t="s">
        <v>1195</v>
      </c>
      <c r="D512" s="17" t="s">
        <v>348</v>
      </c>
      <c r="E512" s="17" t="s">
        <v>28</v>
      </c>
      <c r="F512" s="17"/>
      <c r="G512" s="17"/>
      <c r="H512" s="39" t="s">
        <v>1196</v>
      </c>
      <c r="I512" s="39" t="s">
        <v>350</v>
      </c>
      <c r="J512" s="39" t="s">
        <v>61</v>
      </c>
      <c r="K512" s="39" t="s">
        <v>373</v>
      </c>
      <c r="L512" s="4">
        <v>44757</v>
      </c>
      <c r="M512" s="18" t="s">
        <v>6687</v>
      </c>
      <c r="N512" s="4"/>
      <c r="O512" s="4"/>
      <c r="T512" s="19"/>
      <c r="V512" s="39" t="s">
        <v>350</v>
      </c>
      <c r="W512" s="17" t="s">
        <v>351</v>
      </c>
    </row>
    <row r="513" spans="2:23" ht="11.25" hidden="1" customHeight="1" x14ac:dyDescent="0.25">
      <c r="B513" s="17" t="s">
        <v>1197</v>
      </c>
      <c r="C513" s="17" t="s">
        <v>1197</v>
      </c>
      <c r="D513" s="17" t="s">
        <v>348</v>
      </c>
      <c r="E513" s="17" t="s">
        <v>28</v>
      </c>
      <c r="F513" s="17"/>
      <c r="G513" s="17"/>
      <c r="H513" s="39" t="s">
        <v>1198</v>
      </c>
      <c r="I513" s="39" t="s">
        <v>350</v>
      </c>
      <c r="J513" s="39" t="s">
        <v>141</v>
      </c>
      <c r="K513" s="39" t="s">
        <v>142</v>
      </c>
      <c r="L513" s="4">
        <v>44761</v>
      </c>
      <c r="M513" s="18" t="s">
        <v>6687</v>
      </c>
      <c r="N513" s="4"/>
      <c r="O513" s="4"/>
      <c r="T513" s="19"/>
      <c r="V513" s="39" t="s">
        <v>350</v>
      </c>
      <c r="W513" s="17" t="s">
        <v>351</v>
      </c>
    </row>
    <row r="514" spans="2:23" ht="11.25" hidden="1" customHeight="1" x14ac:dyDescent="0.25">
      <c r="B514" s="17" t="s">
        <v>1199</v>
      </c>
      <c r="C514" s="17" t="s">
        <v>1199</v>
      </c>
      <c r="D514" s="17" t="s">
        <v>348</v>
      </c>
      <c r="E514" s="17" t="s">
        <v>28</v>
      </c>
      <c r="F514" s="17"/>
      <c r="G514" s="17"/>
      <c r="H514" s="39" t="s">
        <v>1200</v>
      </c>
      <c r="I514" s="39" t="s">
        <v>1201</v>
      </c>
      <c r="J514" s="39" t="s">
        <v>141</v>
      </c>
      <c r="K514" s="39" t="s">
        <v>142</v>
      </c>
      <c r="L514" s="4">
        <v>44752</v>
      </c>
      <c r="M514" s="18" t="s">
        <v>6687</v>
      </c>
      <c r="N514" s="4"/>
      <c r="O514" s="4"/>
      <c r="T514" s="19"/>
      <c r="V514" s="39" t="s">
        <v>497</v>
      </c>
      <c r="W514" s="17" t="s">
        <v>472</v>
      </c>
    </row>
    <row r="515" spans="2:23" ht="11.25" hidden="1" customHeight="1" x14ac:dyDescent="0.25">
      <c r="B515" s="17" t="s">
        <v>1202</v>
      </c>
      <c r="C515" s="17" t="s">
        <v>1202</v>
      </c>
      <c r="D515" s="17" t="s">
        <v>348</v>
      </c>
      <c r="E515" s="17" t="s">
        <v>21</v>
      </c>
      <c r="F515" s="17"/>
      <c r="G515" s="17"/>
      <c r="H515" s="39" t="s">
        <v>1203</v>
      </c>
      <c r="I515" s="39" t="s">
        <v>1156</v>
      </c>
      <c r="J515" s="39" t="s">
        <v>141</v>
      </c>
      <c r="K515" s="39" t="s">
        <v>142</v>
      </c>
      <c r="L515" s="4">
        <v>44750</v>
      </c>
      <c r="M515" s="18" t="s">
        <v>6687</v>
      </c>
      <c r="N515" s="4"/>
      <c r="O515" s="4"/>
      <c r="P515" s="37">
        <v>45505</v>
      </c>
      <c r="Q515" s="19" t="s">
        <v>6687</v>
      </c>
      <c r="R515" s="19" t="s">
        <v>47</v>
      </c>
      <c r="S515" s="19" t="s">
        <v>1204</v>
      </c>
      <c r="T515" s="19"/>
      <c r="V515" s="39" t="s">
        <v>1156</v>
      </c>
      <c r="W515" s="17" t="s">
        <v>472</v>
      </c>
    </row>
    <row r="516" spans="2:23" ht="11.25" hidden="1" customHeight="1" x14ac:dyDescent="0.25">
      <c r="B516" s="17" t="s">
        <v>1205</v>
      </c>
      <c r="C516" s="17" t="s">
        <v>1205</v>
      </c>
      <c r="D516" s="17" t="s">
        <v>348</v>
      </c>
      <c r="E516" s="17" t="s">
        <v>21</v>
      </c>
      <c r="F516" s="17"/>
      <c r="G516" s="17"/>
      <c r="H516" s="39" t="s">
        <v>1206</v>
      </c>
      <c r="I516" s="39" t="s">
        <v>350</v>
      </c>
      <c r="J516" s="39" t="s">
        <v>1207</v>
      </c>
      <c r="K516" s="39" t="s">
        <v>1208</v>
      </c>
      <c r="L516" s="4">
        <v>44763</v>
      </c>
      <c r="M516" s="18" t="s">
        <v>6687</v>
      </c>
      <c r="N516" s="4"/>
      <c r="O516" s="4"/>
      <c r="P516" s="37">
        <v>45103</v>
      </c>
      <c r="Q516" s="19" t="s">
        <v>6687</v>
      </c>
      <c r="R516" s="19"/>
      <c r="S516" s="37"/>
      <c r="T516" s="19"/>
      <c r="V516" s="39" t="s">
        <v>350</v>
      </c>
      <c r="W516" s="17" t="s">
        <v>351</v>
      </c>
    </row>
    <row r="517" spans="2:23" ht="11.25" hidden="1" customHeight="1" x14ac:dyDescent="0.25">
      <c r="B517" s="17" t="s">
        <v>1209</v>
      </c>
      <c r="C517" s="17" t="s">
        <v>1209</v>
      </c>
      <c r="D517" s="17" t="s">
        <v>348</v>
      </c>
      <c r="E517" s="17" t="s">
        <v>21</v>
      </c>
      <c r="F517" s="17"/>
      <c r="G517" s="17"/>
      <c r="H517" s="39" t="s">
        <v>1210</v>
      </c>
      <c r="I517" s="39" t="s">
        <v>350</v>
      </c>
      <c r="J517" s="39" t="s">
        <v>1207</v>
      </c>
      <c r="K517" s="39" t="s">
        <v>1208</v>
      </c>
      <c r="L517" s="4">
        <v>44757</v>
      </c>
      <c r="M517" s="18" t="s">
        <v>6687</v>
      </c>
      <c r="N517" s="4"/>
      <c r="O517" s="4"/>
      <c r="P517" s="37">
        <v>45139</v>
      </c>
      <c r="Q517" s="19" t="s">
        <v>6687</v>
      </c>
      <c r="R517" s="19"/>
      <c r="S517" s="37"/>
      <c r="T517" s="19"/>
      <c r="V517" s="39" t="s">
        <v>350</v>
      </c>
      <c r="W517" s="17" t="s">
        <v>351</v>
      </c>
    </row>
    <row r="518" spans="2:23" ht="11.25" hidden="1" customHeight="1" x14ac:dyDescent="0.25">
      <c r="B518" s="17" t="s">
        <v>1211</v>
      </c>
      <c r="C518" s="17" t="s">
        <v>1211</v>
      </c>
      <c r="D518" s="17" t="s">
        <v>348</v>
      </c>
      <c r="E518" s="17" t="s">
        <v>28</v>
      </c>
      <c r="F518" s="17"/>
      <c r="G518" s="17"/>
      <c r="H518" s="1" t="s">
        <v>1212</v>
      </c>
      <c r="I518" s="1" t="s">
        <v>350</v>
      </c>
      <c r="J518" s="17" t="s">
        <v>76</v>
      </c>
      <c r="K518" s="1" t="s">
        <v>161</v>
      </c>
      <c r="L518" s="2">
        <v>44329</v>
      </c>
      <c r="M518" s="18" t="s">
        <v>6687</v>
      </c>
      <c r="T518" s="19"/>
      <c r="V518" s="4" t="s">
        <v>350</v>
      </c>
      <c r="W518" s="17" t="s">
        <v>351</v>
      </c>
    </row>
    <row r="519" spans="2:23" ht="11.25" hidden="1" customHeight="1" x14ac:dyDescent="0.25">
      <c r="B519" s="17" t="s">
        <v>1213</v>
      </c>
      <c r="C519" s="17" t="s">
        <v>1213</v>
      </c>
      <c r="D519" s="17" t="s">
        <v>348</v>
      </c>
      <c r="E519" s="17" t="s">
        <v>28</v>
      </c>
      <c r="F519" s="17"/>
      <c r="G519" s="17"/>
      <c r="H519" s="1" t="s">
        <v>1214</v>
      </c>
      <c r="I519" s="1" t="s">
        <v>1215</v>
      </c>
      <c r="J519" s="17" t="s">
        <v>76</v>
      </c>
      <c r="K519" s="1" t="s">
        <v>161</v>
      </c>
      <c r="L519" s="2">
        <v>44789</v>
      </c>
      <c r="M519" s="18" t="s">
        <v>6687</v>
      </c>
      <c r="T519" s="19"/>
      <c r="V519" s="4" t="s">
        <v>1215</v>
      </c>
      <c r="W519" s="17" t="s">
        <v>472</v>
      </c>
    </row>
    <row r="520" spans="2:23" ht="11.25" hidden="1" customHeight="1" x14ac:dyDescent="0.25">
      <c r="B520" s="17" t="s">
        <v>1216</v>
      </c>
      <c r="C520" s="17" t="s">
        <v>1216</v>
      </c>
      <c r="D520" s="17" t="s">
        <v>348</v>
      </c>
      <c r="E520" s="17" t="s">
        <v>28</v>
      </c>
      <c r="F520" s="17"/>
      <c r="G520" s="17"/>
      <c r="H520" s="1" t="s">
        <v>1217</v>
      </c>
      <c r="I520" s="1" t="s">
        <v>497</v>
      </c>
      <c r="J520" s="1" t="s">
        <v>112</v>
      </c>
      <c r="K520" s="1" t="s">
        <v>113</v>
      </c>
      <c r="L520" s="2">
        <v>44783</v>
      </c>
      <c r="M520" s="18" t="s">
        <v>6687</v>
      </c>
      <c r="T520" s="19"/>
      <c r="V520" s="4" t="s">
        <v>497</v>
      </c>
      <c r="W520" s="17" t="s">
        <v>472</v>
      </c>
    </row>
    <row r="521" spans="2:23" ht="11.25" hidden="1" customHeight="1" x14ac:dyDescent="0.25">
      <c r="B521" s="17" t="s">
        <v>1218</v>
      </c>
      <c r="C521" s="17" t="s">
        <v>1218</v>
      </c>
      <c r="D521" s="17" t="s">
        <v>348</v>
      </c>
      <c r="E521" s="17" t="s">
        <v>28</v>
      </c>
      <c r="F521" s="17"/>
      <c r="G521" s="17"/>
      <c r="H521" s="1" t="s">
        <v>1219</v>
      </c>
      <c r="I521" s="1" t="s">
        <v>1215</v>
      </c>
      <c r="J521" s="1" t="s">
        <v>112</v>
      </c>
      <c r="K521" s="1" t="s">
        <v>113</v>
      </c>
      <c r="L521" s="2">
        <v>44781</v>
      </c>
      <c r="M521" s="18" t="s">
        <v>6687</v>
      </c>
      <c r="T521" s="19"/>
      <c r="V521" s="4" t="s">
        <v>1215</v>
      </c>
      <c r="W521" s="17" t="s">
        <v>472</v>
      </c>
    </row>
    <row r="522" spans="2:23" ht="11.25" hidden="1" customHeight="1" x14ac:dyDescent="0.25">
      <c r="B522" s="17" t="s">
        <v>1220</v>
      </c>
      <c r="C522" s="17" t="s">
        <v>1220</v>
      </c>
      <c r="D522" s="17" t="s">
        <v>348</v>
      </c>
      <c r="E522" s="17" t="s">
        <v>21</v>
      </c>
      <c r="F522" s="17"/>
      <c r="G522" s="17"/>
      <c r="H522" s="1" t="s">
        <v>1221</v>
      </c>
      <c r="I522" s="1" t="s">
        <v>1215</v>
      </c>
      <c r="J522" s="1" t="s">
        <v>61</v>
      </c>
      <c r="K522" s="1" t="s">
        <v>373</v>
      </c>
      <c r="L522" s="2">
        <v>44791</v>
      </c>
      <c r="M522" s="18" t="s">
        <v>6687</v>
      </c>
      <c r="P522" s="3">
        <v>45292</v>
      </c>
      <c r="Q522" s="19" t="s">
        <v>6687</v>
      </c>
      <c r="R522" s="19" t="s">
        <v>47</v>
      </c>
      <c r="S522" s="19" t="s">
        <v>1222</v>
      </c>
      <c r="T522" s="19"/>
      <c r="V522" s="4" t="s">
        <v>1215</v>
      </c>
      <c r="W522" s="17" t="s">
        <v>472</v>
      </c>
    </row>
    <row r="523" spans="2:23" ht="11.25" hidden="1" customHeight="1" x14ac:dyDescent="0.25">
      <c r="B523" s="17" t="s">
        <v>1223</v>
      </c>
      <c r="C523" s="17" t="s">
        <v>1223</v>
      </c>
      <c r="D523" s="1" t="s">
        <v>20</v>
      </c>
      <c r="E523" s="1" t="s">
        <v>21</v>
      </c>
      <c r="H523" s="1" t="s">
        <v>1224</v>
      </c>
      <c r="I523" s="1" t="s">
        <v>23</v>
      </c>
      <c r="J523" s="1" t="s">
        <v>141</v>
      </c>
      <c r="K523" s="1" t="s">
        <v>142</v>
      </c>
      <c r="L523" s="2">
        <v>44826</v>
      </c>
      <c r="M523" s="18" t="s">
        <v>6687</v>
      </c>
      <c r="P523" s="3">
        <v>45091</v>
      </c>
      <c r="Q523" s="19" t="s">
        <v>6687</v>
      </c>
      <c r="R523" s="19"/>
      <c r="T523" s="19"/>
      <c r="V523" s="4" t="s">
        <v>23</v>
      </c>
      <c r="W523" s="1" t="s">
        <v>26</v>
      </c>
    </row>
    <row r="524" spans="2:23" ht="11.25" hidden="1" customHeight="1" x14ac:dyDescent="0.25">
      <c r="B524" s="17" t="s">
        <v>1225</v>
      </c>
      <c r="C524" s="17" t="s">
        <v>1225</v>
      </c>
      <c r="D524" s="17" t="s">
        <v>20</v>
      </c>
      <c r="E524" s="1" t="s">
        <v>28</v>
      </c>
      <c r="H524" s="1" t="s">
        <v>1226</v>
      </c>
      <c r="I524" s="1" t="s">
        <v>23</v>
      </c>
      <c r="J524" s="1" t="s">
        <v>34</v>
      </c>
      <c r="K524" s="1" t="s">
        <v>365</v>
      </c>
      <c r="L524" s="2">
        <v>44819</v>
      </c>
      <c r="M524" s="18" t="s">
        <v>6687</v>
      </c>
      <c r="T524" s="19"/>
      <c r="V524" s="4" t="s">
        <v>23</v>
      </c>
      <c r="W524" s="1" t="s">
        <v>26</v>
      </c>
    </row>
    <row r="525" spans="2:23" ht="11.25" hidden="1" customHeight="1" x14ac:dyDescent="0.25">
      <c r="B525" s="17" t="s">
        <v>1227</v>
      </c>
      <c r="C525" s="17" t="s">
        <v>1227</v>
      </c>
      <c r="D525" s="1" t="s">
        <v>20</v>
      </c>
      <c r="E525" s="1" t="s">
        <v>21</v>
      </c>
      <c r="H525" s="1" t="s">
        <v>1228</v>
      </c>
      <c r="I525" s="1" t="s">
        <v>23</v>
      </c>
      <c r="J525" s="1" t="s">
        <v>76</v>
      </c>
      <c r="K525" s="1" t="s">
        <v>161</v>
      </c>
      <c r="L525" s="2">
        <v>44826</v>
      </c>
      <c r="M525" s="18" t="s">
        <v>6687</v>
      </c>
      <c r="P525" s="3">
        <v>45425</v>
      </c>
      <c r="Q525" s="19" t="s">
        <v>6687</v>
      </c>
      <c r="R525" s="19" t="s">
        <v>40</v>
      </c>
      <c r="T525" s="19"/>
      <c r="V525" s="4" t="s">
        <v>23</v>
      </c>
      <c r="W525" s="1" t="s">
        <v>26</v>
      </c>
    </row>
    <row r="526" spans="2:23" ht="11.25" hidden="1" customHeight="1" x14ac:dyDescent="0.25">
      <c r="B526" s="17" t="s">
        <v>1229</v>
      </c>
      <c r="C526" s="17" t="s">
        <v>1229</v>
      </c>
      <c r="D526" s="1" t="s">
        <v>20</v>
      </c>
      <c r="E526" s="1" t="s">
        <v>21</v>
      </c>
      <c r="H526" s="1" t="s">
        <v>1230</v>
      </c>
      <c r="I526" s="1" t="s">
        <v>23</v>
      </c>
      <c r="J526" s="1" t="s">
        <v>228</v>
      </c>
      <c r="K526" s="1" t="s">
        <v>376</v>
      </c>
      <c r="L526" s="2">
        <v>44805</v>
      </c>
      <c r="M526" s="18" t="s">
        <v>6687</v>
      </c>
      <c r="P526" s="3">
        <v>45434</v>
      </c>
      <c r="Q526" s="19" t="s">
        <v>6687</v>
      </c>
      <c r="R526" s="19" t="s">
        <v>47</v>
      </c>
      <c r="S526" s="19" t="s">
        <v>1231</v>
      </c>
      <c r="T526" s="19"/>
      <c r="V526" s="4" t="s">
        <v>23</v>
      </c>
      <c r="W526" s="1" t="s">
        <v>26</v>
      </c>
    </row>
    <row r="527" spans="2:23" ht="11.25" hidden="1" customHeight="1" x14ac:dyDescent="0.25">
      <c r="B527" s="17" t="s">
        <v>1232</v>
      </c>
      <c r="C527" s="17" t="s">
        <v>1232</v>
      </c>
      <c r="D527" s="17" t="s">
        <v>348</v>
      </c>
      <c r="E527" s="1" t="s">
        <v>28</v>
      </c>
      <c r="H527" s="1" t="s">
        <v>1233</v>
      </c>
      <c r="I527" s="1" t="s">
        <v>1234</v>
      </c>
      <c r="J527" s="1" t="s">
        <v>61</v>
      </c>
      <c r="K527" s="1" t="s">
        <v>373</v>
      </c>
      <c r="L527" s="2">
        <v>44819</v>
      </c>
      <c r="M527" s="18" t="s">
        <v>6687</v>
      </c>
      <c r="T527" s="19"/>
      <c r="V527" s="4" t="s">
        <v>527</v>
      </c>
      <c r="W527" s="17" t="s">
        <v>472</v>
      </c>
    </row>
    <row r="528" spans="2:23" ht="11.25" hidden="1" customHeight="1" x14ac:dyDescent="0.25">
      <c r="B528" s="17" t="s">
        <v>1235</v>
      </c>
      <c r="C528" s="17" t="s">
        <v>1235</v>
      </c>
      <c r="D528" s="17" t="s">
        <v>348</v>
      </c>
      <c r="E528" s="1" t="s">
        <v>21</v>
      </c>
      <c r="H528" s="1" t="s">
        <v>1236</v>
      </c>
      <c r="I528" s="1" t="s">
        <v>350</v>
      </c>
      <c r="J528" s="1" t="s">
        <v>89</v>
      </c>
      <c r="K528" s="1" t="s">
        <v>87</v>
      </c>
      <c r="L528" s="2">
        <v>44649</v>
      </c>
      <c r="M528" s="18" t="s">
        <v>6687</v>
      </c>
      <c r="P528" s="3">
        <v>46023</v>
      </c>
      <c r="Q528" s="19" t="s">
        <v>6687</v>
      </c>
      <c r="T528" s="19"/>
      <c r="V528" s="4" t="s">
        <v>350</v>
      </c>
      <c r="W528" s="17" t="s">
        <v>351</v>
      </c>
    </row>
    <row r="529" spans="2:23" ht="11.25" hidden="1" customHeight="1" x14ac:dyDescent="0.25">
      <c r="B529" s="17" t="s">
        <v>1237</v>
      </c>
      <c r="C529" s="17" t="s">
        <v>1237</v>
      </c>
      <c r="D529" s="1" t="s">
        <v>20</v>
      </c>
      <c r="E529" s="1" t="s">
        <v>28</v>
      </c>
      <c r="H529" s="1" t="s">
        <v>1238</v>
      </c>
      <c r="I529" s="1" t="s">
        <v>23</v>
      </c>
      <c r="J529" s="1" t="s">
        <v>1239</v>
      </c>
      <c r="K529" s="1" t="s">
        <v>1240</v>
      </c>
      <c r="L529" s="2">
        <v>44803</v>
      </c>
      <c r="M529" s="18" t="s">
        <v>6687</v>
      </c>
      <c r="T529" s="19"/>
      <c r="V529" s="4" t="s">
        <v>23</v>
      </c>
      <c r="W529" s="1" t="s">
        <v>26</v>
      </c>
    </row>
    <row r="530" spans="2:23" ht="11.25" hidden="1" customHeight="1" x14ac:dyDescent="0.25">
      <c r="B530" s="17" t="s">
        <v>1241</v>
      </c>
      <c r="C530" s="17" t="s">
        <v>1241</v>
      </c>
      <c r="D530" s="1" t="s">
        <v>20</v>
      </c>
      <c r="E530" s="1" t="s">
        <v>28</v>
      </c>
      <c r="H530" s="1" t="s">
        <v>1242</v>
      </c>
      <c r="I530" s="1" t="s">
        <v>23</v>
      </c>
      <c r="J530" s="1" t="s">
        <v>1239</v>
      </c>
      <c r="K530" s="1" t="s">
        <v>1240</v>
      </c>
      <c r="L530" s="2">
        <v>44781</v>
      </c>
      <c r="M530" s="18" t="s">
        <v>6687</v>
      </c>
      <c r="T530" s="19"/>
      <c r="V530" s="4" t="s">
        <v>23</v>
      </c>
      <c r="W530" s="1" t="s">
        <v>26</v>
      </c>
    </row>
    <row r="531" spans="2:23" ht="11.25" hidden="1" customHeight="1" x14ac:dyDescent="0.25">
      <c r="B531" s="17" t="s">
        <v>1243</v>
      </c>
      <c r="C531" s="17" t="s">
        <v>1243</v>
      </c>
      <c r="D531" s="1" t="s">
        <v>20</v>
      </c>
      <c r="E531" s="1" t="s">
        <v>28</v>
      </c>
      <c r="H531" s="1" t="s">
        <v>1244</v>
      </c>
      <c r="I531" s="1" t="s">
        <v>23</v>
      </c>
      <c r="J531" s="1" t="s">
        <v>1239</v>
      </c>
      <c r="K531" s="1" t="s">
        <v>1240</v>
      </c>
      <c r="L531" s="2">
        <v>44781</v>
      </c>
      <c r="M531" s="18" t="s">
        <v>6687</v>
      </c>
      <c r="T531" s="19"/>
      <c r="V531" s="4" t="s">
        <v>23</v>
      </c>
      <c r="W531" s="1" t="s">
        <v>26</v>
      </c>
    </row>
    <row r="532" spans="2:23" ht="11.25" hidden="1" customHeight="1" x14ac:dyDescent="0.25">
      <c r="B532" s="17" t="s">
        <v>1245</v>
      </c>
      <c r="C532" s="17" t="s">
        <v>1245</v>
      </c>
      <c r="D532" s="17" t="s">
        <v>348</v>
      </c>
      <c r="E532" s="1" t="s">
        <v>28</v>
      </c>
      <c r="H532" s="1" t="s">
        <v>1246</v>
      </c>
      <c r="I532" s="1" t="s">
        <v>350</v>
      </c>
      <c r="J532" s="1" t="s">
        <v>112</v>
      </c>
      <c r="K532" s="1" t="s">
        <v>113</v>
      </c>
      <c r="L532" s="2">
        <v>44857</v>
      </c>
      <c r="M532" s="18" t="s">
        <v>6687</v>
      </c>
      <c r="T532" s="19"/>
      <c r="V532" s="4" t="s">
        <v>350</v>
      </c>
      <c r="W532" s="17" t="s">
        <v>351</v>
      </c>
    </row>
    <row r="533" spans="2:23" ht="11.25" hidden="1" customHeight="1" x14ac:dyDescent="0.25">
      <c r="B533" s="17" t="s">
        <v>1247</v>
      </c>
      <c r="C533" s="17" t="s">
        <v>1247</v>
      </c>
      <c r="D533" s="17" t="s">
        <v>348</v>
      </c>
      <c r="E533" s="1" t="s">
        <v>28</v>
      </c>
      <c r="H533" s="1" t="s">
        <v>1248</v>
      </c>
      <c r="I533" s="1" t="s">
        <v>350</v>
      </c>
      <c r="J533" s="1" t="s">
        <v>34</v>
      </c>
      <c r="K533" s="1" t="s">
        <v>365</v>
      </c>
      <c r="L533" s="2">
        <v>44847</v>
      </c>
      <c r="M533" s="18" t="s">
        <v>6687</v>
      </c>
      <c r="T533" s="19"/>
      <c r="V533" s="4" t="s">
        <v>350</v>
      </c>
      <c r="W533" s="17" t="s">
        <v>351</v>
      </c>
    </row>
    <row r="534" spans="2:23" ht="11.25" hidden="1" customHeight="1" x14ac:dyDescent="0.25">
      <c r="B534" s="17" t="s">
        <v>1249</v>
      </c>
      <c r="C534" s="17" t="s">
        <v>1249</v>
      </c>
      <c r="D534" s="17" t="s">
        <v>348</v>
      </c>
      <c r="E534" s="1" t="s">
        <v>28</v>
      </c>
      <c r="H534" s="1" t="s">
        <v>1250</v>
      </c>
      <c r="I534" s="1" t="s">
        <v>350</v>
      </c>
      <c r="J534" s="17" t="s">
        <v>76</v>
      </c>
      <c r="K534" s="1" t="s">
        <v>161</v>
      </c>
      <c r="L534" s="2">
        <v>44843</v>
      </c>
      <c r="M534" s="18" t="s">
        <v>6687</v>
      </c>
      <c r="T534" s="19"/>
      <c r="V534" s="4" t="s">
        <v>350</v>
      </c>
      <c r="W534" s="17" t="s">
        <v>351</v>
      </c>
    </row>
    <row r="535" spans="2:23" ht="11.25" hidden="1" customHeight="1" x14ac:dyDescent="0.25">
      <c r="B535" s="17" t="s">
        <v>1251</v>
      </c>
      <c r="C535" s="17" t="s">
        <v>1251</v>
      </c>
      <c r="D535" s="1" t="s">
        <v>20</v>
      </c>
      <c r="E535" s="1" t="s">
        <v>21</v>
      </c>
      <c r="H535" s="1" t="s">
        <v>1252</v>
      </c>
      <c r="I535" s="1" t="s">
        <v>23</v>
      </c>
      <c r="J535" s="1" t="s">
        <v>141</v>
      </c>
      <c r="K535" s="1" t="s">
        <v>1253</v>
      </c>
      <c r="L535" s="2">
        <v>44841</v>
      </c>
      <c r="M535" s="18" t="s">
        <v>6687</v>
      </c>
      <c r="P535" s="3">
        <v>45072</v>
      </c>
      <c r="Q535" s="19" t="s">
        <v>6687</v>
      </c>
      <c r="R535" s="19"/>
      <c r="T535" s="19"/>
      <c r="V535" s="4" t="s">
        <v>23</v>
      </c>
      <c r="W535" s="1" t="s">
        <v>26</v>
      </c>
    </row>
    <row r="536" spans="2:23" ht="11.25" hidden="1" customHeight="1" x14ac:dyDescent="0.25">
      <c r="B536" s="17" t="s">
        <v>1254</v>
      </c>
      <c r="C536" s="17" t="s">
        <v>1254</v>
      </c>
      <c r="D536" s="1" t="s">
        <v>20</v>
      </c>
      <c r="E536" s="1" t="s">
        <v>28</v>
      </c>
      <c r="H536" s="1" t="s">
        <v>1255</v>
      </c>
      <c r="I536" s="1" t="s">
        <v>23</v>
      </c>
      <c r="J536" s="1" t="s">
        <v>112</v>
      </c>
      <c r="K536" s="1" t="s">
        <v>113</v>
      </c>
      <c r="L536" s="2">
        <v>44845</v>
      </c>
      <c r="M536" s="18" t="s">
        <v>6687</v>
      </c>
      <c r="T536" s="19"/>
      <c r="V536" s="4" t="s">
        <v>23</v>
      </c>
      <c r="W536" s="1" t="s">
        <v>26</v>
      </c>
    </row>
    <row r="537" spans="2:23" ht="11.25" hidden="1" customHeight="1" x14ac:dyDescent="0.25">
      <c r="B537" s="17" t="s">
        <v>1256</v>
      </c>
      <c r="C537" s="17" t="s">
        <v>1256</v>
      </c>
      <c r="D537" s="1" t="s">
        <v>20</v>
      </c>
      <c r="E537" s="1" t="s">
        <v>28</v>
      </c>
      <c r="H537" s="1" t="s">
        <v>1257</v>
      </c>
      <c r="I537" s="1" t="s">
        <v>23</v>
      </c>
      <c r="J537" s="1" t="s">
        <v>112</v>
      </c>
      <c r="K537" s="1" t="s">
        <v>113</v>
      </c>
      <c r="L537" s="2">
        <v>44868</v>
      </c>
      <c r="M537" s="18" t="s">
        <v>6687</v>
      </c>
      <c r="T537" s="19"/>
      <c r="V537" s="4" t="s">
        <v>23</v>
      </c>
      <c r="W537" s="1" t="s">
        <v>26</v>
      </c>
    </row>
    <row r="538" spans="2:23" ht="11.25" hidden="1" customHeight="1" x14ac:dyDescent="0.25">
      <c r="B538" s="17" t="s">
        <v>1258</v>
      </c>
      <c r="C538" s="17" t="s">
        <v>1258</v>
      </c>
      <c r="D538" s="1" t="s">
        <v>20</v>
      </c>
      <c r="E538" s="1" t="s">
        <v>21</v>
      </c>
      <c r="H538" s="1" t="s">
        <v>1259</v>
      </c>
      <c r="I538" s="1" t="s">
        <v>23</v>
      </c>
      <c r="J538" s="1" t="s">
        <v>1207</v>
      </c>
      <c r="K538" s="1" t="s">
        <v>1208</v>
      </c>
      <c r="L538" s="2">
        <v>44867</v>
      </c>
      <c r="M538" s="18" t="s">
        <v>6687</v>
      </c>
      <c r="P538" s="3">
        <v>45128</v>
      </c>
      <c r="Q538" s="19" t="s">
        <v>6687</v>
      </c>
      <c r="R538" s="19"/>
      <c r="T538" s="19"/>
      <c r="V538" s="4" t="s">
        <v>23</v>
      </c>
      <c r="W538" s="1" t="s">
        <v>26</v>
      </c>
    </row>
    <row r="539" spans="2:23" ht="11.25" hidden="1" customHeight="1" x14ac:dyDescent="0.25">
      <c r="B539" s="17" t="s">
        <v>1260</v>
      </c>
      <c r="C539" s="17" t="s">
        <v>1260</v>
      </c>
      <c r="D539" s="17" t="s">
        <v>348</v>
      </c>
      <c r="E539" s="1" t="s">
        <v>28</v>
      </c>
      <c r="H539" s="1" t="s">
        <v>1261</v>
      </c>
      <c r="I539" s="1" t="s">
        <v>350</v>
      </c>
      <c r="J539" s="17" t="s">
        <v>76</v>
      </c>
      <c r="K539" s="1" t="s">
        <v>161</v>
      </c>
      <c r="L539" s="2">
        <v>44896</v>
      </c>
      <c r="M539" s="18" t="s">
        <v>6687</v>
      </c>
      <c r="T539" s="19"/>
      <c r="V539" s="4" t="s">
        <v>350</v>
      </c>
      <c r="W539" s="17" t="s">
        <v>351</v>
      </c>
    </row>
    <row r="540" spans="2:23" ht="11.25" hidden="1" customHeight="1" x14ac:dyDescent="0.25">
      <c r="B540" s="17" t="s">
        <v>1262</v>
      </c>
      <c r="C540" s="17" t="s">
        <v>1262</v>
      </c>
      <c r="D540" s="17" t="s">
        <v>348</v>
      </c>
      <c r="E540" s="1" t="s">
        <v>28</v>
      </c>
      <c r="H540" s="1" t="s">
        <v>1263</v>
      </c>
      <c r="I540" s="1" t="s">
        <v>1201</v>
      </c>
      <c r="J540" s="17" t="s">
        <v>76</v>
      </c>
      <c r="K540" s="1" t="s">
        <v>161</v>
      </c>
      <c r="L540" s="2">
        <v>44924</v>
      </c>
      <c r="M540" s="18" t="s">
        <v>6687</v>
      </c>
      <c r="T540" s="19"/>
      <c r="V540" s="4" t="s">
        <v>1201</v>
      </c>
      <c r="W540" s="17" t="s">
        <v>472</v>
      </c>
    </row>
    <row r="541" spans="2:23" ht="11.25" hidden="1" customHeight="1" x14ac:dyDescent="0.25">
      <c r="B541" s="17" t="s">
        <v>1264</v>
      </c>
      <c r="C541" s="17" t="s">
        <v>1264</v>
      </c>
      <c r="D541" s="17" t="s">
        <v>348</v>
      </c>
      <c r="E541" s="1" t="s">
        <v>28</v>
      </c>
      <c r="H541" s="1" t="s">
        <v>1265</v>
      </c>
      <c r="I541" s="1" t="s">
        <v>350</v>
      </c>
      <c r="J541" s="1" t="s">
        <v>34</v>
      </c>
      <c r="K541" s="1" t="s">
        <v>365</v>
      </c>
      <c r="L541" s="2">
        <v>44896</v>
      </c>
      <c r="M541" s="18" t="s">
        <v>6687</v>
      </c>
      <c r="T541" s="19"/>
      <c r="V541" s="4" t="s">
        <v>350</v>
      </c>
      <c r="W541" s="17" t="s">
        <v>351</v>
      </c>
    </row>
    <row r="542" spans="2:23" ht="11.25" hidden="1" customHeight="1" x14ac:dyDescent="0.25">
      <c r="B542" s="17" t="s">
        <v>1266</v>
      </c>
      <c r="C542" s="17" t="s">
        <v>1266</v>
      </c>
      <c r="D542" s="1" t="s">
        <v>20</v>
      </c>
      <c r="E542" s="1" t="s">
        <v>21</v>
      </c>
      <c r="H542" s="1" t="s">
        <v>1267</v>
      </c>
      <c r="I542" s="1" t="s">
        <v>23</v>
      </c>
      <c r="J542" s="1" t="s">
        <v>141</v>
      </c>
      <c r="K542" s="1" t="s">
        <v>142</v>
      </c>
      <c r="L542" s="2">
        <v>44919</v>
      </c>
      <c r="M542" s="18" t="s">
        <v>6687</v>
      </c>
      <c r="P542" s="3">
        <v>45068</v>
      </c>
      <c r="Q542" s="19" t="s">
        <v>6687</v>
      </c>
      <c r="R542" s="19"/>
      <c r="T542" s="19"/>
      <c r="V542" s="4" t="s">
        <v>23</v>
      </c>
      <c r="W542" s="1" t="s">
        <v>26</v>
      </c>
    </row>
    <row r="543" spans="2:23" ht="11.25" hidden="1" customHeight="1" x14ac:dyDescent="0.25">
      <c r="B543" s="17" t="s">
        <v>1268</v>
      </c>
      <c r="C543" s="17" t="s">
        <v>1268</v>
      </c>
      <c r="D543" s="1" t="s">
        <v>20</v>
      </c>
      <c r="E543" s="1" t="s">
        <v>21</v>
      </c>
      <c r="H543" s="1" t="s">
        <v>1269</v>
      </c>
      <c r="I543" s="1" t="s">
        <v>23</v>
      </c>
      <c r="J543" s="1" t="s">
        <v>1207</v>
      </c>
      <c r="K543" s="1" t="s">
        <v>1208</v>
      </c>
      <c r="L543" s="2">
        <v>44919</v>
      </c>
      <c r="M543" s="18" t="s">
        <v>6687</v>
      </c>
      <c r="P543" s="3">
        <v>45075</v>
      </c>
      <c r="Q543" s="19" t="s">
        <v>6687</v>
      </c>
      <c r="R543" s="19"/>
      <c r="T543" s="19"/>
      <c r="V543" s="4" t="s">
        <v>23</v>
      </c>
      <c r="W543" s="1" t="s">
        <v>26</v>
      </c>
    </row>
    <row r="544" spans="2:23" ht="11.25" hidden="1" customHeight="1" x14ac:dyDescent="0.25">
      <c r="B544" s="17" t="s">
        <v>1270</v>
      </c>
      <c r="C544" s="17" t="s">
        <v>1270</v>
      </c>
      <c r="D544" s="1" t="s">
        <v>20</v>
      </c>
      <c r="E544" s="1" t="s">
        <v>28</v>
      </c>
      <c r="H544" s="1" t="s">
        <v>1271</v>
      </c>
      <c r="I544" s="1" t="s">
        <v>23</v>
      </c>
      <c r="J544" s="1" t="s">
        <v>61</v>
      </c>
      <c r="K544" s="1" t="s">
        <v>373</v>
      </c>
      <c r="L544" s="2">
        <v>44916</v>
      </c>
      <c r="M544" s="18" t="s">
        <v>6687</v>
      </c>
      <c r="T544" s="19"/>
      <c r="V544" s="4" t="s">
        <v>23</v>
      </c>
      <c r="W544" s="1" t="s">
        <v>26</v>
      </c>
    </row>
    <row r="545" spans="2:23" ht="11.25" hidden="1" customHeight="1" x14ac:dyDescent="0.25">
      <c r="B545" s="17" t="s">
        <v>1272</v>
      </c>
      <c r="C545" s="17" t="s">
        <v>1272</v>
      </c>
      <c r="D545" s="1" t="s">
        <v>20</v>
      </c>
      <c r="E545" s="1" t="s">
        <v>28</v>
      </c>
      <c r="H545" s="1" t="s">
        <v>1273</v>
      </c>
      <c r="I545" s="1" t="s">
        <v>23</v>
      </c>
      <c r="J545" s="17" t="s">
        <v>76</v>
      </c>
      <c r="K545" s="1" t="s">
        <v>161</v>
      </c>
      <c r="L545" s="2">
        <v>44917</v>
      </c>
      <c r="M545" s="18" t="s">
        <v>6687</v>
      </c>
      <c r="T545" s="19"/>
      <c r="V545" s="4" t="s">
        <v>23</v>
      </c>
      <c r="W545" s="1" t="s">
        <v>26</v>
      </c>
    </row>
    <row r="546" spans="2:23" ht="11.25" hidden="1" customHeight="1" x14ac:dyDescent="0.25">
      <c r="B546" s="17" t="s">
        <v>1274</v>
      </c>
      <c r="C546" s="17" t="s">
        <v>1274</v>
      </c>
      <c r="D546" s="1" t="s">
        <v>20</v>
      </c>
      <c r="E546" s="1" t="s">
        <v>21</v>
      </c>
      <c r="H546" s="1" t="s">
        <v>1275</v>
      </c>
      <c r="I546" s="1" t="s">
        <v>23</v>
      </c>
      <c r="J546" s="1" t="s">
        <v>141</v>
      </c>
      <c r="K546" s="1" t="s">
        <v>142</v>
      </c>
      <c r="L546" s="2">
        <v>44902</v>
      </c>
      <c r="M546" s="18" t="s">
        <v>6687</v>
      </c>
      <c r="P546" s="3">
        <v>45363</v>
      </c>
      <c r="Q546" s="19" t="s">
        <v>6687</v>
      </c>
      <c r="R546" s="19" t="s">
        <v>47</v>
      </c>
      <c r="S546" s="19" t="s">
        <v>1276</v>
      </c>
      <c r="T546" s="19"/>
      <c r="V546" s="4" t="s">
        <v>23</v>
      </c>
      <c r="W546" s="1" t="s">
        <v>26</v>
      </c>
    </row>
    <row r="547" spans="2:23" ht="11.25" hidden="1" customHeight="1" x14ac:dyDescent="0.25">
      <c r="B547" s="17" t="s">
        <v>1277</v>
      </c>
      <c r="C547" s="17" t="s">
        <v>1277</v>
      </c>
      <c r="D547" s="1" t="s">
        <v>20</v>
      </c>
      <c r="E547" s="1" t="s">
        <v>21</v>
      </c>
      <c r="H547" s="1" t="s">
        <v>1278</v>
      </c>
      <c r="I547" s="1" t="s">
        <v>23</v>
      </c>
      <c r="J547" s="1" t="s">
        <v>183</v>
      </c>
      <c r="K547" s="1" t="s">
        <v>436</v>
      </c>
      <c r="L547" s="2">
        <v>44899</v>
      </c>
      <c r="M547" s="18" t="s">
        <v>6687</v>
      </c>
      <c r="P547" s="3">
        <v>45621</v>
      </c>
      <c r="Q547" s="19" t="s">
        <v>6687</v>
      </c>
      <c r="R547" s="19" t="s">
        <v>47</v>
      </c>
      <c r="S547" s="19" t="s">
        <v>1279</v>
      </c>
      <c r="T547" s="19"/>
      <c r="V547" s="4" t="s">
        <v>23</v>
      </c>
      <c r="W547" s="1" t="s">
        <v>26</v>
      </c>
    </row>
    <row r="548" spans="2:23" ht="11.25" hidden="1" customHeight="1" x14ac:dyDescent="0.25">
      <c r="B548" s="17" t="s">
        <v>1280</v>
      </c>
      <c r="C548" s="17" t="s">
        <v>1280</v>
      </c>
      <c r="D548" s="17" t="s">
        <v>348</v>
      </c>
      <c r="E548" s="1" t="s">
        <v>28</v>
      </c>
      <c r="H548" s="1" t="s">
        <v>1281</v>
      </c>
      <c r="I548" s="1" t="s">
        <v>350</v>
      </c>
      <c r="J548" s="1" t="s">
        <v>61</v>
      </c>
      <c r="K548" s="1" t="s">
        <v>373</v>
      </c>
      <c r="L548" s="2">
        <v>44869</v>
      </c>
      <c r="M548" s="18" t="s">
        <v>6687</v>
      </c>
      <c r="T548" s="19"/>
      <c r="V548" s="4" t="s">
        <v>350</v>
      </c>
      <c r="W548" s="17" t="s">
        <v>351</v>
      </c>
    </row>
    <row r="549" spans="2:23" ht="11.25" hidden="1" customHeight="1" x14ac:dyDescent="0.25">
      <c r="B549" s="17" t="s">
        <v>1282</v>
      </c>
      <c r="C549" s="17" t="s">
        <v>1282</v>
      </c>
      <c r="D549" s="17" t="s">
        <v>348</v>
      </c>
      <c r="E549" s="1" t="s">
        <v>21</v>
      </c>
      <c r="H549" s="1" t="s">
        <v>1283</v>
      </c>
      <c r="I549" s="1" t="s">
        <v>350</v>
      </c>
      <c r="J549" s="1" t="s">
        <v>141</v>
      </c>
      <c r="K549" s="1" t="s">
        <v>142</v>
      </c>
      <c r="L549" s="2">
        <v>44893</v>
      </c>
      <c r="M549" s="18" t="s">
        <v>6687</v>
      </c>
      <c r="P549" s="3">
        <v>45536</v>
      </c>
      <c r="Q549" s="19" t="s">
        <v>6687</v>
      </c>
      <c r="R549" s="19" t="s">
        <v>47</v>
      </c>
      <c r="S549" s="19" t="s">
        <v>1284</v>
      </c>
      <c r="T549" s="19"/>
      <c r="V549" s="4" t="s">
        <v>350</v>
      </c>
      <c r="W549" s="17" t="s">
        <v>351</v>
      </c>
    </row>
    <row r="550" spans="2:23" ht="11.25" hidden="1" customHeight="1" x14ac:dyDescent="0.25">
      <c r="B550" s="17" t="s">
        <v>1285</v>
      </c>
      <c r="C550" s="17" t="s">
        <v>1285</v>
      </c>
      <c r="D550" s="17" t="s">
        <v>348</v>
      </c>
      <c r="E550" s="1" t="s">
        <v>28</v>
      </c>
      <c r="H550" s="1" t="s">
        <v>1286</v>
      </c>
      <c r="I550" s="1" t="s">
        <v>350</v>
      </c>
      <c r="J550" s="1" t="s">
        <v>34</v>
      </c>
      <c r="K550" s="1" t="s">
        <v>365</v>
      </c>
      <c r="L550" s="2">
        <v>44891</v>
      </c>
      <c r="M550" s="18" t="s">
        <v>6687</v>
      </c>
      <c r="T550" s="19"/>
      <c r="V550" s="4" t="s">
        <v>350</v>
      </c>
      <c r="W550" s="17" t="s">
        <v>351</v>
      </c>
    </row>
    <row r="551" spans="2:23" ht="11.25" hidden="1" customHeight="1" x14ac:dyDescent="0.25">
      <c r="B551" s="17" t="s">
        <v>1287</v>
      </c>
      <c r="C551" s="17" t="s">
        <v>1287</v>
      </c>
      <c r="D551" s="17" t="s">
        <v>348</v>
      </c>
      <c r="E551" s="1" t="s">
        <v>28</v>
      </c>
      <c r="H551" s="1" t="s">
        <v>1288</v>
      </c>
      <c r="I551" s="1" t="s">
        <v>350</v>
      </c>
      <c r="J551" s="1" t="s">
        <v>141</v>
      </c>
      <c r="K551" s="1" t="s">
        <v>142</v>
      </c>
      <c r="L551" s="2">
        <v>44875</v>
      </c>
      <c r="M551" s="18" t="s">
        <v>6687</v>
      </c>
      <c r="T551" s="19"/>
      <c r="V551" s="4" t="s">
        <v>350</v>
      </c>
      <c r="W551" s="17" t="s">
        <v>351</v>
      </c>
    </row>
    <row r="552" spans="2:23" ht="11.25" hidden="1" customHeight="1" x14ac:dyDescent="0.25">
      <c r="B552" s="17" t="s">
        <v>1289</v>
      </c>
      <c r="C552" s="17" t="s">
        <v>1289</v>
      </c>
      <c r="D552" s="17" t="s">
        <v>348</v>
      </c>
      <c r="E552" s="1" t="s">
        <v>28</v>
      </c>
      <c r="H552" s="1" t="s">
        <v>1290</v>
      </c>
      <c r="I552" s="1" t="s">
        <v>350</v>
      </c>
      <c r="J552" s="1" t="s">
        <v>112</v>
      </c>
      <c r="K552" s="1" t="s">
        <v>113</v>
      </c>
      <c r="L552" s="2">
        <v>44890</v>
      </c>
      <c r="M552" s="18" t="s">
        <v>6687</v>
      </c>
      <c r="T552" s="19"/>
      <c r="V552" s="4" t="s">
        <v>350</v>
      </c>
      <c r="W552" s="17" t="s">
        <v>351</v>
      </c>
    </row>
    <row r="553" spans="2:23" ht="11.25" hidden="1" customHeight="1" x14ac:dyDescent="0.25">
      <c r="B553" s="17" t="s">
        <v>1291</v>
      </c>
      <c r="C553" s="17" t="s">
        <v>1291</v>
      </c>
      <c r="D553" s="17" t="s">
        <v>348</v>
      </c>
      <c r="E553" s="1" t="s">
        <v>28</v>
      </c>
      <c r="H553" s="1" t="s">
        <v>1292</v>
      </c>
      <c r="I553" s="1" t="s">
        <v>350</v>
      </c>
      <c r="J553" s="1" t="s">
        <v>61</v>
      </c>
      <c r="K553" s="1" t="s">
        <v>373</v>
      </c>
      <c r="L553" s="2">
        <v>44883</v>
      </c>
      <c r="M553" s="18" t="s">
        <v>6687</v>
      </c>
      <c r="T553" s="19"/>
      <c r="V553" s="4" t="s">
        <v>350</v>
      </c>
      <c r="W553" s="17" t="s">
        <v>351</v>
      </c>
    </row>
    <row r="554" spans="2:23" ht="11.25" hidden="1" customHeight="1" x14ac:dyDescent="0.25">
      <c r="B554" s="17" t="s">
        <v>1293</v>
      </c>
      <c r="C554" s="17" t="s">
        <v>1293</v>
      </c>
      <c r="D554" s="1" t="s">
        <v>20</v>
      </c>
      <c r="E554" s="1" t="s">
        <v>21</v>
      </c>
      <c r="H554" s="1" t="s">
        <v>1294</v>
      </c>
      <c r="I554" s="1" t="s">
        <v>23</v>
      </c>
      <c r="J554" s="1" t="s">
        <v>1207</v>
      </c>
      <c r="K554" s="1" t="s">
        <v>1208</v>
      </c>
      <c r="L554" s="2">
        <v>44919</v>
      </c>
      <c r="M554" s="18" t="s">
        <v>6687</v>
      </c>
      <c r="P554" s="3">
        <v>45039</v>
      </c>
      <c r="Q554" s="19" t="s">
        <v>6687</v>
      </c>
      <c r="R554" s="19"/>
      <c r="T554" s="19"/>
      <c r="V554" s="4" t="s">
        <v>23</v>
      </c>
      <c r="W554" s="1" t="s">
        <v>26</v>
      </c>
    </row>
    <row r="555" spans="2:23" ht="11.25" hidden="1" customHeight="1" x14ac:dyDescent="0.25">
      <c r="B555" s="17" t="s">
        <v>1295</v>
      </c>
      <c r="C555" s="17" t="s">
        <v>1295</v>
      </c>
      <c r="D555" s="1" t="s">
        <v>20</v>
      </c>
      <c r="E555" s="1" t="s">
        <v>28</v>
      </c>
      <c r="H555" s="1" t="s">
        <v>1296</v>
      </c>
      <c r="I555" s="1" t="s">
        <v>23</v>
      </c>
      <c r="J555" s="1" t="s">
        <v>183</v>
      </c>
      <c r="K555" s="1" t="s">
        <v>436</v>
      </c>
      <c r="L555" s="2">
        <v>44900</v>
      </c>
      <c r="M555" s="18" t="s">
        <v>6687</v>
      </c>
      <c r="T555" s="19"/>
      <c r="V555" s="4" t="s">
        <v>23</v>
      </c>
      <c r="W555" s="1" t="s">
        <v>26</v>
      </c>
    </row>
    <row r="556" spans="2:23" ht="11.25" hidden="1" customHeight="1" x14ac:dyDescent="0.25">
      <c r="B556" s="17" t="s">
        <v>724</v>
      </c>
      <c r="C556" s="17" t="s">
        <v>724</v>
      </c>
      <c r="D556" s="1" t="s">
        <v>20</v>
      </c>
      <c r="E556" s="1" t="s">
        <v>21</v>
      </c>
      <c r="H556" s="1" t="s">
        <v>1297</v>
      </c>
      <c r="I556" s="1" t="s">
        <v>23</v>
      </c>
      <c r="J556" s="1" t="s">
        <v>65</v>
      </c>
      <c r="K556" s="17" t="s">
        <v>66</v>
      </c>
      <c r="L556" s="2">
        <v>44940</v>
      </c>
      <c r="M556" s="18" t="s">
        <v>6687</v>
      </c>
      <c r="P556" s="3">
        <v>45323</v>
      </c>
      <c r="Q556" s="19" t="s">
        <v>6687</v>
      </c>
      <c r="R556" s="19" t="s">
        <v>47</v>
      </c>
      <c r="S556" s="19" t="s">
        <v>720</v>
      </c>
      <c r="T556" s="19"/>
      <c r="V556" s="4" t="s">
        <v>23</v>
      </c>
      <c r="W556" s="1" t="s">
        <v>26</v>
      </c>
    </row>
    <row r="557" spans="2:23" ht="11.25" hidden="1" customHeight="1" x14ac:dyDescent="0.25">
      <c r="B557" s="17" t="s">
        <v>1298</v>
      </c>
      <c r="C557" s="17" t="s">
        <v>1298</v>
      </c>
      <c r="D557" s="17" t="s">
        <v>348</v>
      </c>
      <c r="E557" s="1" t="s">
        <v>28</v>
      </c>
      <c r="H557" s="1" t="s">
        <v>1299</v>
      </c>
      <c r="I557" s="1" t="s">
        <v>350</v>
      </c>
      <c r="J557" s="1" t="s">
        <v>141</v>
      </c>
      <c r="K557" s="1" t="s">
        <v>142</v>
      </c>
      <c r="L557" s="2">
        <v>44951</v>
      </c>
      <c r="M557" s="18" t="s">
        <v>6687</v>
      </c>
      <c r="T557" s="19"/>
      <c r="V557" s="4" t="s">
        <v>350</v>
      </c>
      <c r="W557" s="17" t="s">
        <v>351</v>
      </c>
    </row>
    <row r="558" spans="2:23" ht="11.25" hidden="1" customHeight="1" x14ac:dyDescent="0.25">
      <c r="B558" s="17" t="s">
        <v>1300</v>
      </c>
      <c r="C558" s="17" t="s">
        <v>1300</v>
      </c>
      <c r="D558" s="17" t="s">
        <v>348</v>
      </c>
      <c r="E558" s="1" t="s">
        <v>28</v>
      </c>
      <c r="H558" s="1" t="s">
        <v>1301</v>
      </c>
      <c r="I558" s="1" t="s">
        <v>350</v>
      </c>
      <c r="J558" s="1" t="s">
        <v>34</v>
      </c>
      <c r="K558" s="1" t="s">
        <v>365</v>
      </c>
      <c r="L558" s="2">
        <v>44951</v>
      </c>
      <c r="M558" s="18" t="s">
        <v>6687</v>
      </c>
      <c r="T558" s="19"/>
      <c r="V558" s="4" t="s">
        <v>350</v>
      </c>
      <c r="W558" s="17" t="s">
        <v>351</v>
      </c>
    </row>
    <row r="559" spans="2:23" ht="11.25" hidden="1" customHeight="1" x14ac:dyDescent="0.25">
      <c r="B559" s="17" t="s">
        <v>1302</v>
      </c>
      <c r="C559" s="17" t="s">
        <v>1302</v>
      </c>
      <c r="D559" s="17" t="s">
        <v>348</v>
      </c>
      <c r="E559" s="1" t="s">
        <v>21</v>
      </c>
      <c r="H559" s="1" t="s">
        <v>1303</v>
      </c>
      <c r="I559" s="1" t="s">
        <v>350</v>
      </c>
      <c r="J559" s="1" t="s">
        <v>112</v>
      </c>
      <c r="K559" s="1" t="s">
        <v>113</v>
      </c>
      <c r="L559" s="2">
        <v>44941</v>
      </c>
      <c r="M559" s="18" t="s">
        <v>6687</v>
      </c>
      <c r="P559" s="3">
        <v>45545</v>
      </c>
      <c r="Q559" s="19" t="s">
        <v>6687</v>
      </c>
      <c r="R559" s="19" t="s">
        <v>47</v>
      </c>
      <c r="S559" s="19" t="s">
        <v>1304</v>
      </c>
      <c r="T559" s="19"/>
      <c r="V559" s="4" t="s">
        <v>350</v>
      </c>
      <c r="W559" s="17" t="s">
        <v>351</v>
      </c>
    </row>
    <row r="560" spans="2:23" ht="11.25" hidden="1" customHeight="1" x14ac:dyDescent="0.25">
      <c r="B560" s="17" t="s">
        <v>1305</v>
      </c>
      <c r="C560" s="17" t="s">
        <v>1305</v>
      </c>
      <c r="D560" s="17" t="s">
        <v>348</v>
      </c>
      <c r="E560" s="1" t="s">
        <v>28</v>
      </c>
      <c r="H560" s="1" t="s">
        <v>1306</v>
      </c>
      <c r="I560" s="1" t="s">
        <v>350</v>
      </c>
      <c r="J560" s="1" t="s">
        <v>112</v>
      </c>
      <c r="K560" s="1" t="s">
        <v>113</v>
      </c>
      <c r="L560" s="2">
        <v>44951</v>
      </c>
      <c r="M560" s="18" t="s">
        <v>6687</v>
      </c>
      <c r="T560" s="19"/>
      <c r="V560" s="4" t="s">
        <v>350</v>
      </c>
      <c r="W560" s="17" t="s">
        <v>351</v>
      </c>
    </row>
    <row r="561" spans="2:25" ht="11.25" hidden="1" customHeight="1" x14ac:dyDescent="0.25">
      <c r="B561" s="17" t="s">
        <v>1307</v>
      </c>
      <c r="C561" s="17" t="s">
        <v>1307</v>
      </c>
      <c r="D561" s="17" t="s">
        <v>348</v>
      </c>
      <c r="E561" s="1" t="s">
        <v>28</v>
      </c>
      <c r="H561" s="1" t="s">
        <v>1308</v>
      </c>
      <c r="I561" s="1" t="s">
        <v>350</v>
      </c>
      <c r="J561" s="1" t="s">
        <v>61</v>
      </c>
      <c r="K561" s="1" t="s">
        <v>373</v>
      </c>
      <c r="L561" s="2">
        <v>44945</v>
      </c>
      <c r="M561" s="18" t="s">
        <v>6687</v>
      </c>
      <c r="T561" s="19"/>
      <c r="V561" s="4" t="s">
        <v>350</v>
      </c>
      <c r="W561" s="17" t="s">
        <v>351</v>
      </c>
    </row>
    <row r="562" spans="2:25" ht="11.25" hidden="1" customHeight="1" x14ac:dyDescent="0.25">
      <c r="B562" s="17" t="s">
        <v>1309</v>
      </c>
      <c r="C562" s="17" t="s">
        <v>1309</v>
      </c>
      <c r="D562" s="1" t="s">
        <v>20</v>
      </c>
      <c r="E562" s="1" t="s">
        <v>28</v>
      </c>
      <c r="H562" s="1" t="s">
        <v>1310</v>
      </c>
      <c r="I562" s="1" t="s">
        <v>23</v>
      </c>
      <c r="J562" s="1" t="s">
        <v>1311</v>
      </c>
      <c r="K562" s="1" t="s">
        <v>1312</v>
      </c>
      <c r="L562" s="2">
        <v>44927</v>
      </c>
      <c r="M562" s="18" t="s">
        <v>6687</v>
      </c>
      <c r="T562" s="19"/>
      <c r="V562" s="4" t="s">
        <v>23</v>
      </c>
      <c r="W562" s="1" t="s">
        <v>26</v>
      </c>
    </row>
    <row r="563" spans="2:25" ht="11.25" hidden="1" customHeight="1" x14ac:dyDescent="0.25">
      <c r="B563" s="17" t="s">
        <v>1313</v>
      </c>
      <c r="C563" s="17" t="s">
        <v>1313</v>
      </c>
      <c r="D563" s="17" t="s">
        <v>348</v>
      </c>
      <c r="E563" s="1" t="s">
        <v>28</v>
      </c>
      <c r="H563" s="1" t="s">
        <v>1314</v>
      </c>
      <c r="I563" s="1" t="s">
        <v>350</v>
      </c>
      <c r="J563" s="17" t="s">
        <v>76</v>
      </c>
      <c r="K563" s="1" t="s">
        <v>161</v>
      </c>
      <c r="L563" s="2">
        <v>44951</v>
      </c>
      <c r="M563" s="18" t="s">
        <v>6687</v>
      </c>
      <c r="T563" s="19"/>
      <c r="V563" s="4" t="s">
        <v>350</v>
      </c>
      <c r="W563" s="17" t="s">
        <v>351</v>
      </c>
    </row>
    <row r="564" spans="2:25" ht="11.25" hidden="1" customHeight="1" x14ac:dyDescent="0.25">
      <c r="B564" s="17" t="s">
        <v>1315</v>
      </c>
      <c r="C564" s="17" t="s">
        <v>1315</v>
      </c>
      <c r="D564" s="17" t="s">
        <v>20</v>
      </c>
      <c r="E564" s="17" t="s">
        <v>21</v>
      </c>
      <c r="F564" s="17"/>
      <c r="G564" s="17"/>
      <c r="H564" s="17" t="s">
        <v>1316</v>
      </c>
      <c r="I564" s="17" t="s">
        <v>23</v>
      </c>
      <c r="J564" s="17" t="s">
        <v>76</v>
      </c>
      <c r="K564" s="17" t="s">
        <v>77</v>
      </c>
      <c r="L564" s="18">
        <v>42328</v>
      </c>
      <c r="M564" s="18" t="s">
        <v>6687</v>
      </c>
      <c r="N564" s="18"/>
      <c r="O564" s="18"/>
      <c r="P564" s="19">
        <v>45727</v>
      </c>
      <c r="Q564" s="19" t="s">
        <v>6687</v>
      </c>
      <c r="R564" s="19" t="s">
        <v>40</v>
      </c>
      <c r="S564" s="19"/>
      <c r="T564" s="19"/>
      <c r="U564" s="18"/>
      <c r="V564" s="17" t="s">
        <v>23</v>
      </c>
      <c r="W564" s="17" t="s">
        <v>26</v>
      </c>
      <c r="Y564" s="4"/>
    </row>
    <row r="565" spans="2:25" ht="11.25" hidden="1" customHeight="1" x14ac:dyDescent="0.25">
      <c r="B565" s="17" t="s">
        <v>1317</v>
      </c>
      <c r="C565" s="17" t="s">
        <v>1317</v>
      </c>
      <c r="D565" s="1" t="s">
        <v>20</v>
      </c>
      <c r="E565" s="1" t="s">
        <v>28</v>
      </c>
      <c r="H565" s="1" t="s">
        <v>1318</v>
      </c>
      <c r="I565" s="1" t="s">
        <v>23</v>
      </c>
      <c r="J565" s="1" t="s">
        <v>1319</v>
      </c>
      <c r="K565" s="1" t="s">
        <v>1320</v>
      </c>
      <c r="L565" s="2">
        <v>44971</v>
      </c>
      <c r="M565" s="18" t="s">
        <v>6687</v>
      </c>
      <c r="T565" s="19"/>
      <c r="V565" s="4" t="s">
        <v>23</v>
      </c>
      <c r="W565" s="1" t="s">
        <v>26</v>
      </c>
    </row>
    <row r="566" spans="2:25" ht="11.25" hidden="1" customHeight="1" x14ac:dyDescent="0.25">
      <c r="B566" s="17" t="s">
        <v>1321</v>
      </c>
      <c r="C566" s="17" t="s">
        <v>1321</v>
      </c>
      <c r="D566" s="17" t="s">
        <v>348</v>
      </c>
      <c r="E566" s="1" t="s">
        <v>21</v>
      </c>
      <c r="H566" s="1" t="s">
        <v>1322</v>
      </c>
      <c r="I566" s="1" t="s">
        <v>350</v>
      </c>
      <c r="J566" s="1" t="s">
        <v>51</v>
      </c>
      <c r="K566" s="1" t="s">
        <v>370</v>
      </c>
      <c r="L566" s="2">
        <v>44965</v>
      </c>
      <c r="M566" s="18" t="s">
        <v>6687</v>
      </c>
      <c r="P566" s="3">
        <v>45166</v>
      </c>
      <c r="Q566" s="19" t="s">
        <v>6687</v>
      </c>
      <c r="R566" s="19"/>
      <c r="T566" s="19"/>
      <c r="V566" s="4" t="s">
        <v>350</v>
      </c>
      <c r="W566" s="17" t="s">
        <v>351</v>
      </c>
    </row>
    <row r="567" spans="2:25" ht="11.25" hidden="1" customHeight="1" x14ac:dyDescent="0.25">
      <c r="B567" s="17" t="s">
        <v>1323</v>
      </c>
      <c r="C567" s="17" t="s">
        <v>1323</v>
      </c>
      <c r="D567" s="1" t="s">
        <v>20</v>
      </c>
      <c r="E567" s="1" t="s">
        <v>21</v>
      </c>
      <c r="H567" s="1" t="s">
        <v>1324</v>
      </c>
      <c r="I567" s="1" t="s">
        <v>23</v>
      </c>
      <c r="J567" s="1" t="s">
        <v>1311</v>
      </c>
      <c r="K567" s="1" t="s">
        <v>1312</v>
      </c>
      <c r="L567" s="2">
        <v>44977</v>
      </c>
      <c r="M567" s="18" t="s">
        <v>6687</v>
      </c>
      <c r="P567" s="3">
        <v>45225</v>
      </c>
      <c r="Q567" s="19" t="s">
        <v>6687</v>
      </c>
      <c r="R567" s="19"/>
      <c r="T567" s="19"/>
      <c r="V567" s="4" t="s">
        <v>23</v>
      </c>
      <c r="W567" s="1" t="s">
        <v>26</v>
      </c>
    </row>
    <row r="568" spans="2:25" ht="11.25" hidden="1" customHeight="1" x14ac:dyDescent="0.25">
      <c r="B568" s="17" t="s">
        <v>1325</v>
      </c>
      <c r="C568" s="17" t="s">
        <v>1325</v>
      </c>
      <c r="D568" s="1" t="s">
        <v>20</v>
      </c>
      <c r="E568" s="1" t="s">
        <v>28</v>
      </c>
      <c r="H568" s="1" t="s">
        <v>1326</v>
      </c>
      <c r="I568" s="1" t="s">
        <v>1327</v>
      </c>
      <c r="J568" s="1" t="s">
        <v>112</v>
      </c>
      <c r="K568" s="1" t="s">
        <v>113</v>
      </c>
      <c r="L568" s="2">
        <v>44963</v>
      </c>
      <c r="M568" s="18" t="s">
        <v>6687</v>
      </c>
      <c r="T568" s="19"/>
      <c r="V568" s="4" t="s">
        <v>1327</v>
      </c>
      <c r="W568" s="17" t="s">
        <v>107</v>
      </c>
    </row>
    <row r="569" spans="2:25" ht="11.25" hidden="1" customHeight="1" x14ac:dyDescent="0.25">
      <c r="B569" s="17" t="s">
        <v>1328</v>
      </c>
      <c r="C569" s="17" t="s">
        <v>1328</v>
      </c>
      <c r="D569" s="1" t="s">
        <v>20</v>
      </c>
      <c r="E569" s="1" t="s">
        <v>21</v>
      </c>
      <c r="H569" s="1" t="s">
        <v>1329</v>
      </c>
      <c r="I569" s="1" t="s">
        <v>1036</v>
      </c>
      <c r="J569" s="1" t="s">
        <v>112</v>
      </c>
      <c r="K569" s="1" t="s">
        <v>113</v>
      </c>
      <c r="L569" s="2">
        <v>44963</v>
      </c>
      <c r="M569" s="18" t="s">
        <v>6687</v>
      </c>
      <c r="P569" s="3">
        <v>45474</v>
      </c>
      <c r="Q569" s="19" t="s">
        <v>6687</v>
      </c>
      <c r="R569" s="19" t="s">
        <v>47</v>
      </c>
      <c r="S569" s="19"/>
      <c r="T569" s="19" t="s">
        <v>1041</v>
      </c>
      <c r="V569" s="4" t="s">
        <v>1036</v>
      </c>
      <c r="W569" s="17" t="s">
        <v>107</v>
      </c>
    </row>
    <row r="570" spans="2:25" ht="11.25" hidden="1" customHeight="1" x14ac:dyDescent="0.25">
      <c r="B570" s="17" t="s">
        <v>1330</v>
      </c>
      <c r="C570" s="17" t="s">
        <v>1330</v>
      </c>
      <c r="D570" s="1" t="s">
        <v>20</v>
      </c>
      <c r="E570" s="1" t="s">
        <v>21</v>
      </c>
      <c r="H570" s="1" t="s">
        <v>1331</v>
      </c>
      <c r="I570" s="1" t="s">
        <v>140</v>
      </c>
      <c r="J570" s="1" t="s">
        <v>112</v>
      </c>
      <c r="K570" s="1" t="s">
        <v>113</v>
      </c>
      <c r="L570" s="2">
        <v>44963</v>
      </c>
      <c r="M570" s="18" t="s">
        <v>6687</v>
      </c>
      <c r="P570" s="3">
        <v>45550</v>
      </c>
      <c r="Q570" s="19" t="s">
        <v>6687</v>
      </c>
      <c r="R570" s="19" t="s">
        <v>40</v>
      </c>
      <c r="T570" s="19" t="s">
        <v>246</v>
      </c>
      <c r="V570" s="4" t="s">
        <v>140</v>
      </c>
      <c r="W570" s="17" t="s">
        <v>107</v>
      </c>
    </row>
    <row r="571" spans="2:25" ht="11.25" hidden="1" customHeight="1" x14ac:dyDescent="0.25">
      <c r="B571" s="17" t="s">
        <v>1332</v>
      </c>
      <c r="C571" s="17" t="s">
        <v>1332</v>
      </c>
      <c r="D571" s="1" t="s">
        <v>20</v>
      </c>
      <c r="E571" s="1" t="s">
        <v>21</v>
      </c>
      <c r="H571" s="1" t="s">
        <v>1333</v>
      </c>
      <c r="I571" s="1" t="s">
        <v>400</v>
      </c>
      <c r="J571" s="1" t="s">
        <v>112</v>
      </c>
      <c r="K571" s="1" t="s">
        <v>113</v>
      </c>
      <c r="L571" s="2">
        <v>44963</v>
      </c>
      <c r="M571" s="18" t="s">
        <v>6687</v>
      </c>
      <c r="P571" s="3">
        <v>45514</v>
      </c>
      <c r="Q571" s="19" t="s">
        <v>6687</v>
      </c>
      <c r="R571" s="19" t="s">
        <v>47</v>
      </c>
      <c r="S571" s="19" t="s">
        <v>1334</v>
      </c>
      <c r="T571" s="19" t="s">
        <v>232</v>
      </c>
      <c r="V571" s="4" t="s">
        <v>400</v>
      </c>
      <c r="W571" s="17" t="s">
        <v>107</v>
      </c>
    </row>
    <row r="572" spans="2:25" ht="11.25" hidden="1" customHeight="1" x14ac:dyDescent="0.25">
      <c r="B572" s="17" t="s">
        <v>1335</v>
      </c>
      <c r="C572" s="17" t="s">
        <v>1335</v>
      </c>
      <c r="D572" s="1" t="s">
        <v>20</v>
      </c>
      <c r="E572" s="1" t="s">
        <v>21</v>
      </c>
      <c r="H572" s="1" t="s">
        <v>1336</v>
      </c>
      <c r="I572" s="1" t="s">
        <v>23</v>
      </c>
      <c r="J572" s="1" t="s">
        <v>76</v>
      </c>
      <c r="K572" s="1" t="s">
        <v>161</v>
      </c>
      <c r="L572" s="2">
        <v>44993</v>
      </c>
      <c r="M572" s="18" t="s">
        <v>6687</v>
      </c>
      <c r="P572" s="3">
        <v>45348</v>
      </c>
      <c r="Q572" s="19" t="s">
        <v>6687</v>
      </c>
      <c r="R572" s="19" t="s">
        <v>47</v>
      </c>
      <c r="S572" s="19" t="s">
        <v>1337</v>
      </c>
      <c r="T572" s="19" t="s">
        <v>1112</v>
      </c>
      <c r="V572" s="4" t="s">
        <v>23</v>
      </c>
      <c r="W572" s="1" t="s">
        <v>26</v>
      </c>
    </row>
    <row r="573" spans="2:25" ht="11.25" hidden="1" customHeight="1" x14ac:dyDescent="0.25">
      <c r="B573" s="17" t="s">
        <v>1338</v>
      </c>
      <c r="C573" s="17" t="s">
        <v>1338</v>
      </c>
      <c r="D573" s="1" t="s">
        <v>20</v>
      </c>
      <c r="E573" s="1" t="s">
        <v>28</v>
      </c>
      <c r="H573" s="1" t="s">
        <v>1339</v>
      </c>
      <c r="I573" s="1" t="s">
        <v>23</v>
      </c>
      <c r="J573" s="17" t="s">
        <v>76</v>
      </c>
      <c r="K573" s="1" t="s">
        <v>161</v>
      </c>
      <c r="L573" s="2">
        <v>44993</v>
      </c>
      <c r="M573" s="18" t="s">
        <v>6687</v>
      </c>
      <c r="T573" s="19"/>
      <c r="V573" s="4" t="s">
        <v>23</v>
      </c>
      <c r="W573" s="1" t="s">
        <v>26</v>
      </c>
    </row>
    <row r="574" spans="2:25" ht="11.25" hidden="1" customHeight="1" x14ac:dyDescent="0.25">
      <c r="B574" s="17" t="s">
        <v>1340</v>
      </c>
      <c r="C574" s="17" t="s">
        <v>1340</v>
      </c>
      <c r="D574" s="17" t="s">
        <v>20</v>
      </c>
      <c r="E574" s="1" t="s">
        <v>28</v>
      </c>
      <c r="H574" s="1" t="s">
        <v>1341</v>
      </c>
      <c r="I574" s="1" t="s">
        <v>23</v>
      </c>
      <c r="J574" s="1" t="s">
        <v>34</v>
      </c>
      <c r="K574" s="1" t="s">
        <v>365</v>
      </c>
      <c r="L574" s="2">
        <v>44993</v>
      </c>
      <c r="M574" s="18" t="s">
        <v>6687</v>
      </c>
      <c r="T574" s="19"/>
      <c r="V574" s="4" t="s">
        <v>23</v>
      </c>
      <c r="W574" s="1" t="s">
        <v>26</v>
      </c>
    </row>
    <row r="575" spans="2:25" ht="11.25" hidden="1" customHeight="1" x14ac:dyDescent="0.25">
      <c r="B575" s="17" t="s">
        <v>1342</v>
      </c>
      <c r="C575" s="17" t="s">
        <v>1342</v>
      </c>
      <c r="D575" s="17" t="s">
        <v>348</v>
      </c>
      <c r="E575" s="17" t="s">
        <v>21</v>
      </c>
      <c r="F575" s="17"/>
      <c r="G575" s="17"/>
      <c r="H575" s="1" t="s">
        <v>1343</v>
      </c>
      <c r="I575" s="1" t="s">
        <v>350</v>
      </c>
      <c r="J575" s="1" t="s">
        <v>61</v>
      </c>
      <c r="K575" s="1" t="s">
        <v>373</v>
      </c>
      <c r="L575" s="2">
        <v>44999</v>
      </c>
      <c r="M575" s="18" t="s">
        <v>6687</v>
      </c>
      <c r="P575" s="30">
        <v>45291</v>
      </c>
      <c r="Q575" s="19" t="s">
        <v>6687</v>
      </c>
      <c r="R575" s="19"/>
      <c r="S575" s="30"/>
      <c r="T575" s="19"/>
      <c r="V575" s="4" t="s">
        <v>350</v>
      </c>
      <c r="W575" s="17" t="s">
        <v>351</v>
      </c>
    </row>
    <row r="576" spans="2:25" ht="11.25" hidden="1" customHeight="1" x14ac:dyDescent="0.25">
      <c r="B576" s="17" t="s">
        <v>1344</v>
      </c>
      <c r="C576" s="17" t="s">
        <v>1344</v>
      </c>
      <c r="D576" s="1" t="s">
        <v>20</v>
      </c>
      <c r="E576" s="1" t="s">
        <v>21</v>
      </c>
      <c r="H576" s="1" t="s">
        <v>1345</v>
      </c>
      <c r="I576" s="1" t="s">
        <v>23</v>
      </c>
      <c r="J576" s="1" t="s">
        <v>1207</v>
      </c>
      <c r="K576" s="1" t="s">
        <v>1346</v>
      </c>
      <c r="L576" s="2">
        <v>44994</v>
      </c>
      <c r="M576" s="18" t="s">
        <v>6687</v>
      </c>
      <c r="P576" s="3">
        <v>45385</v>
      </c>
      <c r="Q576" s="19" t="s">
        <v>6687</v>
      </c>
      <c r="R576" s="19" t="s">
        <v>47</v>
      </c>
      <c r="S576" s="19" t="s">
        <v>1347</v>
      </c>
      <c r="T576" s="19"/>
      <c r="V576" s="4" t="s">
        <v>23</v>
      </c>
      <c r="W576" s="1" t="s">
        <v>26</v>
      </c>
    </row>
    <row r="577" spans="2:23" ht="11.25" hidden="1" customHeight="1" x14ac:dyDescent="0.25">
      <c r="B577" s="17" t="s">
        <v>1348</v>
      </c>
      <c r="C577" s="17" t="s">
        <v>1348</v>
      </c>
      <c r="D577" s="17" t="s">
        <v>348</v>
      </c>
      <c r="E577" s="1" t="s">
        <v>28</v>
      </c>
      <c r="H577" s="1" t="s">
        <v>1349</v>
      </c>
      <c r="I577" s="1" t="s">
        <v>350</v>
      </c>
      <c r="J577" s="17" t="s">
        <v>76</v>
      </c>
      <c r="K577" s="1" t="s">
        <v>161</v>
      </c>
      <c r="L577" s="2">
        <v>45016</v>
      </c>
      <c r="M577" s="18" t="s">
        <v>6687</v>
      </c>
      <c r="T577" s="19"/>
      <c r="V577" s="4" t="s">
        <v>350</v>
      </c>
      <c r="W577" s="17" t="s">
        <v>351</v>
      </c>
    </row>
    <row r="578" spans="2:23" ht="11.25" hidden="1" customHeight="1" x14ac:dyDescent="0.25">
      <c r="B578" s="17" t="s">
        <v>1350</v>
      </c>
      <c r="C578" s="17" t="s">
        <v>1350</v>
      </c>
      <c r="D578" s="1" t="s">
        <v>20</v>
      </c>
      <c r="E578" s="1" t="s">
        <v>28</v>
      </c>
      <c r="H578" s="1" t="s">
        <v>1351</v>
      </c>
      <c r="I578" s="1" t="s">
        <v>23</v>
      </c>
      <c r="J578" s="17" t="s">
        <v>76</v>
      </c>
      <c r="K578" s="1" t="s">
        <v>161</v>
      </c>
      <c r="L578" s="2">
        <v>45446</v>
      </c>
      <c r="M578" s="18" t="s">
        <v>6687</v>
      </c>
      <c r="T578" s="19"/>
      <c r="V578" s="4" t="s">
        <v>23</v>
      </c>
      <c r="W578" s="1" t="s">
        <v>26</v>
      </c>
    </row>
    <row r="579" spans="2:23" ht="11.25" hidden="1" customHeight="1" x14ac:dyDescent="0.25">
      <c r="B579" s="17" t="s">
        <v>1352</v>
      </c>
      <c r="C579" s="17" t="s">
        <v>1352</v>
      </c>
      <c r="D579" s="1" t="s">
        <v>20</v>
      </c>
      <c r="E579" s="1" t="s">
        <v>21</v>
      </c>
      <c r="H579" s="1" t="s">
        <v>1353</v>
      </c>
      <c r="I579" s="1" t="s">
        <v>23</v>
      </c>
      <c r="J579" s="1" t="s">
        <v>1311</v>
      </c>
      <c r="K579" s="1" t="s">
        <v>1312</v>
      </c>
      <c r="L579" s="2">
        <v>44986</v>
      </c>
      <c r="M579" s="18" t="s">
        <v>6687</v>
      </c>
      <c r="P579" s="3">
        <v>45057</v>
      </c>
      <c r="Q579" s="19" t="s">
        <v>6687</v>
      </c>
      <c r="R579" s="19"/>
      <c r="T579" s="19"/>
      <c r="V579" s="4" t="s">
        <v>23</v>
      </c>
      <c r="W579" s="1" t="s">
        <v>26</v>
      </c>
    </row>
    <row r="580" spans="2:23" ht="11.25" hidden="1" customHeight="1" x14ac:dyDescent="0.25">
      <c r="B580" s="17" t="s">
        <v>1354</v>
      </c>
      <c r="C580" s="17" t="s">
        <v>1354</v>
      </c>
      <c r="D580" s="1" t="s">
        <v>20</v>
      </c>
      <c r="E580" s="1" t="s">
        <v>21</v>
      </c>
      <c r="H580" s="1" t="s">
        <v>1355</v>
      </c>
      <c r="I580" s="1" t="s">
        <v>265</v>
      </c>
      <c r="J580" s="1" t="s">
        <v>1207</v>
      </c>
      <c r="K580" s="1" t="s">
        <v>1346</v>
      </c>
      <c r="L580" s="2">
        <v>45035</v>
      </c>
      <c r="M580" s="18" t="s">
        <v>6687</v>
      </c>
      <c r="P580" s="3">
        <v>45292</v>
      </c>
      <c r="Q580" s="19" t="s">
        <v>6687</v>
      </c>
      <c r="R580" s="19" t="s">
        <v>40</v>
      </c>
      <c r="T580" s="19"/>
      <c r="V580" s="1" t="s">
        <v>265</v>
      </c>
      <c r="W580" s="17" t="s">
        <v>107</v>
      </c>
    </row>
    <row r="581" spans="2:23" ht="11.25" hidden="1" customHeight="1" x14ac:dyDescent="0.25">
      <c r="B581" s="17" t="s">
        <v>1356</v>
      </c>
      <c r="C581" s="17" t="s">
        <v>1356</v>
      </c>
      <c r="D581" s="1" t="s">
        <v>20</v>
      </c>
      <c r="E581" s="1" t="s">
        <v>28</v>
      </c>
      <c r="H581" s="1" t="s">
        <v>1357</v>
      </c>
      <c r="I581" s="1" t="s">
        <v>23</v>
      </c>
      <c r="J581" s="1" t="s">
        <v>24</v>
      </c>
      <c r="K581" s="1" t="s">
        <v>25</v>
      </c>
      <c r="L581" s="2">
        <v>45046</v>
      </c>
      <c r="M581" s="18" t="s">
        <v>6687</v>
      </c>
      <c r="T581" s="19"/>
      <c r="V581" s="1" t="s">
        <v>23</v>
      </c>
      <c r="W581" s="1" t="s">
        <v>26</v>
      </c>
    </row>
    <row r="582" spans="2:23" ht="11.25" hidden="1" customHeight="1" x14ac:dyDescent="0.25">
      <c r="B582" s="17" t="s">
        <v>1058</v>
      </c>
      <c r="C582" s="17" t="s">
        <v>1058</v>
      </c>
      <c r="D582" s="1" t="s">
        <v>20</v>
      </c>
      <c r="E582" s="1" t="s">
        <v>21</v>
      </c>
      <c r="H582" s="1" t="s">
        <v>1358</v>
      </c>
      <c r="I582" s="1" t="s">
        <v>23</v>
      </c>
      <c r="J582" s="1" t="s">
        <v>34</v>
      </c>
      <c r="K582" s="1" t="s">
        <v>365</v>
      </c>
      <c r="L582" s="2">
        <v>45021</v>
      </c>
      <c r="M582" s="18" t="s">
        <v>6687</v>
      </c>
      <c r="P582" s="3">
        <v>45536</v>
      </c>
      <c r="Q582" s="19" t="s">
        <v>6687</v>
      </c>
      <c r="R582" s="19" t="s">
        <v>47</v>
      </c>
      <c r="S582" s="19" t="s">
        <v>1054</v>
      </c>
      <c r="T582" s="19"/>
      <c r="V582" s="1" t="s">
        <v>23</v>
      </c>
      <c r="W582" s="1" t="s">
        <v>26</v>
      </c>
    </row>
    <row r="583" spans="2:23" ht="11.25" hidden="1" customHeight="1" x14ac:dyDescent="0.25">
      <c r="B583" s="17" t="s">
        <v>1359</v>
      </c>
      <c r="C583" s="17" t="s">
        <v>1359</v>
      </c>
      <c r="D583" s="1" t="s">
        <v>20</v>
      </c>
      <c r="E583" s="1" t="s">
        <v>28</v>
      </c>
      <c r="H583" s="1" t="s">
        <v>1360</v>
      </c>
      <c r="I583" s="1" t="s">
        <v>23</v>
      </c>
      <c r="J583" s="1" t="s">
        <v>112</v>
      </c>
      <c r="K583" s="1" t="s">
        <v>113</v>
      </c>
      <c r="L583" s="2">
        <v>45044</v>
      </c>
      <c r="M583" s="18" t="s">
        <v>6687</v>
      </c>
      <c r="T583" s="19"/>
      <c r="V583" s="1" t="s">
        <v>23</v>
      </c>
      <c r="W583" s="1" t="s">
        <v>26</v>
      </c>
    </row>
    <row r="584" spans="2:23" ht="11.25" hidden="1" customHeight="1" x14ac:dyDescent="0.25">
      <c r="B584" s="17" t="s">
        <v>1361</v>
      </c>
      <c r="C584" s="17" t="s">
        <v>1361</v>
      </c>
      <c r="D584" s="1" t="s">
        <v>20</v>
      </c>
      <c r="E584" s="1" t="s">
        <v>28</v>
      </c>
      <c r="H584" s="1" t="s">
        <v>1362</v>
      </c>
      <c r="I584" s="1" t="s">
        <v>23</v>
      </c>
      <c r="J584" s="1" t="s">
        <v>61</v>
      </c>
      <c r="K584" s="1" t="s">
        <v>62</v>
      </c>
      <c r="L584" s="2">
        <v>45036</v>
      </c>
      <c r="M584" s="18" t="s">
        <v>6687</v>
      </c>
      <c r="T584" s="19"/>
      <c r="V584" s="1" t="s">
        <v>23</v>
      </c>
      <c r="W584" s="1" t="s">
        <v>26</v>
      </c>
    </row>
    <row r="585" spans="2:23" ht="11.25" hidden="1" customHeight="1" x14ac:dyDescent="0.25">
      <c r="B585" s="17" t="s">
        <v>1363</v>
      </c>
      <c r="C585" s="17" t="s">
        <v>1363</v>
      </c>
      <c r="D585" s="17" t="s">
        <v>348</v>
      </c>
      <c r="E585" s="1" t="s">
        <v>28</v>
      </c>
      <c r="H585" s="1" t="s">
        <v>1364</v>
      </c>
      <c r="I585" s="1" t="s">
        <v>350</v>
      </c>
      <c r="J585" s="1" t="s">
        <v>112</v>
      </c>
      <c r="K585" s="1" t="s">
        <v>113</v>
      </c>
      <c r="L585" s="2">
        <v>45017</v>
      </c>
      <c r="M585" s="18" t="s">
        <v>6687</v>
      </c>
      <c r="T585" s="19"/>
      <c r="V585" s="1" t="s">
        <v>350</v>
      </c>
      <c r="W585" s="17" t="s">
        <v>351</v>
      </c>
    </row>
    <row r="586" spans="2:23" ht="11.25" hidden="1" customHeight="1" x14ac:dyDescent="0.25">
      <c r="B586" s="17" t="s">
        <v>1365</v>
      </c>
      <c r="C586" s="17" t="s">
        <v>1365</v>
      </c>
      <c r="D586" s="17" t="s">
        <v>348</v>
      </c>
      <c r="E586" s="1" t="s">
        <v>21</v>
      </c>
      <c r="H586" s="1" t="s">
        <v>1366</v>
      </c>
      <c r="I586" s="1" t="s">
        <v>350</v>
      </c>
      <c r="J586" s="1" t="s">
        <v>61</v>
      </c>
      <c r="K586" s="1" t="s">
        <v>62</v>
      </c>
      <c r="L586" s="2">
        <v>45028</v>
      </c>
      <c r="M586" s="18" t="s">
        <v>6687</v>
      </c>
      <c r="P586" s="3">
        <v>45985</v>
      </c>
      <c r="Q586" s="19" t="s">
        <v>6687</v>
      </c>
      <c r="R586" s="3" t="s">
        <v>47</v>
      </c>
      <c r="S586" s="17" t="s">
        <v>1367</v>
      </c>
      <c r="T586" s="19"/>
      <c r="V586" s="1" t="s">
        <v>350</v>
      </c>
      <c r="W586" s="17" t="s">
        <v>351</v>
      </c>
    </row>
    <row r="587" spans="2:23" ht="11.25" hidden="1" customHeight="1" x14ac:dyDescent="0.25">
      <c r="B587" s="17" t="s">
        <v>1368</v>
      </c>
      <c r="C587" s="17" t="s">
        <v>1368</v>
      </c>
      <c r="D587" s="17" t="s">
        <v>348</v>
      </c>
      <c r="E587" s="1" t="s">
        <v>28</v>
      </c>
      <c r="H587" s="1" t="s">
        <v>1369</v>
      </c>
      <c r="I587" s="1" t="s">
        <v>873</v>
      </c>
      <c r="J587" s="17" t="s">
        <v>76</v>
      </c>
      <c r="K587" s="1" t="s">
        <v>77</v>
      </c>
      <c r="L587" s="2">
        <v>45017</v>
      </c>
      <c r="M587" s="18" t="s">
        <v>6687</v>
      </c>
      <c r="T587" s="19"/>
      <c r="V587" s="1" t="s">
        <v>873</v>
      </c>
      <c r="W587" s="17" t="s">
        <v>472</v>
      </c>
    </row>
    <row r="588" spans="2:23" ht="11.25" hidden="1" customHeight="1" x14ac:dyDescent="0.25">
      <c r="B588" s="17" t="s">
        <v>1370</v>
      </c>
      <c r="C588" s="17" t="s">
        <v>1370</v>
      </c>
      <c r="D588" s="17" t="s">
        <v>348</v>
      </c>
      <c r="E588" s="1" t="s">
        <v>28</v>
      </c>
      <c r="H588" s="1" t="s">
        <v>1371</v>
      </c>
      <c r="I588" s="1" t="s">
        <v>350</v>
      </c>
      <c r="J588" s="17" t="s">
        <v>76</v>
      </c>
      <c r="K588" s="1" t="s">
        <v>77</v>
      </c>
      <c r="L588" s="2">
        <v>45026</v>
      </c>
      <c r="M588" s="18" t="s">
        <v>6687</v>
      </c>
      <c r="T588" s="19"/>
      <c r="V588" s="1" t="s">
        <v>350</v>
      </c>
      <c r="W588" s="17" t="s">
        <v>351</v>
      </c>
    </row>
    <row r="589" spans="2:23" ht="11.25" hidden="1" customHeight="1" x14ac:dyDescent="0.25">
      <c r="B589" s="17" t="s">
        <v>1372</v>
      </c>
      <c r="C589" s="17" t="s">
        <v>1372</v>
      </c>
      <c r="D589" s="17" t="s">
        <v>348</v>
      </c>
      <c r="E589" s="1" t="s">
        <v>21</v>
      </c>
      <c r="H589" s="1" t="s">
        <v>1373</v>
      </c>
      <c r="I589" s="1" t="s">
        <v>471</v>
      </c>
      <c r="J589" s="1" t="s">
        <v>228</v>
      </c>
      <c r="K589" s="1" t="s">
        <v>376</v>
      </c>
      <c r="L589" s="2">
        <v>45017</v>
      </c>
      <c r="M589" s="18" t="s">
        <v>6687</v>
      </c>
      <c r="P589" s="3">
        <v>46022</v>
      </c>
      <c r="Q589" s="19" t="s">
        <v>6687</v>
      </c>
      <c r="R589" s="3" t="s">
        <v>40</v>
      </c>
      <c r="T589" s="19"/>
      <c r="V589" s="1" t="s">
        <v>471</v>
      </c>
      <c r="W589" s="17" t="s">
        <v>472</v>
      </c>
    </row>
    <row r="590" spans="2:23" ht="11.25" hidden="1" customHeight="1" x14ac:dyDescent="0.25">
      <c r="B590" s="17" t="s">
        <v>1374</v>
      </c>
      <c r="C590" s="17" t="s">
        <v>1374</v>
      </c>
      <c r="D590" s="1" t="s">
        <v>20</v>
      </c>
      <c r="E590" s="1" t="s">
        <v>21</v>
      </c>
      <c r="H590" s="1" t="s">
        <v>1375</v>
      </c>
      <c r="I590" s="1" t="s">
        <v>23</v>
      </c>
      <c r="J590" s="1" t="s">
        <v>76</v>
      </c>
      <c r="K590" s="1" t="s">
        <v>77</v>
      </c>
      <c r="L590" s="2">
        <v>45031</v>
      </c>
      <c r="M590" s="18" t="s">
        <v>6687</v>
      </c>
      <c r="P590" s="3">
        <v>45413</v>
      </c>
      <c r="Q590" s="19" t="s">
        <v>6687</v>
      </c>
      <c r="R590" s="19" t="s">
        <v>40</v>
      </c>
      <c r="T590" s="19" t="s">
        <v>1132</v>
      </c>
      <c r="V590" s="1" t="s">
        <v>23</v>
      </c>
      <c r="W590" s="1" t="s">
        <v>26</v>
      </c>
    </row>
    <row r="591" spans="2:23" ht="11.25" hidden="1" customHeight="1" x14ac:dyDescent="0.25">
      <c r="B591" s="17" t="s">
        <v>1376</v>
      </c>
      <c r="C591" s="17" t="s">
        <v>1376</v>
      </c>
      <c r="D591" s="17" t="s">
        <v>348</v>
      </c>
      <c r="E591" s="1" t="s">
        <v>28</v>
      </c>
      <c r="H591" s="1" t="s">
        <v>1377</v>
      </c>
      <c r="I591" s="1" t="s">
        <v>350</v>
      </c>
      <c r="J591" s="1" t="s">
        <v>34</v>
      </c>
      <c r="K591" s="1" t="s">
        <v>365</v>
      </c>
      <c r="L591" s="2">
        <v>44925</v>
      </c>
      <c r="M591" s="18" t="s">
        <v>6687</v>
      </c>
      <c r="T591" s="19"/>
      <c r="V591" s="4" t="s">
        <v>350</v>
      </c>
      <c r="W591" s="17" t="s">
        <v>351</v>
      </c>
    </row>
    <row r="592" spans="2:23" ht="11.25" hidden="1" customHeight="1" x14ac:dyDescent="0.25">
      <c r="B592" s="17" t="s">
        <v>1378</v>
      </c>
      <c r="C592" s="17" t="s">
        <v>1378</v>
      </c>
      <c r="D592" s="17" t="s">
        <v>348</v>
      </c>
      <c r="E592" s="1" t="s">
        <v>28</v>
      </c>
      <c r="H592" s="1" t="s">
        <v>1379</v>
      </c>
      <c r="I592" s="1" t="s">
        <v>350</v>
      </c>
      <c r="J592" s="1" t="s">
        <v>141</v>
      </c>
      <c r="K592" s="1" t="s">
        <v>1253</v>
      </c>
      <c r="L592" s="2">
        <v>44924</v>
      </c>
      <c r="M592" s="18" t="s">
        <v>6687</v>
      </c>
      <c r="T592" s="19"/>
      <c r="V592" s="4" t="s">
        <v>350</v>
      </c>
      <c r="W592" s="17" t="s">
        <v>351</v>
      </c>
    </row>
    <row r="593" spans="2:23" ht="11.25" hidden="1" customHeight="1" x14ac:dyDescent="0.25">
      <c r="B593" s="17" t="s">
        <v>1380</v>
      </c>
      <c r="C593" s="17" t="s">
        <v>1380</v>
      </c>
      <c r="D593" s="17" t="s">
        <v>348</v>
      </c>
      <c r="E593" s="1" t="s">
        <v>28</v>
      </c>
      <c r="H593" s="1" t="s">
        <v>1381</v>
      </c>
      <c r="I593" s="1" t="s">
        <v>350</v>
      </c>
      <c r="J593" s="1" t="s">
        <v>61</v>
      </c>
      <c r="K593" s="1" t="s">
        <v>62</v>
      </c>
      <c r="L593" s="2">
        <v>44926</v>
      </c>
      <c r="M593" s="18" t="s">
        <v>6687</v>
      </c>
      <c r="T593" s="19"/>
      <c r="V593" s="4" t="s">
        <v>350</v>
      </c>
      <c r="W593" s="17" t="s">
        <v>351</v>
      </c>
    </row>
    <row r="594" spans="2:23" ht="11.25" hidden="1" customHeight="1" x14ac:dyDescent="0.25">
      <c r="B594" s="17" t="s">
        <v>1382</v>
      </c>
      <c r="C594" s="17" t="s">
        <v>1382</v>
      </c>
      <c r="D594" s="1" t="s">
        <v>20</v>
      </c>
      <c r="E594" s="1" t="s">
        <v>21</v>
      </c>
      <c r="H594" s="1" t="s">
        <v>1383</v>
      </c>
      <c r="I594" s="1" t="s">
        <v>23</v>
      </c>
      <c r="J594" s="1" t="s">
        <v>1239</v>
      </c>
      <c r="K594" s="1" t="s">
        <v>1240</v>
      </c>
      <c r="L594" s="2">
        <v>44781</v>
      </c>
      <c r="M594" s="18" t="s">
        <v>6687</v>
      </c>
      <c r="P594" s="3">
        <v>45047</v>
      </c>
      <c r="Q594" s="19" t="s">
        <v>6687</v>
      </c>
      <c r="R594" s="19"/>
      <c r="T594" s="19"/>
      <c r="V594" s="4" t="s">
        <v>23</v>
      </c>
      <c r="W594" s="1" t="s">
        <v>26</v>
      </c>
    </row>
    <row r="595" spans="2:23" ht="11.25" hidden="1" customHeight="1" x14ac:dyDescent="0.25">
      <c r="B595" s="17" t="s">
        <v>1384</v>
      </c>
      <c r="C595" s="17" t="s">
        <v>1384</v>
      </c>
      <c r="D595" s="1" t="s">
        <v>20</v>
      </c>
      <c r="E595" s="1" t="s">
        <v>28</v>
      </c>
      <c r="H595" s="1" t="s">
        <v>1385</v>
      </c>
      <c r="I595" s="1" t="s">
        <v>23</v>
      </c>
      <c r="J595" s="17" t="s">
        <v>76</v>
      </c>
      <c r="K595" s="1" t="s">
        <v>161</v>
      </c>
      <c r="L595" s="2">
        <v>45066</v>
      </c>
      <c r="M595" s="18" t="s">
        <v>6687</v>
      </c>
      <c r="T595" s="19"/>
      <c r="V595" s="4" t="s">
        <v>23</v>
      </c>
      <c r="W595" s="1" t="s">
        <v>26</v>
      </c>
    </row>
    <row r="596" spans="2:23" ht="11.25" hidden="1" customHeight="1" x14ac:dyDescent="0.25">
      <c r="B596" s="17" t="s">
        <v>1386</v>
      </c>
      <c r="C596" s="17" t="s">
        <v>1386</v>
      </c>
      <c r="D596" s="17" t="s">
        <v>348</v>
      </c>
      <c r="E596" s="1" t="s">
        <v>28</v>
      </c>
      <c r="H596" s="1" t="s">
        <v>1387</v>
      </c>
      <c r="I596" s="1" t="s">
        <v>350</v>
      </c>
      <c r="J596" s="1" t="s">
        <v>34</v>
      </c>
      <c r="K596" s="1" t="s">
        <v>365</v>
      </c>
      <c r="L596" s="2">
        <v>45075</v>
      </c>
      <c r="M596" s="18" t="s">
        <v>6687</v>
      </c>
      <c r="T596" s="19"/>
      <c r="V596" s="4" t="s">
        <v>350</v>
      </c>
      <c r="W596" s="17" t="s">
        <v>351</v>
      </c>
    </row>
    <row r="597" spans="2:23" ht="11.25" hidden="1" customHeight="1" x14ac:dyDescent="0.25">
      <c r="B597" s="17" t="s">
        <v>1388</v>
      </c>
      <c r="C597" s="17" t="s">
        <v>1388</v>
      </c>
      <c r="D597" s="17" t="s">
        <v>348</v>
      </c>
      <c r="E597" s="1" t="s">
        <v>28</v>
      </c>
      <c r="H597" s="1" t="s">
        <v>1389</v>
      </c>
      <c r="I597" s="1" t="s">
        <v>350</v>
      </c>
      <c r="J597" s="1" t="s">
        <v>34</v>
      </c>
      <c r="K597" s="1" t="s">
        <v>365</v>
      </c>
      <c r="L597" s="2">
        <v>45047</v>
      </c>
      <c r="M597" s="18" t="s">
        <v>6687</v>
      </c>
      <c r="T597" s="19"/>
      <c r="V597" s="4" t="s">
        <v>350</v>
      </c>
      <c r="W597" s="17" t="s">
        <v>351</v>
      </c>
    </row>
    <row r="598" spans="2:23" ht="11.25" hidden="1" customHeight="1" x14ac:dyDescent="0.25">
      <c r="B598" s="17" t="s">
        <v>1390</v>
      </c>
      <c r="C598" s="17" t="s">
        <v>1390</v>
      </c>
      <c r="D598" s="17" t="s">
        <v>348</v>
      </c>
      <c r="E598" s="1" t="s">
        <v>21</v>
      </c>
      <c r="H598" s="1" t="s">
        <v>1391</v>
      </c>
      <c r="I598" s="1" t="s">
        <v>350</v>
      </c>
      <c r="J598" s="1" t="s">
        <v>141</v>
      </c>
      <c r="K598" s="1" t="s">
        <v>1253</v>
      </c>
      <c r="L598" s="2">
        <v>45077</v>
      </c>
      <c r="M598" s="18" t="s">
        <v>6687</v>
      </c>
      <c r="P598" s="3">
        <v>45484</v>
      </c>
      <c r="Q598" s="19" t="s">
        <v>6687</v>
      </c>
      <c r="R598" s="19" t="s">
        <v>47</v>
      </c>
      <c r="S598" s="19" t="s">
        <v>1392</v>
      </c>
      <c r="T598" s="19"/>
      <c r="V598" s="4" t="s">
        <v>350</v>
      </c>
      <c r="W598" s="17" t="s">
        <v>351</v>
      </c>
    </row>
    <row r="599" spans="2:23" ht="11.25" hidden="1" customHeight="1" x14ac:dyDescent="0.25">
      <c r="B599" s="17" t="s">
        <v>1393</v>
      </c>
      <c r="C599" s="17" t="s">
        <v>1393</v>
      </c>
      <c r="D599" s="17" t="s">
        <v>348</v>
      </c>
      <c r="E599" s="1" t="s">
        <v>28</v>
      </c>
      <c r="H599" s="1" t="s">
        <v>1394</v>
      </c>
      <c r="I599" s="1" t="s">
        <v>494</v>
      </c>
      <c r="J599" s="1" t="s">
        <v>141</v>
      </c>
      <c r="K599" s="1" t="s">
        <v>1253</v>
      </c>
      <c r="L599" s="2">
        <v>45060</v>
      </c>
      <c r="M599" s="18" t="s">
        <v>6687</v>
      </c>
      <c r="T599" s="19"/>
      <c r="V599" s="4" t="s">
        <v>494</v>
      </c>
      <c r="W599" s="17" t="s">
        <v>472</v>
      </c>
    </row>
    <row r="600" spans="2:23" ht="11.25" hidden="1" customHeight="1" x14ac:dyDescent="0.25">
      <c r="B600" s="17" t="s">
        <v>1395</v>
      </c>
      <c r="C600" s="17" t="s">
        <v>1395</v>
      </c>
      <c r="D600" s="17" t="s">
        <v>348</v>
      </c>
      <c r="E600" s="17" t="s">
        <v>28</v>
      </c>
      <c r="F600" s="17"/>
      <c r="G600" s="17"/>
      <c r="H600" s="1" t="s">
        <v>1396</v>
      </c>
      <c r="I600" s="1" t="s">
        <v>350</v>
      </c>
      <c r="J600" s="1" t="s">
        <v>112</v>
      </c>
      <c r="K600" s="1" t="s">
        <v>113</v>
      </c>
      <c r="L600" s="2">
        <v>45047</v>
      </c>
      <c r="M600" s="18" t="s">
        <v>6687</v>
      </c>
      <c r="P600" s="33"/>
      <c r="Q600" s="33"/>
      <c r="R600" s="33"/>
      <c r="S600" s="33"/>
      <c r="T600" s="19"/>
      <c r="V600" s="4" t="s">
        <v>350</v>
      </c>
      <c r="W600" s="17" t="s">
        <v>351</v>
      </c>
    </row>
    <row r="601" spans="2:23" ht="11.25" hidden="1" customHeight="1" x14ac:dyDescent="0.25">
      <c r="B601" s="17" t="s">
        <v>1397</v>
      </c>
      <c r="C601" s="17" t="s">
        <v>1397</v>
      </c>
      <c r="D601" s="1" t="s">
        <v>20</v>
      </c>
      <c r="E601" s="1" t="s">
        <v>28</v>
      </c>
      <c r="H601" s="1" t="s">
        <v>1398</v>
      </c>
      <c r="I601" s="1" t="s">
        <v>23</v>
      </c>
      <c r="J601" s="1" t="s">
        <v>1399</v>
      </c>
      <c r="K601" s="1" t="s">
        <v>1400</v>
      </c>
      <c r="L601" s="2">
        <v>45047</v>
      </c>
      <c r="M601" s="18" t="s">
        <v>6687</v>
      </c>
      <c r="T601" s="19"/>
      <c r="V601" s="4" t="s">
        <v>23</v>
      </c>
      <c r="W601" s="1" t="s">
        <v>26</v>
      </c>
    </row>
    <row r="602" spans="2:23" ht="11.25" hidden="1" customHeight="1" x14ac:dyDescent="0.25">
      <c r="B602" s="17" t="s">
        <v>1401</v>
      </c>
      <c r="C602" s="17" t="s">
        <v>1401</v>
      </c>
      <c r="D602" s="1" t="s">
        <v>20</v>
      </c>
      <c r="E602" s="1" t="s">
        <v>21</v>
      </c>
      <c r="H602" s="1" t="s">
        <v>1402</v>
      </c>
      <c r="I602" s="1" t="s">
        <v>23</v>
      </c>
      <c r="J602" s="1" t="s">
        <v>390</v>
      </c>
      <c r="K602" s="1" t="s">
        <v>1403</v>
      </c>
      <c r="L602" s="2">
        <v>45054</v>
      </c>
      <c r="M602" s="18" t="s">
        <v>6687</v>
      </c>
      <c r="P602" s="3">
        <v>45446</v>
      </c>
      <c r="Q602" s="19" t="s">
        <v>6687</v>
      </c>
      <c r="R602" s="19" t="s">
        <v>47</v>
      </c>
      <c r="S602" s="19"/>
      <c r="T602" s="19"/>
      <c r="V602" s="4" t="s">
        <v>23</v>
      </c>
      <c r="W602" s="1" t="s">
        <v>26</v>
      </c>
    </row>
    <row r="603" spans="2:23" ht="11.25" hidden="1" customHeight="1" x14ac:dyDescent="0.25">
      <c r="B603" s="17" t="s">
        <v>1404</v>
      </c>
      <c r="C603" s="17" t="s">
        <v>1404</v>
      </c>
      <c r="D603" s="1" t="s">
        <v>20</v>
      </c>
      <c r="E603" s="1" t="s">
        <v>21</v>
      </c>
      <c r="H603" s="1" t="s">
        <v>1405</v>
      </c>
      <c r="I603" s="1" t="s">
        <v>1327</v>
      </c>
      <c r="J603" s="1" t="s">
        <v>76</v>
      </c>
      <c r="K603" s="1" t="s">
        <v>161</v>
      </c>
      <c r="L603" s="2">
        <v>45058</v>
      </c>
      <c r="M603" s="18" t="s">
        <v>6687</v>
      </c>
      <c r="P603" s="3">
        <v>45418</v>
      </c>
      <c r="Q603" s="19" t="s">
        <v>6687</v>
      </c>
      <c r="R603" s="19" t="s">
        <v>40</v>
      </c>
      <c r="T603" s="19" t="s">
        <v>324</v>
      </c>
      <c r="V603" s="4" t="s">
        <v>1327</v>
      </c>
      <c r="W603" s="17" t="s">
        <v>107</v>
      </c>
    </row>
    <row r="604" spans="2:23" ht="11.25" hidden="1" customHeight="1" x14ac:dyDescent="0.25">
      <c r="B604" s="17" t="s">
        <v>1406</v>
      </c>
      <c r="C604" s="17" t="s">
        <v>1406</v>
      </c>
      <c r="D604" s="1" t="s">
        <v>20</v>
      </c>
      <c r="E604" s="1" t="s">
        <v>28</v>
      </c>
      <c r="H604" s="1" t="s">
        <v>1407</v>
      </c>
      <c r="I604" s="1" t="s">
        <v>23</v>
      </c>
      <c r="J604" s="17" t="s">
        <v>76</v>
      </c>
      <c r="K604" s="1" t="s">
        <v>161</v>
      </c>
      <c r="L604" s="2">
        <v>45077</v>
      </c>
      <c r="M604" s="18" t="s">
        <v>6687</v>
      </c>
      <c r="T604" s="19"/>
      <c r="V604" s="4" t="s">
        <v>23</v>
      </c>
      <c r="W604" s="1" t="s">
        <v>26</v>
      </c>
    </row>
    <row r="605" spans="2:23" ht="11.25" hidden="1" customHeight="1" x14ac:dyDescent="0.25">
      <c r="B605" s="17" t="s">
        <v>1408</v>
      </c>
      <c r="C605" s="17" t="s">
        <v>1408</v>
      </c>
      <c r="D605" s="17" t="s">
        <v>20</v>
      </c>
      <c r="E605" s="1" t="s">
        <v>28</v>
      </c>
      <c r="H605" s="1" t="s">
        <v>1409</v>
      </c>
      <c r="I605" s="1" t="s">
        <v>23</v>
      </c>
      <c r="J605" s="1" t="s">
        <v>34</v>
      </c>
      <c r="K605" s="1" t="s">
        <v>365</v>
      </c>
      <c r="L605" s="2">
        <v>45092</v>
      </c>
      <c r="M605" s="18" t="s">
        <v>6687</v>
      </c>
      <c r="T605" s="19"/>
      <c r="V605" s="1" t="s">
        <v>23</v>
      </c>
      <c r="W605" s="1" t="s">
        <v>26</v>
      </c>
    </row>
    <row r="606" spans="2:23" ht="11.25" hidden="1" customHeight="1" x14ac:dyDescent="0.25">
      <c r="B606" s="17" t="s">
        <v>1410</v>
      </c>
      <c r="C606" s="17" t="s">
        <v>1410</v>
      </c>
      <c r="D606" s="1" t="s">
        <v>20</v>
      </c>
      <c r="E606" s="1" t="s">
        <v>28</v>
      </c>
      <c r="H606" s="1" t="s">
        <v>1411</v>
      </c>
      <c r="I606" s="1" t="s">
        <v>23</v>
      </c>
      <c r="J606" s="17" t="s">
        <v>76</v>
      </c>
      <c r="K606" s="1" t="s">
        <v>161</v>
      </c>
      <c r="L606" s="2">
        <v>45105</v>
      </c>
      <c r="M606" s="18" t="s">
        <v>6687</v>
      </c>
      <c r="T606" s="19"/>
      <c r="V606" s="1" t="s">
        <v>23</v>
      </c>
      <c r="W606" s="1" t="s">
        <v>26</v>
      </c>
    </row>
    <row r="607" spans="2:23" ht="11.25" hidden="1" customHeight="1" x14ac:dyDescent="0.25">
      <c r="B607" s="17" t="s">
        <v>1412</v>
      </c>
      <c r="C607" s="17" t="s">
        <v>1412</v>
      </c>
      <c r="D607" s="17" t="s">
        <v>348</v>
      </c>
      <c r="E607" s="1" t="s">
        <v>28</v>
      </c>
      <c r="H607" s="1" t="s">
        <v>1413</v>
      </c>
      <c r="I607" s="1" t="s">
        <v>350</v>
      </c>
      <c r="J607" s="1" t="s">
        <v>112</v>
      </c>
      <c r="K607" s="1" t="s">
        <v>113</v>
      </c>
      <c r="L607" s="2">
        <v>45098</v>
      </c>
      <c r="M607" s="18" t="s">
        <v>6687</v>
      </c>
      <c r="T607" s="19"/>
      <c r="V607" s="1" t="s">
        <v>350</v>
      </c>
      <c r="W607" s="17" t="s">
        <v>351</v>
      </c>
    </row>
    <row r="608" spans="2:23" ht="11.25" hidden="1" customHeight="1" x14ac:dyDescent="0.25">
      <c r="B608" s="17" t="s">
        <v>1414</v>
      </c>
      <c r="C608" s="17" t="s">
        <v>1414</v>
      </c>
      <c r="D608" s="1" t="s">
        <v>20</v>
      </c>
      <c r="E608" s="1" t="s">
        <v>21</v>
      </c>
      <c r="H608" s="1" t="s">
        <v>1415</v>
      </c>
      <c r="I608" s="1" t="s">
        <v>23</v>
      </c>
      <c r="J608" s="1" t="s">
        <v>51</v>
      </c>
      <c r="K608" s="1" t="s">
        <v>370</v>
      </c>
      <c r="L608" s="2">
        <v>45078</v>
      </c>
      <c r="M608" s="18" t="s">
        <v>6687</v>
      </c>
      <c r="P608" s="3">
        <v>45657</v>
      </c>
      <c r="Q608" s="19" t="s">
        <v>6687</v>
      </c>
      <c r="R608" s="19" t="s">
        <v>47</v>
      </c>
      <c r="S608" s="19" t="s">
        <v>1416</v>
      </c>
      <c r="T608" s="19"/>
      <c r="V608" s="1" t="s">
        <v>23</v>
      </c>
      <c r="W608" s="1" t="s">
        <v>26</v>
      </c>
    </row>
    <row r="609" spans="2:25" ht="11.25" hidden="1" customHeight="1" x14ac:dyDescent="0.25">
      <c r="B609" s="17" t="s">
        <v>1417</v>
      </c>
      <c r="C609" s="17" t="s">
        <v>1417</v>
      </c>
      <c r="D609" s="1" t="s">
        <v>20</v>
      </c>
      <c r="E609" s="1" t="s">
        <v>28</v>
      </c>
      <c r="H609" s="1" t="s">
        <v>1418</v>
      </c>
      <c r="I609" s="1" t="s">
        <v>23</v>
      </c>
      <c r="J609" s="17" t="s">
        <v>76</v>
      </c>
      <c r="K609" s="1" t="s">
        <v>161</v>
      </c>
      <c r="L609" s="2">
        <v>45078</v>
      </c>
      <c r="M609" s="18" t="s">
        <v>6687</v>
      </c>
      <c r="T609" s="19"/>
      <c r="V609" s="1" t="s">
        <v>23</v>
      </c>
      <c r="W609" s="1" t="s">
        <v>26</v>
      </c>
    </row>
    <row r="610" spans="2:25" ht="11.25" hidden="1" customHeight="1" x14ac:dyDescent="0.25">
      <c r="B610" s="17" t="s">
        <v>1419</v>
      </c>
      <c r="C610" s="17" t="s">
        <v>1419</v>
      </c>
      <c r="D610" s="1" t="s">
        <v>20</v>
      </c>
      <c r="E610" s="1" t="s">
        <v>28</v>
      </c>
      <c r="H610" s="1" t="s">
        <v>1420</v>
      </c>
      <c r="I610" s="1" t="s">
        <v>187</v>
      </c>
      <c r="J610" s="17" t="s">
        <v>76</v>
      </c>
      <c r="K610" s="1" t="s">
        <v>161</v>
      </c>
      <c r="L610" s="2">
        <v>45091</v>
      </c>
      <c r="M610" s="18" t="s">
        <v>6687</v>
      </c>
      <c r="T610" s="19"/>
      <c r="V610" s="1" t="s">
        <v>187</v>
      </c>
      <c r="W610" s="17" t="s">
        <v>107</v>
      </c>
    </row>
    <row r="611" spans="2:25" ht="11.25" hidden="1" customHeight="1" x14ac:dyDescent="0.25">
      <c r="B611" s="17" t="s">
        <v>1421</v>
      </c>
      <c r="C611" s="17" t="s">
        <v>1421</v>
      </c>
      <c r="D611" s="1" t="s">
        <v>20</v>
      </c>
      <c r="E611" s="1" t="s">
        <v>28</v>
      </c>
      <c r="H611" s="1" t="s">
        <v>1422</v>
      </c>
      <c r="I611" s="1" t="s">
        <v>23</v>
      </c>
      <c r="J611" s="17" t="s">
        <v>76</v>
      </c>
      <c r="K611" s="1" t="s">
        <v>161</v>
      </c>
      <c r="L611" s="2">
        <v>45135</v>
      </c>
      <c r="M611" s="18" t="s">
        <v>6687</v>
      </c>
      <c r="T611" s="19"/>
      <c r="V611" s="1" t="s">
        <v>23</v>
      </c>
      <c r="W611" s="17" t="s">
        <v>26</v>
      </c>
    </row>
    <row r="612" spans="2:25" ht="11.25" hidden="1" customHeight="1" x14ac:dyDescent="0.25">
      <c r="B612" s="17" t="s">
        <v>1423</v>
      </c>
      <c r="C612" s="17" t="s">
        <v>1423</v>
      </c>
      <c r="D612" s="1" t="s">
        <v>20</v>
      </c>
      <c r="E612" s="1" t="s">
        <v>21</v>
      </c>
      <c r="H612" s="1" t="s">
        <v>1424</v>
      </c>
      <c r="I612" s="1" t="s">
        <v>23</v>
      </c>
      <c r="J612" s="1" t="s">
        <v>1425</v>
      </c>
      <c r="K612" s="1" t="s">
        <v>1426</v>
      </c>
      <c r="L612" s="2">
        <v>45112</v>
      </c>
      <c r="M612" s="18" t="s">
        <v>6687</v>
      </c>
      <c r="P612" s="3">
        <v>45808</v>
      </c>
      <c r="Q612" s="19" t="s">
        <v>6687</v>
      </c>
      <c r="R612" s="3" t="s">
        <v>47</v>
      </c>
      <c r="S612" s="40" t="s">
        <v>1427</v>
      </c>
      <c r="T612" s="19"/>
      <c r="V612" s="1" t="s">
        <v>23</v>
      </c>
      <c r="W612" s="17" t="s">
        <v>26</v>
      </c>
    </row>
    <row r="613" spans="2:25" ht="11.25" hidden="1" customHeight="1" x14ac:dyDescent="0.25">
      <c r="B613" s="17" t="s">
        <v>1428</v>
      </c>
      <c r="C613" s="17" t="s">
        <v>1428</v>
      </c>
      <c r="D613" s="17" t="s">
        <v>348</v>
      </c>
      <c r="E613" s="1" t="s">
        <v>28</v>
      </c>
      <c r="H613" s="1" t="s">
        <v>1429</v>
      </c>
      <c r="I613" s="1" t="s">
        <v>1430</v>
      </c>
      <c r="J613" s="17" t="s">
        <v>76</v>
      </c>
      <c r="K613" s="1" t="s">
        <v>161</v>
      </c>
      <c r="L613" s="2">
        <v>45133</v>
      </c>
      <c r="M613" s="18" t="s">
        <v>6687</v>
      </c>
      <c r="T613" s="19"/>
      <c r="V613" s="4" t="s">
        <v>497</v>
      </c>
      <c r="W613" s="17" t="s">
        <v>472</v>
      </c>
    </row>
    <row r="614" spans="2:25" ht="11.25" hidden="1" customHeight="1" x14ac:dyDescent="0.25">
      <c r="B614" s="17" t="s">
        <v>1431</v>
      </c>
      <c r="C614" s="17" t="s">
        <v>1431</v>
      </c>
      <c r="D614" s="1" t="s">
        <v>20</v>
      </c>
      <c r="E614" s="1" t="s">
        <v>28</v>
      </c>
      <c r="H614" s="1" t="s">
        <v>1432</v>
      </c>
      <c r="I614" s="1" t="s">
        <v>23</v>
      </c>
      <c r="J614" s="1" t="s">
        <v>112</v>
      </c>
      <c r="K614" s="1" t="s">
        <v>113</v>
      </c>
      <c r="L614" s="2">
        <v>45135</v>
      </c>
      <c r="M614" s="18" t="s">
        <v>6687</v>
      </c>
      <c r="T614" s="19"/>
      <c r="V614" s="1" t="s">
        <v>23</v>
      </c>
      <c r="W614" s="1" t="s">
        <v>26</v>
      </c>
    </row>
    <row r="615" spans="2:25" ht="11.25" hidden="1" customHeight="1" x14ac:dyDescent="0.25">
      <c r="B615" s="17" t="s">
        <v>1433</v>
      </c>
      <c r="C615" s="17" t="s">
        <v>1433</v>
      </c>
      <c r="D615" s="1" t="s">
        <v>20</v>
      </c>
      <c r="E615" s="1" t="s">
        <v>28</v>
      </c>
      <c r="H615" s="1" t="s">
        <v>1434</v>
      </c>
      <c r="I615" s="1" t="s">
        <v>23</v>
      </c>
      <c r="J615" s="1" t="s">
        <v>1319</v>
      </c>
      <c r="K615" s="1" t="s">
        <v>1320</v>
      </c>
      <c r="L615" s="2">
        <v>45135</v>
      </c>
      <c r="M615" s="18" t="s">
        <v>6687</v>
      </c>
      <c r="T615" s="19"/>
      <c r="V615" s="1" t="s">
        <v>23</v>
      </c>
      <c r="W615" s="1" t="s">
        <v>26</v>
      </c>
    </row>
    <row r="616" spans="2:25" ht="11.25" hidden="1" customHeight="1" x14ac:dyDescent="0.25">
      <c r="B616" s="17" t="s">
        <v>1435</v>
      </c>
      <c r="C616" s="17" t="s">
        <v>1435</v>
      </c>
      <c r="D616" s="17" t="s">
        <v>20</v>
      </c>
      <c r="E616" s="17" t="s">
        <v>21</v>
      </c>
      <c r="F616" s="17"/>
      <c r="G616" s="17"/>
      <c r="H616" s="17" t="s">
        <v>1436</v>
      </c>
      <c r="I616" s="17" t="s">
        <v>23</v>
      </c>
      <c r="J616" s="17" t="s">
        <v>34</v>
      </c>
      <c r="K616" s="17" t="s">
        <v>35</v>
      </c>
      <c r="L616" s="18">
        <v>42328</v>
      </c>
      <c r="M616" s="18" t="s">
        <v>6687</v>
      </c>
      <c r="N616" s="18"/>
      <c r="O616" s="18"/>
      <c r="P616" s="19">
        <v>45729</v>
      </c>
      <c r="Q616" s="19" t="s">
        <v>6687</v>
      </c>
      <c r="R616" s="19" t="s">
        <v>40</v>
      </c>
      <c r="S616" s="19"/>
      <c r="T616" s="19"/>
      <c r="U616" s="18"/>
      <c r="V616" s="17" t="s">
        <v>23</v>
      </c>
      <c r="W616" s="17" t="s">
        <v>26</v>
      </c>
      <c r="Y616" s="4"/>
    </row>
    <row r="617" spans="2:25" ht="11.25" hidden="1" customHeight="1" x14ac:dyDescent="0.25">
      <c r="B617" s="17" t="s">
        <v>1437</v>
      </c>
      <c r="C617" s="17" t="s">
        <v>1437</v>
      </c>
      <c r="D617" s="1" t="s">
        <v>20</v>
      </c>
      <c r="E617" s="1" t="s">
        <v>21</v>
      </c>
      <c r="H617" s="1" t="s">
        <v>1438</v>
      </c>
      <c r="I617" s="1" t="s">
        <v>385</v>
      </c>
      <c r="J617" s="1" t="s">
        <v>112</v>
      </c>
      <c r="K617" s="1" t="s">
        <v>113</v>
      </c>
      <c r="L617" s="2">
        <v>45112</v>
      </c>
      <c r="M617" s="18" t="s">
        <v>6687</v>
      </c>
      <c r="P617" s="2">
        <v>45701</v>
      </c>
      <c r="Q617" s="19" t="s">
        <v>6687</v>
      </c>
      <c r="R617" s="3" t="s">
        <v>47</v>
      </c>
      <c r="S617" s="3" t="s">
        <v>1439</v>
      </c>
      <c r="T617" s="19" t="s">
        <v>1069</v>
      </c>
      <c r="V617" s="1" t="s">
        <v>385</v>
      </c>
      <c r="W617" s="17" t="s">
        <v>107</v>
      </c>
    </row>
    <row r="618" spans="2:25" ht="11.25" hidden="1" customHeight="1" x14ac:dyDescent="0.25">
      <c r="B618" s="17" t="s">
        <v>1440</v>
      </c>
      <c r="C618" s="17" t="s">
        <v>1440</v>
      </c>
      <c r="D618" s="1" t="s">
        <v>20</v>
      </c>
      <c r="E618" s="1" t="s">
        <v>28</v>
      </c>
      <c r="H618" s="1" t="s">
        <v>1441</v>
      </c>
      <c r="I618" s="1" t="s">
        <v>23</v>
      </c>
      <c r="J618" s="1" t="s">
        <v>228</v>
      </c>
      <c r="K618" s="1" t="s">
        <v>376</v>
      </c>
      <c r="L618" s="2">
        <v>45135</v>
      </c>
      <c r="M618" s="18" t="s">
        <v>6687</v>
      </c>
      <c r="T618" s="19"/>
      <c r="V618" s="1" t="s">
        <v>23</v>
      </c>
      <c r="W618" s="1" t="s">
        <v>26</v>
      </c>
    </row>
    <row r="619" spans="2:25" ht="11.25" hidden="1" customHeight="1" x14ac:dyDescent="0.25">
      <c r="B619" s="17" t="s">
        <v>1442</v>
      </c>
      <c r="C619" s="17" t="s">
        <v>1442</v>
      </c>
      <c r="D619" s="17" t="s">
        <v>348</v>
      </c>
      <c r="E619" s="1" t="s">
        <v>28</v>
      </c>
      <c r="H619" s="1" t="s">
        <v>1443</v>
      </c>
      <c r="I619" s="1" t="s">
        <v>1430</v>
      </c>
      <c r="J619" s="1" t="s">
        <v>34</v>
      </c>
      <c r="K619" s="1" t="s">
        <v>365</v>
      </c>
      <c r="L619" s="2">
        <v>45133</v>
      </c>
      <c r="M619" s="18" t="s">
        <v>6687</v>
      </c>
      <c r="T619" s="19"/>
      <c r="V619" s="4" t="s">
        <v>497</v>
      </c>
      <c r="W619" s="17" t="s">
        <v>472</v>
      </c>
    </row>
    <row r="620" spans="2:25" ht="11.25" hidden="1" customHeight="1" x14ac:dyDescent="0.25">
      <c r="B620" s="17" t="s">
        <v>1444</v>
      </c>
      <c r="C620" s="17" t="s">
        <v>1444</v>
      </c>
      <c r="D620" s="1" t="s">
        <v>20</v>
      </c>
      <c r="E620" s="1" t="s">
        <v>28</v>
      </c>
      <c r="H620" s="1" t="s">
        <v>1445</v>
      </c>
      <c r="I620" s="1" t="s">
        <v>23</v>
      </c>
      <c r="J620" s="1" t="s">
        <v>1446</v>
      </c>
      <c r="K620" s="1" t="s">
        <v>1447</v>
      </c>
      <c r="L620" s="2">
        <v>45147</v>
      </c>
      <c r="M620" s="18" t="s">
        <v>6687</v>
      </c>
      <c r="T620" s="19"/>
      <c r="V620" s="1" t="s">
        <v>23</v>
      </c>
      <c r="W620" s="1" t="s">
        <v>26</v>
      </c>
    </row>
    <row r="621" spans="2:25" ht="11.25" hidden="1" customHeight="1" x14ac:dyDescent="0.25">
      <c r="B621" s="17" t="s">
        <v>1448</v>
      </c>
      <c r="C621" s="17" t="s">
        <v>1448</v>
      </c>
      <c r="D621" s="1" t="s">
        <v>20</v>
      </c>
      <c r="E621" s="17" t="s">
        <v>21</v>
      </c>
      <c r="F621" s="17"/>
      <c r="G621" s="17"/>
      <c r="H621" s="38" t="s">
        <v>1449</v>
      </c>
      <c r="I621" s="1" t="s">
        <v>23</v>
      </c>
      <c r="J621" s="38" t="s">
        <v>141</v>
      </c>
      <c r="K621" s="38" t="s">
        <v>142</v>
      </c>
      <c r="L621" s="4">
        <v>44758</v>
      </c>
      <c r="M621" s="18" t="s">
        <v>6687</v>
      </c>
      <c r="N621" s="4"/>
      <c r="O621" s="4"/>
      <c r="P621" s="3">
        <v>45723</v>
      </c>
      <c r="Q621" s="19" t="s">
        <v>6687</v>
      </c>
      <c r="R621" s="3" t="s">
        <v>47</v>
      </c>
      <c r="S621" s="3" t="s">
        <v>1450</v>
      </c>
      <c r="T621" s="19"/>
      <c r="V621" s="4" t="s">
        <v>23</v>
      </c>
      <c r="W621" s="1" t="s">
        <v>26</v>
      </c>
    </row>
    <row r="622" spans="2:25" ht="11.25" hidden="1" customHeight="1" x14ac:dyDescent="0.25">
      <c r="B622" s="17" t="s">
        <v>1451</v>
      </c>
      <c r="C622" s="17" t="s">
        <v>1451</v>
      </c>
      <c r="D622" s="1" t="s">
        <v>20</v>
      </c>
      <c r="E622" s="1" t="s">
        <v>28</v>
      </c>
      <c r="H622" s="1" t="s">
        <v>1452</v>
      </c>
      <c r="I622" s="1" t="s">
        <v>23</v>
      </c>
      <c r="J622" s="1" t="s">
        <v>379</v>
      </c>
      <c r="K622" s="1" t="s">
        <v>1453</v>
      </c>
      <c r="L622" s="2">
        <v>45152</v>
      </c>
      <c r="M622" s="18" t="s">
        <v>6687</v>
      </c>
      <c r="T622" s="19"/>
      <c r="V622" s="1" t="s">
        <v>23</v>
      </c>
      <c r="W622" s="1" t="s">
        <v>26</v>
      </c>
    </row>
    <row r="623" spans="2:25" ht="11.25" hidden="1" customHeight="1" x14ac:dyDescent="0.25">
      <c r="B623" s="17" t="s">
        <v>1454</v>
      </c>
      <c r="C623" s="17" t="s">
        <v>1454</v>
      </c>
      <c r="D623" s="1" t="s">
        <v>20</v>
      </c>
      <c r="E623" s="1" t="s">
        <v>28</v>
      </c>
      <c r="H623" s="1" t="s">
        <v>1455</v>
      </c>
      <c r="I623" s="1" t="s">
        <v>23</v>
      </c>
      <c r="J623" s="1" t="s">
        <v>61</v>
      </c>
      <c r="K623" s="1" t="s">
        <v>373</v>
      </c>
      <c r="L623" s="2">
        <v>45151</v>
      </c>
      <c r="M623" s="18" t="s">
        <v>6687</v>
      </c>
      <c r="T623" s="19"/>
      <c r="V623" s="1" t="s">
        <v>23</v>
      </c>
      <c r="W623" s="1" t="s">
        <v>26</v>
      </c>
    </row>
    <row r="624" spans="2:25" ht="11.25" hidden="1" customHeight="1" x14ac:dyDescent="0.25">
      <c r="B624" s="17" t="s">
        <v>1456</v>
      </c>
      <c r="C624" s="17" t="s">
        <v>1456</v>
      </c>
      <c r="D624" s="1" t="s">
        <v>20</v>
      </c>
      <c r="E624" s="1" t="s">
        <v>28</v>
      </c>
      <c r="H624" s="1" t="s">
        <v>1457</v>
      </c>
      <c r="I624" s="1" t="s">
        <v>23</v>
      </c>
      <c r="J624" s="1" t="s">
        <v>61</v>
      </c>
      <c r="K624" s="1" t="s">
        <v>373</v>
      </c>
      <c r="L624" s="2">
        <v>45142</v>
      </c>
      <c r="M624" s="18" t="s">
        <v>6687</v>
      </c>
      <c r="T624" s="19"/>
      <c r="V624" s="1" t="s">
        <v>23</v>
      </c>
      <c r="W624" s="1" t="s">
        <v>26</v>
      </c>
    </row>
    <row r="625" spans="2:23" ht="11.25" hidden="1" customHeight="1" x14ac:dyDescent="0.25">
      <c r="B625" s="17" t="s">
        <v>1458</v>
      </c>
      <c r="C625" s="17" t="s">
        <v>1458</v>
      </c>
      <c r="D625" s="1" t="s">
        <v>20</v>
      </c>
      <c r="E625" s="1" t="s">
        <v>21</v>
      </c>
      <c r="H625" s="1" t="s">
        <v>1459</v>
      </c>
      <c r="I625" s="1" t="s">
        <v>23</v>
      </c>
      <c r="J625" s="1" t="s">
        <v>65</v>
      </c>
      <c r="K625" s="1" t="s">
        <v>66</v>
      </c>
      <c r="L625" s="2">
        <v>45140</v>
      </c>
      <c r="M625" s="18" t="s">
        <v>6687</v>
      </c>
      <c r="P625" s="3">
        <v>45626</v>
      </c>
      <c r="Q625" s="19" t="s">
        <v>6687</v>
      </c>
      <c r="R625" s="19" t="s">
        <v>47</v>
      </c>
      <c r="S625" s="19" t="s">
        <v>1460</v>
      </c>
      <c r="T625" s="19"/>
      <c r="V625" s="1" t="s">
        <v>23</v>
      </c>
      <c r="W625" s="1" t="s">
        <v>26</v>
      </c>
    </row>
    <row r="626" spans="2:23" ht="11.25" hidden="1" customHeight="1" x14ac:dyDescent="0.25">
      <c r="B626" s="17" t="s">
        <v>1461</v>
      </c>
      <c r="C626" s="17" t="s">
        <v>1461</v>
      </c>
      <c r="D626" s="17" t="s">
        <v>348</v>
      </c>
      <c r="E626" s="1" t="s">
        <v>28</v>
      </c>
      <c r="H626" s="1" t="s">
        <v>1462</v>
      </c>
      <c r="I626" s="1" t="s">
        <v>350</v>
      </c>
      <c r="J626" s="1" t="s">
        <v>183</v>
      </c>
      <c r="K626" s="1" t="s">
        <v>436</v>
      </c>
      <c r="L626" s="2">
        <v>45150</v>
      </c>
      <c r="M626" s="18" t="s">
        <v>6687</v>
      </c>
      <c r="T626" s="19"/>
      <c r="V626" s="1" t="s">
        <v>350</v>
      </c>
      <c r="W626" s="17" t="s">
        <v>351</v>
      </c>
    </row>
    <row r="627" spans="2:23" ht="11.25" hidden="1" customHeight="1" x14ac:dyDescent="0.25">
      <c r="B627" s="17" t="s">
        <v>1463</v>
      </c>
      <c r="C627" s="17" t="s">
        <v>1463</v>
      </c>
      <c r="D627" s="1" t="s">
        <v>20</v>
      </c>
      <c r="E627" s="1" t="s">
        <v>28</v>
      </c>
      <c r="H627" s="1" t="s">
        <v>1464</v>
      </c>
      <c r="I627" s="1" t="s">
        <v>23</v>
      </c>
      <c r="J627" s="17" t="s">
        <v>76</v>
      </c>
      <c r="K627" s="1" t="s">
        <v>161</v>
      </c>
      <c r="L627" s="2">
        <v>45149</v>
      </c>
      <c r="M627" s="18" t="s">
        <v>6687</v>
      </c>
      <c r="T627" s="19"/>
      <c r="V627" s="1" t="s">
        <v>23</v>
      </c>
      <c r="W627" s="1" t="s">
        <v>26</v>
      </c>
    </row>
    <row r="628" spans="2:23" ht="11.25" hidden="1" customHeight="1" x14ac:dyDescent="0.25">
      <c r="B628" s="17" t="s">
        <v>1465</v>
      </c>
      <c r="C628" s="17" t="s">
        <v>1465</v>
      </c>
      <c r="D628" s="1" t="s">
        <v>20</v>
      </c>
      <c r="E628" s="1" t="s">
        <v>28</v>
      </c>
      <c r="H628" s="1" t="s">
        <v>1466</v>
      </c>
      <c r="I628" s="1" t="s">
        <v>23</v>
      </c>
      <c r="J628" s="1" t="s">
        <v>112</v>
      </c>
      <c r="K628" s="1" t="s">
        <v>113</v>
      </c>
      <c r="L628" s="2">
        <v>45167</v>
      </c>
      <c r="M628" s="18" t="s">
        <v>6687</v>
      </c>
      <c r="T628" s="19"/>
      <c r="V628" s="1" t="s">
        <v>23</v>
      </c>
      <c r="W628" s="1" t="s">
        <v>26</v>
      </c>
    </row>
    <row r="629" spans="2:23" ht="11.25" hidden="1" customHeight="1" x14ac:dyDescent="0.25">
      <c r="B629" s="17" t="s">
        <v>1467</v>
      </c>
      <c r="C629" s="17" t="s">
        <v>1467</v>
      </c>
      <c r="D629" s="17" t="s">
        <v>348</v>
      </c>
      <c r="E629" s="1" t="s">
        <v>21</v>
      </c>
      <c r="H629" s="1" t="s">
        <v>1468</v>
      </c>
      <c r="I629" s="1" t="s">
        <v>350</v>
      </c>
      <c r="J629" s="1" t="s">
        <v>65</v>
      </c>
      <c r="K629" s="1" t="s">
        <v>66</v>
      </c>
      <c r="L629" s="2">
        <v>45170</v>
      </c>
      <c r="M629" s="18" t="s">
        <v>6687</v>
      </c>
      <c r="P629" s="3">
        <v>45378</v>
      </c>
      <c r="Q629" s="19" t="s">
        <v>6687</v>
      </c>
      <c r="R629" s="19" t="s">
        <v>40</v>
      </c>
      <c r="T629" s="19"/>
      <c r="V629" s="4" t="s">
        <v>350</v>
      </c>
      <c r="W629" s="17" t="s">
        <v>351</v>
      </c>
    </row>
    <row r="630" spans="2:23" ht="11.25" hidden="1" customHeight="1" x14ac:dyDescent="0.25">
      <c r="B630" s="17" t="s">
        <v>1469</v>
      </c>
      <c r="C630" s="17" t="s">
        <v>1469</v>
      </c>
      <c r="D630" s="17" t="s">
        <v>348</v>
      </c>
      <c r="E630" s="1" t="s">
        <v>21</v>
      </c>
      <c r="H630" s="1" t="s">
        <v>1470</v>
      </c>
      <c r="I630" s="1" t="s">
        <v>350</v>
      </c>
      <c r="J630" s="1" t="s">
        <v>1471</v>
      </c>
      <c r="K630" s="1" t="s">
        <v>1472</v>
      </c>
      <c r="L630" s="2">
        <v>45171</v>
      </c>
      <c r="M630" s="18" t="s">
        <v>6687</v>
      </c>
      <c r="P630" s="3">
        <v>45536</v>
      </c>
      <c r="Q630" s="19" t="s">
        <v>6687</v>
      </c>
      <c r="R630" s="19" t="s">
        <v>47</v>
      </c>
      <c r="S630" s="19" t="s">
        <v>1473</v>
      </c>
      <c r="T630" s="19" t="s">
        <v>1147</v>
      </c>
      <c r="V630" s="4" t="s">
        <v>350</v>
      </c>
      <c r="W630" s="17" t="s">
        <v>351</v>
      </c>
    </row>
    <row r="631" spans="2:23" ht="11.25" hidden="1" customHeight="1" x14ac:dyDescent="0.25">
      <c r="B631" s="17" t="s">
        <v>1474</v>
      </c>
      <c r="C631" s="17" t="s">
        <v>1474</v>
      </c>
      <c r="D631" s="1" t="s">
        <v>20</v>
      </c>
      <c r="E631" s="1" t="s">
        <v>21</v>
      </c>
      <c r="H631" s="1" t="s">
        <v>1475</v>
      </c>
      <c r="I631" s="1" t="s">
        <v>23</v>
      </c>
      <c r="J631" s="1" t="s">
        <v>1019</v>
      </c>
      <c r="K631" s="1" t="s">
        <v>1020</v>
      </c>
      <c r="L631" s="2">
        <v>45191</v>
      </c>
      <c r="M631" s="18" t="s">
        <v>6687</v>
      </c>
      <c r="P631" s="3">
        <v>45483</v>
      </c>
      <c r="Q631" s="19" t="s">
        <v>6687</v>
      </c>
      <c r="R631" s="19" t="s">
        <v>40</v>
      </c>
      <c r="T631" s="19" t="s">
        <v>1012</v>
      </c>
      <c r="V631" s="4" t="s">
        <v>23</v>
      </c>
      <c r="W631" s="1" t="s">
        <v>26</v>
      </c>
    </row>
    <row r="632" spans="2:23" ht="11.25" hidden="1" customHeight="1" x14ac:dyDescent="0.25">
      <c r="B632" s="17" t="s">
        <v>1476</v>
      </c>
      <c r="C632" s="17" t="s">
        <v>1476</v>
      </c>
      <c r="D632" s="17" t="s">
        <v>348</v>
      </c>
      <c r="E632" s="1" t="s">
        <v>21</v>
      </c>
      <c r="H632" s="1" t="s">
        <v>1477</v>
      </c>
      <c r="I632" s="1" t="s">
        <v>350</v>
      </c>
      <c r="J632" s="1" t="s">
        <v>390</v>
      </c>
      <c r="K632" s="1" t="s">
        <v>1403</v>
      </c>
      <c r="L632" s="2">
        <v>45170</v>
      </c>
      <c r="M632" s="18" t="s">
        <v>6687</v>
      </c>
      <c r="P632" s="3">
        <v>45323</v>
      </c>
      <c r="Q632" s="19" t="s">
        <v>6687</v>
      </c>
      <c r="R632" s="19" t="s">
        <v>47</v>
      </c>
      <c r="S632" s="19" t="s">
        <v>1478</v>
      </c>
      <c r="T632" s="19" t="s">
        <v>1321</v>
      </c>
      <c r="V632" s="4" t="s">
        <v>350</v>
      </c>
      <c r="W632" s="17" t="s">
        <v>351</v>
      </c>
    </row>
    <row r="633" spans="2:23" ht="11.25" hidden="1" customHeight="1" x14ac:dyDescent="0.25">
      <c r="B633" s="17" t="s">
        <v>1479</v>
      </c>
      <c r="C633" s="17" t="s">
        <v>1479</v>
      </c>
      <c r="D633" s="17" t="s">
        <v>348</v>
      </c>
      <c r="E633" s="1" t="s">
        <v>28</v>
      </c>
      <c r="H633" s="1" t="s">
        <v>1480</v>
      </c>
      <c r="I633" s="1" t="s">
        <v>350</v>
      </c>
      <c r="J633" s="1" t="s">
        <v>34</v>
      </c>
      <c r="K633" s="1" t="s">
        <v>365</v>
      </c>
      <c r="L633" s="2">
        <v>45170</v>
      </c>
      <c r="M633" s="18" t="s">
        <v>6687</v>
      </c>
      <c r="T633" s="19"/>
      <c r="V633" s="4" t="s">
        <v>350</v>
      </c>
      <c r="W633" s="17" t="s">
        <v>351</v>
      </c>
    </row>
    <row r="634" spans="2:23" ht="11.25" hidden="1" customHeight="1" x14ac:dyDescent="0.25">
      <c r="B634" s="17" t="s">
        <v>1481</v>
      </c>
      <c r="C634" s="17" t="s">
        <v>1481</v>
      </c>
      <c r="D634" s="17" t="s">
        <v>20</v>
      </c>
      <c r="E634" s="1" t="s">
        <v>28</v>
      </c>
      <c r="H634" s="1" t="s">
        <v>1482</v>
      </c>
      <c r="I634" s="1" t="s">
        <v>23</v>
      </c>
      <c r="J634" s="1" t="s">
        <v>34</v>
      </c>
      <c r="K634" s="1" t="s">
        <v>365</v>
      </c>
      <c r="L634" s="2">
        <v>45197</v>
      </c>
      <c r="M634" s="18" t="s">
        <v>6687</v>
      </c>
      <c r="T634" s="19"/>
      <c r="V634" s="4" t="s">
        <v>23</v>
      </c>
      <c r="W634" s="1" t="s">
        <v>26</v>
      </c>
    </row>
    <row r="635" spans="2:23" ht="11.25" hidden="1" customHeight="1" x14ac:dyDescent="0.25">
      <c r="B635" s="17" t="s">
        <v>1483</v>
      </c>
      <c r="C635" s="17" t="s">
        <v>1483</v>
      </c>
      <c r="D635" s="1" t="s">
        <v>20</v>
      </c>
      <c r="E635" s="1" t="s">
        <v>21</v>
      </c>
      <c r="H635" s="1" t="s">
        <v>1484</v>
      </c>
      <c r="I635" s="1" t="s">
        <v>23</v>
      </c>
      <c r="J635" s="1" t="s">
        <v>183</v>
      </c>
      <c r="K635" s="1" t="s">
        <v>436</v>
      </c>
      <c r="L635" s="2">
        <v>45191</v>
      </c>
      <c r="M635" s="18" t="s">
        <v>6687</v>
      </c>
      <c r="P635" s="3">
        <v>45467</v>
      </c>
      <c r="Q635" s="19" t="s">
        <v>6687</v>
      </c>
      <c r="R635" s="19" t="s">
        <v>47</v>
      </c>
      <c r="S635" s="19" t="s">
        <v>1485</v>
      </c>
      <c r="T635" s="19"/>
      <c r="V635" s="4" t="s">
        <v>23</v>
      </c>
      <c r="W635" s="1" t="s">
        <v>26</v>
      </c>
    </row>
    <row r="636" spans="2:23" ht="11.25" hidden="1" customHeight="1" x14ac:dyDescent="0.25">
      <c r="B636" s="17" t="s">
        <v>1486</v>
      </c>
      <c r="C636" s="17" t="s">
        <v>1486</v>
      </c>
      <c r="D636" s="1" t="s">
        <v>20</v>
      </c>
      <c r="E636" s="1" t="s">
        <v>21</v>
      </c>
      <c r="H636" s="1" t="s">
        <v>1487</v>
      </c>
      <c r="I636" s="1" t="s">
        <v>23</v>
      </c>
      <c r="J636" s="1" t="s">
        <v>1488</v>
      </c>
      <c r="K636" s="1" t="s">
        <v>1489</v>
      </c>
      <c r="L636" s="2">
        <v>45197</v>
      </c>
      <c r="M636" s="18" t="s">
        <v>6687</v>
      </c>
      <c r="P636" s="3">
        <v>45384</v>
      </c>
      <c r="Q636" s="19" t="s">
        <v>6687</v>
      </c>
      <c r="R636" s="19" t="s">
        <v>47</v>
      </c>
      <c r="S636" s="19" t="s">
        <v>1490</v>
      </c>
      <c r="T636" s="19" t="s">
        <v>1258</v>
      </c>
      <c r="V636" s="4" t="s">
        <v>23</v>
      </c>
      <c r="W636" s="1" t="s">
        <v>26</v>
      </c>
    </row>
    <row r="637" spans="2:23" ht="11.25" hidden="1" customHeight="1" x14ac:dyDescent="0.25">
      <c r="B637" s="17" t="s">
        <v>1491</v>
      </c>
      <c r="C637" s="17" t="s">
        <v>1491</v>
      </c>
      <c r="D637" s="1" t="s">
        <v>20</v>
      </c>
      <c r="E637" s="1" t="s">
        <v>28</v>
      </c>
      <c r="H637" s="1" t="s">
        <v>1492</v>
      </c>
      <c r="I637" s="1" t="s">
        <v>23</v>
      </c>
      <c r="J637" s="1" t="s">
        <v>61</v>
      </c>
      <c r="K637" s="1" t="s">
        <v>373</v>
      </c>
      <c r="L637" s="2">
        <v>45211</v>
      </c>
      <c r="M637" s="18" t="s">
        <v>6687</v>
      </c>
      <c r="T637" s="19"/>
      <c r="V637" s="4" t="s">
        <v>23</v>
      </c>
      <c r="W637" s="1" t="s">
        <v>26</v>
      </c>
    </row>
    <row r="638" spans="2:23" ht="11.25" hidden="1" customHeight="1" x14ac:dyDescent="0.25">
      <c r="B638" s="17" t="s">
        <v>1493</v>
      </c>
      <c r="C638" s="17" t="s">
        <v>1493</v>
      </c>
      <c r="D638" s="1" t="s">
        <v>20</v>
      </c>
      <c r="E638" s="1" t="s">
        <v>28</v>
      </c>
      <c r="H638" s="1" t="s">
        <v>1494</v>
      </c>
      <c r="I638" s="1" t="s">
        <v>23</v>
      </c>
      <c r="J638" s="1" t="s">
        <v>228</v>
      </c>
      <c r="K638" s="1" t="s">
        <v>376</v>
      </c>
      <c r="L638" s="2">
        <v>45224</v>
      </c>
      <c r="M638" s="18" t="s">
        <v>6687</v>
      </c>
      <c r="T638" s="19"/>
      <c r="V638" s="4" t="s">
        <v>23</v>
      </c>
      <c r="W638" s="1" t="s">
        <v>26</v>
      </c>
    </row>
    <row r="639" spans="2:23" ht="11.25" hidden="1" customHeight="1" x14ac:dyDescent="0.25">
      <c r="B639" s="17" t="s">
        <v>1495</v>
      </c>
      <c r="C639" s="17" t="s">
        <v>1495</v>
      </c>
      <c r="D639" s="17" t="s">
        <v>348</v>
      </c>
      <c r="E639" s="1" t="s">
        <v>21</v>
      </c>
      <c r="H639" s="1" t="s">
        <v>1496</v>
      </c>
      <c r="I639" s="1" t="s">
        <v>350</v>
      </c>
      <c r="J639" s="1" t="s">
        <v>379</v>
      </c>
      <c r="K639" s="1" t="s">
        <v>1453</v>
      </c>
      <c r="L639" s="2">
        <v>45219</v>
      </c>
      <c r="M639" s="18" t="s">
        <v>6687</v>
      </c>
      <c r="P639" s="3">
        <v>45964</v>
      </c>
      <c r="Q639" s="19" t="s">
        <v>6687</v>
      </c>
      <c r="R639" s="3" t="s">
        <v>47</v>
      </c>
      <c r="S639" s="3" t="s">
        <v>1497</v>
      </c>
      <c r="T639" s="19"/>
      <c r="V639" s="4" t="s">
        <v>350</v>
      </c>
      <c r="W639" s="17" t="s">
        <v>351</v>
      </c>
    </row>
    <row r="640" spans="2:23" ht="11.25" hidden="1" customHeight="1" x14ac:dyDescent="0.25">
      <c r="B640" s="17" t="s">
        <v>1498</v>
      </c>
      <c r="C640" s="17" t="s">
        <v>1498</v>
      </c>
      <c r="D640" s="17" t="s">
        <v>348</v>
      </c>
      <c r="E640" s="1" t="s">
        <v>28</v>
      </c>
      <c r="H640" s="1" t="s">
        <v>1499</v>
      </c>
      <c r="I640" s="1" t="s">
        <v>350</v>
      </c>
      <c r="J640" s="17" t="s">
        <v>76</v>
      </c>
      <c r="K640" s="1" t="s">
        <v>161</v>
      </c>
      <c r="L640" s="2">
        <v>45203</v>
      </c>
      <c r="M640" s="18" t="s">
        <v>6687</v>
      </c>
      <c r="T640" s="19"/>
      <c r="V640" s="4" t="s">
        <v>350</v>
      </c>
      <c r="W640" s="17" t="s">
        <v>351</v>
      </c>
    </row>
    <row r="641" spans="1:23" ht="11.25" hidden="1" customHeight="1" x14ac:dyDescent="0.25">
      <c r="B641" s="17" t="s">
        <v>1500</v>
      </c>
      <c r="C641" s="17" t="s">
        <v>1500</v>
      </c>
      <c r="D641" s="17" t="s">
        <v>348</v>
      </c>
      <c r="E641" s="1" t="s">
        <v>28</v>
      </c>
      <c r="H641" s="1" t="s">
        <v>1501</v>
      </c>
      <c r="I641" s="1" t="s">
        <v>350</v>
      </c>
      <c r="J641" s="1" t="s">
        <v>34</v>
      </c>
      <c r="K641" s="1" t="s">
        <v>365</v>
      </c>
      <c r="L641" s="2">
        <v>45203</v>
      </c>
      <c r="M641" s="18" t="s">
        <v>6687</v>
      </c>
      <c r="T641" s="19"/>
      <c r="V641" s="4" t="s">
        <v>350</v>
      </c>
      <c r="W641" s="17" t="s">
        <v>351</v>
      </c>
    </row>
    <row r="642" spans="1:23" ht="11.25" hidden="1" customHeight="1" x14ac:dyDescent="0.25">
      <c r="B642" s="17" t="s">
        <v>1502</v>
      </c>
      <c r="C642" s="17" t="s">
        <v>1502</v>
      </c>
      <c r="D642" s="17" t="s">
        <v>348</v>
      </c>
      <c r="E642" s="1" t="s">
        <v>28</v>
      </c>
      <c r="H642" s="1" t="s">
        <v>1503</v>
      </c>
      <c r="I642" s="1" t="s">
        <v>350</v>
      </c>
      <c r="J642" s="1" t="s">
        <v>61</v>
      </c>
      <c r="K642" s="1" t="s">
        <v>373</v>
      </c>
      <c r="L642" s="2">
        <v>45203</v>
      </c>
      <c r="M642" s="18" t="s">
        <v>6687</v>
      </c>
      <c r="T642" s="19"/>
      <c r="V642" s="4" t="s">
        <v>350</v>
      </c>
      <c r="W642" s="17" t="s">
        <v>351</v>
      </c>
    </row>
    <row r="643" spans="1:23" ht="11.25" hidden="1" customHeight="1" x14ac:dyDescent="0.25">
      <c r="B643" s="17" t="s">
        <v>1504</v>
      </c>
      <c r="C643" s="17" t="s">
        <v>1504</v>
      </c>
      <c r="D643" s="1" t="s">
        <v>20</v>
      </c>
      <c r="E643" s="1" t="s">
        <v>28</v>
      </c>
      <c r="H643" s="1" t="s">
        <v>1505</v>
      </c>
      <c r="I643" s="1" t="s">
        <v>23</v>
      </c>
      <c r="J643" s="1" t="s">
        <v>1506</v>
      </c>
      <c r="K643" s="1" t="s">
        <v>1507</v>
      </c>
      <c r="L643" s="2">
        <v>45261</v>
      </c>
      <c r="M643" s="18" t="s">
        <v>6687</v>
      </c>
      <c r="P643" s="3">
        <v>45740</v>
      </c>
      <c r="Q643" s="19" t="s">
        <v>6687</v>
      </c>
      <c r="R643" s="19" t="s">
        <v>40</v>
      </c>
      <c r="T643" s="19"/>
      <c r="U643" s="4">
        <v>45820</v>
      </c>
      <c r="V643" s="4" t="s">
        <v>23</v>
      </c>
      <c r="W643" s="1" t="s">
        <v>26</v>
      </c>
    </row>
    <row r="644" spans="1:23" ht="11.25" hidden="1" customHeight="1" x14ac:dyDescent="0.25">
      <c r="B644" s="17" t="s">
        <v>1508</v>
      </c>
      <c r="C644" s="17" t="s">
        <v>1508</v>
      </c>
      <c r="D644" s="1" t="s">
        <v>20</v>
      </c>
      <c r="E644" s="1" t="s">
        <v>21</v>
      </c>
      <c r="H644" s="1" t="s">
        <v>1509</v>
      </c>
      <c r="I644" s="1" t="s">
        <v>23</v>
      </c>
      <c r="J644" s="1" t="s">
        <v>1425</v>
      </c>
      <c r="K644" s="1" t="s">
        <v>1426</v>
      </c>
      <c r="L644" s="2">
        <v>45260</v>
      </c>
      <c r="M644" s="18" t="s">
        <v>6687</v>
      </c>
      <c r="P644" s="2">
        <v>45749</v>
      </c>
      <c r="Q644" s="19" t="s">
        <v>6687</v>
      </c>
      <c r="R644" s="3" t="s">
        <v>47</v>
      </c>
      <c r="S644" s="17" t="s">
        <v>1510</v>
      </c>
      <c r="T644" s="19"/>
      <c r="V644" s="4" t="s">
        <v>23</v>
      </c>
      <c r="W644" s="1" t="s">
        <v>26</v>
      </c>
    </row>
    <row r="645" spans="1:23" ht="11.25" hidden="1" customHeight="1" x14ac:dyDescent="0.25">
      <c r="B645" s="17" t="s">
        <v>1511</v>
      </c>
      <c r="C645" s="17" t="s">
        <v>1511</v>
      </c>
      <c r="D645" s="1" t="s">
        <v>20</v>
      </c>
      <c r="E645" s="17" t="s">
        <v>21</v>
      </c>
      <c r="F645" s="17"/>
      <c r="G645" s="17"/>
      <c r="H645" s="1" t="s">
        <v>1512</v>
      </c>
      <c r="I645" s="1" t="s">
        <v>23</v>
      </c>
      <c r="J645" s="1" t="s">
        <v>124</v>
      </c>
      <c r="K645" s="1" t="s">
        <v>902</v>
      </c>
      <c r="L645" s="2">
        <v>45254</v>
      </c>
      <c r="M645" s="18" t="s">
        <v>6687</v>
      </c>
      <c r="P645" s="3">
        <v>45278</v>
      </c>
      <c r="Q645" s="19" t="s">
        <v>6687</v>
      </c>
      <c r="R645" s="19"/>
      <c r="T645" s="19"/>
      <c r="V645" s="4" t="s">
        <v>23</v>
      </c>
      <c r="W645" s="1" t="s">
        <v>26</v>
      </c>
    </row>
    <row r="646" spans="1:23" ht="11.25" hidden="1" customHeight="1" x14ac:dyDescent="0.25">
      <c r="B646" s="17" t="s">
        <v>1513</v>
      </c>
      <c r="C646" s="17" t="s">
        <v>1513</v>
      </c>
      <c r="D646" s="1" t="s">
        <v>20</v>
      </c>
      <c r="E646" s="1" t="s">
        <v>21</v>
      </c>
      <c r="H646" s="1" t="s">
        <v>1514</v>
      </c>
      <c r="I646" s="1" t="s">
        <v>106</v>
      </c>
      <c r="J646" s="1" t="s">
        <v>112</v>
      </c>
      <c r="K646" s="1" t="s">
        <v>113</v>
      </c>
      <c r="L646" s="2">
        <v>45254</v>
      </c>
      <c r="M646" s="18" t="s">
        <v>6687</v>
      </c>
      <c r="P646" s="3">
        <v>45401</v>
      </c>
      <c r="Q646" s="19" t="s">
        <v>6687</v>
      </c>
      <c r="R646" s="19" t="s">
        <v>47</v>
      </c>
      <c r="S646" s="19" t="s">
        <v>1515</v>
      </c>
      <c r="T646" s="19" t="s">
        <v>1065</v>
      </c>
      <c r="V646" s="4" t="s">
        <v>106</v>
      </c>
      <c r="W646" s="17" t="s">
        <v>107</v>
      </c>
    </row>
    <row r="647" spans="1:23" ht="11.25" hidden="1" customHeight="1" x14ac:dyDescent="0.25">
      <c r="A647" s="1" t="s">
        <v>719</v>
      </c>
      <c r="B647" s="17" t="s">
        <v>1516</v>
      </c>
      <c r="C647" s="17" t="s">
        <v>1516</v>
      </c>
      <c r="D647" s="1" t="s">
        <v>20</v>
      </c>
      <c r="E647" s="1" t="s">
        <v>21</v>
      </c>
      <c r="H647" s="1" t="s">
        <v>1517</v>
      </c>
      <c r="I647" s="1" t="s">
        <v>23</v>
      </c>
      <c r="J647" s="1" t="s">
        <v>722</v>
      </c>
      <c r="K647" s="1" t="s">
        <v>723</v>
      </c>
      <c r="L647" s="2">
        <v>45251</v>
      </c>
      <c r="M647" s="18" t="s">
        <v>6687</v>
      </c>
      <c r="P647" s="3">
        <v>45931</v>
      </c>
      <c r="Q647" s="19" t="s">
        <v>6687</v>
      </c>
      <c r="R647" s="3" t="s">
        <v>47</v>
      </c>
      <c r="S647" s="3" t="s">
        <v>1518</v>
      </c>
      <c r="T647" s="19"/>
      <c r="V647" s="4" t="s">
        <v>23</v>
      </c>
      <c r="W647" s="1" t="s">
        <v>26</v>
      </c>
    </row>
    <row r="648" spans="1:23" ht="11.25" hidden="1" customHeight="1" x14ac:dyDescent="0.25">
      <c r="B648" s="17" t="s">
        <v>1519</v>
      </c>
      <c r="C648" s="17" t="s">
        <v>1519</v>
      </c>
      <c r="D648" s="1" t="s">
        <v>20</v>
      </c>
      <c r="E648" s="1" t="s">
        <v>21</v>
      </c>
      <c r="H648" s="1" t="s">
        <v>1520</v>
      </c>
      <c r="I648" s="1" t="s">
        <v>23</v>
      </c>
      <c r="J648" s="1" t="s">
        <v>94</v>
      </c>
      <c r="K648" s="1" t="s">
        <v>1037</v>
      </c>
      <c r="L648" s="2">
        <v>45251</v>
      </c>
      <c r="M648" s="18" t="s">
        <v>6687</v>
      </c>
      <c r="P648" s="2">
        <v>45770</v>
      </c>
      <c r="Q648" s="19" t="s">
        <v>6687</v>
      </c>
      <c r="R648" s="3" t="s">
        <v>47</v>
      </c>
      <c r="S648" s="3" t="s">
        <v>1521</v>
      </c>
      <c r="T648" s="19"/>
      <c r="V648" s="4" t="s">
        <v>23</v>
      </c>
      <c r="W648" s="1" t="s">
        <v>26</v>
      </c>
    </row>
    <row r="649" spans="1:23" ht="11.25" hidden="1" customHeight="1" x14ac:dyDescent="0.25">
      <c r="B649" s="17" t="s">
        <v>1522</v>
      </c>
      <c r="C649" s="17" t="s">
        <v>1522</v>
      </c>
      <c r="D649" s="1" t="s">
        <v>20</v>
      </c>
      <c r="E649" s="1" t="s">
        <v>28</v>
      </c>
      <c r="H649" s="1" t="s">
        <v>1523</v>
      </c>
      <c r="I649" s="1" t="s">
        <v>23</v>
      </c>
      <c r="J649" s="1" t="s">
        <v>1446</v>
      </c>
      <c r="K649" s="1" t="s">
        <v>1447</v>
      </c>
      <c r="L649" s="2">
        <v>45249</v>
      </c>
      <c r="M649" s="18" t="s">
        <v>6687</v>
      </c>
      <c r="T649" s="19"/>
      <c r="V649" s="4" t="s">
        <v>23</v>
      </c>
      <c r="W649" s="1" t="s">
        <v>26</v>
      </c>
    </row>
    <row r="650" spans="1:23" ht="11.25" hidden="1" customHeight="1" x14ac:dyDescent="0.25">
      <c r="B650" s="17" t="s">
        <v>1524</v>
      </c>
      <c r="C650" s="17" t="s">
        <v>1524</v>
      </c>
      <c r="D650" s="17" t="s">
        <v>348</v>
      </c>
      <c r="E650" s="1" t="s">
        <v>28</v>
      </c>
      <c r="H650" s="1" t="s">
        <v>1525</v>
      </c>
      <c r="I650" s="1" t="s">
        <v>494</v>
      </c>
      <c r="J650" s="17" t="s">
        <v>76</v>
      </c>
      <c r="K650" s="1" t="s">
        <v>161</v>
      </c>
      <c r="L650" s="2">
        <v>45246</v>
      </c>
      <c r="M650" s="18" t="s">
        <v>6687</v>
      </c>
      <c r="T650" s="19"/>
      <c r="V650" s="4" t="s">
        <v>494</v>
      </c>
      <c r="W650" s="17" t="s">
        <v>472</v>
      </c>
    </row>
    <row r="651" spans="1:23" ht="11.25" hidden="1" customHeight="1" x14ac:dyDescent="0.25">
      <c r="B651" s="17" t="s">
        <v>1526</v>
      </c>
      <c r="C651" s="17" t="s">
        <v>1526</v>
      </c>
      <c r="D651" s="17" t="s">
        <v>348</v>
      </c>
      <c r="E651" s="1" t="s">
        <v>21</v>
      </c>
      <c r="H651" s="1" t="s">
        <v>1527</v>
      </c>
      <c r="I651" s="1" t="s">
        <v>350</v>
      </c>
      <c r="J651" s="1" t="s">
        <v>65</v>
      </c>
      <c r="K651" s="1" t="s">
        <v>66</v>
      </c>
      <c r="L651" s="2">
        <v>45236</v>
      </c>
      <c r="M651" s="18" t="s">
        <v>6687</v>
      </c>
      <c r="P651" s="3">
        <v>45468</v>
      </c>
      <c r="Q651" s="19" t="s">
        <v>6687</v>
      </c>
      <c r="R651" s="19" t="s">
        <v>47</v>
      </c>
      <c r="S651" s="19" t="s">
        <v>1528</v>
      </c>
      <c r="T651" s="19" t="s">
        <v>1209</v>
      </c>
      <c r="V651" s="4" t="s">
        <v>350</v>
      </c>
      <c r="W651" s="17" t="s">
        <v>351</v>
      </c>
    </row>
    <row r="652" spans="1:23" ht="11.25" hidden="1" customHeight="1" x14ac:dyDescent="0.25">
      <c r="B652" s="17" t="s">
        <v>1529</v>
      </c>
      <c r="C652" s="17" t="s">
        <v>1529</v>
      </c>
      <c r="D652" s="17" t="s">
        <v>348</v>
      </c>
      <c r="E652" s="1" t="s">
        <v>28</v>
      </c>
      <c r="H652" s="1" t="s">
        <v>1530</v>
      </c>
      <c r="I652" s="1" t="s">
        <v>471</v>
      </c>
      <c r="J652" s="1" t="s">
        <v>61</v>
      </c>
      <c r="K652" s="1" t="s">
        <v>373</v>
      </c>
      <c r="L652" s="2">
        <v>45235</v>
      </c>
      <c r="M652" s="18" t="s">
        <v>6687</v>
      </c>
      <c r="T652" s="19"/>
      <c r="V652" s="4" t="s">
        <v>471</v>
      </c>
      <c r="W652" s="17" t="s">
        <v>472</v>
      </c>
    </row>
    <row r="653" spans="1:23" ht="11.25" hidden="1" customHeight="1" x14ac:dyDescent="0.25">
      <c r="B653" s="17" t="s">
        <v>1531</v>
      </c>
      <c r="C653" s="17" t="s">
        <v>1531</v>
      </c>
      <c r="D653" s="1" t="s">
        <v>20</v>
      </c>
      <c r="E653" s="1" t="s">
        <v>28</v>
      </c>
      <c r="H653" s="1" t="s">
        <v>1532</v>
      </c>
      <c r="I653" s="1" t="s">
        <v>23</v>
      </c>
      <c r="J653" s="1" t="s">
        <v>1533</v>
      </c>
      <c r="K653" s="1" t="s">
        <v>1532</v>
      </c>
      <c r="L653" s="2">
        <v>45231</v>
      </c>
      <c r="M653" s="18" t="s">
        <v>6687</v>
      </c>
      <c r="T653" s="19"/>
      <c r="V653" s="4" t="s">
        <v>23</v>
      </c>
      <c r="W653" s="1" t="s">
        <v>26</v>
      </c>
    </row>
    <row r="654" spans="1:23" ht="11.25" hidden="1" customHeight="1" x14ac:dyDescent="0.25">
      <c r="B654" s="17" t="s">
        <v>1534</v>
      </c>
      <c r="C654" s="17" t="s">
        <v>1534</v>
      </c>
      <c r="D654" s="17" t="s">
        <v>348</v>
      </c>
      <c r="E654" s="1" t="s">
        <v>28</v>
      </c>
      <c r="H654" s="1" t="s">
        <v>1535</v>
      </c>
      <c r="I654" s="1" t="s">
        <v>527</v>
      </c>
      <c r="J654" s="17" t="s">
        <v>76</v>
      </c>
      <c r="K654" s="1" t="s">
        <v>161</v>
      </c>
      <c r="L654" s="2">
        <v>45231</v>
      </c>
      <c r="M654" s="18" t="s">
        <v>6687</v>
      </c>
      <c r="T654" s="19"/>
      <c r="V654" s="4" t="s">
        <v>527</v>
      </c>
      <c r="W654" s="17" t="s">
        <v>472</v>
      </c>
    </row>
    <row r="655" spans="1:23" ht="11.25" hidden="1" customHeight="1" x14ac:dyDescent="0.25">
      <c r="B655" s="17" t="s">
        <v>1536</v>
      </c>
      <c r="C655" s="17" t="s">
        <v>1536</v>
      </c>
      <c r="D655" s="17" t="s">
        <v>348</v>
      </c>
      <c r="E655" s="1" t="s">
        <v>28</v>
      </c>
      <c r="H655" s="1" t="s">
        <v>1537</v>
      </c>
      <c r="I655" s="1" t="s">
        <v>350</v>
      </c>
      <c r="J655" s="1" t="s">
        <v>1019</v>
      </c>
      <c r="K655" s="1" t="s">
        <v>1020</v>
      </c>
      <c r="L655" s="2">
        <v>45261</v>
      </c>
      <c r="M655" s="18" t="s">
        <v>6687</v>
      </c>
      <c r="T655" s="19"/>
      <c r="V655" s="4" t="s">
        <v>350</v>
      </c>
      <c r="W655" s="17" t="s">
        <v>351</v>
      </c>
    </row>
    <row r="656" spans="1:23" ht="11.25" hidden="1" customHeight="1" x14ac:dyDescent="0.25">
      <c r="B656" s="17" t="s">
        <v>1538</v>
      </c>
      <c r="C656" s="17" t="s">
        <v>1538</v>
      </c>
      <c r="D656" s="17" t="s">
        <v>348</v>
      </c>
      <c r="E656" s="1" t="s">
        <v>28</v>
      </c>
      <c r="H656" s="1" t="s">
        <v>1539</v>
      </c>
      <c r="I656" s="1" t="s">
        <v>350</v>
      </c>
      <c r="J656" s="1" t="s">
        <v>61</v>
      </c>
      <c r="K656" s="1" t="s">
        <v>1540</v>
      </c>
      <c r="L656" s="2">
        <v>45265</v>
      </c>
      <c r="M656" s="18" t="s">
        <v>6687</v>
      </c>
      <c r="T656" s="19"/>
      <c r="V656" s="4" t="s">
        <v>350</v>
      </c>
      <c r="W656" s="17" t="s">
        <v>351</v>
      </c>
    </row>
    <row r="657" spans="2:25" ht="11.25" hidden="1" customHeight="1" x14ac:dyDescent="0.25">
      <c r="B657" s="17" t="s">
        <v>1541</v>
      </c>
      <c r="C657" s="17" t="s">
        <v>1541</v>
      </c>
      <c r="D657" s="17" t="s">
        <v>348</v>
      </c>
      <c r="E657" s="1" t="s">
        <v>28</v>
      </c>
      <c r="H657" s="1" t="s">
        <v>1542</v>
      </c>
      <c r="I657" s="1" t="s">
        <v>350</v>
      </c>
      <c r="J657" s="17" t="s">
        <v>76</v>
      </c>
      <c r="K657" s="1" t="s">
        <v>161</v>
      </c>
      <c r="L657" s="2">
        <v>45266</v>
      </c>
      <c r="M657" s="18" t="s">
        <v>6687</v>
      </c>
      <c r="T657" s="19"/>
      <c r="V657" s="4" t="s">
        <v>350</v>
      </c>
      <c r="W657" s="17" t="s">
        <v>351</v>
      </c>
    </row>
    <row r="658" spans="2:25" ht="11.25" hidden="1" customHeight="1" x14ac:dyDescent="0.25">
      <c r="B658" s="17" t="s">
        <v>1543</v>
      </c>
      <c r="C658" s="17" t="s">
        <v>1543</v>
      </c>
      <c r="D658" s="17" t="s">
        <v>348</v>
      </c>
      <c r="E658" s="1" t="s">
        <v>28</v>
      </c>
      <c r="H658" s="1" t="s">
        <v>1544</v>
      </c>
      <c r="I658" s="1" t="s">
        <v>350</v>
      </c>
      <c r="J658" s="17" t="s">
        <v>76</v>
      </c>
      <c r="K658" s="1" t="s">
        <v>161</v>
      </c>
      <c r="L658" s="2">
        <v>45266</v>
      </c>
      <c r="M658" s="18" t="s">
        <v>6687</v>
      </c>
      <c r="T658" s="19"/>
      <c r="V658" s="4" t="s">
        <v>350</v>
      </c>
      <c r="W658" s="17" t="s">
        <v>351</v>
      </c>
    </row>
    <row r="659" spans="2:25" ht="11.25" hidden="1" customHeight="1" x14ac:dyDescent="0.25">
      <c r="B659" s="17" t="s">
        <v>1545</v>
      </c>
      <c r="C659" s="17" t="s">
        <v>1545</v>
      </c>
      <c r="D659" s="17" t="s">
        <v>20</v>
      </c>
      <c r="E659" s="17" t="s">
        <v>21</v>
      </c>
      <c r="F659" s="17"/>
      <c r="G659" s="17"/>
      <c r="H659" s="17" t="s">
        <v>1546</v>
      </c>
      <c r="I659" s="17" t="s">
        <v>23</v>
      </c>
      <c r="J659" s="17" t="s">
        <v>70</v>
      </c>
      <c r="K659" s="17" t="s">
        <v>71</v>
      </c>
      <c r="L659" s="18">
        <v>42009</v>
      </c>
      <c r="M659" s="18" t="s">
        <v>6687</v>
      </c>
      <c r="N659" s="18"/>
      <c r="O659" s="18"/>
      <c r="P659" s="19">
        <v>45743</v>
      </c>
      <c r="Q659" s="19" t="s">
        <v>6687</v>
      </c>
      <c r="R659" s="19" t="s">
        <v>40</v>
      </c>
      <c r="S659" s="19"/>
      <c r="T659" s="19"/>
      <c r="U659" s="18"/>
      <c r="V659" s="17" t="s">
        <v>23</v>
      </c>
      <c r="W659" s="17" t="s">
        <v>26</v>
      </c>
      <c r="Y659" s="4"/>
    </row>
    <row r="660" spans="2:25" ht="11.25" hidden="1" customHeight="1" x14ac:dyDescent="0.25">
      <c r="B660" s="17" t="s">
        <v>1547</v>
      </c>
      <c r="C660" s="17" t="s">
        <v>1547</v>
      </c>
      <c r="D660" s="17" t="s">
        <v>348</v>
      </c>
      <c r="E660" s="1" t="s">
        <v>28</v>
      </c>
      <c r="H660" s="1" t="s">
        <v>1548</v>
      </c>
      <c r="I660" s="1" t="s">
        <v>350</v>
      </c>
      <c r="J660" s="17" t="s">
        <v>76</v>
      </c>
      <c r="K660" s="1" t="s">
        <v>161</v>
      </c>
      <c r="L660" s="2">
        <v>45267</v>
      </c>
      <c r="M660" s="18" t="s">
        <v>6687</v>
      </c>
      <c r="T660" s="19"/>
      <c r="V660" s="4" t="s">
        <v>350</v>
      </c>
      <c r="W660" s="17" t="s">
        <v>351</v>
      </c>
    </row>
    <row r="661" spans="2:25" ht="11.25" hidden="1" customHeight="1" x14ac:dyDescent="0.25">
      <c r="B661" s="17" t="s">
        <v>1549</v>
      </c>
      <c r="C661" s="17" t="s">
        <v>1549</v>
      </c>
      <c r="D661" s="17" t="s">
        <v>348</v>
      </c>
      <c r="E661" s="1" t="s">
        <v>21</v>
      </c>
      <c r="H661" s="1" t="s">
        <v>1550</v>
      </c>
      <c r="I661" s="1" t="s">
        <v>350</v>
      </c>
      <c r="J661" s="1" t="s">
        <v>1425</v>
      </c>
      <c r="K661" s="1" t="s">
        <v>1426</v>
      </c>
      <c r="L661" s="2">
        <v>45291</v>
      </c>
      <c r="M661" s="18" t="s">
        <v>6687</v>
      </c>
      <c r="P661" s="3">
        <v>45782</v>
      </c>
      <c r="Q661" s="19" t="s">
        <v>6687</v>
      </c>
      <c r="R661" s="3" t="s">
        <v>47</v>
      </c>
      <c r="S661" s="3" t="s">
        <v>1551</v>
      </c>
      <c r="T661" s="19"/>
      <c r="V661" s="4" t="s">
        <v>350</v>
      </c>
      <c r="W661" s="17" t="s">
        <v>351</v>
      </c>
    </row>
    <row r="662" spans="2:25" ht="11.25" hidden="1" customHeight="1" x14ac:dyDescent="0.25">
      <c r="B662" s="17" t="s">
        <v>1552</v>
      </c>
      <c r="C662" s="17" t="s">
        <v>1552</v>
      </c>
      <c r="D662" s="1" t="s">
        <v>20</v>
      </c>
      <c r="E662" s="1" t="s">
        <v>21</v>
      </c>
      <c r="H662" s="1" t="s">
        <v>1553</v>
      </c>
      <c r="I662" s="1" t="s">
        <v>23</v>
      </c>
      <c r="J662" s="1" t="s">
        <v>1554</v>
      </c>
      <c r="K662" s="1" t="s">
        <v>1555</v>
      </c>
      <c r="L662" s="2">
        <v>45275</v>
      </c>
      <c r="M662" s="18" t="s">
        <v>6687</v>
      </c>
      <c r="P662" s="3">
        <v>45560</v>
      </c>
      <c r="Q662" s="19" t="s">
        <v>6687</v>
      </c>
      <c r="R662" s="19" t="s">
        <v>40</v>
      </c>
      <c r="T662" s="19"/>
      <c r="V662" s="4" t="s">
        <v>23</v>
      </c>
      <c r="W662" s="1" t="s">
        <v>26</v>
      </c>
    </row>
    <row r="663" spans="2:25" ht="11.25" hidden="1" customHeight="1" x14ac:dyDescent="0.25">
      <c r="B663" s="17" t="s">
        <v>739</v>
      </c>
      <c r="C663" s="17" t="s">
        <v>739</v>
      </c>
      <c r="D663" s="17" t="s">
        <v>348</v>
      </c>
      <c r="E663" s="1" t="s">
        <v>21</v>
      </c>
      <c r="H663" s="1" t="s">
        <v>1556</v>
      </c>
      <c r="I663" s="1" t="s">
        <v>350</v>
      </c>
      <c r="J663" s="1" t="s">
        <v>183</v>
      </c>
      <c r="K663" s="1" t="s">
        <v>436</v>
      </c>
      <c r="L663" s="2">
        <v>45269</v>
      </c>
      <c r="M663" s="18" t="s">
        <v>6687</v>
      </c>
      <c r="P663" s="3">
        <v>45514</v>
      </c>
      <c r="Q663" s="19" t="s">
        <v>6687</v>
      </c>
      <c r="R663" s="19" t="s">
        <v>47</v>
      </c>
      <c r="S663" s="19" t="s">
        <v>1557</v>
      </c>
      <c r="T663" s="19" t="s">
        <v>737</v>
      </c>
      <c r="V663" s="4" t="s">
        <v>350</v>
      </c>
      <c r="W663" s="17" t="s">
        <v>351</v>
      </c>
    </row>
    <row r="664" spans="2:25" ht="11.25" hidden="1" customHeight="1" x14ac:dyDescent="0.25">
      <c r="B664" s="17" t="s">
        <v>747</v>
      </c>
      <c r="C664" s="17" t="s">
        <v>747</v>
      </c>
      <c r="D664" s="17" t="s">
        <v>348</v>
      </c>
      <c r="E664" s="1" t="s">
        <v>21</v>
      </c>
      <c r="H664" s="1" t="s">
        <v>1558</v>
      </c>
      <c r="I664" s="1" t="s">
        <v>350</v>
      </c>
      <c r="J664" s="1" t="s">
        <v>183</v>
      </c>
      <c r="K664" s="1" t="s">
        <v>436</v>
      </c>
      <c r="L664" s="2">
        <v>45268</v>
      </c>
      <c r="M664" s="18" t="s">
        <v>6687</v>
      </c>
      <c r="P664" s="3">
        <v>45536</v>
      </c>
      <c r="Q664" s="19" t="s">
        <v>6687</v>
      </c>
      <c r="R664" s="19" t="s">
        <v>47</v>
      </c>
      <c r="S664" s="19" t="s">
        <v>745</v>
      </c>
      <c r="T664" s="19" t="s">
        <v>1342</v>
      </c>
      <c r="V664" s="4" t="s">
        <v>350</v>
      </c>
      <c r="W664" s="17" t="s">
        <v>351</v>
      </c>
    </row>
    <row r="665" spans="2:25" ht="11.25" hidden="1" customHeight="1" x14ac:dyDescent="0.25">
      <c r="B665" s="17" t="s">
        <v>1559</v>
      </c>
      <c r="C665" s="17" t="s">
        <v>1559</v>
      </c>
      <c r="D665" s="1" t="s">
        <v>20</v>
      </c>
      <c r="E665" s="17" t="s">
        <v>28</v>
      </c>
      <c r="F665" s="17"/>
      <c r="G665" s="17"/>
      <c r="H665" s="1" t="s">
        <v>1560</v>
      </c>
      <c r="I665" s="1" t="s">
        <v>23</v>
      </c>
      <c r="J665" s="1" t="s">
        <v>1561</v>
      </c>
      <c r="K665" s="1" t="s">
        <v>1562</v>
      </c>
      <c r="L665" s="2">
        <v>45279</v>
      </c>
      <c r="M665" s="18" t="s">
        <v>6687</v>
      </c>
      <c r="P665" s="30"/>
      <c r="Q665" s="30"/>
      <c r="R665" s="30"/>
      <c r="S665" s="30"/>
      <c r="T665" s="19" t="s">
        <v>1511</v>
      </c>
      <c r="V665" s="4" t="s">
        <v>23</v>
      </c>
      <c r="W665" s="1" t="s">
        <v>26</v>
      </c>
    </row>
    <row r="666" spans="2:25" ht="11.25" hidden="1" customHeight="1" x14ac:dyDescent="0.25">
      <c r="B666" s="17" t="s">
        <v>1563</v>
      </c>
      <c r="C666" s="17" t="s">
        <v>1563</v>
      </c>
      <c r="D666" s="17" t="s">
        <v>348</v>
      </c>
      <c r="E666" s="1" t="s">
        <v>28</v>
      </c>
      <c r="H666" s="1" t="s">
        <v>1564</v>
      </c>
      <c r="I666" s="1" t="s">
        <v>350</v>
      </c>
      <c r="J666" s="1" t="s">
        <v>1561</v>
      </c>
      <c r="K666" s="1" t="s">
        <v>1562</v>
      </c>
      <c r="L666" s="2">
        <v>45284</v>
      </c>
      <c r="M666" s="18" t="s">
        <v>6687</v>
      </c>
      <c r="T666" s="19" t="s">
        <v>729</v>
      </c>
      <c r="V666" s="4" t="s">
        <v>350</v>
      </c>
      <c r="W666" s="17" t="s">
        <v>351</v>
      </c>
    </row>
    <row r="667" spans="2:25" ht="11.25" hidden="1" customHeight="1" x14ac:dyDescent="0.25">
      <c r="B667" s="17" t="s">
        <v>1565</v>
      </c>
      <c r="C667" s="17" t="s">
        <v>1565</v>
      </c>
      <c r="D667" s="1" t="s">
        <v>20</v>
      </c>
      <c r="E667" s="1" t="s">
        <v>21</v>
      </c>
      <c r="H667" s="1" t="s">
        <v>1566</v>
      </c>
      <c r="I667" s="1" t="s">
        <v>306</v>
      </c>
      <c r="J667" s="1" t="s">
        <v>112</v>
      </c>
      <c r="K667" s="1" t="s">
        <v>113</v>
      </c>
      <c r="L667" s="2">
        <v>45315</v>
      </c>
      <c r="M667" s="18" t="s">
        <v>6687</v>
      </c>
      <c r="P667" s="3">
        <v>45467</v>
      </c>
      <c r="Q667" s="19" t="s">
        <v>6687</v>
      </c>
      <c r="R667" s="19" t="s">
        <v>40</v>
      </c>
      <c r="T667" s="19" t="s">
        <v>307</v>
      </c>
      <c r="V667" s="4" t="s">
        <v>306</v>
      </c>
      <c r="W667" s="1" t="s">
        <v>107</v>
      </c>
    </row>
    <row r="668" spans="2:25" ht="11.25" hidden="1" customHeight="1" x14ac:dyDescent="0.25">
      <c r="B668" s="17" t="s">
        <v>1567</v>
      </c>
      <c r="C668" s="17" t="s">
        <v>1567</v>
      </c>
      <c r="D668" s="1" t="s">
        <v>20</v>
      </c>
      <c r="E668" s="1" t="s">
        <v>21</v>
      </c>
      <c r="H668" s="1" t="s">
        <v>1568</v>
      </c>
      <c r="I668" s="1" t="s">
        <v>385</v>
      </c>
      <c r="J668" s="1" t="s">
        <v>183</v>
      </c>
      <c r="K668" s="1" t="s">
        <v>436</v>
      </c>
      <c r="L668" s="2">
        <v>45321</v>
      </c>
      <c r="M668" s="18" t="s">
        <v>6687</v>
      </c>
      <c r="P668" s="3">
        <v>45421</v>
      </c>
      <c r="Q668" s="19" t="s">
        <v>6687</v>
      </c>
      <c r="R668" s="19" t="s">
        <v>47</v>
      </c>
      <c r="S668" s="19" t="s">
        <v>1569</v>
      </c>
      <c r="T668" s="19" t="s">
        <v>1071</v>
      </c>
      <c r="V668" s="4" t="s">
        <v>385</v>
      </c>
      <c r="W668" s="1" t="s">
        <v>107</v>
      </c>
    </row>
    <row r="669" spans="2:25" ht="11.25" hidden="1" customHeight="1" x14ac:dyDescent="0.25">
      <c r="B669" s="17" t="s">
        <v>1570</v>
      </c>
      <c r="C669" s="17" t="s">
        <v>1570</v>
      </c>
      <c r="D669" s="1" t="s">
        <v>20</v>
      </c>
      <c r="E669" s="1" t="s">
        <v>28</v>
      </c>
      <c r="H669" s="1" t="s">
        <v>1571</v>
      </c>
      <c r="I669" s="1" t="s">
        <v>23</v>
      </c>
      <c r="J669" s="1" t="s">
        <v>1446</v>
      </c>
      <c r="K669" s="1" t="s">
        <v>1447</v>
      </c>
      <c r="L669" s="2">
        <v>45295</v>
      </c>
      <c r="M669" s="18" t="s">
        <v>6687</v>
      </c>
      <c r="T669" s="19"/>
      <c r="V669" s="4" t="s">
        <v>23</v>
      </c>
      <c r="W669" s="1" t="s">
        <v>107</v>
      </c>
    </row>
    <row r="670" spans="2:25" ht="11.25" hidden="1" customHeight="1" x14ac:dyDescent="0.25">
      <c r="B670" s="17" t="s">
        <v>1572</v>
      </c>
      <c r="C670" s="17" t="s">
        <v>1572</v>
      </c>
      <c r="D670" s="17" t="s">
        <v>348</v>
      </c>
      <c r="E670" s="1" t="s">
        <v>28</v>
      </c>
      <c r="H670" s="1" t="s">
        <v>1573</v>
      </c>
      <c r="I670" s="1" t="s">
        <v>1430</v>
      </c>
      <c r="J670" s="1" t="s">
        <v>1019</v>
      </c>
      <c r="K670" s="1" t="s">
        <v>1020</v>
      </c>
      <c r="L670" s="2">
        <v>45307</v>
      </c>
      <c r="M670" s="18" t="s">
        <v>6687</v>
      </c>
      <c r="T670" s="19"/>
      <c r="V670" s="4" t="s">
        <v>497</v>
      </c>
      <c r="W670" s="17" t="s">
        <v>472</v>
      </c>
    </row>
    <row r="671" spans="2:25" ht="11.25" hidden="1" customHeight="1" x14ac:dyDescent="0.25">
      <c r="B671" s="17" t="s">
        <v>1574</v>
      </c>
      <c r="C671" s="17" t="s">
        <v>1574</v>
      </c>
      <c r="D671" s="17" t="s">
        <v>348</v>
      </c>
      <c r="E671" s="1" t="s">
        <v>28</v>
      </c>
      <c r="H671" s="1" t="s">
        <v>1575</v>
      </c>
      <c r="I671" s="1" t="s">
        <v>350</v>
      </c>
      <c r="J671" s="1" t="s">
        <v>112</v>
      </c>
      <c r="K671" s="1" t="s">
        <v>113</v>
      </c>
      <c r="L671" s="2">
        <v>45302</v>
      </c>
      <c r="M671" s="18" t="s">
        <v>6687</v>
      </c>
      <c r="T671" s="19"/>
      <c r="V671" s="4" t="s">
        <v>350</v>
      </c>
      <c r="W671" s="17" t="s">
        <v>472</v>
      </c>
    </row>
    <row r="672" spans="2:25" ht="11.25" hidden="1" customHeight="1" x14ac:dyDescent="0.25">
      <c r="B672" s="17" t="s">
        <v>1576</v>
      </c>
      <c r="C672" s="17" t="s">
        <v>1576</v>
      </c>
      <c r="D672" s="1" t="s">
        <v>20</v>
      </c>
      <c r="E672" s="1" t="s">
        <v>21</v>
      </c>
      <c r="H672" s="1" t="s">
        <v>1577</v>
      </c>
      <c r="I672" s="1" t="s">
        <v>23</v>
      </c>
      <c r="J672" s="1" t="s">
        <v>1425</v>
      </c>
      <c r="K672" s="1" t="s">
        <v>1426</v>
      </c>
      <c r="L672" s="2">
        <v>45319</v>
      </c>
      <c r="M672" s="18" t="s">
        <v>6687</v>
      </c>
      <c r="P672" s="3">
        <v>45494</v>
      </c>
      <c r="Q672" s="19" t="s">
        <v>6687</v>
      </c>
      <c r="R672" s="19" t="s">
        <v>47</v>
      </c>
      <c r="S672" s="19" t="s">
        <v>1578</v>
      </c>
      <c r="T672" s="19" t="s">
        <v>381</v>
      </c>
      <c r="V672" s="4" t="s">
        <v>23</v>
      </c>
      <c r="W672" s="1" t="s">
        <v>107</v>
      </c>
    </row>
    <row r="673" spans="2:25" ht="11.25" hidden="1" customHeight="1" x14ac:dyDescent="0.25">
      <c r="B673" s="17" t="s">
        <v>1222</v>
      </c>
      <c r="C673" s="17" t="s">
        <v>1222</v>
      </c>
      <c r="D673" s="17" t="s">
        <v>348</v>
      </c>
      <c r="E673" s="1" t="s">
        <v>21</v>
      </c>
      <c r="H673" s="1" t="s">
        <v>1579</v>
      </c>
      <c r="I673" s="1" t="s">
        <v>1215</v>
      </c>
      <c r="J673" s="1" t="s">
        <v>1019</v>
      </c>
      <c r="K673" s="1" t="s">
        <v>1020</v>
      </c>
      <c r="L673" s="2">
        <v>45310</v>
      </c>
      <c r="M673" s="18" t="s">
        <v>6687</v>
      </c>
      <c r="P673" s="2">
        <v>45725</v>
      </c>
      <c r="Q673" s="19" t="s">
        <v>6687</v>
      </c>
      <c r="R673" s="3" t="s">
        <v>47</v>
      </c>
      <c r="T673" s="19" t="s">
        <v>1220</v>
      </c>
      <c r="V673" s="4" t="s">
        <v>1215</v>
      </c>
      <c r="W673" s="17" t="s">
        <v>472</v>
      </c>
    </row>
    <row r="674" spans="2:25" ht="11.25" hidden="1" customHeight="1" x14ac:dyDescent="0.25">
      <c r="B674" s="17" t="s">
        <v>1580</v>
      </c>
      <c r="C674" s="17" t="s">
        <v>1580</v>
      </c>
      <c r="D674" s="17" t="s">
        <v>348</v>
      </c>
      <c r="E674" s="1" t="s">
        <v>28</v>
      </c>
      <c r="H674" s="1" t="s">
        <v>1581</v>
      </c>
      <c r="I674" s="1" t="s">
        <v>527</v>
      </c>
      <c r="J674" s="1" t="s">
        <v>1019</v>
      </c>
      <c r="K674" s="1" t="s">
        <v>1020</v>
      </c>
      <c r="L674" s="2">
        <v>45317</v>
      </c>
      <c r="M674" s="18" t="s">
        <v>6687</v>
      </c>
      <c r="T674" s="19"/>
      <c r="V674" s="4" t="s">
        <v>527</v>
      </c>
      <c r="W674" s="17" t="s">
        <v>472</v>
      </c>
    </row>
    <row r="675" spans="2:25" ht="11.25" hidden="1" customHeight="1" x14ac:dyDescent="0.25">
      <c r="B675" s="17" t="s">
        <v>1582</v>
      </c>
      <c r="C675" s="17" t="s">
        <v>1582</v>
      </c>
      <c r="D675" s="1" t="s">
        <v>20</v>
      </c>
      <c r="E675" s="1" t="s">
        <v>21</v>
      </c>
      <c r="H675" s="1" t="s">
        <v>1583</v>
      </c>
      <c r="I675" s="1" t="s">
        <v>140</v>
      </c>
      <c r="J675" s="1" t="s">
        <v>1425</v>
      </c>
      <c r="K675" s="1" t="s">
        <v>1426</v>
      </c>
      <c r="L675" s="2">
        <v>45323</v>
      </c>
      <c r="M675" s="18" t="s">
        <v>6687</v>
      </c>
      <c r="P675" s="3">
        <v>45751</v>
      </c>
      <c r="Q675" s="19" t="s">
        <v>6687</v>
      </c>
      <c r="R675" s="3" t="s">
        <v>40</v>
      </c>
      <c r="T675" s="19" t="s">
        <v>403</v>
      </c>
      <c r="V675" s="4" t="s">
        <v>140</v>
      </c>
      <c r="W675" s="1" t="s">
        <v>107</v>
      </c>
    </row>
    <row r="676" spans="2:25" ht="11.25" hidden="1" customHeight="1" x14ac:dyDescent="0.25">
      <c r="B676" s="17" t="s">
        <v>1584</v>
      </c>
      <c r="C676" s="17" t="s">
        <v>1584</v>
      </c>
      <c r="D676" s="1" t="s">
        <v>20</v>
      </c>
      <c r="E676" s="1" t="s">
        <v>28</v>
      </c>
      <c r="H676" s="1" t="s">
        <v>1585</v>
      </c>
      <c r="I676" s="1" t="s">
        <v>23</v>
      </c>
      <c r="J676" s="1" t="s">
        <v>1063</v>
      </c>
      <c r="K676" s="1" t="s">
        <v>1586</v>
      </c>
      <c r="L676" s="2">
        <v>45328</v>
      </c>
      <c r="M676" s="18" t="s">
        <v>6687</v>
      </c>
      <c r="T676" s="19"/>
      <c r="V676" s="4" t="s">
        <v>23</v>
      </c>
      <c r="W676" s="1" t="s">
        <v>26</v>
      </c>
    </row>
    <row r="677" spans="2:25" ht="11.25" hidden="1" customHeight="1" x14ac:dyDescent="0.25">
      <c r="B677" s="17" t="s">
        <v>1587</v>
      </c>
      <c r="C677" s="17" t="s">
        <v>1587</v>
      </c>
      <c r="D677" s="1" t="s">
        <v>20</v>
      </c>
      <c r="E677" s="1" t="s">
        <v>28</v>
      </c>
      <c r="H677" s="1" t="s">
        <v>1588</v>
      </c>
      <c r="I677" s="1" t="s">
        <v>23</v>
      </c>
      <c r="J677" s="1" t="s">
        <v>1446</v>
      </c>
      <c r="K677" s="1" t="s">
        <v>1447</v>
      </c>
      <c r="L677" s="2">
        <v>45327</v>
      </c>
      <c r="M677" s="18" t="s">
        <v>6687</v>
      </c>
      <c r="T677" s="19"/>
      <c r="V677" s="4" t="s">
        <v>23</v>
      </c>
      <c r="W677" s="1" t="s">
        <v>26</v>
      </c>
    </row>
    <row r="678" spans="2:25" ht="11.25" hidden="1" customHeight="1" x14ac:dyDescent="0.25">
      <c r="B678" s="17" t="s">
        <v>1589</v>
      </c>
      <c r="C678" s="17" t="s">
        <v>1589</v>
      </c>
      <c r="D678" s="17" t="s">
        <v>20</v>
      </c>
      <c r="E678" s="17" t="s">
        <v>21</v>
      </c>
      <c r="F678" s="17"/>
      <c r="G678" s="17"/>
      <c r="H678" s="17" t="s">
        <v>1590</v>
      </c>
      <c r="I678" s="17" t="s">
        <v>140</v>
      </c>
      <c r="J678" s="17" t="s">
        <v>61</v>
      </c>
      <c r="K678" s="17" t="s">
        <v>373</v>
      </c>
      <c r="L678" s="18">
        <v>44055</v>
      </c>
      <c r="M678" s="18" t="s">
        <v>6687</v>
      </c>
      <c r="N678" s="18"/>
      <c r="O678" s="18"/>
      <c r="P678" s="19">
        <v>45746</v>
      </c>
      <c r="Q678" s="19" t="s">
        <v>6687</v>
      </c>
      <c r="R678" s="19" t="s">
        <v>47</v>
      </c>
      <c r="S678" s="3" t="s">
        <v>1591</v>
      </c>
      <c r="T678" s="19"/>
      <c r="U678" s="18"/>
      <c r="V678" s="17" t="s">
        <v>140</v>
      </c>
      <c r="W678" s="17" t="s">
        <v>107</v>
      </c>
      <c r="Y678" s="4"/>
    </row>
    <row r="679" spans="2:25" ht="11.25" hidden="1" customHeight="1" x14ac:dyDescent="0.25">
      <c r="B679" s="17" t="s">
        <v>1337</v>
      </c>
      <c r="C679" s="17" t="s">
        <v>1337</v>
      </c>
      <c r="D679" s="1" t="s">
        <v>20</v>
      </c>
      <c r="E679" s="1" t="s">
        <v>21</v>
      </c>
      <c r="H679" s="1" t="s">
        <v>1592</v>
      </c>
      <c r="I679" s="1" t="s">
        <v>23</v>
      </c>
      <c r="J679" s="1" t="s">
        <v>1593</v>
      </c>
      <c r="K679" s="1" t="s">
        <v>1594</v>
      </c>
      <c r="L679" s="2">
        <v>45349</v>
      </c>
      <c r="M679" s="18" t="s">
        <v>6687</v>
      </c>
      <c r="P679" s="3">
        <v>45414</v>
      </c>
      <c r="Q679" s="19" t="s">
        <v>6687</v>
      </c>
      <c r="R679" s="19" t="s">
        <v>40</v>
      </c>
      <c r="T679" s="19" t="s">
        <v>1335</v>
      </c>
      <c r="V679" s="4" t="s">
        <v>23</v>
      </c>
      <c r="W679" s="1" t="s">
        <v>26</v>
      </c>
    </row>
    <row r="680" spans="2:25" ht="11.25" hidden="1" customHeight="1" x14ac:dyDescent="0.25">
      <c r="B680" s="17" t="s">
        <v>1595</v>
      </c>
      <c r="C680" s="17" t="s">
        <v>1595</v>
      </c>
      <c r="D680" s="17" t="s">
        <v>348</v>
      </c>
      <c r="E680" s="1" t="s">
        <v>28</v>
      </c>
      <c r="H680" s="1" t="s">
        <v>1596</v>
      </c>
      <c r="I680" s="1" t="s">
        <v>350</v>
      </c>
      <c r="J680" s="1" t="s">
        <v>1019</v>
      </c>
      <c r="K680" s="1" t="s">
        <v>1020</v>
      </c>
      <c r="L680" s="2">
        <v>45324</v>
      </c>
      <c r="M680" s="18" t="s">
        <v>6687</v>
      </c>
      <c r="T680" s="19" t="s">
        <v>461</v>
      </c>
      <c r="V680" s="4" t="s">
        <v>350</v>
      </c>
      <c r="W680" s="17" t="s">
        <v>351</v>
      </c>
    </row>
    <row r="681" spans="2:25" ht="11.25" hidden="1" customHeight="1" x14ac:dyDescent="0.25">
      <c r="B681" s="17" t="s">
        <v>1597</v>
      </c>
      <c r="C681" s="17" t="s">
        <v>1597</v>
      </c>
      <c r="D681" s="17" t="s">
        <v>348</v>
      </c>
      <c r="E681" s="17" t="s">
        <v>21</v>
      </c>
      <c r="F681" s="17"/>
      <c r="G681" s="17"/>
      <c r="H681" s="17" t="s">
        <v>1598</v>
      </c>
      <c r="I681" s="17" t="s">
        <v>350</v>
      </c>
      <c r="J681" s="17" t="s">
        <v>34</v>
      </c>
      <c r="K681" s="17" t="s">
        <v>35</v>
      </c>
      <c r="L681" s="18">
        <v>43339</v>
      </c>
      <c r="M681" s="18" t="s">
        <v>6687</v>
      </c>
      <c r="N681" s="18"/>
      <c r="O681" s="18"/>
      <c r="P681" s="19">
        <v>45747</v>
      </c>
      <c r="Q681" s="19" t="s">
        <v>6687</v>
      </c>
      <c r="R681" s="19" t="s">
        <v>40</v>
      </c>
      <c r="S681" s="19"/>
      <c r="T681" s="19"/>
      <c r="U681" s="18"/>
      <c r="V681" s="17" t="s">
        <v>350</v>
      </c>
      <c r="W681" s="17" t="s">
        <v>351</v>
      </c>
    </row>
    <row r="682" spans="2:25" ht="11.25" hidden="1" customHeight="1" x14ac:dyDescent="0.25">
      <c r="B682" s="17" t="s">
        <v>1599</v>
      </c>
      <c r="C682" s="17" t="s">
        <v>1599</v>
      </c>
      <c r="D682" s="1" t="s">
        <v>20</v>
      </c>
      <c r="E682" s="1" t="s">
        <v>28</v>
      </c>
      <c r="H682" s="1" t="s">
        <v>1600</v>
      </c>
      <c r="I682" s="1" t="s">
        <v>23</v>
      </c>
      <c r="J682" s="1" t="s">
        <v>1506</v>
      </c>
      <c r="K682" s="1" t="s">
        <v>1507</v>
      </c>
      <c r="L682" s="2">
        <v>45261</v>
      </c>
      <c r="M682" s="18" t="s">
        <v>6687</v>
      </c>
      <c r="T682" s="19"/>
      <c r="V682" s="4" t="s">
        <v>23</v>
      </c>
      <c r="W682" s="1" t="s">
        <v>26</v>
      </c>
    </row>
    <row r="683" spans="2:25" ht="11.25" hidden="1" customHeight="1" x14ac:dyDescent="0.25">
      <c r="B683" s="17" t="s">
        <v>1601</v>
      </c>
      <c r="C683" s="17" t="s">
        <v>1601</v>
      </c>
      <c r="D683" s="1" t="s">
        <v>20</v>
      </c>
      <c r="E683" s="1" t="s">
        <v>28</v>
      </c>
      <c r="H683" s="1" t="s">
        <v>1602</v>
      </c>
      <c r="I683" s="1" t="s">
        <v>23</v>
      </c>
      <c r="J683" s="1" t="s">
        <v>1603</v>
      </c>
      <c r="K683" s="1" t="s">
        <v>1604</v>
      </c>
      <c r="L683" s="2">
        <v>45261</v>
      </c>
      <c r="M683" s="18" t="s">
        <v>6687</v>
      </c>
      <c r="T683" s="19"/>
      <c r="V683" s="4" t="s">
        <v>23</v>
      </c>
      <c r="W683" s="1" t="s">
        <v>26</v>
      </c>
    </row>
    <row r="684" spans="2:25" ht="11.25" hidden="1" customHeight="1" x14ac:dyDescent="0.25">
      <c r="B684" s="17" t="s">
        <v>1605</v>
      </c>
      <c r="C684" s="17" t="s">
        <v>1605</v>
      </c>
      <c r="D684" s="1" t="s">
        <v>20</v>
      </c>
      <c r="E684" s="1" t="s">
        <v>28</v>
      </c>
      <c r="H684" s="1" t="s">
        <v>1606</v>
      </c>
      <c r="I684" s="1" t="s">
        <v>23</v>
      </c>
      <c r="J684" s="1" t="s">
        <v>1603</v>
      </c>
      <c r="K684" s="1" t="s">
        <v>1604</v>
      </c>
      <c r="L684" s="2">
        <v>45261</v>
      </c>
      <c r="M684" s="18" t="s">
        <v>6687</v>
      </c>
      <c r="T684" s="19"/>
      <c r="V684" s="4" t="s">
        <v>23</v>
      </c>
      <c r="W684" s="1" t="s">
        <v>26</v>
      </c>
    </row>
    <row r="685" spans="2:25" ht="11.25" hidden="1" customHeight="1" x14ac:dyDescent="0.25">
      <c r="B685" s="17" t="s">
        <v>1607</v>
      </c>
      <c r="C685" s="17" t="s">
        <v>1607</v>
      </c>
      <c r="D685" s="1" t="s">
        <v>20</v>
      </c>
      <c r="E685" s="1" t="s">
        <v>28</v>
      </c>
      <c r="H685" s="1" t="s">
        <v>1608</v>
      </c>
      <c r="I685" s="1" t="s">
        <v>23</v>
      </c>
      <c r="J685" s="1" t="s">
        <v>1603</v>
      </c>
      <c r="K685" s="1" t="s">
        <v>1604</v>
      </c>
      <c r="L685" s="2">
        <v>45261</v>
      </c>
      <c r="M685" s="18" t="s">
        <v>6687</v>
      </c>
      <c r="T685" s="19"/>
      <c r="V685" s="4" t="s">
        <v>23</v>
      </c>
      <c r="W685" s="1" t="s">
        <v>26</v>
      </c>
    </row>
    <row r="686" spans="2:25" ht="11.25" hidden="1" customHeight="1" x14ac:dyDescent="0.25">
      <c r="B686" s="17" t="s">
        <v>1609</v>
      </c>
      <c r="C686" s="17" t="s">
        <v>1609</v>
      </c>
      <c r="D686" s="1" t="s">
        <v>20</v>
      </c>
      <c r="E686" s="1" t="s">
        <v>28</v>
      </c>
      <c r="H686" s="1" t="s">
        <v>1610</v>
      </c>
      <c r="I686" s="1" t="s">
        <v>23</v>
      </c>
      <c r="J686" s="1" t="s">
        <v>1611</v>
      </c>
      <c r="K686" s="1" t="s">
        <v>1612</v>
      </c>
      <c r="L686" s="2">
        <v>45261</v>
      </c>
      <c r="M686" s="18" t="s">
        <v>6687</v>
      </c>
      <c r="T686" s="19"/>
      <c r="V686" s="4" t="s">
        <v>23</v>
      </c>
      <c r="W686" s="1" t="s">
        <v>26</v>
      </c>
    </row>
    <row r="687" spans="2:25" ht="11.25" hidden="1" customHeight="1" x14ac:dyDescent="0.25">
      <c r="B687" s="17" t="s">
        <v>1613</v>
      </c>
      <c r="C687" s="17" t="s">
        <v>1613</v>
      </c>
      <c r="D687" s="1" t="s">
        <v>20</v>
      </c>
      <c r="E687" s="1" t="s">
        <v>21</v>
      </c>
      <c r="H687" s="1" t="s">
        <v>1614</v>
      </c>
      <c r="I687" s="1" t="s">
        <v>23</v>
      </c>
      <c r="J687" s="1" t="s">
        <v>1615</v>
      </c>
      <c r="K687" s="1" t="s">
        <v>1616</v>
      </c>
      <c r="L687" s="2">
        <v>45261</v>
      </c>
      <c r="M687" s="18" t="s">
        <v>6687</v>
      </c>
      <c r="P687" s="3">
        <v>45536</v>
      </c>
      <c r="Q687" s="19" t="s">
        <v>6687</v>
      </c>
      <c r="R687" s="19" t="s">
        <v>40</v>
      </c>
      <c r="T687" s="19"/>
      <c r="V687" s="4" t="s">
        <v>23</v>
      </c>
      <c r="W687" s="1" t="s">
        <v>26</v>
      </c>
    </row>
    <row r="688" spans="2:25" ht="11.25" hidden="1" customHeight="1" x14ac:dyDescent="0.25">
      <c r="B688" s="17" t="s">
        <v>1617</v>
      </c>
      <c r="C688" s="17" t="s">
        <v>1617</v>
      </c>
      <c r="D688" s="1" t="s">
        <v>20</v>
      </c>
      <c r="E688" s="1" t="s">
        <v>21</v>
      </c>
      <c r="H688" s="1" t="s">
        <v>1618</v>
      </c>
      <c r="I688" s="1" t="s">
        <v>23</v>
      </c>
      <c r="J688" s="1" t="s">
        <v>1593</v>
      </c>
      <c r="K688" s="1" t="s">
        <v>1594</v>
      </c>
      <c r="L688" s="2">
        <v>45359</v>
      </c>
      <c r="M688" s="18" t="s">
        <v>6687</v>
      </c>
      <c r="P688" s="3">
        <v>45431</v>
      </c>
      <c r="Q688" s="19" t="s">
        <v>6687</v>
      </c>
      <c r="R688" s="19" t="s">
        <v>40</v>
      </c>
      <c r="T688" s="19"/>
      <c r="V688" s="4" t="s">
        <v>23</v>
      </c>
      <c r="W688" s="1" t="s">
        <v>26</v>
      </c>
    </row>
    <row r="689" spans="1:24" ht="11.25" hidden="1" customHeight="1" x14ac:dyDescent="0.25">
      <c r="B689" s="17" t="s">
        <v>1619</v>
      </c>
      <c r="C689" s="17" t="s">
        <v>1619</v>
      </c>
      <c r="D689" s="1" t="s">
        <v>20</v>
      </c>
      <c r="E689" s="1" t="s">
        <v>21</v>
      </c>
      <c r="H689" s="1" t="s">
        <v>1620</v>
      </c>
      <c r="I689" s="1" t="s">
        <v>23</v>
      </c>
      <c r="J689" s="1" t="s">
        <v>1621</v>
      </c>
      <c r="K689" s="1" t="s">
        <v>1622</v>
      </c>
      <c r="L689" s="2">
        <v>45352</v>
      </c>
      <c r="M689" s="18" t="s">
        <v>6687</v>
      </c>
      <c r="P689" s="3">
        <v>45865</v>
      </c>
      <c r="Q689" s="19" t="s">
        <v>6687</v>
      </c>
      <c r="R689" s="3" t="s">
        <v>40</v>
      </c>
      <c r="T689" s="19"/>
      <c r="V689" s="4" t="s">
        <v>23</v>
      </c>
      <c r="W689" s="1" t="s">
        <v>26</v>
      </c>
    </row>
    <row r="690" spans="1:24" ht="11.25" hidden="1" customHeight="1" x14ac:dyDescent="0.25">
      <c r="B690" s="17" t="s">
        <v>1347</v>
      </c>
      <c r="C690" s="17" t="s">
        <v>1347</v>
      </c>
      <c r="D690" s="1" t="s">
        <v>20</v>
      </c>
      <c r="E690" s="1" t="s">
        <v>21</v>
      </c>
      <c r="H690" s="1" t="s">
        <v>1623</v>
      </c>
      <c r="I690" s="1" t="s">
        <v>23</v>
      </c>
      <c r="J690" s="1" t="s">
        <v>1593</v>
      </c>
      <c r="K690" s="1" t="s">
        <v>1594</v>
      </c>
      <c r="L690" s="2">
        <v>45386</v>
      </c>
      <c r="M690" s="18" t="s">
        <v>6687</v>
      </c>
      <c r="P690" s="3">
        <v>45869</v>
      </c>
      <c r="Q690" s="19" t="s">
        <v>6687</v>
      </c>
      <c r="R690" s="3" t="s">
        <v>40</v>
      </c>
      <c r="T690" s="19" t="s">
        <v>1344</v>
      </c>
      <c r="V690" s="1" t="s">
        <v>23</v>
      </c>
      <c r="W690" s="1" t="s">
        <v>26</v>
      </c>
    </row>
    <row r="691" spans="1:24" ht="11.25" hidden="1" customHeight="1" x14ac:dyDescent="0.25">
      <c r="B691" s="17" t="s">
        <v>1624</v>
      </c>
      <c r="C691" s="17" t="s">
        <v>1624</v>
      </c>
      <c r="D691" s="1" t="s">
        <v>20</v>
      </c>
      <c r="E691" s="1" t="s">
        <v>21</v>
      </c>
      <c r="H691" s="1" t="s">
        <v>1625</v>
      </c>
      <c r="I691" s="1" t="s">
        <v>23</v>
      </c>
      <c r="J691" s="1" t="s">
        <v>1593</v>
      </c>
      <c r="K691" s="1" t="s">
        <v>1594</v>
      </c>
      <c r="L691" s="2">
        <v>45385</v>
      </c>
      <c r="M691" s="18" t="s">
        <v>6687</v>
      </c>
      <c r="P691" s="3">
        <v>45523</v>
      </c>
      <c r="Q691" s="19" t="s">
        <v>6687</v>
      </c>
      <c r="R691" s="19" t="s">
        <v>40</v>
      </c>
      <c r="T691" s="19"/>
      <c r="V691" s="1" t="s">
        <v>23</v>
      </c>
      <c r="W691" s="1" t="s">
        <v>26</v>
      </c>
    </row>
    <row r="692" spans="1:24" ht="11.25" hidden="1" customHeight="1" x14ac:dyDescent="0.25">
      <c r="A692" s="1" t="s">
        <v>719</v>
      </c>
      <c r="B692" s="17" t="s">
        <v>1490</v>
      </c>
      <c r="C692" s="17" t="s">
        <v>1490</v>
      </c>
      <c r="D692" s="1" t="s">
        <v>20</v>
      </c>
      <c r="E692" s="1" t="s">
        <v>21</v>
      </c>
      <c r="H692" s="1" t="s">
        <v>1626</v>
      </c>
      <c r="I692" s="1" t="s">
        <v>23</v>
      </c>
      <c r="J692" s="1" t="s">
        <v>722</v>
      </c>
      <c r="K692" s="1" t="s">
        <v>723</v>
      </c>
      <c r="L692" s="2">
        <v>45412</v>
      </c>
      <c r="M692" s="18" t="s">
        <v>6687</v>
      </c>
      <c r="P692" s="3">
        <v>45931</v>
      </c>
      <c r="Q692" s="19" t="s">
        <v>6687</v>
      </c>
      <c r="R692" s="3" t="s">
        <v>47</v>
      </c>
      <c r="S692" s="3" t="s">
        <v>1627</v>
      </c>
      <c r="T692" s="19" t="s">
        <v>1486</v>
      </c>
      <c r="V692" s="1" t="s">
        <v>23</v>
      </c>
      <c r="W692" s="1" t="s">
        <v>26</v>
      </c>
    </row>
    <row r="693" spans="1:24" ht="11.25" hidden="1" customHeight="1" x14ac:dyDescent="0.25">
      <c r="B693" s="17" t="s">
        <v>1628</v>
      </c>
      <c r="C693" s="17" t="s">
        <v>1628</v>
      </c>
      <c r="D693" s="1" t="s">
        <v>20</v>
      </c>
      <c r="E693" s="1" t="s">
        <v>21</v>
      </c>
      <c r="H693" s="1" t="s">
        <v>1629</v>
      </c>
      <c r="I693" s="1" t="s">
        <v>23</v>
      </c>
      <c r="J693" s="1" t="s">
        <v>1630</v>
      </c>
      <c r="K693" s="1" t="s">
        <v>1631</v>
      </c>
      <c r="L693" s="2">
        <v>45401</v>
      </c>
      <c r="M693" s="18" t="s">
        <v>6687</v>
      </c>
      <c r="P693" s="3">
        <v>46053</v>
      </c>
      <c r="Q693" s="19" t="s">
        <v>6687</v>
      </c>
      <c r="T693" s="19"/>
      <c r="V693" s="1" t="s">
        <v>23</v>
      </c>
      <c r="W693" s="1" t="s">
        <v>26</v>
      </c>
    </row>
    <row r="694" spans="1:24" ht="11.25" hidden="1" customHeight="1" x14ac:dyDescent="0.25">
      <c r="B694" s="17" t="s">
        <v>576</v>
      </c>
      <c r="C694" s="17" t="s">
        <v>576</v>
      </c>
      <c r="D694" s="17" t="s">
        <v>348</v>
      </c>
      <c r="E694" s="1" t="s">
        <v>28</v>
      </c>
      <c r="H694" s="1" t="s">
        <v>1632</v>
      </c>
      <c r="I694" s="1" t="s">
        <v>471</v>
      </c>
      <c r="J694" s="1" t="s">
        <v>1019</v>
      </c>
      <c r="K694" s="1" t="s">
        <v>1020</v>
      </c>
      <c r="L694" s="2">
        <v>45406</v>
      </c>
      <c r="M694" s="18" t="s">
        <v>6687</v>
      </c>
      <c r="T694" s="19" t="s">
        <v>574</v>
      </c>
      <c r="V694" s="1" t="s">
        <v>471</v>
      </c>
      <c r="W694" s="17" t="s">
        <v>472</v>
      </c>
    </row>
    <row r="695" spans="1:24" ht="11.25" hidden="1" customHeight="1" x14ac:dyDescent="0.25">
      <c r="B695" s="17" t="s">
        <v>1161</v>
      </c>
      <c r="C695" s="17" t="s">
        <v>1161</v>
      </c>
      <c r="D695" s="17" t="s">
        <v>348</v>
      </c>
      <c r="E695" s="1" t="s">
        <v>28</v>
      </c>
      <c r="H695" s="1" t="s">
        <v>1633</v>
      </c>
      <c r="I695" s="17" t="s">
        <v>601</v>
      </c>
      <c r="J695" s="1" t="s">
        <v>1019</v>
      </c>
      <c r="K695" s="1" t="s">
        <v>1020</v>
      </c>
      <c r="L695" s="2">
        <v>45409</v>
      </c>
      <c r="M695" s="18" t="s">
        <v>6687</v>
      </c>
      <c r="T695" s="19" t="s">
        <v>1159</v>
      </c>
      <c r="V695" s="1" t="s">
        <v>601</v>
      </c>
      <c r="W695" s="17" t="s">
        <v>472</v>
      </c>
    </row>
    <row r="696" spans="1:24" ht="11.25" hidden="1" customHeight="1" x14ac:dyDescent="0.25">
      <c r="B696" s="17" t="s">
        <v>1634</v>
      </c>
      <c r="C696" s="17" t="s">
        <v>1634</v>
      </c>
      <c r="D696" s="17" t="s">
        <v>348</v>
      </c>
      <c r="E696" s="1" t="s">
        <v>28</v>
      </c>
      <c r="H696" s="1" t="s">
        <v>1635</v>
      </c>
      <c r="I696" s="1" t="s">
        <v>350</v>
      </c>
      <c r="J696" s="17" t="s">
        <v>76</v>
      </c>
      <c r="K696" s="1" t="s">
        <v>161</v>
      </c>
      <c r="L696" s="2">
        <v>45383</v>
      </c>
      <c r="M696" s="18" t="s">
        <v>6687</v>
      </c>
      <c r="T696" s="19"/>
      <c r="V696" s="1" t="s">
        <v>350</v>
      </c>
      <c r="W696" s="17" t="s">
        <v>351</v>
      </c>
    </row>
    <row r="697" spans="1:24" ht="11.25" hidden="1" customHeight="1" x14ac:dyDescent="0.25">
      <c r="B697" s="17" t="s">
        <v>1636</v>
      </c>
      <c r="C697" s="17" t="s">
        <v>1636</v>
      </c>
      <c r="D697" s="17" t="s">
        <v>348</v>
      </c>
      <c r="E697" s="1" t="s">
        <v>28</v>
      </c>
      <c r="H697" s="1" t="s">
        <v>1637</v>
      </c>
      <c r="I697" s="1" t="s">
        <v>350</v>
      </c>
      <c r="J697" s="17" t="s">
        <v>76</v>
      </c>
      <c r="K697" s="1" t="s">
        <v>161</v>
      </c>
      <c r="L697" s="2">
        <v>45409</v>
      </c>
      <c r="M697" s="18" t="s">
        <v>6687</v>
      </c>
      <c r="T697" s="19"/>
      <c r="V697" s="1" t="s">
        <v>350</v>
      </c>
      <c r="W697" s="17" t="s">
        <v>351</v>
      </c>
    </row>
    <row r="698" spans="1:24" ht="11.25" hidden="1" customHeight="1" x14ac:dyDescent="0.25">
      <c r="B698" s="17" t="s">
        <v>1638</v>
      </c>
      <c r="C698" s="17" t="s">
        <v>1638</v>
      </c>
      <c r="D698" s="1" t="s">
        <v>20</v>
      </c>
      <c r="E698" s="1" t="s">
        <v>21</v>
      </c>
      <c r="H698" s="1" t="s">
        <v>1639</v>
      </c>
      <c r="I698" s="1" t="s">
        <v>956</v>
      </c>
      <c r="J698" s="1" t="s">
        <v>183</v>
      </c>
      <c r="K698" s="1" t="s">
        <v>436</v>
      </c>
      <c r="L698" s="2">
        <v>45150</v>
      </c>
      <c r="M698" s="18" t="s">
        <v>6687</v>
      </c>
      <c r="P698" s="3">
        <v>45736</v>
      </c>
      <c r="Q698" s="19" t="s">
        <v>6687</v>
      </c>
      <c r="R698" s="3" t="s">
        <v>47</v>
      </c>
      <c r="S698" s="3" t="s">
        <v>1640</v>
      </c>
      <c r="T698" s="19"/>
      <c r="V698" s="1" t="s">
        <v>956</v>
      </c>
      <c r="W698" s="17" t="s">
        <v>107</v>
      </c>
    </row>
    <row r="699" spans="1:24" ht="11.25" hidden="1" customHeight="1" x14ac:dyDescent="0.25">
      <c r="B699" s="17" t="s">
        <v>1416</v>
      </c>
      <c r="C699" s="17" t="s">
        <v>1416</v>
      </c>
      <c r="D699" s="1" t="s">
        <v>20</v>
      </c>
      <c r="E699" s="1" t="s">
        <v>28</v>
      </c>
      <c r="H699" s="1" t="s">
        <v>1641</v>
      </c>
      <c r="I699" s="1" t="s">
        <v>23</v>
      </c>
      <c r="J699" s="1" t="s">
        <v>183</v>
      </c>
      <c r="K699" s="1" t="s">
        <v>436</v>
      </c>
      <c r="L699" s="2">
        <v>45424</v>
      </c>
      <c r="M699" s="18" t="s">
        <v>6687</v>
      </c>
      <c r="T699" s="19" t="s">
        <v>1414</v>
      </c>
      <c r="V699" s="4" t="s">
        <v>23</v>
      </c>
      <c r="W699" s="1" t="s">
        <v>26</v>
      </c>
      <c r="X699" s="1" t="s">
        <v>5938</v>
      </c>
    </row>
    <row r="700" spans="1:24" ht="11.25" hidden="1" customHeight="1" x14ac:dyDescent="0.25">
      <c r="B700" s="17" t="s">
        <v>1642</v>
      </c>
      <c r="C700" s="17" t="s">
        <v>1642</v>
      </c>
      <c r="D700" s="1" t="s">
        <v>20</v>
      </c>
      <c r="E700" s="1" t="s">
        <v>28</v>
      </c>
      <c r="H700" s="1" t="s">
        <v>1643</v>
      </c>
      <c r="I700" s="1" t="s">
        <v>23</v>
      </c>
      <c r="J700" s="1" t="s">
        <v>61</v>
      </c>
      <c r="K700" s="1" t="s">
        <v>373</v>
      </c>
      <c r="L700" s="2">
        <v>45435</v>
      </c>
      <c r="M700" s="18" t="s">
        <v>6687</v>
      </c>
      <c r="T700" s="19" t="s">
        <v>72</v>
      </c>
      <c r="V700" s="4" t="s">
        <v>23</v>
      </c>
      <c r="W700" s="1" t="s">
        <v>26</v>
      </c>
    </row>
    <row r="701" spans="1:24" ht="11.25" hidden="1" customHeight="1" x14ac:dyDescent="0.25">
      <c r="B701" s="17" t="s">
        <v>801</v>
      </c>
      <c r="C701" s="17" t="s">
        <v>801</v>
      </c>
      <c r="D701" s="17" t="s">
        <v>348</v>
      </c>
      <c r="E701" s="1" t="s">
        <v>28</v>
      </c>
      <c r="H701" s="1" t="s">
        <v>1644</v>
      </c>
      <c r="I701" s="1" t="s">
        <v>350</v>
      </c>
      <c r="J701" s="1" t="s">
        <v>1019</v>
      </c>
      <c r="K701" s="1" t="s">
        <v>1020</v>
      </c>
      <c r="L701" s="2">
        <v>45416</v>
      </c>
      <c r="M701" s="18" t="s">
        <v>6687</v>
      </c>
      <c r="T701" s="19" t="s">
        <v>799</v>
      </c>
      <c r="V701" s="4" t="s">
        <v>350</v>
      </c>
      <c r="W701" s="17" t="s">
        <v>351</v>
      </c>
    </row>
    <row r="702" spans="1:24" ht="11.25" hidden="1" customHeight="1" x14ac:dyDescent="0.25">
      <c r="B702" s="17" t="s">
        <v>1645</v>
      </c>
      <c r="C702" s="17" t="s">
        <v>1645</v>
      </c>
      <c r="D702" s="17" t="s">
        <v>348</v>
      </c>
      <c r="E702" s="1" t="s">
        <v>21</v>
      </c>
      <c r="H702" s="1" t="s">
        <v>1646</v>
      </c>
      <c r="I702" s="1" t="s">
        <v>350</v>
      </c>
      <c r="J702" s="1" t="s">
        <v>1425</v>
      </c>
      <c r="K702" s="1" t="s">
        <v>1426</v>
      </c>
      <c r="L702" s="2">
        <v>45427</v>
      </c>
      <c r="M702" s="18" t="s">
        <v>6687</v>
      </c>
      <c r="P702" s="2">
        <v>45747</v>
      </c>
      <c r="Q702" s="19" t="s">
        <v>6687</v>
      </c>
      <c r="R702" s="3" t="s">
        <v>47</v>
      </c>
      <c r="S702" s="3" t="s">
        <v>1647</v>
      </c>
      <c r="T702" s="19"/>
      <c r="V702" s="4" t="s">
        <v>350</v>
      </c>
      <c r="W702" s="17" t="s">
        <v>351</v>
      </c>
    </row>
    <row r="703" spans="1:24" ht="11.25" hidden="1" customHeight="1" x14ac:dyDescent="0.25">
      <c r="B703" s="17" t="s">
        <v>638</v>
      </c>
      <c r="C703" s="17" t="s">
        <v>638</v>
      </c>
      <c r="D703" s="17" t="s">
        <v>348</v>
      </c>
      <c r="E703" s="1" t="s">
        <v>21</v>
      </c>
      <c r="H703" s="1" t="s">
        <v>1648</v>
      </c>
      <c r="I703" s="1" t="s">
        <v>350</v>
      </c>
      <c r="J703" s="1" t="s">
        <v>61</v>
      </c>
      <c r="K703" s="1" t="s">
        <v>373</v>
      </c>
      <c r="L703" s="2">
        <v>45420</v>
      </c>
      <c r="M703" s="18" t="s">
        <v>6687</v>
      </c>
      <c r="P703" s="3">
        <v>45866</v>
      </c>
      <c r="Q703" s="19" t="s">
        <v>6687</v>
      </c>
      <c r="R703" s="3" t="s">
        <v>40</v>
      </c>
      <c r="T703" s="19" t="s">
        <v>636</v>
      </c>
      <c r="V703" s="4" t="s">
        <v>350</v>
      </c>
      <c r="W703" s="17" t="s">
        <v>351</v>
      </c>
    </row>
    <row r="704" spans="1:24" ht="11.25" hidden="1" customHeight="1" x14ac:dyDescent="0.25">
      <c r="B704" s="17" t="s">
        <v>1649</v>
      </c>
      <c r="C704" s="17" t="s">
        <v>1649</v>
      </c>
      <c r="D704" s="1" t="s">
        <v>20</v>
      </c>
      <c r="E704" s="1" t="s">
        <v>28</v>
      </c>
      <c r="H704" s="1" t="s">
        <v>1650</v>
      </c>
      <c r="I704" s="1" t="s">
        <v>23</v>
      </c>
      <c r="J704" s="17" t="s">
        <v>76</v>
      </c>
      <c r="K704" s="1" t="s">
        <v>161</v>
      </c>
      <c r="L704" s="2">
        <v>45472</v>
      </c>
      <c r="M704" s="18" t="s">
        <v>6687</v>
      </c>
      <c r="T704" s="19"/>
      <c r="V704" s="4" t="s">
        <v>23</v>
      </c>
      <c r="W704" s="1" t="s">
        <v>26</v>
      </c>
    </row>
    <row r="705" spans="1:23" ht="11.25" hidden="1" customHeight="1" x14ac:dyDescent="0.25">
      <c r="A705" s="1" t="s">
        <v>719</v>
      </c>
      <c r="B705" s="17" t="s">
        <v>1009</v>
      </c>
      <c r="C705" s="17" t="s">
        <v>1009</v>
      </c>
      <c r="D705" s="1" t="s">
        <v>20</v>
      </c>
      <c r="E705" s="1" t="s">
        <v>28</v>
      </c>
      <c r="H705" s="1" t="s">
        <v>1651</v>
      </c>
      <c r="I705" s="1" t="s">
        <v>23</v>
      </c>
      <c r="J705" s="1" t="s">
        <v>722</v>
      </c>
      <c r="K705" s="1" t="s">
        <v>723</v>
      </c>
      <c r="L705" s="2">
        <v>45469</v>
      </c>
      <c r="M705" s="18" t="s">
        <v>6687</v>
      </c>
      <c r="T705" s="19" t="s">
        <v>1007</v>
      </c>
      <c r="V705" s="4" t="s">
        <v>23</v>
      </c>
      <c r="W705" s="1" t="s">
        <v>26</v>
      </c>
    </row>
    <row r="706" spans="1:23" ht="11.25" hidden="1" customHeight="1" x14ac:dyDescent="0.25">
      <c r="B706" s="17" t="s">
        <v>48</v>
      </c>
      <c r="C706" s="17" t="s">
        <v>48</v>
      </c>
      <c r="D706" s="1" t="s">
        <v>20</v>
      </c>
      <c r="E706" s="1" t="s">
        <v>21</v>
      </c>
      <c r="H706" s="1" t="s">
        <v>1652</v>
      </c>
      <c r="I706" s="1" t="s">
        <v>23</v>
      </c>
      <c r="J706" s="1" t="s">
        <v>1056</v>
      </c>
      <c r="K706" s="1" t="s">
        <v>1057</v>
      </c>
      <c r="L706" s="2">
        <v>45463</v>
      </c>
      <c r="M706" s="18" t="s">
        <v>6687</v>
      </c>
      <c r="P706" s="3">
        <v>45858</v>
      </c>
      <c r="Q706" s="19" t="s">
        <v>6687</v>
      </c>
      <c r="R706" s="3" t="s">
        <v>47</v>
      </c>
      <c r="S706" s="3" t="s">
        <v>1653</v>
      </c>
      <c r="T706" s="19" t="s">
        <v>45</v>
      </c>
      <c r="V706" s="4" t="s">
        <v>23</v>
      </c>
      <c r="W706" s="1" t="s">
        <v>26</v>
      </c>
    </row>
    <row r="707" spans="1:23" ht="11.25" hidden="1" customHeight="1" x14ac:dyDescent="0.25">
      <c r="B707" s="17" t="s">
        <v>485</v>
      </c>
      <c r="C707" s="17" t="s">
        <v>485</v>
      </c>
      <c r="D707" s="17" t="s">
        <v>348</v>
      </c>
      <c r="E707" s="1" t="s">
        <v>28</v>
      </c>
      <c r="H707" s="1" t="s">
        <v>1654</v>
      </c>
      <c r="I707" s="1" t="s">
        <v>350</v>
      </c>
      <c r="J707" s="1" t="s">
        <v>1019</v>
      </c>
      <c r="K707" s="1" t="s">
        <v>1020</v>
      </c>
      <c r="L707" s="2">
        <v>45462</v>
      </c>
      <c r="M707" s="18" t="s">
        <v>6687</v>
      </c>
      <c r="T707" s="19" t="s">
        <v>483</v>
      </c>
      <c r="V707" s="4" t="s">
        <v>350</v>
      </c>
      <c r="W707" s="17" t="s">
        <v>351</v>
      </c>
    </row>
    <row r="708" spans="1:23" ht="11.25" hidden="1" customHeight="1" x14ac:dyDescent="0.25">
      <c r="B708" s="17" t="s">
        <v>1655</v>
      </c>
      <c r="C708" s="17" t="s">
        <v>1655</v>
      </c>
      <c r="D708" s="17" t="s">
        <v>348</v>
      </c>
      <c r="E708" s="1" t="s">
        <v>28</v>
      </c>
      <c r="H708" s="1" t="s">
        <v>1656</v>
      </c>
      <c r="I708" s="1" t="s">
        <v>350</v>
      </c>
      <c r="J708" s="1" t="s">
        <v>1019</v>
      </c>
      <c r="K708" s="1" t="s">
        <v>1020</v>
      </c>
      <c r="L708" s="2">
        <v>45444</v>
      </c>
      <c r="M708" s="18" t="s">
        <v>6687</v>
      </c>
      <c r="T708" s="19"/>
      <c r="V708" s="4" t="s">
        <v>350</v>
      </c>
      <c r="W708" s="17" t="s">
        <v>351</v>
      </c>
    </row>
    <row r="709" spans="1:23" ht="11.25" hidden="1" customHeight="1" x14ac:dyDescent="0.25">
      <c r="B709" s="17" t="s">
        <v>1657</v>
      </c>
      <c r="C709" s="17" t="s">
        <v>1657</v>
      </c>
      <c r="D709" s="17" t="s">
        <v>348</v>
      </c>
      <c r="E709" s="1" t="s">
        <v>28</v>
      </c>
      <c r="H709" s="1" t="s">
        <v>1658</v>
      </c>
      <c r="I709" s="1" t="s">
        <v>350</v>
      </c>
      <c r="J709" s="17" t="s">
        <v>76</v>
      </c>
      <c r="K709" s="1" t="s">
        <v>161</v>
      </c>
      <c r="L709" s="2">
        <v>45444</v>
      </c>
      <c r="M709" s="18" t="s">
        <v>6687</v>
      </c>
      <c r="T709" s="19"/>
      <c r="V709" s="4" t="s">
        <v>350</v>
      </c>
      <c r="W709" s="17" t="s">
        <v>351</v>
      </c>
    </row>
    <row r="710" spans="1:23" ht="11.25" hidden="1" customHeight="1" x14ac:dyDescent="0.25">
      <c r="A710" s="1" t="s">
        <v>719</v>
      </c>
      <c r="B710" s="17" t="s">
        <v>1528</v>
      </c>
      <c r="C710" s="17" t="s">
        <v>1528</v>
      </c>
      <c r="D710" s="17" t="s">
        <v>348</v>
      </c>
      <c r="E710" s="1" t="s">
        <v>21</v>
      </c>
      <c r="H710" s="1" t="s">
        <v>1659</v>
      </c>
      <c r="I710" s="1" t="s">
        <v>350</v>
      </c>
      <c r="J710" s="1" t="s">
        <v>722</v>
      </c>
      <c r="K710" s="1" t="s">
        <v>723</v>
      </c>
      <c r="L710" s="2">
        <v>45472</v>
      </c>
      <c r="M710" s="18" t="s">
        <v>6687</v>
      </c>
      <c r="P710" s="3">
        <v>45931</v>
      </c>
      <c r="Q710" s="19" t="s">
        <v>6687</v>
      </c>
      <c r="R710" s="3" t="s">
        <v>47</v>
      </c>
      <c r="S710" s="3" t="s">
        <v>1660</v>
      </c>
      <c r="T710" s="19" t="s">
        <v>1526</v>
      </c>
      <c r="V710" s="4" t="s">
        <v>350</v>
      </c>
      <c r="W710" s="17" t="s">
        <v>351</v>
      </c>
    </row>
    <row r="711" spans="1:23" ht="11.25" hidden="1" customHeight="1" x14ac:dyDescent="0.25">
      <c r="B711" s="17" t="s">
        <v>1661</v>
      </c>
      <c r="C711" s="17" t="s">
        <v>1661</v>
      </c>
      <c r="D711" s="17" t="s">
        <v>348</v>
      </c>
      <c r="E711" s="1" t="s">
        <v>28</v>
      </c>
      <c r="H711" s="1" t="s">
        <v>1662</v>
      </c>
      <c r="I711" s="1" t="s">
        <v>350</v>
      </c>
      <c r="J711" s="1" t="s">
        <v>34</v>
      </c>
      <c r="K711" s="1" t="s">
        <v>365</v>
      </c>
      <c r="L711" s="2">
        <v>45444</v>
      </c>
      <c r="M711" s="18" t="s">
        <v>6687</v>
      </c>
      <c r="T711" s="19"/>
      <c r="V711" s="4" t="s">
        <v>350</v>
      </c>
      <c r="W711" s="17" t="s">
        <v>351</v>
      </c>
    </row>
    <row r="712" spans="1:23" ht="11.25" hidden="1" customHeight="1" x14ac:dyDescent="0.25">
      <c r="B712" s="17" t="s">
        <v>1478</v>
      </c>
      <c r="C712" s="17" t="s">
        <v>1478</v>
      </c>
      <c r="D712" s="17" t="s">
        <v>348</v>
      </c>
      <c r="E712" s="1" t="s">
        <v>21</v>
      </c>
      <c r="H712" s="1" t="s">
        <v>1663</v>
      </c>
      <c r="I712" s="1" t="s">
        <v>350</v>
      </c>
      <c r="J712" s="1" t="s">
        <v>1603</v>
      </c>
      <c r="K712" s="1" t="s">
        <v>1604</v>
      </c>
      <c r="L712" s="2">
        <v>45461</v>
      </c>
      <c r="M712" s="18" t="s">
        <v>6687</v>
      </c>
      <c r="P712" s="2">
        <v>45772</v>
      </c>
      <c r="Q712" s="19" t="s">
        <v>6687</v>
      </c>
      <c r="R712" s="3" t="s">
        <v>47</v>
      </c>
      <c r="T712" s="19" t="s">
        <v>1476</v>
      </c>
      <c r="V712" s="4" t="s">
        <v>350</v>
      </c>
      <c r="W712" s="17" t="s">
        <v>351</v>
      </c>
    </row>
    <row r="713" spans="1:23" ht="11.25" hidden="1" customHeight="1" x14ac:dyDescent="0.25">
      <c r="B713" s="17" t="s">
        <v>1664</v>
      </c>
      <c r="C713" s="17" t="s">
        <v>1664</v>
      </c>
      <c r="D713" s="1" t="s">
        <v>20</v>
      </c>
      <c r="E713" s="1" t="s">
        <v>28</v>
      </c>
      <c r="H713" s="1" t="s">
        <v>1665</v>
      </c>
      <c r="I713" s="1" t="s">
        <v>23</v>
      </c>
      <c r="J713" s="1" t="s">
        <v>1239</v>
      </c>
      <c r="K713" s="1" t="s">
        <v>1240</v>
      </c>
      <c r="L713" s="2">
        <v>45487</v>
      </c>
      <c r="M713" s="18" t="s">
        <v>6687</v>
      </c>
      <c r="T713" s="19"/>
      <c r="V713" s="4" t="s">
        <v>23</v>
      </c>
      <c r="W713" s="1" t="s">
        <v>26</v>
      </c>
    </row>
    <row r="714" spans="1:23" ht="11.25" hidden="1" customHeight="1" x14ac:dyDescent="0.25">
      <c r="A714" s="1" t="s">
        <v>719</v>
      </c>
      <c r="B714" s="17" t="s">
        <v>1096</v>
      </c>
      <c r="C714" s="17" t="s">
        <v>1096</v>
      </c>
      <c r="D714" s="1" t="s">
        <v>20</v>
      </c>
      <c r="E714" s="1" t="s">
        <v>21</v>
      </c>
      <c r="H714" s="1" t="s">
        <v>1666</v>
      </c>
      <c r="I714" s="1" t="s">
        <v>140</v>
      </c>
      <c r="J714" s="1" t="s">
        <v>722</v>
      </c>
      <c r="K714" s="1" t="s">
        <v>723</v>
      </c>
      <c r="L714" s="2">
        <v>45485</v>
      </c>
      <c r="M714" s="18" t="s">
        <v>6687</v>
      </c>
      <c r="P714" s="3">
        <v>45916</v>
      </c>
      <c r="Q714" s="19" t="s">
        <v>6687</v>
      </c>
      <c r="R714" s="3" t="s">
        <v>47</v>
      </c>
      <c r="S714" s="3" t="s">
        <v>1667</v>
      </c>
      <c r="T714" s="19" t="s">
        <v>1094</v>
      </c>
      <c r="V714" s="4" t="s">
        <v>140</v>
      </c>
      <c r="W714" s="1" t="s">
        <v>107</v>
      </c>
    </row>
    <row r="715" spans="1:23" ht="11.25" hidden="1" customHeight="1" x14ac:dyDescent="0.25">
      <c r="A715" s="1" t="s">
        <v>719</v>
      </c>
      <c r="B715" s="17" t="s">
        <v>1578</v>
      </c>
      <c r="C715" s="17" t="s">
        <v>1578</v>
      </c>
      <c r="D715" s="1" t="s">
        <v>20</v>
      </c>
      <c r="E715" s="1" t="s">
        <v>21</v>
      </c>
      <c r="H715" s="1" t="s">
        <v>1668</v>
      </c>
      <c r="I715" s="1" t="s">
        <v>23</v>
      </c>
      <c r="J715" s="1" t="s">
        <v>722</v>
      </c>
      <c r="K715" s="1" t="s">
        <v>723</v>
      </c>
      <c r="L715" s="2">
        <v>45497</v>
      </c>
      <c r="M715" s="18" t="s">
        <v>6687</v>
      </c>
      <c r="P715" s="3">
        <v>45642</v>
      </c>
      <c r="Q715" s="19" t="s">
        <v>6687</v>
      </c>
      <c r="R715" s="19" t="s">
        <v>47</v>
      </c>
      <c r="S715" s="19"/>
      <c r="T715" s="19" t="s">
        <v>1576</v>
      </c>
      <c r="V715" s="4" t="s">
        <v>23</v>
      </c>
      <c r="W715" s="1" t="s">
        <v>26</v>
      </c>
    </row>
    <row r="716" spans="1:23" ht="11.25" hidden="1" customHeight="1" x14ac:dyDescent="0.25">
      <c r="B716" s="17" t="s">
        <v>1392</v>
      </c>
      <c r="C716" s="17" t="s">
        <v>1392</v>
      </c>
      <c r="D716" s="17" t="s">
        <v>348</v>
      </c>
      <c r="E716" s="1" t="s">
        <v>21</v>
      </c>
      <c r="H716" s="1" t="s">
        <v>1669</v>
      </c>
      <c r="I716" s="1" t="s">
        <v>350</v>
      </c>
      <c r="J716" s="1" t="s">
        <v>1593</v>
      </c>
      <c r="K716" s="1" t="s">
        <v>1594</v>
      </c>
      <c r="L716" s="2">
        <v>45484</v>
      </c>
      <c r="M716" s="18" t="s">
        <v>6687</v>
      </c>
      <c r="P716" s="3">
        <v>45830</v>
      </c>
      <c r="Q716" s="19" t="s">
        <v>6687</v>
      </c>
      <c r="R716" s="19" t="s">
        <v>40</v>
      </c>
      <c r="S716" s="3" t="s">
        <v>1670</v>
      </c>
      <c r="T716" s="19" t="s">
        <v>1390</v>
      </c>
      <c r="V716" s="4" t="s">
        <v>350</v>
      </c>
      <c r="W716" s="17" t="s">
        <v>351</v>
      </c>
    </row>
    <row r="717" spans="1:23" ht="11.25" hidden="1" customHeight="1" x14ac:dyDescent="0.25">
      <c r="B717" s="17" t="s">
        <v>1671</v>
      </c>
      <c r="C717" s="17" t="s">
        <v>1671</v>
      </c>
      <c r="D717" s="1" t="s">
        <v>20</v>
      </c>
      <c r="E717" s="1" t="s">
        <v>28</v>
      </c>
      <c r="H717" s="1" t="s">
        <v>1672</v>
      </c>
      <c r="I717" s="1" t="s">
        <v>23</v>
      </c>
      <c r="J717" s="1" t="s">
        <v>1239</v>
      </c>
      <c r="K717" s="1" t="s">
        <v>1240</v>
      </c>
      <c r="L717" s="2">
        <v>45516</v>
      </c>
      <c r="M717" s="18" t="s">
        <v>6687</v>
      </c>
      <c r="T717" s="19"/>
      <c r="V717" s="4" t="s">
        <v>23</v>
      </c>
      <c r="W717" s="1" t="s">
        <v>26</v>
      </c>
    </row>
    <row r="718" spans="1:23" ht="11.25" hidden="1" customHeight="1" x14ac:dyDescent="0.25">
      <c r="B718" s="17" t="s">
        <v>1673</v>
      </c>
      <c r="C718" s="17" t="s">
        <v>1673</v>
      </c>
      <c r="D718" s="1" t="s">
        <v>20</v>
      </c>
      <c r="E718" s="1" t="s">
        <v>28</v>
      </c>
      <c r="H718" s="1" t="s">
        <v>1674</v>
      </c>
      <c r="I718" s="1" t="s">
        <v>23</v>
      </c>
      <c r="J718" s="1" t="s">
        <v>1533</v>
      </c>
      <c r="K718" s="1" t="s">
        <v>1532</v>
      </c>
      <c r="L718" s="2">
        <v>45507</v>
      </c>
      <c r="M718" s="18" t="s">
        <v>6687</v>
      </c>
      <c r="T718" s="19"/>
      <c r="V718" s="4" t="s">
        <v>23</v>
      </c>
      <c r="W718" s="1" t="s">
        <v>26</v>
      </c>
    </row>
    <row r="719" spans="1:23" ht="11.25" hidden="1" customHeight="1" x14ac:dyDescent="0.25">
      <c r="B719" s="17" t="s">
        <v>1675</v>
      </c>
      <c r="C719" s="17" t="s">
        <v>1675</v>
      </c>
      <c r="D719" s="1" t="s">
        <v>20</v>
      </c>
      <c r="E719" s="1" t="s">
        <v>28</v>
      </c>
      <c r="H719" s="1" t="s">
        <v>1676</v>
      </c>
      <c r="I719" s="1" t="s">
        <v>23</v>
      </c>
      <c r="J719" s="1" t="s">
        <v>228</v>
      </c>
      <c r="K719" s="1" t="s">
        <v>376</v>
      </c>
      <c r="L719" s="2">
        <v>45517</v>
      </c>
      <c r="M719" s="18" t="s">
        <v>6687</v>
      </c>
      <c r="T719" s="19"/>
      <c r="V719" s="4" t="s">
        <v>23</v>
      </c>
      <c r="W719" s="1" t="s">
        <v>26</v>
      </c>
    </row>
    <row r="720" spans="1:23" ht="11.25" hidden="1" customHeight="1" x14ac:dyDescent="0.25">
      <c r="B720" s="17" t="s">
        <v>1677</v>
      </c>
      <c r="C720" s="17" t="s">
        <v>1677</v>
      </c>
      <c r="D720" s="17" t="s">
        <v>348</v>
      </c>
      <c r="E720" s="1" t="s">
        <v>28</v>
      </c>
      <c r="H720" s="1" t="s">
        <v>1678</v>
      </c>
      <c r="I720" s="1" t="s">
        <v>350</v>
      </c>
      <c r="J720" s="17" t="s">
        <v>76</v>
      </c>
      <c r="K720" s="1" t="s">
        <v>161</v>
      </c>
      <c r="L720" s="2">
        <v>45534</v>
      </c>
      <c r="M720" s="18" t="s">
        <v>6687</v>
      </c>
      <c r="T720" s="19"/>
      <c r="V720" s="4" t="s">
        <v>350</v>
      </c>
      <c r="W720" s="17" t="s">
        <v>351</v>
      </c>
    </row>
    <row r="721" spans="1:23" ht="11.25" hidden="1" customHeight="1" x14ac:dyDescent="0.25">
      <c r="B721" s="17" t="s">
        <v>1204</v>
      </c>
      <c r="C721" s="17" t="s">
        <v>1204</v>
      </c>
      <c r="D721" s="17" t="s">
        <v>348</v>
      </c>
      <c r="E721" s="1" t="s">
        <v>21</v>
      </c>
      <c r="H721" s="1" t="s">
        <v>1679</v>
      </c>
      <c r="I721" s="1" t="s">
        <v>1155</v>
      </c>
      <c r="J721" s="1" t="s">
        <v>1593</v>
      </c>
      <c r="K721" s="1" t="s">
        <v>1594</v>
      </c>
      <c r="L721" s="2">
        <v>45505</v>
      </c>
      <c r="M721" s="18" t="s">
        <v>6687</v>
      </c>
      <c r="P721" s="3">
        <v>45661</v>
      </c>
      <c r="Q721" s="19" t="s">
        <v>6687</v>
      </c>
      <c r="R721" s="3" t="s">
        <v>40</v>
      </c>
      <c r="T721" s="19" t="s">
        <v>1202</v>
      </c>
      <c r="V721" s="4" t="s">
        <v>1155</v>
      </c>
      <c r="W721" s="17" t="s">
        <v>472</v>
      </c>
    </row>
    <row r="722" spans="1:23" ht="11.25" hidden="1" customHeight="1" x14ac:dyDescent="0.25">
      <c r="B722" s="17" t="s">
        <v>1680</v>
      </c>
      <c r="C722" s="17" t="s">
        <v>1680</v>
      </c>
      <c r="D722" s="17" t="s">
        <v>348</v>
      </c>
      <c r="E722" s="1" t="s">
        <v>28</v>
      </c>
      <c r="H722" s="1" t="s">
        <v>1681</v>
      </c>
      <c r="I722" s="1" t="s">
        <v>350</v>
      </c>
      <c r="J722" s="1" t="s">
        <v>34</v>
      </c>
      <c r="K722" s="1" t="s">
        <v>365</v>
      </c>
      <c r="L722" s="2">
        <v>45534</v>
      </c>
      <c r="M722" s="18" t="s">
        <v>6687</v>
      </c>
      <c r="T722" s="19"/>
      <c r="V722" s="4" t="s">
        <v>350</v>
      </c>
      <c r="W722" s="17" t="s">
        <v>351</v>
      </c>
    </row>
    <row r="723" spans="1:23" ht="11.25" hidden="1" customHeight="1" x14ac:dyDescent="0.25">
      <c r="B723" s="17" t="s">
        <v>1682</v>
      </c>
      <c r="C723" s="17" t="s">
        <v>1682</v>
      </c>
      <c r="D723" s="17" t="s">
        <v>348</v>
      </c>
      <c r="E723" s="1" t="s">
        <v>28</v>
      </c>
      <c r="H723" s="1" t="s">
        <v>1683</v>
      </c>
      <c r="I723" s="1" t="s">
        <v>350</v>
      </c>
      <c r="J723" s="1" t="s">
        <v>112</v>
      </c>
      <c r="K723" s="1" t="s">
        <v>113</v>
      </c>
      <c r="L723" s="2">
        <v>45534</v>
      </c>
      <c r="M723" s="18" t="s">
        <v>6687</v>
      </c>
      <c r="T723" s="19"/>
      <c r="V723" s="4" t="s">
        <v>350</v>
      </c>
      <c r="W723" s="17" t="s">
        <v>351</v>
      </c>
    </row>
    <row r="724" spans="1:23" ht="11.25" hidden="1" customHeight="1" x14ac:dyDescent="0.25">
      <c r="B724" s="17" t="s">
        <v>1684</v>
      </c>
      <c r="C724" s="17" t="s">
        <v>1684</v>
      </c>
      <c r="D724" s="17" t="s">
        <v>348</v>
      </c>
      <c r="E724" s="1" t="s">
        <v>28</v>
      </c>
      <c r="H724" s="1" t="s">
        <v>1685</v>
      </c>
      <c r="I724" s="1" t="s">
        <v>350</v>
      </c>
      <c r="J724" s="1" t="s">
        <v>183</v>
      </c>
      <c r="K724" s="1" t="s">
        <v>436</v>
      </c>
      <c r="L724" s="2">
        <v>45534</v>
      </c>
      <c r="M724" s="18" t="s">
        <v>6687</v>
      </c>
      <c r="T724" s="19"/>
      <c r="V724" s="4" t="s">
        <v>350</v>
      </c>
      <c r="W724" s="17" t="s">
        <v>351</v>
      </c>
    </row>
    <row r="725" spans="1:23" ht="11.25" hidden="1" customHeight="1" x14ac:dyDescent="0.25">
      <c r="A725" s="1" t="s">
        <v>719</v>
      </c>
      <c r="B725" s="17" t="s">
        <v>1334</v>
      </c>
      <c r="C725" s="17" t="s">
        <v>1334</v>
      </c>
      <c r="D725" s="1" t="s">
        <v>20</v>
      </c>
      <c r="E725" s="1" t="s">
        <v>21</v>
      </c>
      <c r="H725" s="1" t="s">
        <v>1686</v>
      </c>
      <c r="I725" s="1" t="s">
        <v>106</v>
      </c>
      <c r="J725" s="1" t="s">
        <v>722</v>
      </c>
      <c r="K725" s="1" t="s">
        <v>723</v>
      </c>
      <c r="L725" s="2">
        <v>45540</v>
      </c>
      <c r="M725" s="18" t="s">
        <v>6687</v>
      </c>
      <c r="P725" s="3">
        <v>45916</v>
      </c>
      <c r="Q725" s="19" t="s">
        <v>6687</v>
      </c>
      <c r="R725" s="3" t="s">
        <v>47</v>
      </c>
      <c r="S725" s="3" t="s">
        <v>1687</v>
      </c>
      <c r="T725" s="19" t="s">
        <v>1332</v>
      </c>
      <c r="V725" s="4" t="s">
        <v>106</v>
      </c>
      <c r="W725" s="1" t="s">
        <v>107</v>
      </c>
    </row>
    <row r="726" spans="1:23" ht="11.25" hidden="1" customHeight="1" x14ac:dyDescent="0.25">
      <c r="B726" s="17" t="s">
        <v>1688</v>
      </c>
      <c r="C726" s="17" t="s">
        <v>1688</v>
      </c>
      <c r="D726" s="1" t="s">
        <v>20</v>
      </c>
      <c r="E726" s="1" t="s">
        <v>21</v>
      </c>
      <c r="H726" s="1" t="s">
        <v>1689</v>
      </c>
      <c r="I726" s="1" t="s">
        <v>23</v>
      </c>
      <c r="J726" s="1" t="s">
        <v>1056</v>
      </c>
      <c r="K726" s="1" t="s">
        <v>1057</v>
      </c>
      <c r="L726" s="2">
        <v>45540</v>
      </c>
      <c r="M726" s="18" t="s">
        <v>6687</v>
      </c>
      <c r="P726" s="2">
        <v>45775</v>
      </c>
      <c r="Q726" s="19" t="s">
        <v>6687</v>
      </c>
      <c r="R726" s="3" t="s">
        <v>47</v>
      </c>
      <c r="S726" s="3" t="s">
        <v>1690</v>
      </c>
      <c r="T726" s="19"/>
      <c r="V726" s="4" t="s">
        <v>23</v>
      </c>
      <c r="W726" s="1" t="s">
        <v>26</v>
      </c>
    </row>
    <row r="727" spans="1:23" ht="11.25" hidden="1" customHeight="1" x14ac:dyDescent="0.25">
      <c r="B727" s="17" t="s">
        <v>1691</v>
      </c>
      <c r="C727" s="17" t="s">
        <v>1691</v>
      </c>
      <c r="D727" s="17" t="s">
        <v>348</v>
      </c>
      <c r="E727" s="1" t="s">
        <v>28</v>
      </c>
      <c r="H727" s="1" t="s">
        <v>1692</v>
      </c>
      <c r="I727" s="1" t="s">
        <v>350</v>
      </c>
      <c r="J727" s="1" t="s">
        <v>1019</v>
      </c>
      <c r="K727" s="1" t="s">
        <v>1020</v>
      </c>
      <c r="L727" s="2">
        <v>45539</v>
      </c>
      <c r="M727" s="18" t="s">
        <v>6687</v>
      </c>
      <c r="T727" s="19"/>
      <c r="V727" s="4" t="s">
        <v>350</v>
      </c>
      <c r="W727" s="17" t="s">
        <v>351</v>
      </c>
    </row>
    <row r="728" spans="1:23" ht="11.25" hidden="1" customHeight="1" x14ac:dyDescent="0.25">
      <c r="B728" s="17" t="s">
        <v>1693</v>
      </c>
      <c r="C728" s="17" t="s">
        <v>1693</v>
      </c>
      <c r="D728" s="17" t="s">
        <v>348</v>
      </c>
      <c r="E728" s="1" t="s">
        <v>28</v>
      </c>
      <c r="H728" s="1" t="s">
        <v>1694</v>
      </c>
      <c r="I728" s="1" t="s">
        <v>413</v>
      </c>
      <c r="J728" s="1" t="s">
        <v>1019</v>
      </c>
      <c r="K728" s="1" t="s">
        <v>1020</v>
      </c>
      <c r="L728" s="2">
        <v>45551</v>
      </c>
      <c r="M728" s="18" t="s">
        <v>6687</v>
      </c>
      <c r="T728" s="19"/>
      <c r="V728" s="4" t="s">
        <v>413</v>
      </c>
      <c r="W728" s="17" t="s">
        <v>472</v>
      </c>
    </row>
    <row r="729" spans="1:23" ht="11.25" hidden="1" customHeight="1" x14ac:dyDescent="0.25">
      <c r="B729" s="17" t="s">
        <v>1695</v>
      </c>
      <c r="C729" s="17" t="s">
        <v>1695</v>
      </c>
      <c r="D729" s="17" t="s">
        <v>348</v>
      </c>
      <c r="E729" s="1" t="s">
        <v>28</v>
      </c>
      <c r="H729" s="1" t="s">
        <v>1696</v>
      </c>
      <c r="I729" s="1" t="s">
        <v>350</v>
      </c>
      <c r="J729" s="1" t="s">
        <v>1019</v>
      </c>
      <c r="K729" s="1" t="s">
        <v>1020</v>
      </c>
      <c r="L729" s="2">
        <v>45550</v>
      </c>
      <c r="M729" s="18" t="s">
        <v>6687</v>
      </c>
      <c r="T729" s="19"/>
      <c r="V729" s="4" t="s">
        <v>350</v>
      </c>
      <c r="W729" s="17" t="s">
        <v>351</v>
      </c>
    </row>
    <row r="730" spans="1:23" ht="11.25" hidden="1" customHeight="1" x14ac:dyDescent="0.25">
      <c r="B730" s="17" t="s">
        <v>1697</v>
      </c>
      <c r="C730" s="17" t="s">
        <v>1697</v>
      </c>
      <c r="D730" s="17" t="s">
        <v>348</v>
      </c>
      <c r="E730" s="1" t="s">
        <v>28</v>
      </c>
      <c r="H730" s="1" t="s">
        <v>1698</v>
      </c>
      <c r="I730" s="1" t="s">
        <v>350</v>
      </c>
      <c r="J730" s="17" t="s">
        <v>76</v>
      </c>
      <c r="K730" s="1" t="s">
        <v>161</v>
      </c>
      <c r="L730" s="2">
        <v>45539</v>
      </c>
      <c r="M730" s="18" t="s">
        <v>6687</v>
      </c>
      <c r="T730" s="19"/>
      <c r="V730" s="4" t="s">
        <v>350</v>
      </c>
      <c r="W730" s="17" t="s">
        <v>351</v>
      </c>
    </row>
    <row r="731" spans="1:23" ht="11.25" hidden="1" customHeight="1" x14ac:dyDescent="0.25">
      <c r="B731" s="17" t="s">
        <v>1699</v>
      </c>
      <c r="C731" s="17" t="s">
        <v>1699</v>
      </c>
      <c r="D731" s="17" t="s">
        <v>348</v>
      </c>
      <c r="E731" s="1" t="s">
        <v>28</v>
      </c>
      <c r="H731" s="1" t="s">
        <v>1700</v>
      </c>
      <c r="I731" s="1" t="s">
        <v>413</v>
      </c>
      <c r="J731" s="17" t="s">
        <v>76</v>
      </c>
      <c r="K731" s="1" t="s">
        <v>161</v>
      </c>
      <c r="L731" s="2">
        <v>45551</v>
      </c>
      <c r="M731" s="18" t="s">
        <v>6687</v>
      </c>
      <c r="T731" s="19"/>
      <c r="V731" s="4" t="s">
        <v>413</v>
      </c>
      <c r="W731" s="17" t="s">
        <v>472</v>
      </c>
    </row>
    <row r="732" spans="1:23" ht="11.25" hidden="1" customHeight="1" x14ac:dyDescent="0.25">
      <c r="A732" s="1" t="s">
        <v>1701</v>
      </c>
      <c r="B732" s="17" t="s">
        <v>1702</v>
      </c>
      <c r="C732" s="17" t="s">
        <v>1702</v>
      </c>
      <c r="D732" s="17" t="s">
        <v>348</v>
      </c>
      <c r="E732" s="1" t="s">
        <v>21</v>
      </c>
      <c r="H732" s="1" t="s">
        <v>1703</v>
      </c>
      <c r="I732" s="1" t="s">
        <v>350</v>
      </c>
      <c r="J732" s="1" t="s">
        <v>722</v>
      </c>
      <c r="K732" s="1" t="s">
        <v>723</v>
      </c>
      <c r="L732" s="2">
        <v>45553</v>
      </c>
      <c r="M732" s="18" t="s">
        <v>6687</v>
      </c>
      <c r="P732" s="3">
        <v>46022</v>
      </c>
      <c r="Q732" s="19" t="s">
        <v>6687</v>
      </c>
      <c r="R732" s="3" t="s">
        <v>47</v>
      </c>
      <c r="S732" s="3" t="s">
        <v>1704</v>
      </c>
      <c r="T732" s="19"/>
      <c r="V732" s="4" t="s">
        <v>350</v>
      </c>
      <c r="W732" s="17" t="s">
        <v>351</v>
      </c>
    </row>
    <row r="733" spans="1:23" ht="11.25" hidden="1" customHeight="1" x14ac:dyDescent="0.25">
      <c r="B733" s="17" t="s">
        <v>1705</v>
      </c>
      <c r="C733" s="17" t="s">
        <v>1705</v>
      </c>
      <c r="D733" s="17" t="s">
        <v>348</v>
      </c>
      <c r="E733" s="1" t="s">
        <v>28</v>
      </c>
      <c r="H733" s="1" t="s">
        <v>1706</v>
      </c>
      <c r="I733" s="1" t="s">
        <v>350</v>
      </c>
      <c r="J733" s="1" t="s">
        <v>34</v>
      </c>
      <c r="K733" s="1" t="s">
        <v>365</v>
      </c>
      <c r="L733" s="2">
        <v>45539</v>
      </c>
      <c r="M733" s="18" t="s">
        <v>6687</v>
      </c>
      <c r="T733" s="19"/>
      <c r="V733" s="4" t="s">
        <v>350</v>
      </c>
      <c r="W733" s="17" t="s">
        <v>351</v>
      </c>
    </row>
    <row r="734" spans="1:23" ht="11.25" hidden="1" customHeight="1" x14ac:dyDescent="0.25">
      <c r="B734" s="17" t="s">
        <v>1707</v>
      </c>
      <c r="C734" s="17" t="s">
        <v>1707</v>
      </c>
      <c r="D734" s="17" t="s">
        <v>348</v>
      </c>
      <c r="E734" s="1" t="s">
        <v>28</v>
      </c>
      <c r="H734" s="1" t="s">
        <v>1708</v>
      </c>
      <c r="I734" s="1" t="s">
        <v>413</v>
      </c>
      <c r="J734" s="1" t="s">
        <v>34</v>
      </c>
      <c r="K734" s="1" t="s">
        <v>365</v>
      </c>
      <c r="L734" s="2">
        <v>45551</v>
      </c>
      <c r="M734" s="18" t="s">
        <v>6687</v>
      </c>
      <c r="T734" s="19"/>
      <c r="V734" s="4" t="s">
        <v>413</v>
      </c>
      <c r="W734" s="17" t="s">
        <v>472</v>
      </c>
    </row>
    <row r="735" spans="1:23" ht="11.25" hidden="1" customHeight="1" x14ac:dyDescent="0.25">
      <c r="B735" s="17" t="s">
        <v>1709</v>
      </c>
      <c r="C735" s="17" t="s">
        <v>1709</v>
      </c>
      <c r="D735" s="17" t="s">
        <v>348</v>
      </c>
      <c r="E735" s="1" t="s">
        <v>28</v>
      </c>
      <c r="H735" s="1" t="s">
        <v>1710</v>
      </c>
      <c r="I735" s="1" t="s">
        <v>350</v>
      </c>
      <c r="J735" s="1" t="s">
        <v>112</v>
      </c>
      <c r="K735" s="1" t="s">
        <v>113</v>
      </c>
      <c r="L735" s="2">
        <v>45539</v>
      </c>
      <c r="M735" s="18" t="s">
        <v>6687</v>
      </c>
      <c r="T735" s="19"/>
      <c r="V735" s="4" t="s">
        <v>350</v>
      </c>
      <c r="W735" s="17" t="s">
        <v>351</v>
      </c>
    </row>
    <row r="736" spans="1:23" ht="11.25" hidden="1" customHeight="1" x14ac:dyDescent="0.25">
      <c r="B736" s="17" t="s">
        <v>1711</v>
      </c>
      <c r="C736" s="17" t="s">
        <v>1711</v>
      </c>
      <c r="D736" s="17" t="s">
        <v>348</v>
      </c>
      <c r="E736" s="1" t="s">
        <v>28</v>
      </c>
      <c r="H736" s="1" t="s">
        <v>1712</v>
      </c>
      <c r="I736" s="1" t="s">
        <v>350</v>
      </c>
      <c r="J736" s="1" t="s">
        <v>183</v>
      </c>
      <c r="K736" s="1" t="s">
        <v>436</v>
      </c>
      <c r="L736" s="2">
        <v>45539</v>
      </c>
      <c r="M736" s="18" t="s">
        <v>6687</v>
      </c>
      <c r="T736" s="19"/>
      <c r="V736" s="4" t="s">
        <v>350</v>
      </c>
      <c r="W736" s="17" t="s">
        <v>351</v>
      </c>
    </row>
    <row r="737" spans="1:23" ht="11.25" hidden="1" customHeight="1" x14ac:dyDescent="0.25">
      <c r="B737" s="17" t="s">
        <v>1473</v>
      </c>
      <c r="C737" s="17" t="s">
        <v>1473</v>
      </c>
      <c r="D737" s="17" t="s">
        <v>348</v>
      </c>
      <c r="E737" s="1" t="s">
        <v>21</v>
      </c>
      <c r="H737" s="1" t="s">
        <v>1713</v>
      </c>
      <c r="I737" s="1" t="s">
        <v>350</v>
      </c>
      <c r="J737" s="1" t="s">
        <v>183</v>
      </c>
      <c r="K737" s="1" t="s">
        <v>436</v>
      </c>
      <c r="L737" s="2">
        <v>45545</v>
      </c>
      <c r="M737" s="18" t="s">
        <v>6687</v>
      </c>
      <c r="P737" s="2">
        <v>45777</v>
      </c>
      <c r="Q737" s="19" t="s">
        <v>6687</v>
      </c>
      <c r="R737" s="3" t="s">
        <v>47</v>
      </c>
      <c r="S737" s="3" t="s">
        <v>1714</v>
      </c>
      <c r="T737" s="19" t="s">
        <v>1469</v>
      </c>
      <c r="V737" s="4" t="s">
        <v>350</v>
      </c>
      <c r="W737" s="17" t="s">
        <v>351</v>
      </c>
    </row>
    <row r="738" spans="1:23" ht="11.25" hidden="1" customHeight="1" x14ac:dyDescent="0.25">
      <c r="B738" s="17" t="s">
        <v>1715</v>
      </c>
      <c r="C738" s="17" t="s">
        <v>1715</v>
      </c>
      <c r="D738" s="1" t="s">
        <v>20</v>
      </c>
      <c r="E738" s="1" t="s">
        <v>21</v>
      </c>
      <c r="H738" s="1" t="s">
        <v>1716</v>
      </c>
      <c r="I738" s="1" t="s">
        <v>23</v>
      </c>
      <c r="J738" s="1" t="s">
        <v>1319</v>
      </c>
      <c r="K738" s="1" t="s">
        <v>1320</v>
      </c>
      <c r="L738" s="2">
        <v>45582</v>
      </c>
      <c r="M738" s="18" t="s">
        <v>6687</v>
      </c>
      <c r="P738" s="2">
        <v>45876</v>
      </c>
      <c r="Q738" s="19" t="s">
        <v>6687</v>
      </c>
      <c r="R738" s="3" t="s">
        <v>47</v>
      </c>
      <c r="S738" s="3" t="s">
        <v>1717</v>
      </c>
      <c r="T738" s="19"/>
      <c r="V738" s="4" t="s">
        <v>23</v>
      </c>
      <c r="W738" s="1" t="s">
        <v>26</v>
      </c>
    </row>
    <row r="739" spans="1:23" ht="11.25" hidden="1" customHeight="1" x14ac:dyDescent="0.25">
      <c r="B739" s="17" t="s">
        <v>1718</v>
      </c>
      <c r="C739" s="17" t="s">
        <v>1718</v>
      </c>
      <c r="D739" s="1" t="s">
        <v>20</v>
      </c>
      <c r="E739" s="1" t="s">
        <v>21</v>
      </c>
      <c r="H739" s="1" t="s">
        <v>1719</v>
      </c>
      <c r="I739" s="1" t="s">
        <v>23</v>
      </c>
      <c r="J739" s="1" t="s">
        <v>1533</v>
      </c>
      <c r="K739" s="1" t="s">
        <v>1532</v>
      </c>
      <c r="L739" s="2">
        <v>45566</v>
      </c>
      <c r="M739" s="18" t="s">
        <v>6687</v>
      </c>
      <c r="P739" s="3">
        <v>45616</v>
      </c>
      <c r="Q739" s="19" t="s">
        <v>6687</v>
      </c>
      <c r="R739" s="19" t="s">
        <v>40</v>
      </c>
      <c r="T739" s="19"/>
      <c r="V739" s="4" t="s">
        <v>23</v>
      </c>
      <c r="W739" s="1" t="s">
        <v>26</v>
      </c>
    </row>
    <row r="740" spans="1:23" ht="11.25" hidden="1" customHeight="1" x14ac:dyDescent="0.25">
      <c r="B740" s="17" t="s">
        <v>1720</v>
      </c>
      <c r="C740" s="17" t="s">
        <v>1720</v>
      </c>
      <c r="D740" s="1" t="s">
        <v>20</v>
      </c>
      <c r="E740" s="1" t="s">
        <v>28</v>
      </c>
      <c r="H740" s="1" t="s">
        <v>1721</v>
      </c>
      <c r="I740" s="1" t="s">
        <v>23</v>
      </c>
      <c r="J740" s="17" t="s">
        <v>76</v>
      </c>
      <c r="K740" s="1" t="s">
        <v>161</v>
      </c>
      <c r="L740" s="2">
        <v>45589</v>
      </c>
      <c r="M740" s="18" t="s">
        <v>6687</v>
      </c>
      <c r="T740" s="19"/>
      <c r="V740" s="4" t="s">
        <v>23</v>
      </c>
      <c r="W740" s="1" t="s">
        <v>26</v>
      </c>
    </row>
    <row r="741" spans="1:23" ht="11.25" hidden="1" customHeight="1" x14ac:dyDescent="0.25">
      <c r="A741" s="1" t="s">
        <v>719</v>
      </c>
      <c r="B741" s="17" t="s">
        <v>1722</v>
      </c>
      <c r="C741" s="17" t="s">
        <v>1722</v>
      </c>
      <c r="D741" s="1" t="s">
        <v>20</v>
      </c>
      <c r="E741" s="1" t="s">
        <v>21</v>
      </c>
      <c r="H741" s="1" t="s">
        <v>1723</v>
      </c>
      <c r="I741" s="1" t="s">
        <v>140</v>
      </c>
      <c r="J741" s="1" t="s">
        <v>722</v>
      </c>
      <c r="K741" s="1" t="s">
        <v>723</v>
      </c>
      <c r="L741" s="2">
        <v>45594</v>
      </c>
      <c r="M741" s="18" t="s">
        <v>6687</v>
      </c>
      <c r="P741" s="3">
        <v>45916</v>
      </c>
      <c r="Q741" s="19" t="s">
        <v>6687</v>
      </c>
      <c r="R741" s="3" t="s">
        <v>47</v>
      </c>
      <c r="S741" s="3" t="s">
        <v>1724</v>
      </c>
      <c r="T741" s="19" t="s">
        <v>394</v>
      </c>
      <c r="V741" s="4" t="s">
        <v>140</v>
      </c>
      <c r="W741" s="1" t="s">
        <v>107</v>
      </c>
    </row>
    <row r="742" spans="1:23" ht="11.25" hidden="1" customHeight="1" x14ac:dyDescent="0.25">
      <c r="B742" s="17" t="s">
        <v>1725</v>
      </c>
      <c r="C742" s="17" t="s">
        <v>1725</v>
      </c>
      <c r="D742" s="17" t="s">
        <v>348</v>
      </c>
      <c r="E742" s="1" t="s">
        <v>28</v>
      </c>
      <c r="H742" s="1" t="s">
        <v>1726</v>
      </c>
      <c r="I742" s="1" t="s">
        <v>350</v>
      </c>
      <c r="J742" s="1" t="s">
        <v>34</v>
      </c>
      <c r="K742" s="1" t="s">
        <v>365</v>
      </c>
      <c r="L742" s="2">
        <v>45576</v>
      </c>
      <c r="M742" s="18" t="s">
        <v>6687</v>
      </c>
      <c r="T742" s="19"/>
      <c r="V742" s="4" t="s">
        <v>350</v>
      </c>
      <c r="W742" s="17" t="s">
        <v>472</v>
      </c>
    </row>
    <row r="743" spans="1:23" ht="11.25" hidden="1" customHeight="1" x14ac:dyDescent="0.25">
      <c r="B743" s="17" t="s">
        <v>1727</v>
      </c>
      <c r="C743" s="17" t="s">
        <v>1727</v>
      </c>
      <c r="D743" s="17" t="s">
        <v>348</v>
      </c>
      <c r="E743" s="1" t="s">
        <v>28</v>
      </c>
      <c r="H743" s="1" t="s">
        <v>1728</v>
      </c>
      <c r="I743" s="17" t="s">
        <v>796</v>
      </c>
      <c r="J743" s="1" t="s">
        <v>34</v>
      </c>
      <c r="K743" s="1" t="s">
        <v>365</v>
      </c>
      <c r="L743" s="2">
        <v>45588</v>
      </c>
      <c r="M743" s="18" t="s">
        <v>6687</v>
      </c>
      <c r="T743" s="19"/>
      <c r="V743" s="4" t="s">
        <v>796</v>
      </c>
      <c r="W743" s="17" t="s">
        <v>472</v>
      </c>
    </row>
    <row r="744" spans="1:23" ht="11.25" hidden="1" customHeight="1" x14ac:dyDescent="0.25">
      <c r="B744" s="17" t="s">
        <v>1729</v>
      </c>
      <c r="C744" s="17" t="s">
        <v>1729</v>
      </c>
      <c r="D744" s="17" t="s">
        <v>348</v>
      </c>
      <c r="E744" s="17" t="s">
        <v>21</v>
      </c>
      <c r="F744" s="17"/>
      <c r="G744" s="17"/>
      <c r="H744" s="17" t="s">
        <v>1730</v>
      </c>
      <c r="I744" s="17" t="s">
        <v>350</v>
      </c>
      <c r="J744" s="17" t="s">
        <v>76</v>
      </c>
      <c r="K744" s="17" t="s">
        <v>77</v>
      </c>
      <c r="L744" s="18">
        <v>43575</v>
      </c>
      <c r="M744" s="18" t="s">
        <v>6687</v>
      </c>
      <c r="N744" s="18"/>
      <c r="O744" s="18"/>
      <c r="P744" s="19">
        <v>45747</v>
      </c>
      <c r="Q744" s="19" t="s">
        <v>6687</v>
      </c>
      <c r="R744" s="19" t="s">
        <v>40</v>
      </c>
      <c r="S744" s="19"/>
      <c r="T744" s="19"/>
      <c r="U744" s="18"/>
      <c r="V744" s="17" t="s">
        <v>350</v>
      </c>
      <c r="W744" s="17" t="s">
        <v>351</v>
      </c>
    </row>
    <row r="745" spans="1:23" ht="11.25" hidden="1" customHeight="1" x14ac:dyDescent="0.25">
      <c r="B745" s="17" t="s">
        <v>252</v>
      </c>
      <c r="C745" s="17" t="s">
        <v>252</v>
      </c>
      <c r="D745" s="1" t="s">
        <v>20</v>
      </c>
      <c r="E745" s="1" t="s">
        <v>21</v>
      </c>
      <c r="H745" s="1" t="s">
        <v>1731</v>
      </c>
      <c r="I745" s="1" t="s">
        <v>23</v>
      </c>
      <c r="J745" s="1" t="s">
        <v>1732</v>
      </c>
      <c r="K745" s="1" t="s">
        <v>1733</v>
      </c>
      <c r="L745" s="2">
        <v>45569</v>
      </c>
      <c r="M745" s="18" t="s">
        <v>6687</v>
      </c>
      <c r="P745" s="3">
        <v>45654</v>
      </c>
      <c r="Q745" s="19" t="s">
        <v>6687</v>
      </c>
      <c r="R745" s="19" t="s">
        <v>47</v>
      </c>
      <c r="S745" s="40" t="s">
        <v>1734</v>
      </c>
      <c r="T745" s="3" t="s">
        <v>250</v>
      </c>
      <c r="V745" s="4" t="s">
        <v>23</v>
      </c>
      <c r="W745" s="1" t="s">
        <v>26</v>
      </c>
    </row>
    <row r="746" spans="1:23" ht="11.25" hidden="1" customHeight="1" x14ac:dyDescent="0.25">
      <c r="B746" s="17" t="s">
        <v>1735</v>
      </c>
      <c r="C746" s="17" t="s">
        <v>1735</v>
      </c>
      <c r="D746" s="1" t="s">
        <v>20</v>
      </c>
      <c r="E746" s="1" t="s">
        <v>21</v>
      </c>
      <c r="H746" s="1" t="s">
        <v>1736</v>
      </c>
      <c r="I746" s="1" t="s">
        <v>23</v>
      </c>
      <c r="J746" s="1" t="s">
        <v>1737</v>
      </c>
      <c r="K746" s="1" t="s">
        <v>1738</v>
      </c>
      <c r="L746" s="2">
        <v>45575</v>
      </c>
      <c r="M746" s="18" t="s">
        <v>6687</v>
      </c>
      <c r="P746" s="3">
        <v>46006</v>
      </c>
      <c r="Q746" s="19" t="s">
        <v>6687</v>
      </c>
      <c r="R746" s="19" t="s">
        <v>47</v>
      </c>
      <c r="S746" s="3" t="s">
        <v>1739</v>
      </c>
      <c r="T746" s="19"/>
      <c r="V746" s="4" t="s">
        <v>23</v>
      </c>
      <c r="W746" s="1" t="s">
        <v>26</v>
      </c>
    </row>
    <row r="747" spans="1:23" ht="11.25" hidden="1" customHeight="1" x14ac:dyDescent="0.25">
      <c r="B747" s="17" t="s">
        <v>1740</v>
      </c>
      <c r="C747" s="17" t="s">
        <v>1740</v>
      </c>
      <c r="D747" s="17" t="s">
        <v>348</v>
      </c>
      <c r="E747" s="1" t="s">
        <v>28</v>
      </c>
      <c r="H747" s="1" t="s">
        <v>1741</v>
      </c>
      <c r="I747" s="1" t="s">
        <v>791</v>
      </c>
      <c r="J747" s="17" t="s">
        <v>76</v>
      </c>
      <c r="K747" s="1" t="s">
        <v>161</v>
      </c>
      <c r="L747" s="2">
        <v>45575</v>
      </c>
      <c r="M747" s="18" t="s">
        <v>6687</v>
      </c>
      <c r="T747" s="19"/>
      <c r="V747" s="4" t="s">
        <v>791</v>
      </c>
      <c r="W747" s="17" t="s">
        <v>472</v>
      </c>
    </row>
    <row r="748" spans="1:23" ht="11.25" hidden="1" customHeight="1" x14ac:dyDescent="0.25">
      <c r="B748" s="17" t="s">
        <v>1742</v>
      </c>
      <c r="C748" s="17" t="s">
        <v>1742</v>
      </c>
      <c r="D748" s="17" t="s">
        <v>348</v>
      </c>
      <c r="E748" s="1" t="s">
        <v>28</v>
      </c>
      <c r="H748" s="1" t="s">
        <v>1743</v>
      </c>
      <c r="I748" s="17" t="s">
        <v>796</v>
      </c>
      <c r="J748" s="17" t="s">
        <v>76</v>
      </c>
      <c r="K748" s="1" t="s">
        <v>161</v>
      </c>
      <c r="L748" s="2">
        <v>45588</v>
      </c>
      <c r="M748" s="18" t="s">
        <v>6687</v>
      </c>
      <c r="T748" s="19"/>
      <c r="V748" s="4" t="s">
        <v>796</v>
      </c>
      <c r="W748" s="17" t="s">
        <v>472</v>
      </c>
    </row>
    <row r="749" spans="1:23" ht="11.25" hidden="1" customHeight="1" x14ac:dyDescent="0.25">
      <c r="B749" s="17" t="s">
        <v>1744</v>
      </c>
      <c r="C749" s="17" t="s">
        <v>1744</v>
      </c>
      <c r="D749" s="17" t="s">
        <v>348</v>
      </c>
      <c r="E749" s="17" t="s">
        <v>28</v>
      </c>
      <c r="F749" s="17"/>
      <c r="G749" s="17"/>
      <c r="H749" s="17" t="s">
        <v>1745</v>
      </c>
      <c r="I749" s="17" t="s">
        <v>910</v>
      </c>
      <c r="J749" s="17" t="s">
        <v>34</v>
      </c>
      <c r="K749" s="17" t="s">
        <v>365</v>
      </c>
      <c r="L749" s="18">
        <v>43823</v>
      </c>
      <c r="M749" s="18" t="s">
        <v>6687</v>
      </c>
      <c r="N749" s="18"/>
      <c r="O749" s="18"/>
      <c r="P749" s="19">
        <v>45747</v>
      </c>
      <c r="Q749" s="19" t="s">
        <v>6687</v>
      </c>
      <c r="R749" s="19"/>
      <c r="S749" s="19"/>
      <c r="T749" s="19"/>
      <c r="U749" s="18">
        <v>45920</v>
      </c>
      <c r="V749" s="17" t="s">
        <v>910</v>
      </c>
      <c r="W749" s="17" t="s">
        <v>472</v>
      </c>
    </row>
    <row r="750" spans="1:23" ht="11.25" hidden="1" customHeight="1" x14ac:dyDescent="0.25">
      <c r="A750" s="1" t="s">
        <v>719</v>
      </c>
      <c r="B750" s="17" t="s">
        <v>1284</v>
      </c>
      <c r="C750" s="17" t="s">
        <v>1284</v>
      </c>
      <c r="D750" s="17" t="s">
        <v>348</v>
      </c>
      <c r="E750" s="1" t="s">
        <v>21</v>
      </c>
      <c r="H750" s="1" t="s">
        <v>1746</v>
      </c>
      <c r="I750" s="1" t="s">
        <v>350</v>
      </c>
      <c r="J750" s="1" t="s">
        <v>722</v>
      </c>
      <c r="K750" s="1" t="s">
        <v>723</v>
      </c>
      <c r="L750" s="2">
        <v>45579</v>
      </c>
      <c r="M750" s="18" t="s">
        <v>6687</v>
      </c>
      <c r="P750" s="3">
        <v>45931</v>
      </c>
      <c r="Q750" s="19" t="s">
        <v>6687</v>
      </c>
      <c r="R750" s="3" t="s">
        <v>47</v>
      </c>
      <c r="S750" s="3" t="s">
        <v>1747</v>
      </c>
      <c r="T750" s="19" t="s">
        <v>1282</v>
      </c>
      <c r="V750" s="4" t="s">
        <v>350</v>
      </c>
      <c r="W750" s="17" t="s">
        <v>351</v>
      </c>
    </row>
    <row r="751" spans="1:23" ht="11.25" hidden="1" customHeight="1" x14ac:dyDescent="0.25">
      <c r="B751" s="17" t="s">
        <v>1460</v>
      </c>
      <c r="C751" s="17" t="s">
        <v>1460</v>
      </c>
      <c r="D751" s="1" t="s">
        <v>20</v>
      </c>
      <c r="E751" s="1" t="s">
        <v>28</v>
      </c>
      <c r="H751" s="1" t="s">
        <v>1748</v>
      </c>
      <c r="I751" s="1" t="s">
        <v>23</v>
      </c>
      <c r="J751" s="1" t="s">
        <v>301</v>
      </c>
      <c r="K751" s="1" t="s">
        <v>1749</v>
      </c>
      <c r="L751" s="2">
        <v>45626</v>
      </c>
      <c r="M751" s="18" t="s">
        <v>6687</v>
      </c>
      <c r="T751" s="19" t="s">
        <v>1458</v>
      </c>
      <c r="V751" s="4" t="s">
        <v>23</v>
      </c>
      <c r="W751" s="1" t="s">
        <v>26</v>
      </c>
    </row>
    <row r="752" spans="1:23" ht="11.25" hidden="1" customHeight="1" x14ac:dyDescent="0.25">
      <c r="B752" s="17" t="s">
        <v>1750</v>
      </c>
      <c r="C752" s="17" t="s">
        <v>1750</v>
      </c>
      <c r="D752" s="1" t="s">
        <v>20</v>
      </c>
      <c r="E752" s="1" t="s">
        <v>28</v>
      </c>
      <c r="H752" s="1" t="s">
        <v>1751</v>
      </c>
      <c r="I752" s="1" t="s">
        <v>23</v>
      </c>
      <c r="J752" s="1" t="s">
        <v>1446</v>
      </c>
      <c r="K752" s="1" t="s">
        <v>1447</v>
      </c>
      <c r="L752" s="2">
        <v>45624</v>
      </c>
      <c r="M752" s="18" t="s">
        <v>6687</v>
      </c>
      <c r="T752" s="19"/>
      <c r="V752" s="4" t="s">
        <v>23</v>
      </c>
      <c r="W752" s="1" t="s">
        <v>26</v>
      </c>
    </row>
    <row r="753" spans="1:23" ht="11.25" hidden="1" customHeight="1" x14ac:dyDescent="0.25">
      <c r="B753" s="17" t="s">
        <v>270</v>
      </c>
      <c r="C753" s="17" t="s">
        <v>270</v>
      </c>
      <c r="D753" s="1" t="s">
        <v>20</v>
      </c>
      <c r="E753" s="1" t="s">
        <v>28</v>
      </c>
      <c r="H753" s="1" t="s">
        <v>1752</v>
      </c>
      <c r="I753" s="1" t="s">
        <v>23</v>
      </c>
      <c r="J753" s="1" t="s">
        <v>1399</v>
      </c>
      <c r="K753" s="1" t="s">
        <v>1400</v>
      </c>
      <c r="L753" s="2">
        <v>45624</v>
      </c>
      <c r="M753" s="18" t="s">
        <v>6687</v>
      </c>
      <c r="T753" s="19" t="s">
        <v>268</v>
      </c>
      <c r="V753" s="4" t="s">
        <v>23</v>
      </c>
      <c r="W753" s="1" t="s">
        <v>26</v>
      </c>
    </row>
    <row r="754" spans="1:23" ht="11.25" hidden="1" customHeight="1" x14ac:dyDescent="0.25">
      <c r="B754" s="17" t="s">
        <v>825</v>
      </c>
      <c r="C754" s="17" t="s">
        <v>825</v>
      </c>
      <c r="D754" s="17" t="s">
        <v>348</v>
      </c>
      <c r="E754" s="1" t="s">
        <v>28</v>
      </c>
      <c r="H754" s="1" t="s">
        <v>1753</v>
      </c>
      <c r="I754" s="1" t="s">
        <v>350</v>
      </c>
      <c r="J754" s="1" t="s">
        <v>1019</v>
      </c>
      <c r="K754" s="1" t="s">
        <v>1020</v>
      </c>
      <c r="L754" s="2">
        <v>45612</v>
      </c>
      <c r="M754" s="18" t="s">
        <v>6687</v>
      </c>
      <c r="T754" s="19" t="s">
        <v>823</v>
      </c>
      <c r="V754" s="4" t="s">
        <v>350</v>
      </c>
      <c r="W754" s="17" t="s">
        <v>351</v>
      </c>
    </row>
    <row r="755" spans="1:23" ht="11.25" hidden="1" customHeight="1" x14ac:dyDescent="0.25">
      <c r="B755" s="17" t="s">
        <v>929</v>
      </c>
      <c r="C755" s="17" t="s">
        <v>929</v>
      </c>
      <c r="D755" s="17" t="s">
        <v>348</v>
      </c>
      <c r="E755" s="1" t="s">
        <v>28</v>
      </c>
      <c r="H755" s="1" t="s">
        <v>1754</v>
      </c>
      <c r="I755" s="1" t="s">
        <v>350</v>
      </c>
      <c r="J755" s="1" t="s">
        <v>51</v>
      </c>
      <c r="K755" s="1" t="s">
        <v>370</v>
      </c>
      <c r="L755" s="2">
        <v>45608</v>
      </c>
      <c r="M755" s="18" t="s">
        <v>6687</v>
      </c>
      <c r="T755" s="19" t="s">
        <v>927</v>
      </c>
      <c r="V755" s="4" t="s">
        <v>350</v>
      </c>
      <c r="W755" s="17" t="s">
        <v>351</v>
      </c>
    </row>
    <row r="756" spans="1:23" ht="11.25" hidden="1" customHeight="1" x14ac:dyDescent="0.25">
      <c r="B756" s="17" t="s">
        <v>1304</v>
      </c>
      <c r="C756" s="17" t="s">
        <v>1304</v>
      </c>
      <c r="D756" s="17" t="s">
        <v>348</v>
      </c>
      <c r="E756" s="1" t="s">
        <v>21</v>
      </c>
      <c r="H756" s="1" t="s">
        <v>1755</v>
      </c>
      <c r="I756" s="1" t="s">
        <v>350</v>
      </c>
      <c r="J756" s="1" t="s">
        <v>1737</v>
      </c>
      <c r="K756" s="1" t="s">
        <v>1738</v>
      </c>
      <c r="L756" s="2">
        <v>45608</v>
      </c>
      <c r="M756" s="18" t="s">
        <v>6687</v>
      </c>
      <c r="P756" s="3">
        <v>45946</v>
      </c>
      <c r="Q756" s="19" t="s">
        <v>6687</v>
      </c>
      <c r="R756" s="3" t="s">
        <v>47</v>
      </c>
      <c r="S756" s="3" t="s">
        <v>1756</v>
      </c>
      <c r="T756" s="19" t="s">
        <v>1302</v>
      </c>
      <c r="V756" s="4" t="s">
        <v>350</v>
      </c>
      <c r="W756" s="17" t="s">
        <v>351</v>
      </c>
    </row>
    <row r="757" spans="1:23" ht="11.25" hidden="1" customHeight="1" x14ac:dyDescent="0.25">
      <c r="A757" s="1" t="s">
        <v>719</v>
      </c>
      <c r="B757" s="17" t="s">
        <v>1279</v>
      </c>
      <c r="C757" s="17" t="s">
        <v>1279</v>
      </c>
      <c r="D757" s="1" t="s">
        <v>20</v>
      </c>
      <c r="E757" s="1" t="s">
        <v>21</v>
      </c>
      <c r="H757" s="1" t="s">
        <v>1757</v>
      </c>
      <c r="I757" s="1" t="s">
        <v>265</v>
      </c>
      <c r="J757" s="1" t="s">
        <v>722</v>
      </c>
      <c r="K757" s="1" t="s">
        <v>723</v>
      </c>
      <c r="L757" s="2">
        <v>45651</v>
      </c>
      <c r="M757" s="18" t="s">
        <v>6687</v>
      </c>
      <c r="P757" s="3">
        <v>45809</v>
      </c>
      <c r="Q757" s="19" t="s">
        <v>6687</v>
      </c>
      <c r="R757" s="19" t="s">
        <v>40</v>
      </c>
      <c r="T757" s="19" t="s">
        <v>1277</v>
      </c>
      <c r="V757" s="1" t="s">
        <v>265</v>
      </c>
      <c r="W757" s="1" t="s">
        <v>107</v>
      </c>
    </row>
    <row r="758" spans="1:23" ht="11.25" hidden="1" customHeight="1" x14ac:dyDescent="0.25">
      <c r="B758" s="17" t="s">
        <v>1758</v>
      </c>
      <c r="C758" s="17" t="s">
        <v>1758</v>
      </c>
      <c r="D758" s="1" t="s">
        <v>20</v>
      </c>
      <c r="E758" s="1" t="s">
        <v>28</v>
      </c>
      <c r="H758" s="1" t="s">
        <v>1759</v>
      </c>
      <c r="I758" s="1" t="s">
        <v>23</v>
      </c>
      <c r="J758" s="1" t="s">
        <v>1063</v>
      </c>
      <c r="K758" s="1" t="s">
        <v>1586</v>
      </c>
      <c r="L758" s="2">
        <v>45632</v>
      </c>
      <c r="M758" s="18" t="s">
        <v>6687</v>
      </c>
      <c r="T758" s="19"/>
      <c r="V758" s="1" t="s">
        <v>23</v>
      </c>
      <c r="W758" s="1" t="s">
        <v>26</v>
      </c>
    </row>
    <row r="759" spans="1:23" ht="11.25" hidden="1" customHeight="1" x14ac:dyDescent="0.25">
      <c r="B759" s="17" t="s">
        <v>67</v>
      </c>
      <c r="C759" s="17" t="s">
        <v>67</v>
      </c>
      <c r="D759" s="1" t="s">
        <v>20</v>
      </c>
      <c r="E759" s="1" t="s">
        <v>28</v>
      </c>
      <c r="H759" s="1" t="s">
        <v>1760</v>
      </c>
      <c r="I759" s="1" t="s">
        <v>23</v>
      </c>
      <c r="J759" s="1" t="s">
        <v>301</v>
      </c>
      <c r="K759" s="1" t="s">
        <v>1749</v>
      </c>
      <c r="L759" s="2">
        <v>45627</v>
      </c>
      <c r="M759" s="18" t="s">
        <v>6687</v>
      </c>
      <c r="T759" s="19" t="s">
        <v>63</v>
      </c>
      <c r="V759" s="1" t="s">
        <v>23</v>
      </c>
      <c r="W759" s="1" t="s">
        <v>26</v>
      </c>
    </row>
    <row r="760" spans="1:23" ht="11.25" hidden="1" customHeight="1" x14ac:dyDescent="0.25">
      <c r="B760" s="17" t="s">
        <v>708</v>
      </c>
      <c r="C760" s="17" t="s">
        <v>708</v>
      </c>
      <c r="D760" s="17" t="s">
        <v>348</v>
      </c>
      <c r="E760" s="1" t="s">
        <v>28</v>
      </c>
      <c r="H760" s="1" t="s">
        <v>1761</v>
      </c>
      <c r="I760" s="1" t="s">
        <v>350</v>
      </c>
      <c r="J760" s="1" t="s">
        <v>1019</v>
      </c>
      <c r="K760" s="1" t="s">
        <v>1020</v>
      </c>
      <c r="L760" s="2">
        <v>45640</v>
      </c>
      <c r="M760" s="18" t="s">
        <v>6687</v>
      </c>
      <c r="T760" s="19" t="s">
        <v>706</v>
      </c>
      <c r="V760" s="1" t="s">
        <v>350</v>
      </c>
      <c r="W760" s="1" t="s">
        <v>351</v>
      </c>
    </row>
    <row r="761" spans="1:23" ht="11.25" hidden="1" customHeight="1" x14ac:dyDescent="0.25">
      <c r="B761" s="17" t="s">
        <v>903</v>
      </c>
      <c r="C761" s="17" t="s">
        <v>903</v>
      </c>
      <c r="D761" s="17" t="s">
        <v>348</v>
      </c>
      <c r="E761" s="1" t="s">
        <v>21</v>
      </c>
      <c r="H761" s="1" t="s">
        <v>1762</v>
      </c>
      <c r="I761" s="1" t="s">
        <v>350</v>
      </c>
      <c r="J761" s="1" t="s">
        <v>379</v>
      </c>
      <c r="K761" s="1" t="s">
        <v>1453</v>
      </c>
      <c r="L761" s="2">
        <v>45646</v>
      </c>
      <c r="M761" s="18" t="s">
        <v>6687</v>
      </c>
      <c r="P761" s="2">
        <v>45809</v>
      </c>
      <c r="Q761" s="19" t="s">
        <v>6687</v>
      </c>
      <c r="R761" s="3" t="s">
        <v>47</v>
      </c>
      <c r="S761" s="3" t="s">
        <v>1763</v>
      </c>
      <c r="T761" s="19" t="s">
        <v>900</v>
      </c>
      <c r="V761" s="1" t="s">
        <v>350</v>
      </c>
      <c r="W761" s="1" t="s">
        <v>351</v>
      </c>
    </row>
    <row r="762" spans="1:23" ht="11.25" hidden="1" customHeight="1" x14ac:dyDescent="0.25">
      <c r="B762" s="17" t="s">
        <v>1764</v>
      </c>
      <c r="C762" s="17" t="s">
        <v>1764</v>
      </c>
      <c r="D762" s="17" t="s">
        <v>348</v>
      </c>
      <c r="E762" s="1" t="s">
        <v>21</v>
      </c>
      <c r="H762" s="1" t="s">
        <v>1765</v>
      </c>
      <c r="I762" s="1" t="s">
        <v>350</v>
      </c>
      <c r="J762" s="1" t="s">
        <v>1737</v>
      </c>
      <c r="K762" s="1" t="s">
        <v>1738</v>
      </c>
      <c r="L762" s="2">
        <v>45641</v>
      </c>
      <c r="M762" s="18" t="s">
        <v>6687</v>
      </c>
      <c r="P762" s="3">
        <v>45936</v>
      </c>
      <c r="Q762" s="19" t="s">
        <v>6687</v>
      </c>
      <c r="R762" s="3" t="s">
        <v>47</v>
      </c>
      <c r="S762" s="3" t="s">
        <v>1766</v>
      </c>
      <c r="T762" s="19"/>
      <c r="V762" s="1" t="s">
        <v>350</v>
      </c>
      <c r="W762" s="1" t="s">
        <v>351</v>
      </c>
    </row>
    <row r="763" spans="1:23" ht="11.25" hidden="1" customHeight="1" x14ac:dyDescent="0.25">
      <c r="B763" s="17" t="s">
        <v>1767</v>
      </c>
      <c r="C763" s="17" t="s">
        <v>1767</v>
      </c>
      <c r="D763" s="17" t="s">
        <v>348</v>
      </c>
      <c r="E763" s="1" t="s">
        <v>28</v>
      </c>
      <c r="H763" s="1" t="s">
        <v>1768</v>
      </c>
      <c r="I763" s="1" t="s">
        <v>350</v>
      </c>
      <c r="J763" s="1" t="s">
        <v>1737</v>
      </c>
      <c r="K763" s="1" t="s">
        <v>1738</v>
      </c>
      <c r="L763" s="2">
        <v>45654</v>
      </c>
      <c r="M763" s="18" t="s">
        <v>6687</v>
      </c>
      <c r="T763" s="19" t="s">
        <v>681</v>
      </c>
      <c r="V763" s="1" t="s">
        <v>350</v>
      </c>
      <c r="W763" s="1" t="s">
        <v>351</v>
      </c>
    </row>
    <row r="764" spans="1:23" ht="11.25" hidden="1" customHeight="1" x14ac:dyDescent="0.25">
      <c r="B764" s="17" t="s">
        <v>1769</v>
      </c>
      <c r="C764" s="17" t="s">
        <v>1769</v>
      </c>
      <c r="D764" s="17" t="s">
        <v>348</v>
      </c>
      <c r="E764" s="1" t="s">
        <v>28</v>
      </c>
      <c r="H764" s="1" t="s">
        <v>1770</v>
      </c>
      <c r="I764" s="1" t="s">
        <v>350</v>
      </c>
      <c r="J764" s="1" t="s">
        <v>1771</v>
      </c>
      <c r="K764" s="1" t="s">
        <v>1772</v>
      </c>
      <c r="L764" s="2">
        <v>45632</v>
      </c>
      <c r="M764" s="18" t="s">
        <v>6687</v>
      </c>
      <c r="T764" s="19"/>
      <c r="V764" s="1" t="s">
        <v>350</v>
      </c>
      <c r="W764" s="1" t="s">
        <v>351</v>
      </c>
    </row>
    <row r="765" spans="1:23" ht="11.25" hidden="1" customHeight="1" x14ac:dyDescent="0.25">
      <c r="B765" s="17" t="s">
        <v>1773</v>
      </c>
      <c r="C765" s="17" t="s">
        <v>1773</v>
      </c>
      <c r="D765" s="1" t="s">
        <v>20</v>
      </c>
      <c r="E765" s="1" t="s">
        <v>21</v>
      </c>
      <c r="H765" s="1" t="s">
        <v>1774</v>
      </c>
      <c r="I765" s="1" t="s">
        <v>23</v>
      </c>
      <c r="J765" s="1" t="s">
        <v>1593</v>
      </c>
      <c r="K765" s="1" t="s">
        <v>1594</v>
      </c>
      <c r="L765" s="2">
        <v>45437</v>
      </c>
      <c r="M765" s="18" t="s">
        <v>6687</v>
      </c>
      <c r="P765" s="3">
        <v>45716</v>
      </c>
      <c r="Q765" s="19" t="s">
        <v>6687</v>
      </c>
      <c r="R765" s="3" t="s">
        <v>40</v>
      </c>
      <c r="T765" s="19"/>
      <c r="V765" s="4" t="s">
        <v>23</v>
      </c>
      <c r="W765" s="1" t="s">
        <v>26</v>
      </c>
    </row>
    <row r="766" spans="1:23" ht="11.25" hidden="1" customHeight="1" x14ac:dyDescent="0.25">
      <c r="B766" s="17" t="s">
        <v>1021</v>
      </c>
      <c r="C766" s="17" t="s">
        <v>1021</v>
      </c>
      <c r="D766" s="1" t="s">
        <v>20</v>
      </c>
      <c r="E766" s="1" t="s">
        <v>21</v>
      </c>
      <c r="H766" s="1" t="s">
        <v>1775</v>
      </c>
      <c r="I766" s="1" t="s">
        <v>23</v>
      </c>
      <c r="J766" s="1" t="s">
        <v>1561</v>
      </c>
      <c r="K766" s="1" t="s">
        <v>1562</v>
      </c>
      <c r="L766" s="2">
        <v>45680</v>
      </c>
      <c r="M766" s="18" t="s">
        <v>6687</v>
      </c>
      <c r="P766" s="2">
        <v>45777</v>
      </c>
      <c r="Q766" s="19" t="s">
        <v>6687</v>
      </c>
      <c r="R766" s="19" t="s">
        <v>40</v>
      </c>
      <c r="T766" s="19" t="s">
        <v>1017</v>
      </c>
      <c r="V766" s="4" t="s">
        <v>23</v>
      </c>
      <c r="W766" s="1" t="s">
        <v>26</v>
      </c>
    </row>
    <row r="767" spans="1:23" ht="11.25" hidden="1" customHeight="1" x14ac:dyDescent="0.25">
      <c r="B767" s="17" t="s">
        <v>1136</v>
      </c>
      <c r="C767" s="17" t="s">
        <v>1136</v>
      </c>
      <c r="D767" s="1" t="s">
        <v>20</v>
      </c>
      <c r="E767" s="1" t="s">
        <v>21</v>
      </c>
      <c r="H767" s="1" t="s">
        <v>1776</v>
      </c>
      <c r="I767" s="1" t="s">
        <v>23</v>
      </c>
      <c r="J767" s="1" t="s">
        <v>1777</v>
      </c>
      <c r="K767" s="1" t="s">
        <v>1778</v>
      </c>
      <c r="L767" s="2">
        <v>45680</v>
      </c>
      <c r="M767" s="18" t="s">
        <v>6687</v>
      </c>
      <c r="P767" s="2">
        <v>45931</v>
      </c>
      <c r="Q767" s="19" t="s">
        <v>6687</v>
      </c>
      <c r="R767" s="3" t="s">
        <v>47</v>
      </c>
      <c r="S767" s="3" t="s">
        <v>1779</v>
      </c>
      <c r="T767" s="19" t="s">
        <v>1134</v>
      </c>
      <c r="V767" s="4" t="s">
        <v>23</v>
      </c>
      <c r="W767" s="1" t="s">
        <v>26</v>
      </c>
    </row>
    <row r="768" spans="1:23" ht="11.25" hidden="1" customHeight="1" x14ac:dyDescent="0.25">
      <c r="B768" s="17" t="s">
        <v>656</v>
      </c>
      <c r="C768" s="17" t="s">
        <v>656</v>
      </c>
      <c r="D768" s="17" t="s">
        <v>348</v>
      </c>
      <c r="E768" s="1" t="s">
        <v>28</v>
      </c>
      <c r="H768" s="1" t="s">
        <v>1780</v>
      </c>
      <c r="I768" s="1" t="s">
        <v>350</v>
      </c>
      <c r="J768" s="1" t="s">
        <v>1561</v>
      </c>
      <c r="K768" s="1" t="s">
        <v>1562</v>
      </c>
      <c r="L768" s="2">
        <v>45677</v>
      </c>
      <c r="M768" s="18" t="s">
        <v>6687</v>
      </c>
      <c r="T768" s="19" t="s">
        <v>654</v>
      </c>
      <c r="V768" s="4" t="s">
        <v>350</v>
      </c>
      <c r="W768" s="17" t="s">
        <v>351</v>
      </c>
    </row>
    <row r="769" spans="2:23" ht="11.25" hidden="1" customHeight="1" x14ac:dyDescent="0.25">
      <c r="B769" s="17" t="s">
        <v>1781</v>
      </c>
      <c r="C769" s="1" t="s">
        <v>1781</v>
      </c>
      <c r="D769" s="1" t="s">
        <v>20</v>
      </c>
      <c r="E769" s="1" t="s">
        <v>28</v>
      </c>
      <c r="H769" s="1" t="s">
        <v>1782</v>
      </c>
      <c r="I769" s="1" t="s">
        <v>23</v>
      </c>
      <c r="J769" s="1" t="s">
        <v>1019</v>
      </c>
      <c r="K769" s="1" t="s">
        <v>1020</v>
      </c>
      <c r="L769" s="2">
        <v>45667</v>
      </c>
      <c r="M769" s="18" t="s">
        <v>6687</v>
      </c>
      <c r="T769" s="19"/>
      <c r="V769" s="4" t="s">
        <v>23</v>
      </c>
      <c r="W769" s="1" t="s">
        <v>26</v>
      </c>
    </row>
    <row r="770" spans="2:23" ht="11.25" hidden="1" customHeight="1" x14ac:dyDescent="0.25">
      <c r="B770" s="17" t="s">
        <v>1783</v>
      </c>
      <c r="C770" s="1" t="s">
        <v>1783</v>
      </c>
      <c r="D770" s="17" t="s">
        <v>348</v>
      </c>
      <c r="E770" s="1" t="s">
        <v>28</v>
      </c>
      <c r="H770" s="1" t="s">
        <v>1784</v>
      </c>
      <c r="I770" s="1" t="s">
        <v>350</v>
      </c>
      <c r="J770" s="1" t="s">
        <v>1777</v>
      </c>
      <c r="K770" s="1" t="s">
        <v>1778</v>
      </c>
      <c r="L770" s="2">
        <v>45660</v>
      </c>
      <c r="M770" s="18" t="s">
        <v>6687</v>
      </c>
      <c r="T770" s="19"/>
      <c r="V770" s="4" t="s">
        <v>350</v>
      </c>
      <c r="W770" s="17" t="s">
        <v>351</v>
      </c>
    </row>
    <row r="771" spans="2:23" ht="11.25" hidden="1" customHeight="1" x14ac:dyDescent="0.25">
      <c r="B771" s="17" t="s">
        <v>311</v>
      </c>
      <c r="C771" s="1" t="s">
        <v>311</v>
      </c>
      <c r="D771" s="1" t="s">
        <v>20</v>
      </c>
      <c r="E771" s="1" t="s">
        <v>28</v>
      </c>
      <c r="H771" s="1" t="s">
        <v>1785</v>
      </c>
      <c r="I771" s="1" t="s">
        <v>23</v>
      </c>
      <c r="J771" s="1" t="s">
        <v>301</v>
      </c>
      <c r="K771" s="1" t="s">
        <v>1749</v>
      </c>
      <c r="L771" s="2">
        <v>45658</v>
      </c>
      <c r="M771" s="18" t="s">
        <v>6687</v>
      </c>
      <c r="T771" s="19" t="s">
        <v>309</v>
      </c>
      <c r="V771" s="4" t="s">
        <v>23</v>
      </c>
      <c r="W771" s="1" t="s">
        <v>26</v>
      </c>
    </row>
    <row r="772" spans="2:23" ht="11.25" hidden="1" customHeight="1" x14ac:dyDescent="0.25">
      <c r="B772" s="17" t="s">
        <v>1786</v>
      </c>
      <c r="C772" s="41" t="s">
        <v>1786</v>
      </c>
      <c r="D772" s="17" t="s">
        <v>348</v>
      </c>
      <c r="E772" s="1" t="s">
        <v>28</v>
      </c>
      <c r="H772" s="1" t="s">
        <v>1787</v>
      </c>
      <c r="I772" s="4" t="s">
        <v>350</v>
      </c>
      <c r="J772" s="1" t="s">
        <v>1788</v>
      </c>
      <c r="K772" s="1" t="s">
        <v>1789</v>
      </c>
      <c r="L772" s="2">
        <v>45665</v>
      </c>
      <c r="M772" s="18" t="s">
        <v>6687</v>
      </c>
      <c r="T772" s="19"/>
      <c r="V772" s="4" t="s">
        <v>350</v>
      </c>
      <c r="W772" s="17" t="s">
        <v>351</v>
      </c>
    </row>
    <row r="773" spans="2:23" ht="11.25" hidden="1" customHeight="1" x14ac:dyDescent="0.25">
      <c r="B773" s="17" t="s">
        <v>1790</v>
      </c>
      <c r="C773" s="41" t="s">
        <v>1790</v>
      </c>
      <c r="D773" s="17" t="s">
        <v>348</v>
      </c>
      <c r="E773" s="1" t="s">
        <v>28</v>
      </c>
      <c r="H773" s="1" t="s">
        <v>1791</v>
      </c>
      <c r="I773" s="4" t="s">
        <v>350</v>
      </c>
      <c r="J773" s="1" t="s">
        <v>1788</v>
      </c>
      <c r="K773" s="1" t="s">
        <v>1789</v>
      </c>
      <c r="L773" s="2">
        <v>45665</v>
      </c>
      <c r="M773" s="18" t="s">
        <v>6687</v>
      </c>
      <c r="T773" s="19"/>
      <c r="V773" s="4" t="s">
        <v>350</v>
      </c>
      <c r="W773" s="17" t="s">
        <v>351</v>
      </c>
    </row>
    <row r="774" spans="2:23" ht="11.25" hidden="1" customHeight="1" x14ac:dyDescent="0.25">
      <c r="B774" s="17" t="s">
        <v>1792</v>
      </c>
      <c r="C774" s="41" t="s">
        <v>1792</v>
      </c>
      <c r="D774" s="17" t="s">
        <v>348</v>
      </c>
      <c r="E774" s="1" t="s">
        <v>21</v>
      </c>
      <c r="H774" s="1" t="s">
        <v>1793</v>
      </c>
      <c r="I774" s="4" t="s">
        <v>350</v>
      </c>
      <c r="J774" s="1" t="s">
        <v>1788</v>
      </c>
      <c r="K774" s="1" t="s">
        <v>1789</v>
      </c>
      <c r="L774" s="2">
        <v>45665</v>
      </c>
      <c r="M774" s="18" t="s">
        <v>6687</v>
      </c>
      <c r="P774" s="3">
        <v>46011</v>
      </c>
      <c r="Q774" s="19" t="s">
        <v>6687</v>
      </c>
      <c r="R774" s="3" t="s">
        <v>1794</v>
      </c>
      <c r="S774" s="17" t="s">
        <v>1795</v>
      </c>
      <c r="T774" s="19"/>
      <c r="V774" s="4" t="s">
        <v>350</v>
      </c>
      <c r="W774" s="17" t="s">
        <v>351</v>
      </c>
    </row>
    <row r="775" spans="2:23" ht="11.25" hidden="1" customHeight="1" x14ac:dyDescent="0.25">
      <c r="B775" s="17" t="s">
        <v>1796</v>
      </c>
      <c r="C775" s="41" t="s">
        <v>1796</v>
      </c>
      <c r="D775" s="17" t="s">
        <v>348</v>
      </c>
      <c r="E775" s="1" t="s">
        <v>28</v>
      </c>
      <c r="H775" s="1" t="s">
        <v>1797</v>
      </c>
      <c r="I775" s="4" t="s">
        <v>350</v>
      </c>
      <c r="J775" s="1" t="s">
        <v>1788</v>
      </c>
      <c r="K775" s="1" t="s">
        <v>1789</v>
      </c>
      <c r="L775" s="2">
        <v>45665</v>
      </c>
      <c r="M775" s="18" t="s">
        <v>6687</v>
      </c>
      <c r="T775" s="19"/>
      <c r="V775" s="4" t="s">
        <v>350</v>
      </c>
      <c r="W775" s="17" t="s">
        <v>351</v>
      </c>
    </row>
    <row r="776" spans="2:23" ht="11.25" hidden="1" customHeight="1" x14ac:dyDescent="0.25">
      <c r="B776" s="17" t="s">
        <v>1798</v>
      </c>
      <c r="C776" s="41" t="s">
        <v>1798</v>
      </c>
      <c r="D776" s="17" t="s">
        <v>348</v>
      </c>
      <c r="E776" s="1" t="s">
        <v>28</v>
      </c>
      <c r="H776" s="1" t="s">
        <v>1799</v>
      </c>
      <c r="I776" s="4" t="s">
        <v>350</v>
      </c>
      <c r="J776" s="1" t="s">
        <v>1788</v>
      </c>
      <c r="K776" s="1" t="s">
        <v>1789</v>
      </c>
      <c r="L776" s="2">
        <v>45665</v>
      </c>
      <c r="M776" s="18" t="s">
        <v>6687</v>
      </c>
      <c r="T776" s="19"/>
      <c r="V776" s="4" t="s">
        <v>350</v>
      </c>
      <c r="W776" s="17" t="s">
        <v>351</v>
      </c>
    </row>
    <row r="777" spans="2:23" ht="11.25" hidden="1" customHeight="1" x14ac:dyDescent="0.25">
      <c r="B777" s="17" t="s">
        <v>1800</v>
      </c>
      <c r="C777" s="41" t="s">
        <v>1800</v>
      </c>
      <c r="D777" s="17" t="s">
        <v>348</v>
      </c>
      <c r="E777" s="1" t="s">
        <v>28</v>
      </c>
      <c r="H777" s="1" t="s">
        <v>1801</v>
      </c>
      <c r="I777" s="4" t="s">
        <v>350</v>
      </c>
      <c r="J777" s="1" t="s">
        <v>1788</v>
      </c>
      <c r="K777" s="1" t="s">
        <v>1789</v>
      </c>
      <c r="L777" s="2">
        <v>45665</v>
      </c>
      <c r="M777" s="18" t="s">
        <v>6687</v>
      </c>
      <c r="T777" s="19"/>
      <c r="V777" s="4" t="s">
        <v>350</v>
      </c>
      <c r="W777" s="17" t="s">
        <v>351</v>
      </c>
    </row>
    <row r="778" spans="2:23" ht="11.25" hidden="1" customHeight="1" x14ac:dyDescent="0.25">
      <c r="B778" s="17" t="s">
        <v>1802</v>
      </c>
      <c r="C778" s="41" t="s">
        <v>1802</v>
      </c>
      <c r="D778" s="17" t="s">
        <v>348</v>
      </c>
      <c r="E778" s="1" t="s">
        <v>28</v>
      </c>
      <c r="H778" s="1" t="s">
        <v>1803</v>
      </c>
      <c r="I778" s="4" t="s">
        <v>350</v>
      </c>
      <c r="J778" s="1" t="s">
        <v>1788</v>
      </c>
      <c r="K778" s="1" t="s">
        <v>1789</v>
      </c>
      <c r="L778" s="2">
        <v>45665</v>
      </c>
      <c r="M778" s="18" t="s">
        <v>6687</v>
      </c>
      <c r="T778" s="19"/>
      <c r="V778" s="4" t="s">
        <v>350</v>
      </c>
      <c r="W778" s="17" t="s">
        <v>351</v>
      </c>
    </row>
    <row r="779" spans="2:23" ht="11.25" hidden="1" customHeight="1" x14ac:dyDescent="0.25">
      <c r="B779" s="17" t="s">
        <v>1804</v>
      </c>
      <c r="C779" s="41" t="s">
        <v>1804</v>
      </c>
      <c r="D779" s="17" t="s">
        <v>348</v>
      </c>
      <c r="E779" s="1" t="s">
        <v>28</v>
      </c>
      <c r="H779" s="1" t="s">
        <v>1805</v>
      </c>
      <c r="I779" s="4" t="s">
        <v>350</v>
      </c>
      <c r="J779" s="1" t="s">
        <v>1788</v>
      </c>
      <c r="K779" s="1" t="s">
        <v>1789</v>
      </c>
      <c r="L779" s="2">
        <v>45665</v>
      </c>
      <c r="M779" s="18" t="s">
        <v>6687</v>
      </c>
      <c r="T779" s="19"/>
      <c r="V779" s="4" t="s">
        <v>350</v>
      </c>
      <c r="W779" s="17" t="s">
        <v>351</v>
      </c>
    </row>
    <row r="780" spans="2:23" ht="11.25" hidden="1" customHeight="1" x14ac:dyDescent="0.25">
      <c r="B780" s="17" t="s">
        <v>1806</v>
      </c>
      <c r="C780" s="41" t="s">
        <v>1806</v>
      </c>
      <c r="D780" s="17" t="s">
        <v>348</v>
      </c>
      <c r="E780" s="1" t="s">
        <v>28</v>
      </c>
      <c r="H780" s="1" t="s">
        <v>1807</v>
      </c>
      <c r="I780" s="4" t="s">
        <v>350</v>
      </c>
      <c r="J780" s="1" t="s">
        <v>1788</v>
      </c>
      <c r="K780" s="1" t="s">
        <v>1789</v>
      </c>
      <c r="L780" s="2">
        <v>45665</v>
      </c>
      <c r="M780" s="18" t="s">
        <v>6687</v>
      </c>
      <c r="T780" s="19"/>
      <c r="V780" s="4" t="s">
        <v>350</v>
      </c>
      <c r="W780" s="17" t="s">
        <v>351</v>
      </c>
    </row>
    <row r="781" spans="2:23" ht="11.25" hidden="1" customHeight="1" x14ac:dyDescent="0.25">
      <c r="B781" s="17" t="s">
        <v>1808</v>
      </c>
      <c r="C781" s="41" t="s">
        <v>1808</v>
      </c>
      <c r="D781" s="17" t="s">
        <v>348</v>
      </c>
      <c r="E781" s="1" t="s">
        <v>28</v>
      </c>
      <c r="H781" s="1" t="s">
        <v>1809</v>
      </c>
      <c r="I781" s="4" t="s">
        <v>350</v>
      </c>
      <c r="J781" s="1" t="s">
        <v>1788</v>
      </c>
      <c r="K781" s="1" t="s">
        <v>1789</v>
      </c>
      <c r="L781" s="2">
        <v>45665</v>
      </c>
      <c r="M781" s="18" t="s">
        <v>6687</v>
      </c>
      <c r="T781" s="19"/>
      <c r="V781" s="4" t="s">
        <v>350</v>
      </c>
      <c r="W781" s="17" t="s">
        <v>351</v>
      </c>
    </row>
    <row r="782" spans="2:23" ht="11.25" hidden="1" customHeight="1" x14ac:dyDescent="0.25">
      <c r="B782" s="17" t="s">
        <v>1810</v>
      </c>
      <c r="C782" s="41" t="s">
        <v>1810</v>
      </c>
      <c r="D782" s="17" t="s">
        <v>348</v>
      </c>
      <c r="E782" s="1" t="s">
        <v>28</v>
      </c>
      <c r="H782" s="1" t="s">
        <v>1811</v>
      </c>
      <c r="I782" s="4" t="s">
        <v>350</v>
      </c>
      <c r="J782" s="1" t="s">
        <v>1788</v>
      </c>
      <c r="K782" s="1" t="s">
        <v>1789</v>
      </c>
      <c r="L782" s="2">
        <v>45665</v>
      </c>
      <c r="M782" s="18" t="s">
        <v>6687</v>
      </c>
      <c r="T782" s="19"/>
      <c r="V782" s="4" t="s">
        <v>350</v>
      </c>
      <c r="W782" s="17" t="s">
        <v>351</v>
      </c>
    </row>
    <row r="783" spans="2:23" ht="11.25" hidden="1" customHeight="1" x14ac:dyDescent="0.25">
      <c r="B783" s="17" t="s">
        <v>1812</v>
      </c>
      <c r="C783" s="41" t="s">
        <v>1812</v>
      </c>
      <c r="D783" s="17" t="s">
        <v>348</v>
      </c>
      <c r="E783" s="1" t="s">
        <v>28</v>
      </c>
      <c r="H783" s="1" t="s">
        <v>1813</v>
      </c>
      <c r="I783" s="4" t="s">
        <v>350</v>
      </c>
      <c r="J783" s="1" t="s">
        <v>1788</v>
      </c>
      <c r="K783" s="1" t="s">
        <v>1789</v>
      </c>
      <c r="L783" s="2">
        <v>45665</v>
      </c>
      <c r="M783" s="18" t="s">
        <v>6687</v>
      </c>
      <c r="T783" s="19"/>
      <c r="V783" s="4" t="s">
        <v>350</v>
      </c>
      <c r="W783" s="17" t="s">
        <v>351</v>
      </c>
    </row>
    <row r="784" spans="2:23" ht="11.25" hidden="1" customHeight="1" x14ac:dyDescent="0.25">
      <c r="B784" s="17" t="s">
        <v>1814</v>
      </c>
      <c r="C784" s="41" t="s">
        <v>1814</v>
      </c>
      <c r="D784" s="17" t="s">
        <v>348</v>
      </c>
      <c r="E784" s="1" t="s">
        <v>28</v>
      </c>
      <c r="H784" s="1" t="s">
        <v>1815</v>
      </c>
      <c r="I784" s="4" t="s">
        <v>350</v>
      </c>
      <c r="J784" s="1" t="s">
        <v>1788</v>
      </c>
      <c r="K784" s="1" t="s">
        <v>1789</v>
      </c>
      <c r="L784" s="2">
        <v>45665</v>
      </c>
      <c r="M784" s="18" t="s">
        <v>6687</v>
      </c>
      <c r="T784" s="19"/>
      <c r="V784" s="4" t="s">
        <v>350</v>
      </c>
      <c r="W784" s="17" t="s">
        <v>351</v>
      </c>
    </row>
    <row r="785" spans="2:23" ht="11.25" hidden="1" customHeight="1" x14ac:dyDescent="0.25">
      <c r="B785" s="17" t="s">
        <v>1816</v>
      </c>
      <c r="C785" s="42" t="s">
        <v>1816</v>
      </c>
      <c r="D785" s="17" t="s">
        <v>348</v>
      </c>
      <c r="E785" s="1" t="s">
        <v>28</v>
      </c>
      <c r="H785" s="1" t="s">
        <v>1817</v>
      </c>
      <c r="I785" s="4" t="s">
        <v>350</v>
      </c>
      <c r="J785" s="1" t="s">
        <v>1788</v>
      </c>
      <c r="K785" s="1" t="s">
        <v>1789</v>
      </c>
      <c r="L785" s="2">
        <v>45665</v>
      </c>
      <c r="M785" s="18" t="s">
        <v>6687</v>
      </c>
      <c r="T785" s="19"/>
      <c r="V785" s="4" t="s">
        <v>350</v>
      </c>
      <c r="W785" s="17" t="s">
        <v>351</v>
      </c>
    </row>
    <row r="786" spans="2:23" ht="11.25" hidden="1" customHeight="1" x14ac:dyDescent="0.25">
      <c r="B786" s="17" t="s">
        <v>1818</v>
      </c>
      <c r="C786" s="42" t="s">
        <v>1818</v>
      </c>
      <c r="D786" s="17" t="s">
        <v>348</v>
      </c>
      <c r="E786" s="1" t="s">
        <v>21</v>
      </c>
      <c r="H786" s="1" t="s">
        <v>1819</v>
      </c>
      <c r="I786" s="4" t="s">
        <v>350</v>
      </c>
      <c r="J786" s="1" t="s">
        <v>1788</v>
      </c>
      <c r="K786" s="1" t="s">
        <v>1789</v>
      </c>
      <c r="L786" s="2">
        <v>45665</v>
      </c>
      <c r="M786" s="18" t="s">
        <v>6687</v>
      </c>
      <c r="P786" s="3">
        <v>45911</v>
      </c>
      <c r="Q786" s="19" t="s">
        <v>6687</v>
      </c>
      <c r="R786" s="3" t="s">
        <v>40</v>
      </c>
      <c r="T786" s="19"/>
      <c r="V786" s="4" t="s">
        <v>350</v>
      </c>
      <c r="W786" s="17" t="s">
        <v>351</v>
      </c>
    </row>
    <row r="787" spans="2:23" ht="11.25" hidden="1" customHeight="1" x14ac:dyDescent="0.25">
      <c r="B787" s="17" t="s">
        <v>1820</v>
      </c>
      <c r="C787" s="42" t="s">
        <v>1820</v>
      </c>
      <c r="D787" s="17" t="s">
        <v>348</v>
      </c>
      <c r="E787" s="1" t="s">
        <v>28</v>
      </c>
      <c r="H787" s="1" t="s">
        <v>1821</v>
      </c>
      <c r="I787" s="4" t="s">
        <v>350</v>
      </c>
      <c r="J787" s="1" t="s">
        <v>1788</v>
      </c>
      <c r="K787" s="1" t="s">
        <v>1789</v>
      </c>
      <c r="L787" s="2">
        <v>45665</v>
      </c>
      <c r="M787" s="18" t="s">
        <v>6687</v>
      </c>
      <c r="T787" s="19"/>
      <c r="V787" s="4" t="s">
        <v>350</v>
      </c>
      <c r="W787" s="17" t="s">
        <v>351</v>
      </c>
    </row>
    <row r="788" spans="2:23" ht="11.25" hidden="1" customHeight="1" x14ac:dyDescent="0.25">
      <c r="B788" s="17" t="s">
        <v>1822</v>
      </c>
      <c r="C788" s="42" t="s">
        <v>1822</v>
      </c>
      <c r="D788" s="17" t="s">
        <v>348</v>
      </c>
      <c r="E788" s="1" t="s">
        <v>28</v>
      </c>
      <c r="H788" s="1" t="s">
        <v>1823</v>
      </c>
      <c r="I788" s="4" t="s">
        <v>350</v>
      </c>
      <c r="J788" s="1" t="s">
        <v>1788</v>
      </c>
      <c r="K788" s="1" t="s">
        <v>1789</v>
      </c>
      <c r="L788" s="2">
        <v>45665</v>
      </c>
      <c r="M788" s="18" t="s">
        <v>6687</v>
      </c>
      <c r="T788" s="19"/>
      <c r="V788" s="4" t="s">
        <v>350</v>
      </c>
      <c r="W788" s="17" t="s">
        <v>351</v>
      </c>
    </row>
    <row r="789" spans="2:23" ht="11.25" hidden="1" customHeight="1" x14ac:dyDescent="0.25">
      <c r="B789" s="17" t="s">
        <v>1824</v>
      </c>
      <c r="C789" s="42" t="s">
        <v>1824</v>
      </c>
      <c r="D789" s="17" t="s">
        <v>348</v>
      </c>
      <c r="E789" s="1" t="s">
        <v>28</v>
      </c>
      <c r="H789" s="1" t="s">
        <v>1825</v>
      </c>
      <c r="I789" s="4" t="s">
        <v>350</v>
      </c>
      <c r="J789" s="1" t="s">
        <v>1788</v>
      </c>
      <c r="K789" s="1" t="s">
        <v>1789</v>
      </c>
      <c r="L789" s="2">
        <v>45665</v>
      </c>
      <c r="M789" s="18" t="s">
        <v>6687</v>
      </c>
      <c r="T789" s="19"/>
      <c r="V789" s="4" t="s">
        <v>350</v>
      </c>
      <c r="W789" s="17" t="s">
        <v>351</v>
      </c>
    </row>
    <row r="790" spans="2:23" ht="11.25" hidden="1" customHeight="1" x14ac:dyDescent="0.25">
      <c r="B790" s="17" t="s">
        <v>1826</v>
      </c>
      <c r="C790" s="42" t="s">
        <v>1826</v>
      </c>
      <c r="D790" s="17" t="s">
        <v>348</v>
      </c>
      <c r="E790" s="1" t="s">
        <v>28</v>
      </c>
      <c r="H790" s="1" t="s">
        <v>1827</v>
      </c>
      <c r="I790" s="4" t="s">
        <v>350</v>
      </c>
      <c r="J790" s="1" t="s">
        <v>1788</v>
      </c>
      <c r="K790" s="1" t="s">
        <v>1789</v>
      </c>
      <c r="L790" s="2">
        <v>45665</v>
      </c>
      <c r="M790" s="18" t="s">
        <v>6687</v>
      </c>
      <c r="T790" s="19"/>
      <c r="V790" s="4" t="s">
        <v>350</v>
      </c>
      <c r="W790" s="17" t="s">
        <v>351</v>
      </c>
    </row>
    <row r="791" spans="2:23" ht="11.25" hidden="1" customHeight="1" x14ac:dyDescent="0.25">
      <c r="B791" s="17" t="s">
        <v>1828</v>
      </c>
      <c r="C791" s="42" t="s">
        <v>1828</v>
      </c>
      <c r="D791" s="17" t="s">
        <v>348</v>
      </c>
      <c r="E791" s="1" t="s">
        <v>28</v>
      </c>
      <c r="H791" s="1" t="s">
        <v>1829</v>
      </c>
      <c r="I791" s="4" t="s">
        <v>350</v>
      </c>
      <c r="J791" s="1" t="s">
        <v>1788</v>
      </c>
      <c r="K791" s="1" t="s">
        <v>1789</v>
      </c>
      <c r="L791" s="2">
        <v>45665</v>
      </c>
      <c r="M791" s="18" t="s">
        <v>6687</v>
      </c>
      <c r="T791" s="19"/>
      <c r="V791" s="4" t="s">
        <v>350</v>
      </c>
      <c r="W791" s="17" t="s">
        <v>351</v>
      </c>
    </row>
    <row r="792" spans="2:23" ht="11.25" hidden="1" customHeight="1" x14ac:dyDescent="0.25">
      <c r="B792" s="17" t="s">
        <v>1830</v>
      </c>
      <c r="C792" s="42" t="s">
        <v>1830</v>
      </c>
      <c r="D792" s="17" t="s">
        <v>348</v>
      </c>
      <c r="E792" s="1" t="s">
        <v>28</v>
      </c>
      <c r="H792" s="1" t="s">
        <v>1831</v>
      </c>
      <c r="I792" s="4" t="s">
        <v>350</v>
      </c>
      <c r="J792" s="1" t="s">
        <v>1788</v>
      </c>
      <c r="K792" s="1" t="s">
        <v>1789</v>
      </c>
      <c r="L792" s="2">
        <v>45665</v>
      </c>
      <c r="M792" s="18" t="s">
        <v>6687</v>
      </c>
      <c r="T792" s="19"/>
      <c r="V792" s="4" t="s">
        <v>350</v>
      </c>
      <c r="W792" s="17" t="s">
        <v>351</v>
      </c>
    </row>
    <row r="793" spans="2:23" ht="11.25" hidden="1" customHeight="1" x14ac:dyDescent="0.25">
      <c r="B793" s="17" t="s">
        <v>1832</v>
      </c>
      <c r="C793" s="42" t="s">
        <v>1832</v>
      </c>
      <c r="D793" s="17" t="s">
        <v>348</v>
      </c>
      <c r="E793" s="1" t="s">
        <v>28</v>
      </c>
      <c r="H793" s="1" t="s">
        <v>1833</v>
      </c>
      <c r="I793" s="4" t="s">
        <v>350</v>
      </c>
      <c r="J793" s="1" t="s">
        <v>1788</v>
      </c>
      <c r="K793" s="1" t="s">
        <v>1789</v>
      </c>
      <c r="L793" s="2">
        <v>45665</v>
      </c>
      <c r="M793" s="18" t="s">
        <v>6687</v>
      </c>
      <c r="T793" s="19"/>
      <c r="V793" s="4" t="s">
        <v>350</v>
      </c>
      <c r="W793" s="17" t="s">
        <v>351</v>
      </c>
    </row>
    <row r="794" spans="2:23" ht="11.25" hidden="1" customHeight="1" x14ac:dyDescent="0.25">
      <c r="B794" s="17" t="s">
        <v>1834</v>
      </c>
      <c r="C794" s="42" t="s">
        <v>1834</v>
      </c>
      <c r="D794" s="17" t="s">
        <v>348</v>
      </c>
      <c r="E794" s="1" t="s">
        <v>28</v>
      </c>
      <c r="H794" s="1" t="s">
        <v>1835</v>
      </c>
      <c r="I794" s="4" t="s">
        <v>350</v>
      </c>
      <c r="J794" s="1" t="s">
        <v>1788</v>
      </c>
      <c r="K794" s="1" t="s">
        <v>1789</v>
      </c>
      <c r="L794" s="2">
        <v>45665</v>
      </c>
      <c r="M794" s="18" t="s">
        <v>6687</v>
      </c>
      <c r="T794" s="19"/>
      <c r="V794" s="4" t="s">
        <v>350</v>
      </c>
      <c r="W794" s="17" t="s">
        <v>351</v>
      </c>
    </row>
    <row r="795" spans="2:23" ht="11.25" hidden="1" customHeight="1" x14ac:dyDescent="0.25">
      <c r="B795" s="17" t="s">
        <v>1836</v>
      </c>
      <c r="C795" s="42" t="s">
        <v>1836</v>
      </c>
      <c r="D795" s="17" t="s">
        <v>348</v>
      </c>
      <c r="E795" s="1" t="s">
        <v>28</v>
      </c>
      <c r="H795" s="1" t="s">
        <v>1837</v>
      </c>
      <c r="I795" s="4" t="s">
        <v>350</v>
      </c>
      <c r="J795" s="1" t="s">
        <v>1788</v>
      </c>
      <c r="K795" s="1" t="s">
        <v>1789</v>
      </c>
      <c r="L795" s="2">
        <v>45665</v>
      </c>
      <c r="M795" s="18" t="s">
        <v>6687</v>
      </c>
      <c r="T795" s="19"/>
      <c r="V795" s="4" t="s">
        <v>350</v>
      </c>
      <c r="W795" s="17" t="s">
        <v>351</v>
      </c>
    </row>
    <row r="796" spans="2:23" ht="11.25" hidden="1" customHeight="1" x14ac:dyDescent="0.25">
      <c r="B796" s="17" t="s">
        <v>1838</v>
      </c>
      <c r="C796" s="42" t="s">
        <v>1838</v>
      </c>
      <c r="D796" s="17" t="s">
        <v>348</v>
      </c>
      <c r="E796" s="1" t="s">
        <v>28</v>
      </c>
      <c r="H796" s="1" t="s">
        <v>1839</v>
      </c>
      <c r="I796" s="4" t="s">
        <v>350</v>
      </c>
      <c r="J796" s="1" t="s">
        <v>1788</v>
      </c>
      <c r="K796" s="1" t="s">
        <v>1789</v>
      </c>
      <c r="L796" s="2">
        <v>45665</v>
      </c>
      <c r="M796" s="18" t="s">
        <v>6687</v>
      </c>
      <c r="T796" s="19"/>
      <c r="V796" s="4" t="s">
        <v>350</v>
      </c>
      <c r="W796" s="17" t="s">
        <v>351</v>
      </c>
    </row>
    <row r="797" spans="2:23" ht="11.25" hidden="1" customHeight="1" x14ac:dyDescent="0.25">
      <c r="B797" s="17" t="s">
        <v>1840</v>
      </c>
      <c r="C797" s="42" t="s">
        <v>1840</v>
      </c>
      <c r="D797" s="17" t="s">
        <v>348</v>
      </c>
      <c r="E797" s="1" t="s">
        <v>28</v>
      </c>
      <c r="H797" s="1" t="s">
        <v>1841</v>
      </c>
      <c r="I797" s="4" t="s">
        <v>350</v>
      </c>
      <c r="J797" s="1" t="s">
        <v>1788</v>
      </c>
      <c r="K797" s="1" t="s">
        <v>1789</v>
      </c>
      <c r="L797" s="2">
        <v>45665</v>
      </c>
      <c r="M797" s="18" t="s">
        <v>6687</v>
      </c>
      <c r="T797" s="19"/>
      <c r="V797" s="4" t="s">
        <v>350</v>
      </c>
      <c r="W797" s="17" t="s">
        <v>351</v>
      </c>
    </row>
    <row r="798" spans="2:23" ht="11.25" hidden="1" customHeight="1" x14ac:dyDescent="0.25">
      <c r="B798" s="17" t="s">
        <v>1842</v>
      </c>
      <c r="C798" s="42" t="s">
        <v>1842</v>
      </c>
      <c r="D798" s="17" t="s">
        <v>348</v>
      </c>
      <c r="E798" s="1" t="s">
        <v>21</v>
      </c>
      <c r="H798" s="1" t="s">
        <v>1843</v>
      </c>
      <c r="I798" s="4" t="s">
        <v>350</v>
      </c>
      <c r="J798" s="1" t="s">
        <v>1788</v>
      </c>
      <c r="K798" s="1" t="s">
        <v>1789</v>
      </c>
      <c r="L798" s="2">
        <v>45665</v>
      </c>
      <c r="M798" s="18" t="s">
        <v>6687</v>
      </c>
      <c r="P798" s="3">
        <v>46003</v>
      </c>
      <c r="Q798" s="19" t="s">
        <v>6687</v>
      </c>
      <c r="S798" s="43" t="s">
        <v>1844</v>
      </c>
      <c r="T798" s="19"/>
      <c r="V798" s="4" t="s">
        <v>350</v>
      </c>
      <c r="W798" s="17" t="s">
        <v>351</v>
      </c>
    </row>
    <row r="799" spans="2:23" ht="11.25" hidden="1" customHeight="1" x14ac:dyDescent="0.25">
      <c r="B799" s="17" t="s">
        <v>1845</v>
      </c>
      <c r="C799" s="42" t="s">
        <v>1845</v>
      </c>
      <c r="D799" s="17" t="s">
        <v>348</v>
      </c>
      <c r="E799" s="1" t="s">
        <v>28</v>
      </c>
      <c r="H799" s="1" t="s">
        <v>1846</v>
      </c>
      <c r="I799" s="4" t="s">
        <v>350</v>
      </c>
      <c r="J799" s="1" t="s">
        <v>1788</v>
      </c>
      <c r="K799" s="1" t="s">
        <v>1789</v>
      </c>
      <c r="L799" s="2">
        <v>45665</v>
      </c>
      <c r="M799" s="18" t="s">
        <v>6687</v>
      </c>
      <c r="T799" s="19"/>
      <c r="V799" s="4" t="s">
        <v>350</v>
      </c>
      <c r="W799" s="17" t="s">
        <v>351</v>
      </c>
    </row>
    <row r="800" spans="2:23" ht="11.25" hidden="1" customHeight="1" x14ac:dyDescent="0.25">
      <c r="B800" s="17" t="s">
        <v>1847</v>
      </c>
      <c r="C800" s="42" t="s">
        <v>1847</v>
      </c>
      <c r="D800" s="17" t="s">
        <v>348</v>
      </c>
      <c r="E800" s="1" t="s">
        <v>28</v>
      </c>
      <c r="H800" s="1" t="s">
        <v>1848</v>
      </c>
      <c r="I800" s="4" t="s">
        <v>350</v>
      </c>
      <c r="J800" s="1" t="s">
        <v>1788</v>
      </c>
      <c r="K800" s="1" t="s">
        <v>1789</v>
      </c>
      <c r="L800" s="2">
        <v>45665</v>
      </c>
      <c r="M800" s="18" t="s">
        <v>6687</v>
      </c>
      <c r="T800" s="19"/>
      <c r="V800" s="4" t="s">
        <v>350</v>
      </c>
      <c r="W800" s="17" t="s">
        <v>351</v>
      </c>
    </row>
    <row r="801" spans="2:23" ht="11.25" hidden="1" customHeight="1" x14ac:dyDescent="0.25">
      <c r="B801" s="17" t="s">
        <v>1849</v>
      </c>
      <c r="C801" s="42" t="s">
        <v>1849</v>
      </c>
      <c r="D801" s="17" t="s">
        <v>348</v>
      </c>
      <c r="E801" s="1" t="s">
        <v>28</v>
      </c>
      <c r="H801" s="1" t="s">
        <v>1850</v>
      </c>
      <c r="I801" s="4" t="s">
        <v>350</v>
      </c>
      <c r="J801" s="1" t="s">
        <v>1788</v>
      </c>
      <c r="K801" s="1" t="s">
        <v>1789</v>
      </c>
      <c r="L801" s="2">
        <v>45665</v>
      </c>
      <c r="M801" s="18" t="s">
        <v>6687</v>
      </c>
      <c r="T801" s="19"/>
      <c r="V801" s="4" t="s">
        <v>350</v>
      </c>
      <c r="W801" s="17" t="s">
        <v>351</v>
      </c>
    </row>
    <row r="802" spans="2:23" ht="11.25" hidden="1" customHeight="1" x14ac:dyDescent="0.25">
      <c r="B802" s="17" t="s">
        <v>1851</v>
      </c>
      <c r="C802" s="42" t="s">
        <v>1851</v>
      </c>
      <c r="D802" s="17" t="s">
        <v>348</v>
      </c>
      <c r="E802" s="1" t="s">
        <v>28</v>
      </c>
      <c r="H802" s="1" t="s">
        <v>1852</v>
      </c>
      <c r="I802" s="4" t="s">
        <v>350</v>
      </c>
      <c r="J802" s="1" t="s">
        <v>1788</v>
      </c>
      <c r="K802" s="1" t="s">
        <v>1789</v>
      </c>
      <c r="L802" s="2">
        <v>45665</v>
      </c>
      <c r="M802" s="18" t="s">
        <v>6687</v>
      </c>
      <c r="T802" s="19"/>
      <c r="V802" s="4" t="s">
        <v>350</v>
      </c>
      <c r="W802" s="17" t="s">
        <v>351</v>
      </c>
    </row>
    <row r="803" spans="2:23" ht="11.25" hidden="1" customHeight="1" x14ac:dyDescent="0.25">
      <c r="B803" s="17" t="s">
        <v>1853</v>
      </c>
      <c r="C803" s="42" t="s">
        <v>1853</v>
      </c>
      <c r="D803" s="17" t="s">
        <v>348</v>
      </c>
      <c r="E803" s="1" t="s">
        <v>21</v>
      </c>
      <c r="H803" s="1" t="s">
        <v>1854</v>
      </c>
      <c r="I803" s="4" t="s">
        <v>350</v>
      </c>
      <c r="J803" s="1" t="s">
        <v>1788</v>
      </c>
      <c r="K803" s="1" t="s">
        <v>1789</v>
      </c>
      <c r="L803" s="2">
        <v>45665</v>
      </c>
      <c r="M803" s="18" t="s">
        <v>6687</v>
      </c>
      <c r="P803" s="3">
        <v>46079</v>
      </c>
      <c r="Q803" s="19" t="s">
        <v>6687</v>
      </c>
      <c r="T803" s="19"/>
      <c r="V803" s="4" t="s">
        <v>350</v>
      </c>
      <c r="W803" s="17" t="s">
        <v>351</v>
      </c>
    </row>
    <row r="804" spans="2:23" ht="11.25" hidden="1" customHeight="1" x14ac:dyDescent="0.25">
      <c r="B804" s="17" t="s">
        <v>1855</v>
      </c>
      <c r="C804" s="42" t="s">
        <v>1855</v>
      </c>
      <c r="D804" s="17" t="s">
        <v>348</v>
      </c>
      <c r="E804" s="1" t="s">
        <v>28</v>
      </c>
      <c r="H804" s="1" t="s">
        <v>1856</v>
      </c>
      <c r="I804" s="4" t="s">
        <v>350</v>
      </c>
      <c r="J804" s="1" t="s">
        <v>1788</v>
      </c>
      <c r="K804" s="1" t="s">
        <v>1789</v>
      </c>
      <c r="L804" s="2">
        <v>45665</v>
      </c>
      <c r="M804" s="18" t="s">
        <v>6687</v>
      </c>
      <c r="T804" s="19"/>
      <c r="V804" s="4" t="s">
        <v>350</v>
      </c>
      <c r="W804" s="17" t="s">
        <v>351</v>
      </c>
    </row>
    <row r="805" spans="2:23" ht="11.25" hidden="1" customHeight="1" x14ac:dyDescent="0.25">
      <c r="B805" s="17" t="s">
        <v>1857</v>
      </c>
      <c r="C805" s="42" t="s">
        <v>1857</v>
      </c>
      <c r="D805" s="17" t="s">
        <v>348</v>
      </c>
      <c r="E805" s="1" t="s">
        <v>28</v>
      </c>
      <c r="H805" s="1" t="s">
        <v>1858</v>
      </c>
      <c r="I805" s="4" t="s">
        <v>350</v>
      </c>
      <c r="J805" s="1" t="s">
        <v>1788</v>
      </c>
      <c r="K805" s="1" t="s">
        <v>1789</v>
      </c>
      <c r="L805" s="2">
        <v>45665</v>
      </c>
      <c r="M805" s="18" t="s">
        <v>6687</v>
      </c>
      <c r="T805" s="19"/>
      <c r="V805" s="4" t="s">
        <v>350</v>
      </c>
      <c r="W805" s="17" t="s">
        <v>351</v>
      </c>
    </row>
    <row r="806" spans="2:23" ht="11.25" hidden="1" customHeight="1" x14ac:dyDescent="0.25">
      <c r="B806" s="17" t="s">
        <v>1859</v>
      </c>
      <c r="C806" s="42" t="s">
        <v>1859</v>
      </c>
      <c r="D806" s="17" t="s">
        <v>348</v>
      </c>
      <c r="E806" s="1" t="s">
        <v>21</v>
      </c>
      <c r="H806" s="1" t="s">
        <v>1860</v>
      </c>
      <c r="I806" s="4" t="s">
        <v>350</v>
      </c>
      <c r="J806" s="1" t="s">
        <v>1788</v>
      </c>
      <c r="K806" s="1" t="s">
        <v>1789</v>
      </c>
      <c r="L806" s="2">
        <v>45665</v>
      </c>
      <c r="M806" s="18" t="s">
        <v>6687</v>
      </c>
      <c r="P806" s="3">
        <v>46005</v>
      </c>
      <c r="Q806" s="19" t="s">
        <v>6687</v>
      </c>
      <c r="S806" s="44" t="s">
        <v>1861</v>
      </c>
      <c r="T806" s="19"/>
      <c r="V806" s="4" t="s">
        <v>350</v>
      </c>
      <c r="W806" s="17" t="s">
        <v>351</v>
      </c>
    </row>
    <row r="807" spans="2:23" ht="11.25" hidden="1" customHeight="1" x14ac:dyDescent="0.25">
      <c r="B807" s="17" t="s">
        <v>1862</v>
      </c>
      <c r="C807" s="42" t="s">
        <v>1862</v>
      </c>
      <c r="D807" s="17" t="s">
        <v>348</v>
      </c>
      <c r="E807" s="1" t="s">
        <v>28</v>
      </c>
      <c r="H807" s="1" t="s">
        <v>1863</v>
      </c>
      <c r="I807" s="4" t="s">
        <v>350</v>
      </c>
      <c r="J807" s="1" t="s">
        <v>1788</v>
      </c>
      <c r="K807" s="1" t="s">
        <v>1789</v>
      </c>
      <c r="L807" s="2">
        <v>45665</v>
      </c>
      <c r="M807" s="18" t="s">
        <v>6687</v>
      </c>
      <c r="T807" s="19"/>
      <c r="V807" s="4" t="s">
        <v>350</v>
      </c>
      <c r="W807" s="17" t="s">
        <v>351</v>
      </c>
    </row>
    <row r="808" spans="2:23" ht="11.25" hidden="1" customHeight="1" x14ac:dyDescent="0.25">
      <c r="B808" s="17" t="s">
        <v>1864</v>
      </c>
      <c r="C808" s="42" t="s">
        <v>1864</v>
      </c>
      <c r="D808" s="17" t="s">
        <v>348</v>
      </c>
      <c r="E808" s="1" t="s">
        <v>28</v>
      </c>
      <c r="H808" s="1" t="s">
        <v>1865</v>
      </c>
      <c r="I808" s="4" t="s">
        <v>350</v>
      </c>
      <c r="J808" s="1" t="s">
        <v>1788</v>
      </c>
      <c r="K808" s="1" t="s">
        <v>1789</v>
      </c>
      <c r="L808" s="2">
        <v>45665</v>
      </c>
      <c r="M808" s="18" t="s">
        <v>6687</v>
      </c>
      <c r="T808" s="19"/>
      <c r="V808" s="4" t="s">
        <v>350</v>
      </c>
      <c r="W808" s="17" t="s">
        <v>351</v>
      </c>
    </row>
    <row r="809" spans="2:23" ht="11.25" hidden="1" customHeight="1" x14ac:dyDescent="0.25">
      <c r="B809" s="17" t="s">
        <v>1866</v>
      </c>
      <c r="C809" s="42" t="s">
        <v>1866</v>
      </c>
      <c r="D809" s="17" t="s">
        <v>348</v>
      </c>
      <c r="E809" s="1" t="s">
        <v>28</v>
      </c>
      <c r="H809" s="1" t="s">
        <v>1867</v>
      </c>
      <c r="I809" s="4" t="s">
        <v>350</v>
      </c>
      <c r="J809" s="1" t="s">
        <v>1788</v>
      </c>
      <c r="K809" s="1" t="s">
        <v>1789</v>
      </c>
      <c r="L809" s="2">
        <v>45665</v>
      </c>
      <c r="M809" s="18" t="s">
        <v>6687</v>
      </c>
      <c r="T809" s="19"/>
      <c r="V809" s="4" t="s">
        <v>350</v>
      </c>
      <c r="W809" s="17" t="s">
        <v>351</v>
      </c>
    </row>
    <row r="810" spans="2:23" ht="11.25" hidden="1" customHeight="1" x14ac:dyDescent="0.25">
      <c r="B810" s="17" t="s">
        <v>1868</v>
      </c>
      <c r="C810" s="42" t="s">
        <v>1868</v>
      </c>
      <c r="D810" s="17" t="s">
        <v>348</v>
      </c>
      <c r="E810" s="1" t="s">
        <v>28</v>
      </c>
      <c r="H810" s="1" t="s">
        <v>1869</v>
      </c>
      <c r="I810" s="4" t="s">
        <v>350</v>
      </c>
      <c r="J810" s="1" t="s">
        <v>1788</v>
      </c>
      <c r="K810" s="1" t="s">
        <v>1789</v>
      </c>
      <c r="L810" s="2">
        <v>45665</v>
      </c>
      <c r="M810" s="18" t="s">
        <v>6687</v>
      </c>
      <c r="T810" s="19"/>
      <c r="V810" s="4" t="s">
        <v>350</v>
      </c>
      <c r="W810" s="17" t="s">
        <v>351</v>
      </c>
    </row>
    <row r="811" spans="2:23" ht="11.25" hidden="1" customHeight="1" x14ac:dyDescent="0.25">
      <c r="B811" s="17" t="s">
        <v>1870</v>
      </c>
      <c r="C811" s="42" t="s">
        <v>1870</v>
      </c>
      <c r="D811" s="17" t="s">
        <v>348</v>
      </c>
      <c r="E811" s="1" t="s">
        <v>28</v>
      </c>
      <c r="H811" s="1" t="s">
        <v>1871</v>
      </c>
      <c r="I811" s="4" t="s">
        <v>350</v>
      </c>
      <c r="J811" s="1" t="s">
        <v>1788</v>
      </c>
      <c r="K811" s="1" t="s">
        <v>1789</v>
      </c>
      <c r="L811" s="2">
        <v>45665</v>
      </c>
      <c r="M811" s="18" t="s">
        <v>6687</v>
      </c>
      <c r="T811" s="19"/>
      <c r="V811" s="4" t="s">
        <v>350</v>
      </c>
      <c r="W811" s="17" t="s">
        <v>351</v>
      </c>
    </row>
    <row r="812" spans="2:23" ht="11.25" hidden="1" customHeight="1" x14ac:dyDescent="0.25">
      <c r="B812" s="17" t="s">
        <v>1872</v>
      </c>
      <c r="C812" s="42" t="s">
        <v>1872</v>
      </c>
      <c r="D812" s="17" t="s">
        <v>348</v>
      </c>
      <c r="E812" s="1" t="s">
        <v>28</v>
      </c>
      <c r="H812" s="1" t="s">
        <v>1873</v>
      </c>
      <c r="I812" s="4" t="s">
        <v>350</v>
      </c>
      <c r="J812" s="1" t="s">
        <v>1788</v>
      </c>
      <c r="K812" s="1" t="s">
        <v>1789</v>
      </c>
      <c r="L812" s="2">
        <v>45665</v>
      </c>
      <c r="M812" s="18" t="s">
        <v>6687</v>
      </c>
      <c r="T812" s="19"/>
      <c r="V812" s="4" t="s">
        <v>350</v>
      </c>
      <c r="W812" s="17" t="s">
        <v>351</v>
      </c>
    </row>
    <row r="813" spans="2:23" ht="11.25" hidden="1" customHeight="1" x14ac:dyDescent="0.25">
      <c r="B813" s="17" t="s">
        <v>1874</v>
      </c>
      <c r="C813" s="42" t="s">
        <v>1874</v>
      </c>
      <c r="D813" s="17" t="s">
        <v>348</v>
      </c>
      <c r="E813" s="1" t="s">
        <v>21</v>
      </c>
      <c r="H813" s="1" t="s">
        <v>1875</v>
      </c>
      <c r="I813" s="4" t="s">
        <v>350</v>
      </c>
      <c r="J813" s="1" t="s">
        <v>1788</v>
      </c>
      <c r="K813" s="1" t="s">
        <v>1789</v>
      </c>
      <c r="L813" s="2">
        <v>45665</v>
      </c>
      <c r="M813" s="18" t="s">
        <v>6687</v>
      </c>
      <c r="P813" s="3">
        <v>46003</v>
      </c>
      <c r="Q813" s="19" t="s">
        <v>6687</v>
      </c>
      <c r="S813" s="43" t="s">
        <v>1876</v>
      </c>
      <c r="T813" s="19"/>
      <c r="V813" s="4" t="s">
        <v>350</v>
      </c>
      <c r="W813" s="17" t="s">
        <v>351</v>
      </c>
    </row>
    <row r="814" spans="2:23" ht="11.25" hidden="1" customHeight="1" x14ac:dyDescent="0.25">
      <c r="B814" s="17" t="s">
        <v>1877</v>
      </c>
      <c r="C814" s="42" t="s">
        <v>1877</v>
      </c>
      <c r="D814" s="17" t="s">
        <v>348</v>
      </c>
      <c r="E814" s="1" t="s">
        <v>21</v>
      </c>
      <c r="H814" s="1" t="s">
        <v>1878</v>
      </c>
      <c r="I814" s="4" t="s">
        <v>350</v>
      </c>
      <c r="J814" s="1" t="s">
        <v>1788</v>
      </c>
      <c r="K814" s="1" t="s">
        <v>1789</v>
      </c>
      <c r="L814" s="2">
        <v>45665</v>
      </c>
      <c r="M814" s="18" t="s">
        <v>6687</v>
      </c>
      <c r="P814" s="3">
        <v>46007</v>
      </c>
      <c r="Q814" s="19" t="s">
        <v>6687</v>
      </c>
      <c r="R814" s="3" t="s">
        <v>1794</v>
      </c>
      <c r="S814" s="17" t="s">
        <v>1879</v>
      </c>
      <c r="T814" s="19"/>
      <c r="V814" s="4" t="s">
        <v>350</v>
      </c>
      <c r="W814" s="17" t="s">
        <v>351</v>
      </c>
    </row>
    <row r="815" spans="2:23" ht="11.25" hidden="1" customHeight="1" x14ac:dyDescent="0.25">
      <c r="B815" s="17" t="s">
        <v>1880</v>
      </c>
      <c r="C815" s="42" t="s">
        <v>1880</v>
      </c>
      <c r="D815" s="17" t="s">
        <v>348</v>
      </c>
      <c r="E815" s="1" t="s">
        <v>28</v>
      </c>
      <c r="H815" s="1" t="s">
        <v>1881</v>
      </c>
      <c r="I815" s="4" t="s">
        <v>350</v>
      </c>
      <c r="J815" s="1" t="s">
        <v>1788</v>
      </c>
      <c r="K815" s="1" t="s">
        <v>1789</v>
      </c>
      <c r="L815" s="2">
        <v>45665</v>
      </c>
      <c r="M815" s="18" t="s">
        <v>6687</v>
      </c>
      <c r="T815" s="19"/>
      <c r="V815" s="4" t="s">
        <v>350</v>
      </c>
      <c r="W815" s="17" t="s">
        <v>351</v>
      </c>
    </row>
    <row r="816" spans="2:23" ht="11.25" hidden="1" customHeight="1" x14ac:dyDescent="0.25">
      <c r="B816" s="17" t="s">
        <v>1882</v>
      </c>
      <c r="C816" s="42" t="s">
        <v>1882</v>
      </c>
      <c r="D816" s="17" t="s">
        <v>348</v>
      </c>
      <c r="E816" s="1" t="s">
        <v>28</v>
      </c>
      <c r="H816" s="1" t="s">
        <v>1883</v>
      </c>
      <c r="I816" s="4" t="s">
        <v>350</v>
      </c>
      <c r="J816" s="1" t="s">
        <v>1788</v>
      </c>
      <c r="K816" s="1" t="s">
        <v>1789</v>
      </c>
      <c r="L816" s="2">
        <v>45665</v>
      </c>
      <c r="M816" s="18" t="s">
        <v>6687</v>
      </c>
      <c r="T816" s="19"/>
      <c r="V816" s="4" t="s">
        <v>350</v>
      </c>
      <c r="W816" s="17" t="s">
        <v>351</v>
      </c>
    </row>
    <row r="817" spans="2:23" ht="11.25" hidden="1" customHeight="1" x14ac:dyDescent="0.25">
      <c r="B817" s="17" t="s">
        <v>1884</v>
      </c>
      <c r="C817" s="42" t="s">
        <v>1884</v>
      </c>
      <c r="D817" s="17" t="s">
        <v>348</v>
      </c>
      <c r="E817" s="1" t="s">
        <v>28</v>
      </c>
      <c r="H817" s="1" t="s">
        <v>1885</v>
      </c>
      <c r="I817" s="4" t="s">
        <v>350</v>
      </c>
      <c r="J817" s="1" t="s">
        <v>1788</v>
      </c>
      <c r="K817" s="1" t="s">
        <v>1789</v>
      </c>
      <c r="L817" s="2">
        <v>45665</v>
      </c>
      <c r="M817" s="18" t="s">
        <v>6687</v>
      </c>
      <c r="T817" s="19"/>
      <c r="V817" s="4" t="s">
        <v>350</v>
      </c>
      <c r="W817" s="17" t="s">
        <v>351</v>
      </c>
    </row>
    <row r="818" spans="2:23" ht="11.25" hidden="1" customHeight="1" x14ac:dyDescent="0.25">
      <c r="B818" s="17" t="s">
        <v>1886</v>
      </c>
      <c r="C818" s="42" t="s">
        <v>1886</v>
      </c>
      <c r="D818" s="17" t="s">
        <v>348</v>
      </c>
      <c r="E818" s="1" t="s">
        <v>28</v>
      </c>
      <c r="H818" s="1" t="s">
        <v>1887</v>
      </c>
      <c r="I818" s="4" t="s">
        <v>350</v>
      </c>
      <c r="J818" s="1" t="s">
        <v>1788</v>
      </c>
      <c r="K818" s="1" t="s">
        <v>1789</v>
      </c>
      <c r="L818" s="2">
        <v>45665</v>
      </c>
      <c r="M818" s="18" t="s">
        <v>6687</v>
      </c>
      <c r="T818" s="19"/>
      <c r="V818" s="4" t="s">
        <v>350</v>
      </c>
      <c r="W818" s="17" t="s">
        <v>351</v>
      </c>
    </row>
    <row r="819" spans="2:23" ht="11.25" hidden="1" customHeight="1" x14ac:dyDescent="0.25">
      <c r="B819" s="17" t="s">
        <v>1888</v>
      </c>
      <c r="C819" s="42" t="s">
        <v>1888</v>
      </c>
      <c r="D819" s="17" t="s">
        <v>348</v>
      </c>
      <c r="E819" s="1" t="s">
        <v>28</v>
      </c>
      <c r="H819" s="1" t="s">
        <v>1889</v>
      </c>
      <c r="I819" s="4" t="s">
        <v>350</v>
      </c>
      <c r="J819" s="1" t="s">
        <v>1788</v>
      </c>
      <c r="K819" s="1" t="s">
        <v>1789</v>
      </c>
      <c r="L819" s="2">
        <v>45665</v>
      </c>
      <c r="M819" s="18" t="s">
        <v>6687</v>
      </c>
      <c r="T819" s="19"/>
      <c r="V819" s="4" t="s">
        <v>350</v>
      </c>
      <c r="W819" s="17" t="s">
        <v>351</v>
      </c>
    </row>
    <row r="820" spans="2:23" ht="11.25" hidden="1" customHeight="1" x14ac:dyDescent="0.25">
      <c r="B820" s="17" t="s">
        <v>1890</v>
      </c>
      <c r="C820" s="42" t="s">
        <v>1890</v>
      </c>
      <c r="D820" s="17" t="s">
        <v>348</v>
      </c>
      <c r="E820" s="1" t="s">
        <v>28</v>
      </c>
      <c r="H820" s="1" t="s">
        <v>1891</v>
      </c>
      <c r="I820" s="4" t="s">
        <v>350</v>
      </c>
      <c r="J820" s="1" t="s">
        <v>1788</v>
      </c>
      <c r="K820" s="1" t="s">
        <v>1789</v>
      </c>
      <c r="L820" s="2">
        <v>45665</v>
      </c>
      <c r="M820" s="18" t="s">
        <v>6687</v>
      </c>
      <c r="T820" s="19"/>
      <c r="V820" s="4" t="s">
        <v>350</v>
      </c>
      <c r="W820" s="17" t="s">
        <v>351</v>
      </c>
    </row>
    <row r="821" spans="2:23" ht="11.25" hidden="1" customHeight="1" x14ac:dyDescent="0.25">
      <c r="B821" s="17" t="s">
        <v>1892</v>
      </c>
      <c r="C821" s="42" t="s">
        <v>1892</v>
      </c>
      <c r="D821" s="17" t="s">
        <v>348</v>
      </c>
      <c r="E821" s="1" t="s">
        <v>28</v>
      </c>
      <c r="H821" s="1" t="s">
        <v>1893</v>
      </c>
      <c r="I821" s="4" t="s">
        <v>350</v>
      </c>
      <c r="J821" s="1" t="s">
        <v>1788</v>
      </c>
      <c r="K821" s="1" t="s">
        <v>1789</v>
      </c>
      <c r="L821" s="2">
        <v>45665</v>
      </c>
      <c r="M821" s="18" t="s">
        <v>6687</v>
      </c>
      <c r="T821" s="19"/>
      <c r="V821" s="4" t="s">
        <v>350</v>
      </c>
      <c r="W821" s="17" t="s">
        <v>351</v>
      </c>
    </row>
    <row r="822" spans="2:23" ht="11.25" hidden="1" customHeight="1" x14ac:dyDescent="0.25">
      <c r="B822" s="17" t="s">
        <v>1894</v>
      </c>
      <c r="C822" s="42" t="s">
        <v>1894</v>
      </c>
      <c r="D822" s="17" t="s">
        <v>348</v>
      </c>
      <c r="E822" s="1" t="s">
        <v>28</v>
      </c>
      <c r="H822" s="1" t="s">
        <v>1895</v>
      </c>
      <c r="I822" s="4" t="s">
        <v>350</v>
      </c>
      <c r="J822" s="1" t="s">
        <v>1788</v>
      </c>
      <c r="K822" s="1" t="s">
        <v>1789</v>
      </c>
      <c r="L822" s="2">
        <v>45665</v>
      </c>
      <c r="M822" s="18" t="s">
        <v>6687</v>
      </c>
      <c r="T822" s="19"/>
      <c r="V822" s="4" t="s">
        <v>350</v>
      </c>
      <c r="W822" s="17" t="s">
        <v>351</v>
      </c>
    </row>
    <row r="823" spans="2:23" ht="11.25" hidden="1" customHeight="1" x14ac:dyDescent="0.25">
      <c r="B823" s="17" t="s">
        <v>1896</v>
      </c>
      <c r="C823" s="42" t="s">
        <v>1896</v>
      </c>
      <c r="D823" s="1" t="s">
        <v>20</v>
      </c>
      <c r="E823" s="1" t="s">
        <v>28</v>
      </c>
      <c r="H823" s="1" t="s">
        <v>1897</v>
      </c>
      <c r="I823" s="4" t="s">
        <v>23</v>
      </c>
      <c r="J823" s="1" t="s">
        <v>1788</v>
      </c>
      <c r="K823" s="1" t="s">
        <v>1789</v>
      </c>
      <c r="L823" s="2">
        <v>45665</v>
      </c>
      <c r="M823" s="18" t="s">
        <v>6687</v>
      </c>
      <c r="T823" s="19"/>
      <c r="V823" s="4" t="s">
        <v>23</v>
      </c>
      <c r="W823" s="1" t="s">
        <v>26</v>
      </c>
    </row>
    <row r="824" spans="2:23" ht="11.25" hidden="1" customHeight="1" x14ac:dyDescent="0.25">
      <c r="B824" s="17" t="s">
        <v>1898</v>
      </c>
      <c r="C824" s="42" t="s">
        <v>1898</v>
      </c>
      <c r="D824" s="1" t="s">
        <v>20</v>
      </c>
      <c r="E824" s="1" t="s">
        <v>28</v>
      </c>
      <c r="H824" s="1" t="s">
        <v>1899</v>
      </c>
      <c r="I824" s="4" t="s">
        <v>23</v>
      </c>
      <c r="J824" s="1" t="s">
        <v>1788</v>
      </c>
      <c r="K824" s="1" t="s">
        <v>1789</v>
      </c>
      <c r="L824" s="2">
        <v>45665</v>
      </c>
      <c r="M824" s="18" t="s">
        <v>6687</v>
      </c>
      <c r="T824" s="19"/>
      <c r="V824" s="4" t="s">
        <v>23</v>
      </c>
      <c r="W824" s="1" t="s">
        <v>26</v>
      </c>
    </row>
    <row r="825" spans="2:23" ht="11.25" hidden="1" customHeight="1" x14ac:dyDescent="0.25">
      <c r="B825" s="17" t="s">
        <v>1900</v>
      </c>
      <c r="C825" s="42" t="s">
        <v>1900</v>
      </c>
      <c r="D825" s="1" t="s">
        <v>20</v>
      </c>
      <c r="E825" s="1" t="s">
        <v>21</v>
      </c>
      <c r="H825" s="1" t="s">
        <v>1901</v>
      </c>
      <c r="I825" s="4" t="s">
        <v>23</v>
      </c>
      <c r="J825" s="1" t="s">
        <v>1788</v>
      </c>
      <c r="K825" s="1" t="s">
        <v>1789</v>
      </c>
      <c r="L825" s="2">
        <v>45665</v>
      </c>
      <c r="M825" s="18" t="s">
        <v>6687</v>
      </c>
      <c r="P825" s="3">
        <v>45873</v>
      </c>
      <c r="Q825" s="19" t="s">
        <v>6687</v>
      </c>
      <c r="R825" s="3" t="s">
        <v>47</v>
      </c>
      <c r="S825" s="3" t="s">
        <v>1902</v>
      </c>
      <c r="T825" s="19"/>
      <c r="V825" s="4" t="s">
        <v>23</v>
      </c>
      <c r="W825" s="1" t="s">
        <v>26</v>
      </c>
    </row>
    <row r="826" spans="2:23" ht="11.25" hidden="1" customHeight="1" x14ac:dyDescent="0.25">
      <c r="B826" s="17" t="s">
        <v>1903</v>
      </c>
      <c r="C826" s="42" t="s">
        <v>1903</v>
      </c>
      <c r="D826" s="1" t="s">
        <v>20</v>
      </c>
      <c r="E826" s="1" t="s">
        <v>28</v>
      </c>
      <c r="H826" s="1" t="s">
        <v>1904</v>
      </c>
      <c r="I826" s="4" t="s">
        <v>23</v>
      </c>
      <c r="J826" s="1" t="s">
        <v>1788</v>
      </c>
      <c r="K826" s="1" t="s">
        <v>1789</v>
      </c>
      <c r="L826" s="2">
        <v>45665</v>
      </c>
      <c r="M826" s="18" t="s">
        <v>6687</v>
      </c>
      <c r="T826" s="19"/>
      <c r="V826" s="4" t="s">
        <v>23</v>
      </c>
      <c r="W826" s="1" t="s">
        <v>26</v>
      </c>
    </row>
    <row r="827" spans="2:23" ht="11.25" hidden="1" customHeight="1" x14ac:dyDescent="0.25">
      <c r="B827" s="17" t="s">
        <v>1905</v>
      </c>
      <c r="C827" s="42" t="s">
        <v>1905</v>
      </c>
      <c r="D827" s="1" t="s">
        <v>20</v>
      </c>
      <c r="E827" s="1" t="s">
        <v>28</v>
      </c>
      <c r="H827" s="1" t="s">
        <v>1906</v>
      </c>
      <c r="I827" s="4" t="s">
        <v>23</v>
      </c>
      <c r="J827" s="1" t="s">
        <v>1788</v>
      </c>
      <c r="K827" s="1" t="s">
        <v>1789</v>
      </c>
      <c r="L827" s="2">
        <v>45665</v>
      </c>
      <c r="M827" s="18" t="s">
        <v>6687</v>
      </c>
      <c r="T827" s="19"/>
      <c r="V827" s="4" t="s">
        <v>23</v>
      </c>
      <c r="W827" s="1" t="s">
        <v>26</v>
      </c>
    </row>
    <row r="828" spans="2:23" ht="11.25" hidden="1" customHeight="1" x14ac:dyDescent="0.25">
      <c r="B828" s="17" t="s">
        <v>1907</v>
      </c>
      <c r="C828" s="42" t="s">
        <v>1907</v>
      </c>
      <c r="D828" s="1" t="s">
        <v>20</v>
      </c>
      <c r="E828" s="1" t="s">
        <v>28</v>
      </c>
      <c r="H828" s="1" t="s">
        <v>1908</v>
      </c>
      <c r="I828" s="4" t="s">
        <v>23</v>
      </c>
      <c r="J828" s="1" t="s">
        <v>1788</v>
      </c>
      <c r="K828" s="1" t="s">
        <v>1789</v>
      </c>
      <c r="L828" s="2">
        <v>45665</v>
      </c>
      <c r="M828" s="18" t="s">
        <v>6687</v>
      </c>
      <c r="T828" s="19"/>
      <c r="V828" s="4" t="s">
        <v>23</v>
      </c>
      <c r="W828" s="1" t="s">
        <v>26</v>
      </c>
    </row>
    <row r="829" spans="2:23" ht="11.25" hidden="1" customHeight="1" x14ac:dyDescent="0.25">
      <c r="B829" s="17" t="s">
        <v>1909</v>
      </c>
      <c r="C829" s="42" t="s">
        <v>1909</v>
      </c>
      <c r="D829" s="1" t="s">
        <v>20</v>
      </c>
      <c r="E829" s="1" t="s">
        <v>28</v>
      </c>
      <c r="H829" s="1" t="s">
        <v>1910</v>
      </c>
      <c r="I829" s="4" t="s">
        <v>23</v>
      </c>
      <c r="J829" s="1" t="s">
        <v>1788</v>
      </c>
      <c r="K829" s="1" t="s">
        <v>1789</v>
      </c>
      <c r="L829" s="2">
        <v>45665</v>
      </c>
      <c r="M829" s="18" t="s">
        <v>6687</v>
      </c>
      <c r="T829" s="19"/>
      <c r="V829" s="4" t="s">
        <v>23</v>
      </c>
      <c r="W829" s="1" t="s">
        <v>26</v>
      </c>
    </row>
    <row r="830" spans="2:23" ht="11.25" hidden="1" customHeight="1" x14ac:dyDescent="0.25">
      <c r="B830" s="17" t="s">
        <v>1911</v>
      </c>
      <c r="C830" s="42" t="s">
        <v>1911</v>
      </c>
      <c r="D830" s="1" t="s">
        <v>20</v>
      </c>
      <c r="E830" s="1" t="s">
        <v>28</v>
      </c>
      <c r="H830" s="1" t="s">
        <v>1912</v>
      </c>
      <c r="I830" s="4" t="s">
        <v>23</v>
      </c>
      <c r="J830" s="1" t="s">
        <v>1788</v>
      </c>
      <c r="K830" s="1" t="s">
        <v>1789</v>
      </c>
      <c r="L830" s="2">
        <v>45665</v>
      </c>
      <c r="M830" s="18" t="s">
        <v>6687</v>
      </c>
      <c r="T830" s="19"/>
      <c r="V830" s="4" t="s">
        <v>23</v>
      </c>
      <c r="W830" s="1" t="s">
        <v>26</v>
      </c>
    </row>
    <row r="831" spans="2:23" ht="11.25" hidden="1" customHeight="1" x14ac:dyDescent="0.25">
      <c r="B831" s="17" t="s">
        <v>1913</v>
      </c>
      <c r="C831" s="42" t="s">
        <v>1913</v>
      </c>
      <c r="D831" s="1" t="s">
        <v>20</v>
      </c>
      <c r="E831" s="1" t="s">
        <v>28</v>
      </c>
      <c r="H831" s="1" t="s">
        <v>1914</v>
      </c>
      <c r="I831" s="4" t="s">
        <v>23</v>
      </c>
      <c r="J831" s="1" t="s">
        <v>1788</v>
      </c>
      <c r="K831" s="1" t="s">
        <v>1789</v>
      </c>
      <c r="L831" s="2">
        <v>45665</v>
      </c>
      <c r="M831" s="18" t="s">
        <v>6687</v>
      </c>
      <c r="T831" s="19"/>
      <c r="V831" s="4" t="s">
        <v>23</v>
      </c>
      <c r="W831" s="1" t="s">
        <v>26</v>
      </c>
    </row>
    <row r="832" spans="2:23" ht="11.25" hidden="1" customHeight="1" x14ac:dyDescent="0.25">
      <c r="B832" s="17" t="s">
        <v>1915</v>
      </c>
      <c r="C832" s="42" t="s">
        <v>1915</v>
      </c>
      <c r="D832" s="1" t="s">
        <v>20</v>
      </c>
      <c r="E832" s="1" t="s">
        <v>21</v>
      </c>
      <c r="H832" s="1" t="s">
        <v>1916</v>
      </c>
      <c r="I832" s="4" t="s">
        <v>23</v>
      </c>
      <c r="J832" s="1" t="s">
        <v>1788</v>
      </c>
      <c r="K832" s="1" t="s">
        <v>1789</v>
      </c>
      <c r="L832" s="2">
        <v>45665</v>
      </c>
      <c r="M832" s="18" t="s">
        <v>6687</v>
      </c>
      <c r="P832" s="3">
        <v>45893</v>
      </c>
      <c r="Q832" s="19" t="s">
        <v>6687</v>
      </c>
      <c r="R832" s="3" t="s">
        <v>40</v>
      </c>
      <c r="T832" s="19"/>
      <c r="V832" s="4" t="s">
        <v>23</v>
      </c>
      <c r="W832" s="1" t="s">
        <v>26</v>
      </c>
    </row>
    <row r="833" spans="2:23" ht="11.25" hidden="1" customHeight="1" x14ac:dyDescent="0.25">
      <c r="B833" s="17" t="s">
        <v>1917</v>
      </c>
      <c r="C833" s="42" t="s">
        <v>1917</v>
      </c>
      <c r="D833" s="1" t="s">
        <v>20</v>
      </c>
      <c r="E833" s="1" t="s">
        <v>28</v>
      </c>
      <c r="H833" s="1" t="s">
        <v>1918</v>
      </c>
      <c r="I833" s="4" t="s">
        <v>23</v>
      </c>
      <c r="J833" s="1" t="s">
        <v>1788</v>
      </c>
      <c r="K833" s="1" t="s">
        <v>1789</v>
      </c>
      <c r="L833" s="2">
        <v>45665</v>
      </c>
      <c r="M833" s="18" t="s">
        <v>6687</v>
      </c>
      <c r="T833" s="19"/>
      <c r="V833" s="4" t="s">
        <v>23</v>
      </c>
      <c r="W833" s="1" t="s">
        <v>26</v>
      </c>
    </row>
    <row r="834" spans="2:23" ht="11.25" hidden="1" customHeight="1" x14ac:dyDescent="0.25">
      <c r="B834" s="17" t="s">
        <v>1919</v>
      </c>
      <c r="C834" s="42" t="s">
        <v>1919</v>
      </c>
      <c r="D834" s="1" t="s">
        <v>20</v>
      </c>
      <c r="E834" s="1" t="s">
        <v>28</v>
      </c>
      <c r="H834" s="1" t="s">
        <v>1920</v>
      </c>
      <c r="I834" s="4" t="s">
        <v>23</v>
      </c>
      <c r="J834" s="1" t="s">
        <v>1788</v>
      </c>
      <c r="K834" s="1" t="s">
        <v>1789</v>
      </c>
      <c r="L834" s="2">
        <v>45665</v>
      </c>
      <c r="M834" s="18" t="s">
        <v>6687</v>
      </c>
      <c r="T834" s="19"/>
      <c r="V834" s="4" t="s">
        <v>23</v>
      </c>
      <c r="W834" s="1" t="s">
        <v>26</v>
      </c>
    </row>
    <row r="835" spans="2:23" ht="11.25" hidden="1" customHeight="1" x14ac:dyDescent="0.25">
      <c r="B835" s="17" t="s">
        <v>1921</v>
      </c>
      <c r="C835" s="42" t="s">
        <v>1921</v>
      </c>
      <c r="D835" s="1" t="s">
        <v>20</v>
      </c>
      <c r="E835" s="1" t="s">
        <v>28</v>
      </c>
      <c r="H835" s="1" t="s">
        <v>1922</v>
      </c>
      <c r="I835" s="4" t="s">
        <v>23</v>
      </c>
      <c r="J835" s="1" t="s">
        <v>1788</v>
      </c>
      <c r="K835" s="1" t="s">
        <v>1789</v>
      </c>
      <c r="L835" s="2">
        <v>45665</v>
      </c>
      <c r="M835" s="18" t="s">
        <v>6687</v>
      </c>
      <c r="T835" s="19"/>
      <c r="V835" s="4" t="s">
        <v>23</v>
      </c>
      <c r="W835" s="1" t="s">
        <v>26</v>
      </c>
    </row>
    <row r="836" spans="2:23" ht="11.25" hidden="1" customHeight="1" x14ac:dyDescent="0.25">
      <c r="B836" s="17" t="s">
        <v>1923</v>
      </c>
      <c r="C836" s="42" t="s">
        <v>1923</v>
      </c>
      <c r="D836" s="1" t="s">
        <v>20</v>
      </c>
      <c r="E836" s="1" t="s">
        <v>21</v>
      </c>
      <c r="H836" s="1" t="s">
        <v>1924</v>
      </c>
      <c r="I836" s="4" t="s">
        <v>23</v>
      </c>
      <c r="J836" s="1" t="s">
        <v>1788</v>
      </c>
      <c r="K836" s="1" t="s">
        <v>1789</v>
      </c>
      <c r="L836" s="2">
        <v>45665</v>
      </c>
      <c r="M836" s="18" t="s">
        <v>6687</v>
      </c>
      <c r="P836" s="3">
        <v>45885</v>
      </c>
      <c r="Q836" s="19" t="s">
        <v>6687</v>
      </c>
      <c r="R836" s="3" t="s">
        <v>47</v>
      </c>
      <c r="S836" s="3" t="s">
        <v>1925</v>
      </c>
      <c r="T836" s="19"/>
      <c r="V836" s="4" t="s">
        <v>23</v>
      </c>
      <c r="W836" s="1" t="s">
        <v>26</v>
      </c>
    </row>
    <row r="837" spans="2:23" ht="11.25" hidden="1" customHeight="1" x14ac:dyDescent="0.25">
      <c r="B837" s="17" t="s">
        <v>1926</v>
      </c>
      <c r="C837" s="42" t="s">
        <v>1926</v>
      </c>
      <c r="D837" s="1" t="s">
        <v>20</v>
      </c>
      <c r="E837" s="1" t="s">
        <v>28</v>
      </c>
      <c r="H837" s="1" t="s">
        <v>1927</v>
      </c>
      <c r="I837" s="4" t="s">
        <v>23</v>
      </c>
      <c r="J837" s="1" t="s">
        <v>1788</v>
      </c>
      <c r="K837" s="1" t="s">
        <v>1789</v>
      </c>
      <c r="L837" s="2">
        <v>45665</v>
      </c>
      <c r="M837" s="18" t="s">
        <v>6687</v>
      </c>
      <c r="T837" s="19"/>
      <c r="V837" s="4" t="s">
        <v>23</v>
      </c>
      <c r="W837" s="1" t="s">
        <v>26</v>
      </c>
    </row>
    <row r="838" spans="2:23" ht="11.25" hidden="1" customHeight="1" x14ac:dyDescent="0.25">
      <c r="B838" s="17" t="s">
        <v>1928</v>
      </c>
      <c r="C838" s="42" t="s">
        <v>1928</v>
      </c>
      <c r="D838" s="1" t="s">
        <v>20</v>
      </c>
      <c r="E838" s="1" t="s">
        <v>28</v>
      </c>
      <c r="H838" s="1" t="s">
        <v>1929</v>
      </c>
      <c r="I838" s="4" t="s">
        <v>23</v>
      </c>
      <c r="J838" s="1" t="s">
        <v>1788</v>
      </c>
      <c r="K838" s="1" t="s">
        <v>1789</v>
      </c>
      <c r="L838" s="2">
        <v>45665</v>
      </c>
      <c r="M838" s="18" t="s">
        <v>6687</v>
      </c>
      <c r="T838" s="19"/>
      <c r="V838" s="4" t="s">
        <v>23</v>
      </c>
      <c r="W838" s="1" t="s">
        <v>26</v>
      </c>
    </row>
    <row r="839" spans="2:23" ht="11.25" hidden="1" customHeight="1" x14ac:dyDescent="0.25">
      <c r="B839" s="17" t="s">
        <v>1930</v>
      </c>
      <c r="C839" s="42" t="s">
        <v>1930</v>
      </c>
      <c r="D839" s="1" t="s">
        <v>20</v>
      </c>
      <c r="E839" s="1" t="s">
        <v>21</v>
      </c>
      <c r="H839" s="1" t="s">
        <v>1931</v>
      </c>
      <c r="I839" s="4" t="s">
        <v>23</v>
      </c>
      <c r="J839" s="1" t="s">
        <v>1788</v>
      </c>
      <c r="K839" s="1" t="s">
        <v>1789</v>
      </c>
      <c r="L839" s="2">
        <v>45665</v>
      </c>
      <c r="M839" s="18" t="s">
        <v>6687</v>
      </c>
      <c r="P839" s="3">
        <v>45861</v>
      </c>
      <c r="Q839" s="19" t="s">
        <v>6687</v>
      </c>
      <c r="R839" s="3" t="s">
        <v>47</v>
      </c>
      <c r="S839" s="3" t="s">
        <v>1932</v>
      </c>
      <c r="T839" s="19"/>
      <c r="V839" s="4" t="s">
        <v>23</v>
      </c>
      <c r="W839" s="1" t="s">
        <v>26</v>
      </c>
    </row>
    <row r="840" spans="2:23" ht="11.25" hidden="1" customHeight="1" x14ac:dyDescent="0.25">
      <c r="B840" s="17" t="s">
        <v>1933</v>
      </c>
      <c r="C840" s="42" t="s">
        <v>1933</v>
      </c>
      <c r="D840" s="1" t="s">
        <v>20</v>
      </c>
      <c r="E840" s="1" t="s">
        <v>28</v>
      </c>
      <c r="H840" s="1" t="s">
        <v>1934</v>
      </c>
      <c r="I840" s="4" t="s">
        <v>23</v>
      </c>
      <c r="J840" s="1" t="s">
        <v>1788</v>
      </c>
      <c r="K840" s="1" t="s">
        <v>1789</v>
      </c>
      <c r="L840" s="2">
        <v>45665</v>
      </c>
      <c r="M840" s="18" t="s">
        <v>6687</v>
      </c>
      <c r="T840" s="19"/>
      <c r="V840" s="4" t="s">
        <v>23</v>
      </c>
      <c r="W840" s="1" t="s">
        <v>26</v>
      </c>
    </row>
    <row r="841" spans="2:23" ht="11.25" hidden="1" customHeight="1" x14ac:dyDescent="0.25">
      <c r="B841" s="17" t="s">
        <v>1935</v>
      </c>
      <c r="C841" s="42" t="s">
        <v>1935</v>
      </c>
      <c r="D841" s="1" t="s">
        <v>20</v>
      </c>
      <c r="E841" s="1" t="s">
        <v>28</v>
      </c>
      <c r="H841" s="1" t="s">
        <v>1936</v>
      </c>
      <c r="I841" s="4" t="s">
        <v>23</v>
      </c>
      <c r="J841" s="1" t="s">
        <v>1788</v>
      </c>
      <c r="K841" s="1" t="s">
        <v>1789</v>
      </c>
      <c r="L841" s="2">
        <v>45665</v>
      </c>
      <c r="M841" s="18" t="s">
        <v>6687</v>
      </c>
      <c r="T841" s="19"/>
      <c r="V841" s="4" t="s">
        <v>23</v>
      </c>
      <c r="W841" s="1" t="s">
        <v>26</v>
      </c>
    </row>
    <row r="842" spans="2:23" ht="11.25" hidden="1" customHeight="1" x14ac:dyDescent="0.25">
      <c r="B842" s="17" t="s">
        <v>1937</v>
      </c>
      <c r="C842" s="42" t="s">
        <v>1937</v>
      </c>
      <c r="D842" s="1" t="s">
        <v>20</v>
      </c>
      <c r="E842" s="1" t="s">
        <v>28</v>
      </c>
      <c r="H842" s="1" t="s">
        <v>1938</v>
      </c>
      <c r="I842" s="4" t="s">
        <v>23</v>
      </c>
      <c r="J842" s="1" t="s">
        <v>1788</v>
      </c>
      <c r="K842" s="1" t="s">
        <v>1789</v>
      </c>
      <c r="L842" s="2">
        <v>45665</v>
      </c>
      <c r="M842" s="18" t="s">
        <v>6687</v>
      </c>
      <c r="T842" s="19"/>
      <c r="V842" s="4" t="s">
        <v>23</v>
      </c>
      <c r="W842" s="1" t="s">
        <v>26</v>
      </c>
    </row>
    <row r="843" spans="2:23" ht="11.25" hidden="1" customHeight="1" x14ac:dyDescent="0.25">
      <c r="B843" s="17" t="s">
        <v>1939</v>
      </c>
      <c r="C843" s="42" t="s">
        <v>1939</v>
      </c>
      <c r="D843" s="1" t="s">
        <v>20</v>
      </c>
      <c r="E843" s="1" t="s">
        <v>28</v>
      </c>
      <c r="H843" s="1" t="s">
        <v>1940</v>
      </c>
      <c r="I843" s="4" t="s">
        <v>23</v>
      </c>
      <c r="J843" s="1" t="s">
        <v>1788</v>
      </c>
      <c r="K843" s="1" t="s">
        <v>1789</v>
      </c>
      <c r="L843" s="2">
        <v>45665</v>
      </c>
      <c r="M843" s="18" t="s">
        <v>6687</v>
      </c>
      <c r="T843" s="19"/>
      <c r="V843" s="4" t="s">
        <v>23</v>
      </c>
      <c r="W843" s="1" t="s">
        <v>26</v>
      </c>
    </row>
    <row r="844" spans="2:23" ht="11.25" hidden="1" customHeight="1" x14ac:dyDescent="0.25">
      <c r="B844" s="17" t="s">
        <v>1941</v>
      </c>
      <c r="C844" s="42" t="s">
        <v>1941</v>
      </c>
      <c r="D844" s="1" t="s">
        <v>20</v>
      </c>
      <c r="E844" s="1" t="s">
        <v>21</v>
      </c>
      <c r="H844" s="1" t="s">
        <v>1942</v>
      </c>
      <c r="I844" s="4" t="s">
        <v>23</v>
      </c>
      <c r="J844" s="1" t="s">
        <v>1788</v>
      </c>
      <c r="K844" s="1" t="s">
        <v>1789</v>
      </c>
      <c r="L844" s="2">
        <v>45665</v>
      </c>
      <c r="M844" s="18" t="s">
        <v>6687</v>
      </c>
      <c r="P844" s="3">
        <v>45851</v>
      </c>
      <c r="Q844" s="19" t="s">
        <v>6687</v>
      </c>
      <c r="R844" s="3" t="s">
        <v>47</v>
      </c>
      <c r="T844" s="19"/>
      <c r="V844" s="4" t="s">
        <v>23</v>
      </c>
      <c r="W844" s="1" t="s">
        <v>26</v>
      </c>
    </row>
    <row r="845" spans="2:23" ht="11.25" hidden="1" customHeight="1" x14ac:dyDescent="0.25">
      <c r="B845" s="17" t="s">
        <v>1943</v>
      </c>
      <c r="C845" s="42" t="s">
        <v>1943</v>
      </c>
      <c r="D845" s="1" t="s">
        <v>20</v>
      </c>
      <c r="E845" s="1" t="s">
        <v>28</v>
      </c>
      <c r="H845" s="1" t="s">
        <v>1944</v>
      </c>
      <c r="I845" s="4" t="s">
        <v>23</v>
      </c>
      <c r="J845" s="1" t="s">
        <v>1788</v>
      </c>
      <c r="K845" s="1" t="s">
        <v>1789</v>
      </c>
      <c r="L845" s="2">
        <v>45665</v>
      </c>
      <c r="M845" s="18" t="s">
        <v>6687</v>
      </c>
      <c r="T845" s="19"/>
      <c r="V845" s="4" t="s">
        <v>23</v>
      </c>
      <c r="W845" s="1" t="s">
        <v>26</v>
      </c>
    </row>
    <row r="846" spans="2:23" ht="11.25" hidden="1" customHeight="1" x14ac:dyDescent="0.25">
      <c r="B846" s="17" t="s">
        <v>1945</v>
      </c>
      <c r="C846" s="42" t="s">
        <v>1945</v>
      </c>
      <c r="D846" s="1" t="s">
        <v>20</v>
      </c>
      <c r="E846" s="1" t="s">
        <v>21</v>
      </c>
      <c r="H846" s="1" t="s">
        <v>1946</v>
      </c>
      <c r="I846" s="4" t="s">
        <v>23</v>
      </c>
      <c r="J846" s="1" t="s">
        <v>1788</v>
      </c>
      <c r="K846" s="1" t="s">
        <v>1789</v>
      </c>
      <c r="L846" s="2">
        <v>45665</v>
      </c>
      <c r="M846" s="18" t="s">
        <v>6687</v>
      </c>
      <c r="P846" s="3">
        <v>45800</v>
      </c>
      <c r="Q846" s="19" t="s">
        <v>6687</v>
      </c>
      <c r="R846" s="3" t="s">
        <v>40</v>
      </c>
      <c r="T846" s="19"/>
      <c r="V846" s="4" t="s">
        <v>23</v>
      </c>
      <c r="W846" s="1" t="s">
        <v>26</v>
      </c>
    </row>
    <row r="847" spans="2:23" ht="11.25" hidden="1" customHeight="1" x14ac:dyDescent="0.25">
      <c r="B847" s="17" t="s">
        <v>1947</v>
      </c>
      <c r="C847" s="42" t="s">
        <v>1947</v>
      </c>
      <c r="D847" s="1" t="s">
        <v>20</v>
      </c>
      <c r="E847" s="1" t="s">
        <v>28</v>
      </c>
      <c r="H847" s="1" t="s">
        <v>1948</v>
      </c>
      <c r="I847" s="4" t="s">
        <v>23</v>
      </c>
      <c r="J847" s="1" t="s">
        <v>1788</v>
      </c>
      <c r="K847" s="1" t="s">
        <v>1789</v>
      </c>
      <c r="L847" s="2">
        <v>45665</v>
      </c>
      <c r="M847" s="18" t="s">
        <v>6687</v>
      </c>
      <c r="T847" s="19"/>
      <c r="V847" s="4" t="s">
        <v>23</v>
      </c>
      <c r="W847" s="1" t="s">
        <v>26</v>
      </c>
    </row>
    <row r="848" spans="2:23" ht="11.25" hidden="1" customHeight="1" x14ac:dyDescent="0.25">
      <c r="B848" s="17" t="s">
        <v>1949</v>
      </c>
      <c r="C848" s="42" t="s">
        <v>1949</v>
      </c>
      <c r="D848" s="1" t="s">
        <v>20</v>
      </c>
      <c r="E848" s="1" t="s">
        <v>28</v>
      </c>
      <c r="H848" s="1" t="s">
        <v>1950</v>
      </c>
      <c r="I848" s="4" t="s">
        <v>23</v>
      </c>
      <c r="J848" s="1" t="s">
        <v>1788</v>
      </c>
      <c r="K848" s="1" t="s">
        <v>1789</v>
      </c>
      <c r="L848" s="2">
        <v>45665</v>
      </c>
      <c r="M848" s="18" t="s">
        <v>6687</v>
      </c>
      <c r="T848" s="19"/>
      <c r="V848" s="4" t="s">
        <v>23</v>
      </c>
      <c r="W848" s="1" t="s">
        <v>26</v>
      </c>
    </row>
    <row r="849" spans="2:23" ht="11.25" hidden="1" customHeight="1" x14ac:dyDescent="0.25">
      <c r="B849" s="17" t="s">
        <v>1951</v>
      </c>
      <c r="C849" s="42" t="s">
        <v>1951</v>
      </c>
      <c r="D849" s="1" t="s">
        <v>20</v>
      </c>
      <c r="E849" s="1" t="s">
        <v>28</v>
      </c>
      <c r="H849" s="1" t="s">
        <v>1952</v>
      </c>
      <c r="I849" s="4" t="s">
        <v>23</v>
      </c>
      <c r="J849" s="1" t="s">
        <v>1788</v>
      </c>
      <c r="K849" s="1" t="s">
        <v>1789</v>
      </c>
      <c r="L849" s="2">
        <v>45665</v>
      </c>
      <c r="M849" s="18" t="s">
        <v>6687</v>
      </c>
      <c r="T849" s="19"/>
      <c r="V849" s="4" t="s">
        <v>23</v>
      </c>
      <c r="W849" s="1" t="s">
        <v>26</v>
      </c>
    </row>
    <row r="850" spans="2:23" ht="11.25" hidden="1" customHeight="1" x14ac:dyDescent="0.25">
      <c r="B850" s="17" t="s">
        <v>1953</v>
      </c>
      <c r="C850" s="42" t="s">
        <v>1953</v>
      </c>
      <c r="D850" s="1" t="s">
        <v>20</v>
      </c>
      <c r="E850" s="1" t="s">
        <v>21</v>
      </c>
      <c r="H850" s="1" t="s">
        <v>1954</v>
      </c>
      <c r="I850" s="4" t="s">
        <v>23</v>
      </c>
      <c r="J850" s="1" t="s">
        <v>1788</v>
      </c>
      <c r="K850" s="1" t="s">
        <v>1789</v>
      </c>
      <c r="L850" s="2">
        <v>45665</v>
      </c>
      <c r="M850" s="18" t="s">
        <v>6687</v>
      </c>
      <c r="P850" s="3">
        <v>45873</v>
      </c>
      <c r="Q850" s="19" t="s">
        <v>6687</v>
      </c>
      <c r="R850" s="3" t="s">
        <v>47</v>
      </c>
      <c r="S850" s="3" t="s">
        <v>1955</v>
      </c>
      <c r="T850" s="19"/>
      <c r="V850" s="4" t="s">
        <v>23</v>
      </c>
      <c r="W850" s="1" t="s">
        <v>26</v>
      </c>
    </row>
    <row r="851" spans="2:23" ht="11.25" hidden="1" customHeight="1" x14ac:dyDescent="0.25">
      <c r="B851" s="17" t="s">
        <v>1956</v>
      </c>
      <c r="C851" s="42" t="s">
        <v>1956</v>
      </c>
      <c r="D851" s="1" t="s">
        <v>20</v>
      </c>
      <c r="E851" s="1" t="s">
        <v>28</v>
      </c>
      <c r="H851" s="1" t="s">
        <v>1957</v>
      </c>
      <c r="I851" s="4" t="s">
        <v>23</v>
      </c>
      <c r="J851" s="1" t="s">
        <v>1788</v>
      </c>
      <c r="K851" s="1" t="s">
        <v>1789</v>
      </c>
      <c r="L851" s="2">
        <v>45665</v>
      </c>
      <c r="M851" s="18" t="s">
        <v>6687</v>
      </c>
      <c r="T851" s="19"/>
      <c r="V851" s="4" t="s">
        <v>23</v>
      </c>
      <c r="W851" s="1" t="s">
        <v>26</v>
      </c>
    </row>
    <row r="852" spans="2:23" ht="11.25" hidden="1" customHeight="1" x14ac:dyDescent="0.25">
      <c r="B852" s="17" t="s">
        <v>1958</v>
      </c>
      <c r="C852" s="42" t="s">
        <v>1958</v>
      </c>
      <c r="D852" s="1" t="s">
        <v>20</v>
      </c>
      <c r="E852" s="1" t="s">
        <v>28</v>
      </c>
      <c r="H852" s="1" t="s">
        <v>1959</v>
      </c>
      <c r="I852" s="4" t="s">
        <v>23</v>
      </c>
      <c r="J852" s="1" t="s">
        <v>1788</v>
      </c>
      <c r="K852" s="1" t="s">
        <v>1789</v>
      </c>
      <c r="L852" s="2">
        <v>45665</v>
      </c>
      <c r="M852" s="18" t="s">
        <v>6687</v>
      </c>
      <c r="T852" s="19"/>
      <c r="V852" s="4" t="s">
        <v>23</v>
      </c>
      <c r="W852" s="1" t="s">
        <v>26</v>
      </c>
    </row>
    <row r="853" spans="2:23" ht="11.25" hidden="1" customHeight="1" x14ac:dyDescent="0.25">
      <c r="B853" s="17" t="s">
        <v>1960</v>
      </c>
      <c r="C853" s="42" t="s">
        <v>1960</v>
      </c>
      <c r="D853" s="1" t="s">
        <v>20</v>
      </c>
      <c r="E853" s="1" t="s">
        <v>21</v>
      </c>
      <c r="H853" s="1" t="s">
        <v>1961</v>
      </c>
      <c r="I853" s="4" t="s">
        <v>23</v>
      </c>
      <c r="J853" s="1" t="s">
        <v>1788</v>
      </c>
      <c r="K853" s="1" t="s">
        <v>1789</v>
      </c>
      <c r="L853" s="2">
        <v>45665</v>
      </c>
      <c r="M853" s="18" t="s">
        <v>6687</v>
      </c>
      <c r="P853" s="3">
        <v>45861</v>
      </c>
      <c r="Q853" s="19" t="s">
        <v>6687</v>
      </c>
      <c r="R853" s="3" t="s">
        <v>47</v>
      </c>
      <c r="S853" s="3" t="s">
        <v>1962</v>
      </c>
      <c r="T853" s="19"/>
      <c r="V853" s="4" t="s">
        <v>23</v>
      </c>
      <c r="W853" s="1" t="s">
        <v>26</v>
      </c>
    </row>
    <row r="854" spans="2:23" ht="11.25" hidden="1" customHeight="1" x14ac:dyDescent="0.25">
      <c r="B854" s="17" t="s">
        <v>1963</v>
      </c>
      <c r="C854" s="42" t="s">
        <v>1963</v>
      </c>
      <c r="D854" s="1" t="s">
        <v>20</v>
      </c>
      <c r="E854" s="1" t="s">
        <v>28</v>
      </c>
      <c r="H854" s="1" t="s">
        <v>1964</v>
      </c>
      <c r="I854" s="4" t="s">
        <v>140</v>
      </c>
      <c r="J854" s="1" t="s">
        <v>1788</v>
      </c>
      <c r="K854" s="1" t="s">
        <v>1789</v>
      </c>
      <c r="L854" s="2">
        <v>45665</v>
      </c>
      <c r="M854" s="18" t="s">
        <v>6687</v>
      </c>
      <c r="T854" s="19"/>
      <c r="V854" s="4" t="s">
        <v>140</v>
      </c>
      <c r="W854" s="1" t="s">
        <v>107</v>
      </c>
    </row>
    <row r="855" spans="2:23" ht="11.25" hidden="1" customHeight="1" x14ac:dyDescent="0.25">
      <c r="B855" s="17" t="s">
        <v>1965</v>
      </c>
      <c r="C855" s="42" t="s">
        <v>1965</v>
      </c>
      <c r="D855" s="1" t="s">
        <v>20</v>
      </c>
      <c r="E855" s="1" t="s">
        <v>21</v>
      </c>
      <c r="H855" s="1" t="s">
        <v>1966</v>
      </c>
      <c r="I855" s="4" t="s">
        <v>140</v>
      </c>
      <c r="J855" s="1" t="s">
        <v>1788</v>
      </c>
      <c r="K855" s="1" t="s">
        <v>1789</v>
      </c>
      <c r="L855" s="2">
        <v>45665</v>
      </c>
      <c r="M855" s="18" t="s">
        <v>6687</v>
      </c>
      <c r="P855" s="3">
        <v>46081</v>
      </c>
      <c r="Q855" s="19" t="s">
        <v>6687</v>
      </c>
      <c r="T855" s="19"/>
      <c r="V855" s="4" t="s">
        <v>140</v>
      </c>
      <c r="W855" s="1" t="s">
        <v>107</v>
      </c>
    </row>
    <row r="856" spans="2:23" ht="11.25" hidden="1" customHeight="1" x14ac:dyDescent="0.25">
      <c r="B856" s="17" t="s">
        <v>1967</v>
      </c>
      <c r="C856" s="42" t="s">
        <v>1967</v>
      </c>
      <c r="D856" s="1" t="s">
        <v>20</v>
      </c>
      <c r="E856" s="1" t="s">
        <v>28</v>
      </c>
      <c r="H856" s="1" t="s">
        <v>1968</v>
      </c>
      <c r="I856" s="4" t="s">
        <v>1969</v>
      </c>
      <c r="J856" s="1" t="s">
        <v>1788</v>
      </c>
      <c r="K856" s="1" t="s">
        <v>1789</v>
      </c>
      <c r="L856" s="2">
        <v>45665</v>
      </c>
      <c r="M856" s="18" t="s">
        <v>6687</v>
      </c>
      <c r="T856" s="19"/>
      <c r="V856" s="4" t="s">
        <v>1969</v>
      </c>
      <c r="W856" s="1" t="s">
        <v>107</v>
      </c>
    </row>
    <row r="857" spans="2:23" ht="11.25" hidden="1" customHeight="1" x14ac:dyDescent="0.25">
      <c r="B857" s="17" t="s">
        <v>1970</v>
      </c>
      <c r="C857" s="42" t="s">
        <v>1970</v>
      </c>
      <c r="D857" s="17" t="s">
        <v>348</v>
      </c>
      <c r="E857" s="1" t="s">
        <v>28</v>
      </c>
      <c r="H857" s="1" t="s">
        <v>1971</v>
      </c>
      <c r="I857" s="4" t="s">
        <v>471</v>
      </c>
      <c r="J857" s="1" t="s">
        <v>1788</v>
      </c>
      <c r="K857" s="1" t="s">
        <v>1789</v>
      </c>
      <c r="L857" s="2">
        <v>45665</v>
      </c>
      <c r="M857" s="18" t="s">
        <v>6687</v>
      </c>
      <c r="T857" s="19"/>
      <c r="V857" s="4" t="s">
        <v>471</v>
      </c>
      <c r="W857" s="17" t="s">
        <v>472</v>
      </c>
    </row>
    <row r="858" spans="2:23" ht="11.25" hidden="1" customHeight="1" x14ac:dyDescent="0.25">
      <c r="B858" s="17" t="s">
        <v>1972</v>
      </c>
      <c r="C858" s="42" t="s">
        <v>1972</v>
      </c>
      <c r="D858" s="17" t="s">
        <v>348</v>
      </c>
      <c r="E858" s="1" t="s">
        <v>28</v>
      </c>
      <c r="H858" s="1" t="s">
        <v>1973</v>
      </c>
      <c r="I858" s="4" t="s">
        <v>494</v>
      </c>
      <c r="J858" s="1" t="s">
        <v>1788</v>
      </c>
      <c r="K858" s="1" t="s">
        <v>1789</v>
      </c>
      <c r="L858" s="2">
        <v>45665</v>
      </c>
      <c r="M858" s="18" t="s">
        <v>6687</v>
      </c>
      <c r="T858" s="19"/>
      <c r="V858" s="4" t="s">
        <v>494</v>
      </c>
      <c r="W858" s="17" t="s">
        <v>472</v>
      </c>
    </row>
    <row r="859" spans="2:23" ht="11.25" hidden="1" customHeight="1" x14ac:dyDescent="0.25">
      <c r="B859" s="17" t="s">
        <v>1974</v>
      </c>
      <c r="C859" s="42" t="s">
        <v>1974</v>
      </c>
      <c r="D859" s="17" t="s">
        <v>348</v>
      </c>
      <c r="E859" s="1" t="s">
        <v>28</v>
      </c>
      <c r="H859" s="1" t="s">
        <v>1975</v>
      </c>
      <c r="I859" s="4" t="s">
        <v>497</v>
      </c>
      <c r="J859" s="1" t="s">
        <v>1788</v>
      </c>
      <c r="K859" s="1" t="s">
        <v>1789</v>
      </c>
      <c r="L859" s="2">
        <v>45665</v>
      </c>
      <c r="M859" s="18" t="s">
        <v>6687</v>
      </c>
      <c r="T859" s="19"/>
      <c r="V859" s="4" t="s">
        <v>497</v>
      </c>
      <c r="W859" s="17" t="s">
        <v>472</v>
      </c>
    </row>
    <row r="860" spans="2:23" ht="11.25" hidden="1" customHeight="1" x14ac:dyDescent="0.25">
      <c r="B860" s="17" t="s">
        <v>1976</v>
      </c>
      <c r="C860" s="42" t="s">
        <v>1976</v>
      </c>
      <c r="D860" s="17" t="s">
        <v>348</v>
      </c>
      <c r="E860" s="1" t="s">
        <v>28</v>
      </c>
      <c r="H860" s="1" t="s">
        <v>1977</v>
      </c>
      <c r="I860" s="4" t="s">
        <v>836</v>
      </c>
      <c r="J860" s="1" t="s">
        <v>1788</v>
      </c>
      <c r="K860" s="1" t="s">
        <v>1789</v>
      </c>
      <c r="L860" s="2">
        <v>45665</v>
      </c>
      <c r="M860" s="18" t="s">
        <v>6687</v>
      </c>
      <c r="T860" s="19"/>
      <c r="V860" s="4" t="s">
        <v>836</v>
      </c>
      <c r="W860" s="17" t="s">
        <v>472</v>
      </c>
    </row>
    <row r="861" spans="2:23" ht="11.25" hidden="1" customHeight="1" x14ac:dyDescent="0.25">
      <c r="B861" s="17" t="s">
        <v>1978</v>
      </c>
      <c r="C861" s="42" t="s">
        <v>1978</v>
      </c>
      <c r="D861" s="17" t="s">
        <v>348</v>
      </c>
      <c r="E861" s="1" t="s">
        <v>21</v>
      </c>
      <c r="H861" s="1" t="s">
        <v>1979</v>
      </c>
      <c r="I861" s="4" t="s">
        <v>836</v>
      </c>
      <c r="J861" s="1" t="s">
        <v>1788</v>
      </c>
      <c r="K861" s="1" t="s">
        <v>1789</v>
      </c>
      <c r="L861" s="2">
        <v>45665</v>
      </c>
      <c r="M861" s="18" t="s">
        <v>6687</v>
      </c>
      <c r="P861" s="3">
        <v>45921</v>
      </c>
      <c r="Q861" s="19" t="s">
        <v>6687</v>
      </c>
      <c r="R861" s="3" t="s">
        <v>40</v>
      </c>
      <c r="T861" s="19"/>
      <c r="V861" s="4" t="s">
        <v>836</v>
      </c>
      <c r="W861" s="17" t="s">
        <v>472</v>
      </c>
    </row>
    <row r="862" spans="2:23" ht="11.25" hidden="1" customHeight="1" x14ac:dyDescent="0.25">
      <c r="B862" s="17" t="s">
        <v>1980</v>
      </c>
      <c r="C862" s="42" t="s">
        <v>1980</v>
      </c>
      <c r="D862" s="17" t="s">
        <v>348</v>
      </c>
      <c r="E862" s="1" t="s">
        <v>28</v>
      </c>
      <c r="H862" s="1" t="s">
        <v>1981</v>
      </c>
      <c r="I862" s="4" t="s">
        <v>1982</v>
      </c>
      <c r="J862" s="1" t="s">
        <v>1788</v>
      </c>
      <c r="K862" s="1" t="s">
        <v>1789</v>
      </c>
      <c r="L862" s="2">
        <v>45665</v>
      </c>
      <c r="M862" s="18" t="s">
        <v>6687</v>
      </c>
      <c r="T862" s="19"/>
      <c r="V862" s="4" t="s">
        <v>1982</v>
      </c>
      <c r="W862" s="17" t="s">
        <v>472</v>
      </c>
    </row>
    <row r="863" spans="2:23" ht="11.25" hidden="1" customHeight="1" x14ac:dyDescent="0.25">
      <c r="B863" s="17" t="s">
        <v>1983</v>
      </c>
      <c r="C863" s="42" t="s">
        <v>1983</v>
      </c>
      <c r="D863" s="17" t="s">
        <v>348</v>
      </c>
      <c r="E863" s="1" t="s">
        <v>28</v>
      </c>
      <c r="H863" s="1" t="s">
        <v>1984</v>
      </c>
      <c r="I863" s="4" t="s">
        <v>1982</v>
      </c>
      <c r="J863" s="1" t="s">
        <v>1788</v>
      </c>
      <c r="K863" s="1" t="s">
        <v>1789</v>
      </c>
      <c r="L863" s="2">
        <v>45665</v>
      </c>
      <c r="M863" s="18" t="s">
        <v>6687</v>
      </c>
      <c r="T863" s="19"/>
      <c r="V863" s="4" t="s">
        <v>1982</v>
      </c>
      <c r="W863" s="17" t="s">
        <v>472</v>
      </c>
    </row>
    <row r="864" spans="2:23" ht="11.25" hidden="1" customHeight="1" x14ac:dyDescent="0.25">
      <c r="B864" s="17" t="s">
        <v>1985</v>
      </c>
      <c r="C864" s="42" t="s">
        <v>1985</v>
      </c>
      <c r="D864" s="17" t="s">
        <v>348</v>
      </c>
      <c r="E864" s="1" t="s">
        <v>28</v>
      </c>
      <c r="H864" s="1" t="s">
        <v>1986</v>
      </c>
      <c r="I864" s="4" t="s">
        <v>1982</v>
      </c>
      <c r="J864" s="1" t="s">
        <v>1788</v>
      </c>
      <c r="K864" s="1" t="s">
        <v>1789</v>
      </c>
      <c r="L864" s="2">
        <v>45665</v>
      </c>
      <c r="M864" s="18" t="s">
        <v>6687</v>
      </c>
      <c r="T864" s="19"/>
      <c r="V864" s="4" t="s">
        <v>1982</v>
      </c>
      <c r="W864" s="17" t="s">
        <v>472</v>
      </c>
    </row>
    <row r="865" spans="2:23" ht="11.25" hidden="1" customHeight="1" x14ac:dyDescent="0.25">
      <c r="B865" s="17" t="s">
        <v>1515</v>
      </c>
      <c r="C865" s="17" t="s">
        <v>1515</v>
      </c>
      <c r="D865" s="1" t="s">
        <v>20</v>
      </c>
      <c r="E865" s="1" t="s">
        <v>21</v>
      </c>
      <c r="H865" s="1" t="s">
        <v>1987</v>
      </c>
      <c r="I865" s="1" t="s">
        <v>106</v>
      </c>
      <c r="J865" s="1" t="s">
        <v>722</v>
      </c>
      <c r="K865" s="1" t="s">
        <v>1988</v>
      </c>
      <c r="L865" s="2">
        <v>45700</v>
      </c>
      <c r="M865" s="18" t="s">
        <v>6687</v>
      </c>
      <c r="P865" s="2">
        <v>45839</v>
      </c>
      <c r="Q865" s="19" t="s">
        <v>6687</v>
      </c>
      <c r="R865" s="3" t="s">
        <v>40</v>
      </c>
      <c r="T865" s="3" t="s">
        <v>1513</v>
      </c>
      <c r="V865" s="4" t="s">
        <v>106</v>
      </c>
      <c r="W865" s="1" t="s">
        <v>107</v>
      </c>
    </row>
    <row r="866" spans="2:23" ht="11.25" hidden="1" customHeight="1" x14ac:dyDescent="0.25">
      <c r="B866" s="17" t="s">
        <v>1569</v>
      </c>
      <c r="C866" s="17" t="s">
        <v>1569</v>
      </c>
      <c r="D866" s="1" t="s">
        <v>20</v>
      </c>
      <c r="E866" s="1" t="s">
        <v>21</v>
      </c>
      <c r="H866" s="1" t="s">
        <v>1989</v>
      </c>
      <c r="I866" s="1" t="s">
        <v>385</v>
      </c>
      <c r="J866" s="1" t="s">
        <v>124</v>
      </c>
      <c r="K866" s="1" t="s">
        <v>902</v>
      </c>
      <c r="L866" s="2">
        <v>45702</v>
      </c>
      <c r="M866" s="18" t="s">
        <v>6687</v>
      </c>
      <c r="P866" s="3">
        <v>45981</v>
      </c>
      <c r="Q866" s="19" t="s">
        <v>6687</v>
      </c>
      <c r="R866" s="3" t="s">
        <v>47</v>
      </c>
      <c r="S866" s="3" t="s">
        <v>1990</v>
      </c>
      <c r="T866" s="17" t="s">
        <v>1567</v>
      </c>
      <c r="V866" s="4" t="s">
        <v>385</v>
      </c>
      <c r="W866" s="1" t="s">
        <v>107</v>
      </c>
    </row>
    <row r="867" spans="2:23" ht="11.25" hidden="1" customHeight="1" x14ac:dyDescent="0.25">
      <c r="B867" s="17" t="s">
        <v>1231</v>
      </c>
      <c r="C867" s="17" t="s">
        <v>1231</v>
      </c>
      <c r="D867" s="1" t="s">
        <v>20</v>
      </c>
      <c r="E867" s="1" t="s">
        <v>28</v>
      </c>
      <c r="H867" s="1" t="s">
        <v>1991</v>
      </c>
      <c r="I867" s="1" t="s">
        <v>23</v>
      </c>
      <c r="J867" s="1" t="s">
        <v>1063</v>
      </c>
      <c r="K867" s="1" t="s">
        <v>1064</v>
      </c>
      <c r="L867" s="2">
        <v>45693</v>
      </c>
      <c r="M867" s="18" t="s">
        <v>6687</v>
      </c>
      <c r="T867" s="3" t="s">
        <v>1229</v>
      </c>
      <c r="V867" s="4" t="s">
        <v>23</v>
      </c>
      <c r="W867" s="1" t="s">
        <v>26</v>
      </c>
    </row>
    <row r="868" spans="2:23" ht="11.25" hidden="1" customHeight="1" x14ac:dyDescent="0.25">
      <c r="B868" s="17" t="s">
        <v>1107</v>
      </c>
      <c r="C868" s="17" t="s">
        <v>1107</v>
      </c>
      <c r="D868" s="1" t="s">
        <v>20</v>
      </c>
      <c r="E868" s="1" t="s">
        <v>28</v>
      </c>
      <c r="H868" s="1" t="s">
        <v>1992</v>
      </c>
      <c r="I868" s="1" t="s">
        <v>23</v>
      </c>
      <c r="J868" s="1" t="s">
        <v>1777</v>
      </c>
      <c r="K868" s="1" t="s">
        <v>1778</v>
      </c>
      <c r="L868" s="2">
        <v>45689</v>
      </c>
      <c r="M868" s="18" t="s">
        <v>6687</v>
      </c>
      <c r="T868" s="3" t="s">
        <v>1105</v>
      </c>
      <c r="V868" s="4" t="s">
        <v>23</v>
      </c>
      <c r="W868" s="1" t="s">
        <v>26</v>
      </c>
    </row>
    <row r="869" spans="2:23" ht="11.25" hidden="1" customHeight="1" x14ac:dyDescent="0.25">
      <c r="B869" s="17" t="s">
        <v>458</v>
      </c>
      <c r="C869" s="17" t="s">
        <v>458</v>
      </c>
      <c r="D869" s="17" t="s">
        <v>348</v>
      </c>
      <c r="E869" s="1" t="s">
        <v>21</v>
      </c>
      <c r="H869" s="1" t="s">
        <v>1993</v>
      </c>
      <c r="I869" s="1" t="s">
        <v>350</v>
      </c>
      <c r="J869" s="1" t="s">
        <v>1056</v>
      </c>
      <c r="K869" s="1" t="s">
        <v>1057</v>
      </c>
      <c r="L869" s="2">
        <v>45708</v>
      </c>
      <c r="M869" s="18" t="s">
        <v>6687</v>
      </c>
      <c r="P869" s="2">
        <v>45801</v>
      </c>
      <c r="Q869" s="19" t="s">
        <v>6687</v>
      </c>
      <c r="R869" s="3" t="s">
        <v>47</v>
      </c>
      <c r="S869" s="3" t="s">
        <v>456</v>
      </c>
      <c r="T869" s="3" t="s">
        <v>456</v>
      </c>
      <c r="V869" s="4" t="s">
        <v>350</v>
      </c>
      <c r="W869" s="17" t="s">
        <v>351</v>
      </c>
    </row>
    <row r="870" spans="2:23" ht="11.25" hidden="1" customHeight="1" x14ac:dyDescent="0.25">
      <c r="B870" s="17" t="s">
        <v>1557</v>
      </c>
      <c r="C870" s="17" t="s">
        <v>1557</v>
      </c>
      <c r="D870" s="17" t="s">
        <v>348</v>
      </c>
      <c r="E870" s="1" t="s">
        <v>28</v>
      </c>
      <c r="H870" s="1" t="s">
        <v>1994</v>
      </c>
      <c r="I870" s="1" t="s">
        <v>350</v>
      </c>
      <c r="J870" s="1" t="s">
        <v>1399</v>
      </c>
      <c r="K870" s="1" t="s">
        <v>1400</v>
      </c>
      <c r="L870" s="2">
        <v>45733</v>
      </c>
      <c r="M870" s="18" t="s">
        <v>6687</v>
      </c>
      <c r="T870" s="3" t="s">
        <v>739</v>
      </c>
      <c r="V870" s="4" t="s">
        <v>350</v>
      </c>
      <c r="W870" s="17" t="s">
        <v>351</v>
      </c>
    </row>
    <row r="871" spans="2:23" ht="11.25" hidden="1" customHeight="1" x14ac:dyDescent="0.25">
      <c r="B871" s="17" t="s">
        <v>1995</v>
      </c>
      <c r="C871" s="17" t="s">
        <v>1995</v>
      </c>
      <c r="D871" s="1" t="s">
        <v>20</v>
      </c>
      <c r="E871" s="1" t="s">
        <v>21</v>
      </c>
      <c r="H871" s="1" t="s">
        <v>1996</v>
      </c>
      <c r="I871" s="1" t="s">
        <v>23</v>
      </c>
      <c r="J871" s="1" t="s">
        <v>1737</v>
      </c>
      <c r="K871" s="1" t="s">
        <v>1738</v>
      </c>
      <c r="M871" s="18" t="s">
        <v>6687</v>
      </c>
      <c r="V871" s="4" t="s">
        <v>23</v>
      </c>
      <c r="W871" s="1" t="s">
        <v>26</v>
      </c>
    </row>
    <row r="872" spans="2:23" ht="11.25" hidden="1" customHeight="1" x14ac:dyDescent="0.25">
      <c r="B872" s="17" t="s">
        <v>1997</v>
      </c>
      <c r="C872" s="17" t="s">
        <v>1997</v>
      </c>
      <c r="D872" s="1" t="s">
        <v>20</v>
      </c>
      <c r="E872" s="1" t="s">
        <v>28</v>
      </c>
      <c r="H872" s="1" t="s">
        <v>1998</v>
      </c>
      <c r="I872" s="1" t="s">
        <v>23</v>
      </c>
      <c r="J872" s="1" t="s">
        <v>1239</v>
      </c>
      <c r="K872" s="1" t="s">
        <v>1240</v>
      </c>
      <c r="M872" s="18" t="s">
        <v>6687</v>
      </c>
      <c r="V872" s="4" t="s">
        <v>23</v>
      </c>
      <c r="W872" s="1" t="s">
        <v>26</v>
      </c>
    </row>
    <row r="873" spans="2:23" ht="11.25" hidden="1" customHeight="1" x14ac:dyDescent="0.25">
      <c r="B873" s="17" t="s">
        <v>1999</v>
      </c>
      <c r="C873" s="17" t="s">
        <v>1999</v>
      </c>
      <c r="D873" s="1" t="s">
        <v>20</v>
      </c>
      <c r="E873" s="1" t="s">
        <v>2000</v>
      </c>
      <c r="H873" s="1" t="s">
        <v>2001</v>
      </c>
      <c r="I873" s="1" t="s">
        <v>23</v>
      </c>
      <c r="J873" s="1" t="s">
        <v>1239</v>
      </c>
      <c r="K873" s="1" t="s">
        <v>1240</v>
      </c>
      <c r="L873" s="2">
        <v>44896</v>
      </c>
      <c r="M873" s="18" t="s">
        <v>6687</v>
      </c>
      <c r="V873" s="4" t="s">
        <v>23</v>
      </c>
      <c r="W873" s="1" t="s">
        <v>26</v>
      </c>
    </row>
    <row r="874" spans="2:23" ht="11.25" hidden="1" customHeight="1" x14ac:dyDescent="0.25">
      <c r="B874" s="17" t="s">
        <v>2002</v>
      </c>
      <c r="C874" s="17" t="s">
        <v>2002</v>
      </c>
      <c r="D874" s="1" t="s">
        <v>20</v>
      </c>
      <c r="E874" s="1" t="s">
        <v>28</v>
      </c>
      <c r="H874" s="1" t="s">
        <v>2003</v>
      </c>
      <c r="I874" s="1" t="s">
        <v>23</v>
      </c>
      <c r="J874" s="1" t="s">
        <v>1533</v>
      </c>
      <c r="K874" s="1" t="s">
        <v>1532</v>
      </c>
      <c r="L874" s="2">
        <v>45745</v>
      </c>
      <c r="M874" s="18" t="s">
        <v>6687</v>
      </c>
      <c r="V874" s="4" t="s">
        <v>23</v>
      </c>
      <c r="W874" s="1" t="s">
        <v>26</v>
      </c>
    </row>
    <row r="875" spans="2:23" ht="11.25" hidden="1" customHeight="1" x14ac:dyDescent="0.25">
      <c r="B875" s="17" t="s">
        <v>2004</v>
      </c>
      <c r="C875" s="17" t="s">
        <v>2004</v>
      </c>
      <c r="D875" s="1" t="s">
        <v>20</v>
      </c>
      <c r="E875" s="1" t="s">
        <v>21</v>
      </c>
      <c r="H875" s="1" t="s">
        <v>2005</v>
      </c>
      <c r="I875" s="1" t="s">
        <v>23</v>
      </c>
      <c r="J875" s="1" t="s">
        <v>1172</v>
      </c>
      <c r="K875" s="1" t="s">
        <v>2006</v>
      </c>
      <c r="L875" s="2">
        <v>44984</v>
      </c>
      <c r="M875" s="18" t="s">
        <v>6687</v>
      </c>
      <c r="P875" s="3">
        <v>46023</v>
      </c>
      <c r="Q875" s="19" t="s">
        <v>6687</v>
      </c>
      <c r="V875" s="4" t="s">
        <v>23</v>
      </c>
      <c r="W875" s="1" t="s">
        <v>26</v>
      </c>
    </row>
    <row r="876" spans="2:23" ht="11.25" hidden="1" customHeight="1" x14ac:dyDescent="0.25">
      <c r="B876" s="17" t="s">
        <v>1038</v>
      </c>
      <c r="C876" s="17" t="s">
        <v>1038</v>
      </c>
      <c r="D876" s="1" t="s">
        <v>20</v>
      </c>
      <c r="E876" s="1" t="s">
        <v>21</v>
      </c>
      <c r="H876" s="1" t="s">
        <v>2007</v>
      </c>
      <c r="I876" s="1" t="s">
        <v>1036</v>
      </c>
      <c r="J876" s="1" t="s">
        <v>722</v>
      </c>
      <c r="K876" s="1" t="s">
        <v>1988</v>
      </c>
      <c r="L876" s="2">
        <v>45734</v>
      </c>
      <c r="M876" s="18" t="s">
        <v>6687</v>
      </c>
      <c r="P876" s="3">
        <v>46025</v>
      </c>
      <c r="Q876" s="19" t="s">
        <v>6687</v>
      </c>
      <c r="R876" s="3" t="s">
        <v>1794</v>
      </c>
      <c r="S876" s="3" t="s">
        <v>2008</v>
      </c>
      <c r="T876" s="3" t="s">
        <v>1034</v>
      </c>
      <c r="V876" s="4" t="s">
        <v>1036</v>
      </c>
      <c r="W876" s="1" t="s">
        <v>107</v>
      </c>
    </row>
    <row r="877" spans="2:23" ht="11.25" hidden="1" customHeight="1" x14ac:dyDescent="0.25">
      <c r="B877" s="17" t="s">
        <v>2009</v>
      </c>
      <c r="C877" s="17" t="s">
        <v>2009</v>
      </c>
      <c r="D877" s="1" t="s">
        <v>20</v>
      </c>
      <c r="E877" s="1" t="s">
        <v>28</v>
      </c>
      <c r="H877" s="1" t="s">
        <v>2010</v>
      </c>
      <c r="I877" s="1" t="s">
        <v>23</v>
      </c>
      <c r="J877" s="1" t="s">
        <v>1239</v>
      </c>
      <c r="K877" s="1" t="s">
        <v>1240</v>
      </c>
      <c r="M877" s="18" t="s">
        <v>6687</v>
      </c>
      <c r="V877" s="4" t="s">
        <v>23</v>
      </c>
      <c r="W877" s="1" t="s">
        <v>26</v>
      </c>
    </row>
    <row r="878" spans="2:23" ht="11.25" hidden="1" customHeight="1" x14ac:dyDescent="0.25">
      <c r="B878" s="17" t="s">
        <v>2011</v>
      </c>
      <c r="C878" s="17" t="s">
        <v>2011</v>
      </c>
      <c r="D878" s="1" t="s">
        <v>348</v>
      </c>
      <c r="E878" s="1" t="s">
        <v>28</v>
      </c>
      <c r="H878" s="1" t="s">
        <v>2012</v>
      </c>
      <c r="I878" s="1" t="s">
        <v>350</v>
      </c>
      <c r="J878" s="1" t="s">
        <v>1019</v>
      </c>
      <c r="K878" s="1" t="s">
        <v>1020</v>
      </c>
      <c r="L878" s="2">
        <v>45762</v>
      </c>
      <c r="M878" s="18" t="s">
        <v>6687</v>
      </c>
      <c r="V878" s="4" t="s">
        <v>350</v>
      </c>
      <c r="W878" s="17" t="s">
        <v>351</v>
      </c>
    </row>
    <row r="879" spans="2:23" ht="11.25" hidden="1" customHeight="1" x14ac:dyDescent="0.25">
      <c r="B879" s="17" t="s">
        <v>334</v>
      </c>
      <c r="C879" s="17" t="s">
        <v>334</v>
      </c>
      <c r="D879" s="1" t="s">
        <v>20</v>
      </c>
      <c r="E879" s="1" t="s">
        <v>21</v>
      </c>
      <c r="H879" s="1" t="s">
        <v>2013</v>
      </c>
      <c r="I879" s="1" t="s">
        <v>23</v>
      </c>
      <c r="J879" s="1" t="s">
        <v>1019</v>
      </c>
      <c r="K879" s="1" t="s">
        <v>1020</v>
      </c>
      <c r="L879" s="2">
        <v>45858</v>
      </c>
      <c r="M879" s="18" t="s">
        <v>6687</v>
      </c>
      <c r="P879" s="3">
        <v>46016</v>
      </c>
      <c r="Q879" s="19" t="s">
        <v>6687</v>
      </c>
      <c r="R879" s="3" t="s">
        <v>1794</v>
      </c>
      <c r="S879" s="3" t="s">
        <v>2014</v>
      </c>
      <c r="T879" s="3" t="s">
        <v>332</v>
      </c>
      <c r="V879" s="4" t="s">
        <v>23</v>
      </c>
      <c r="W879" s="1" t="s">
        <v>26</v>
      </c>
    </row>
    <row r="880" spans="2:23" ht="11.25" hidden="1" customHeight="1" x14ac:dyDescent="0.25">
      <c r="B880" s="17" t="s">
        <v>2015</v>
      </c>
      <c r="C880" s="17" t="s">
        <v>2015</v>
      </c>
      <c r="D880" s="1" t="s">
        <v>348</v>
      </c>
      <c r="E880" s="1" t="s">
        <v>28</v>
      </c>
      <c r="H880" s="1" t="s">
        <v>2016</v>
      </c>
      <c r="I880" s="1" t="s">
        <v>350</v>
      </c>
      <c r="J880" s="1" t="s">
        <v>1019</v>
      </c>
      <c r="K880" s="1" t="s">
        <v>1020</v>
      </c>
      <c r="L880" s="2">
        <v>45861</v>
      </c>
      <c r="M880" s="18" t="s">
        <v>6687</v>
      </c>
      <c r="V880" s="4" t="s">
        <v>350</v>
      </c>
      <c r="W880" s="17" t="s">
        <v>351</v>
      </c>
    </row>
    <row r="881" spans="2:23" ht="11.25" hidden="1" customHeight="1" x14ac:dyDescent="0.25">
      <c r="B881" s="17" t="s">
        <v>1450</v>
      </c>
      <c r="C881" s="17" t="s">
        <v>1450</v>
      </c>
      <c r="D881" s="1" t="s">
        <v>20</v>
      </c>
      <c r="E881" s="1" t="s">
        <v>28</v>
      </c>
      <c r="H881" s="1" t="s">
        <v>2017</v>
      </c>
      <c r="I881" s="1" t="s">
        <v>23</v>
      </c>
      <c r="J881" s="1" t="s">
        <v>1771</v>
      </c>
      <c r="K881" s="1" t="s">
        <v>1772</v>
      </c>
      <c r="L881" s="2">
        <v>45782</v>
      </c>
      <c r="M881" s="18" t="s">
        <v>6687</v>
      </c>
      <c r="T881" s="3" t="s">
        <v>1448</v>
      </c>
      <c r="V881" s="4" t="s">
        <v>23</v>
      </c>
      <c r="W881" s="1" t="s">
        <v>26</v>
      </c>
    </row>
    <row r="882" spans="2:23" ht="11.25" hidden="1" customHeight="1" x14ac:dyDescent="0.25">
      <c r="B882" s="17" t="s">
        <v>2018</v>
      </c>
      <c r="C882" s="17" t="s">
        <v>2018</v>
      </c>
      <c r="D882" s="1" t="s">
        <v>20</v>
      </c>
      <c r="E882" s="1" t="s">
        <v>2019</v>
      </c>
      <c r="H882" s="1" t="s">
        <v>2020</v>
      </c>
      <c r="I882" s="1" t="s">
        <v>23</v>
      </c>
      <c r="J882" s="1" t="s">
        <v>1771</v>
      </c>
      <c r="K882" s="1" t="s">
        <v>1772</v>
      </c>
      <c r="M882" s="18" t="s">
        <v>6687</v>
      </c>
      <c r="V882" s="4" t="s">
        <v>23</v>
      </c>
      <c r="W882" s="1" t="s">
        <v>26</v>
      </c>
    </row>
    <row r="883" spans="2:23" ht="11.25" hidden="1" customHeight="1" x14ac:dyDescent="0.25">
      <c r="B883" s="17" t="s">
        <v>2021</v>
      </c>
      <c r="C883" s="17" t="s">
        <v>2021</v>
      </c>
      <c r="D883" s="1" t="s">
        <v>20</v>
      </c>
      <c r="E883" s="1" t="s">
        <v>2019</v>
      </c>
      <c r="H883" s="1" t="s">
        <v>2022</v>
      </c>
      <c r="I883" s="1" t="s">
        <v>23</v>
      </c>
      <c r="J883" s="1" t="s">
        <v>1630</v>
      </c>
      <c r="K883" s="1" t="s">
        <v>2023</v>
      </c>
      <c r="M883" s="18" t="s">
        <v>6687</v>
      </c>
      <c r="V883" s="4" t="s">
        <v>23</v>
      </c>
      <c r="W883" s="1" t="s">
        <v>26</v>
      </c>
    </row>
    <row r="884" spans="2:23" ht="11.25" hidden="1" customHeight="1" x14ac:dyDescent="0.25">
      <c r="B884" s="17" t="s">
        <v>1734</v>
      </c>
      <c r="C884" s="17" t="s">
        <v>1734</v>
      </c>
      <c r="D884" s="1" t="s">
        <v>20</v>
      </c>
      <c r="E884" s="1" t="s">
        <v>28</v>
      </c>
      <c r="H884" s="1" t="s">
        <v>2024</v>
      </c>
      <c r="I884" s="1" t="s">
        <v>23</v>
      </c>
      <c r="J884" s="1" t="s">
        <v>51</v>
      </c>
      <c r="K884" s="1" t="s">
        <v>370</v>
      </c>
      <c r="L884" s="2">
        <v>45748</v>
      </c>
      <c r="M884" s="18" t="s">
        <v>6687</v>
      </c>
      <c r="T884" s="3" t="s">
        <v>252</v>
      </c>
      <c r="V884" s="4" t="s">
        <v>23</v>
      </c>
      <c r="W884" s="1" t="s">
        <v>26</v>
      </c>
    </row>
    <row r="885" spans="2:23" ht="11.25" hidden="1" customHeight="1" x14ac:dyDescent="0.25">
      <c r="B885" s="17" t="s">
        <v>1591</v>
      </c>
      <c r="C885" s="17" t="s">
        <v>1591</v>
      </c>
      <c r="D885" s="1" t="s">
        <v>20</v>
      </c>
      <c r="E885" s="1" t="s">
        <v>28</v>
      </c>
      <c r="H885" s="1" t="s">
        <v>2025</v>
      </c>
      <c r="I885" s="1" t="s">
        <v>140</v>
      </c>
      <c r="J885" s="1" t="s">
        <v>76</v>
      </c>
      <c r="K885" s="1" t="s">
        <v>161</v>
      </c>
      <c r="L885" s="2">
        <v>45753</v>
      </c>
      <c r="M885" s="18" t="s">
        <v>6687</v>
      </c>
      <c r="T885" s="3" t="s">
        <v>1589</v>
      </c>
      <c r="V885" s="4" t="s">
        <v>140</v>
      </c>
      <c r="W885" s="17" t="s">
        <v>107</v>
      </c>
    </row>
    <row r="886" spans="2:23" ht="11.25" hidden="1" customHeight="1" x14ac:dyDescent="0.25">
      <c r="B886" s="17" t="s">
        <v>2026</v>
      </c>
      <c r="C886" s="17" t="s">
        <v>2026</v>
      </c>
      <c r="D886" s="1" t="s">
        <v>348</v>
      </c>
      <c r="E886" s="1" t="s">
        <v>28</v>
      </c>
      <c r="H886" s="1" t="s">
        <v>2027</v>
      </c>
      <c r="I886" s="1" t="s">
        <v>494</v>
      </c>
      <c r="J886" s="1" t="s">
        <v>34</v>
      </c>
      <c r="K886" s="1" t="s">
        <v>365</v>
      </c>
      <c r="L886" s="2">
        <v>45765</v>
      </c>
      <c r="M886" s="18" t="s">
        <v>6687</v>
      </c>
      <c r="V886" s="4" t="s">
        <v>494</v>
      </c>
      <c r="W886" s="17" t="s">
        <v>472</v>
      </c>
    </row>
    <row r="887" spans="2:23" ht="11.25" hidden="1" customHeight="1" x14ac:dyDescent="0.25">
      <c r="B887" s="17" t="s">
        <v>2028</v>
      </c>
      <c r="C887" s="17" t="s">
        <v>2028</v>
      </c>
      <c r="D887" s="1" t="s">
        <v>20</v>
      </c>
      <c r="E887" s="1" t="s">
        <v>21</v>
      </c>
      <c r="H887" s="1" t="s">
        <v>2029</v>
      </c>
      <c r="I887" s="1" t="s">
        <v>23</v>
      </c>
      <c r="J887" s="1" t="s">
        <v>2030</v>
      </c>
      <c r="K887" s="1" t="s">
        <v>2031</v>
      </c>
      <c r="L887" s="2">
        <v>45767</v>
      </c>
      <c r="M887" s="18" t="s">
        <v>6687</v>
      </c>
      <c r="P887" s="3">
        <v>46017</v>
      </c>
      <c r="Q887" s="19" t="s">
        <v>6687</v>
      </c>
      <c r="R887" s="3" t="s">
        <v>47</v>
      </c>
      <c r="S887" s="3" t="s">
        <v>2032</v>
      </c>
      <c r="V887" s="4" t="s">
        <v>23</v>
      </c>
      <c r="W887" s="17" t="s">
        <v>26</v>
      </c>
    </row>
    <row r="888" spans="2:23" ht="11.25" hidden="1" customHeight="1" x14ac:dyDescent="0.25">
      <c r="B888" s="17" t="s">
        <v>1640</v>
      </c>
      <c r="C888" s="17" t="s">
        <v>1640</v>
      </c>
      <c r="D888" s="1" t="s">
        <v>20</v>
      </c>
      <c r="E888" s="1" t="s">
        <v>21</v>
      </c>
      <c r="H888" s="1" t="s">
        <v>2033</v>
      </c>
      <c r="I888" s="1" t="s">
        <v>956</v>
      </c>
      <c r="J888" s="1" t="s">
        <v>124</v>
      </c>
      <c r="K888" s="1" t="s">
        <v>902</v>
      </c>
      <c r="L888" s="2">
        <v>45771</v>
      </c>
      <c r="M888" s="18" t="s">
        <v>6687</v>
      </c>
      <c r="P888" s="3">
        <v>45923</v>
      </c>
      <c r="Q888" s="19" t="s">
        <v>6687</v>
      </c>
      <c r="R888" s="3" t="s">
        <v>47</v>
      </c>
      <c r="S888" s="3" t="s">
        <v>2034</v>
      </c>
      <c r="T888" s="3" t="s">
        <v>1638</v>
      </c>
      <c r="V888" s="4" t="s">
        <v>956</v>
      </c>
      <c r="W888" s="17" t="s">
        <v>107</v>
      </c>
    </row>
    <row r="889" spans="2:23" ht="11.25" hidden="1" customHeight="1" x14ac:dyDescent="0.25">
      <c r="B889" s="17" t="s">
        <v>1510</v>
      </c>
      <c r="C889" s="17" t="s">
        <v>1510</v>
      </c>
      <c r="D889" s="1" t="s">
        <v>20</v>
      </c>
      <c r="E889" s="1" t="s">
        <v>21</v>
      </c>
      <c r="H889" s="1" t="s">
        <v>2035</v>
      </c>
      <c r="I889" s="1" t="s">
        <v>23</v>
      </c>
      <c r="J889" s="1" t="s">
        <v>722</v>
      </c>
      <c r="K889" s="1" t="s">
        <v>1988</v>
      </c>
      <c r="L889" s="2">
        <v>45772</v>
      </c>
      <c r="M889" s="18" t="s">
        <v>6687</v>
      </c>
      <c r="P889" s="3">
        <v>45931</v>
      </c>
      <c r="Q889" s="19" t="s">
        <v>6687</v>
      </c>
      <c r="R889" s="3" t="s">
        <v>47</v>
      </c>
      <c r="S889" s="3" t="s">
        <v>2036</v>
      </c>
      <c r="T889" s="3" t="s">
        <v>1508</v>
      </c>
      <c r="V889" s="4" t="s">
        <v>23</v>
      </c>
      <c r="W889" s="17" t="s">
        <v>26</v>
      </c>
    </row>
    <row r="890" spans="2:23" ht="11.25" hidden="1" customHeight="1" x14ac:dyDescent="0.25">
      <c r="B890" s="17" t="s">
        <v>1485</v>
      </c>
      <c r="C890" s="17" t="s">
        <v>1485</v>
      </c>
      <c r="D890" s="1" t="s">
        <v>20</v>
      </c>
      <c r="E890" s="1" t="s">
        <v>28</v>
      </c>
      <c r="H890" s="1" t="s">
        <v>2037</v>
      </c>
      <c r="I890" s="1" t="s">
        <v>306</v>
      </c>
      <c r="J890" s="1" t="s">
        <v>76</v>
      </c>
      <c r="K890" s="1" t="s">
        <v>161</v>
      </c>
      <c r="L890" s="2">
        <v>45775</v>
      </c>
      <c r="M890" s="18" t="s">
        <v>6687</v>
      </c>
      <c r="T890" s="3" t="s">
        <v>1483</v>
      </c>
      <c r="V890" s="4" t="s">
        <v>306</v>
      </c>
      <c r="W890" s="17" t="s">
        <v>107</v>
      </c>
    </row>
    <row r="891" spans="2:23" ht="11.25" hidden="1" customHeight="1" x14ac:dyDescent="0.25">
      <c r="B891" s="17" t="s">
        <v>1690</v>
      </c>
      <c r="C891" s="17" t="s">
        <v>1690</v>
      </c>
      <c r="D891" s="1" t="s">
        <v>20</v>
      </c>
      <c r="E891" s="1" t="s">
        <v>28</v>
      </c>
      <c r="H891" s="1" t="s">
        <v>2038</v>
      </c>
      <c r="I891" s="1" t="s">
        <v>23</v>
      </c>
      <c r="J891" s="1" t="s">
        <v>34</v>
      </c>
      <c r="K891" s="1" t="s">
        <v>365</v>
      </c>
      <c r="L891" s="2">
        <v>45777</v>
      </c>
      <c r="M891" s="18" t="s">
        <v>6687</v>
      </c>
      <c r="T891" s="3" t="s">
        <v>1688</v>
      </c>
      <c r="V891" s="4" t="s">
        <v>23</v>
      </c>
      <c r="W891" s="17" t="s">
        <v>26</v>
      </c>
    </row>
    <row r="892" spans="2:23" ht="11.25" hidden="1" customHeight="1" x14ac:dyDescent="0.25">
      <c r="B892" s="17" t="s">
        <v>1647</v>
      </c>
      <c r="C892" s="17" t="s">
        <v>1647</v>
      </c>
      <c r="D892" s="1" t="s">
        <v>348</v>
      </c>
      <c r="E892" s="1" t="s">
        <v>21</v>
      </c>
      <c r="H892" s="1" t="s">
        <v>2039</v>
      </c>
      <c r="I892" s="1" t="s">
        <v>350</v>
      </c>
      <c r="J892" s="1" t="s">
        <v>722</v>
      </c>
      <c r="K892" s="1" t="s">
        <v>1988</v>
      </c>
      <c r="L892" s="2">
        <v>45777</v>
      </c>
      <c r="M892" s="18" t="s">
        <v>6687</v>
      </c>
      <c r="P892" s="3">
        <v>45931</v>
      </c>
      <c r="Q892" s="19" t="s">
        <v>6687</v>
      </c>
      <c r="R892" s="3" t="s">
        <v>47</v>
      </c>
      <c r="S892" s="3" t="s">
        <v>2040</v>
      </c>
      <c r="T892" s="3" t="s">
        <v>1645</v>
      </c>
      <c r="V892" s="4" t="s">
        <v>350</v>
      </c>
      <c r="W892" s="17" t="s">
        <v>351</v>
      </c>
    </row>
    <row r="893" spans="2:23" ht="11.25" hidden="1" customHeight="1" x14ac:dyDescent="0.25">
      <c r="B893" s="17" t="s">
        <v>1551</v>
      </c>
      <c r="C893" s="17" t="s">
        <v>1551</v>
      </c>
      <c r="D893" s="1" t="s">
        <v>348</v>
      </c>
      <c r="E893" s="1" t="s">
        <v>21</v>
      </c>
      <c r="H893" s="1" t="s">
        <v>2041</v>
      </c>
      <c r="I893" s="1" t="s">
        <v>350</v>
      </c>
      <c r="J893" s="1" t="s">
        <v>722</v>
      </c>
      <c r="K893" s="1" t="s">
        <v>1988</v>
      </c>
      <c r="L893" s="2">
        <v>45792</v>
      </c>
      <c r="M893" s="18" t="s">
        <v>6687</v>
      </c>
      <c r="P893" s="3">
        <v>45931</v>
      </c>
      <c r="Q893" s="19" t="s">
        <v>6687</v>
      </c>
      <c r="R893" s="3" t="s">
        <v>47</v>
      </c>
      <c r="S893" s="3" t="s">
        <v>2042</v>
      </c>
      <c r="T893" s="3" t="s">
        <v>1549</v>
      </c>
      <c r="V893" s="4" t="s">
        <v>350</v>
      </c>
      <c r="W893" s="17" t="s">
        <v>351</v>
      </c>
    </row>
    <row r="894" spans="2:23" ht="11.25" hidden="1" customHeight="1" x14ac:dyDescent="0.25">
      <c r="B894" s="17" t="s">
        <v>1521</v>
      </c>
      <c r="C894" s="17" t="s">
        <v>1521</v>
      </c>
      <c r="D894" s="1" t="s">
        <v>20</v>
      </c>
      <c r="E894" s="1" t="s">
        <v>28</v>
      </c>
      <c r="H894" s="1" t="s">
        <v>2043</v>
      </c>
      <c r="I894" s="1" t="s">
        <v>23</v>
      </c>
      <c r="J894" s="1" t="s">
        <v>2044</v>
      </c>
      <c r="K894" s="1" t="s">
        <v>2045</v>
      </c>
      <c r="L894" s="2">
        <v>45924</v>
      </c>
      <c r="M894" s="18" t="s">
        <v>6687</v>
      </c>
      <c r="T894" s="3" t="s">
        <v>1519</v>
      </c>
      <c r="V894" s="4" t="s">
        <v>23</v>
      </c>
      <c r="W894" s="17" t="s">
        <v>26</v>
      </c>
    </row>
    <row r="895" spans="2:23" ht="11.25" hidden="1" customHeight="1" x14ac:dyDescent="0.25">
      <c r="B895" s="17" t="s">
        <v>1439</v>
      </c>
      <c r="C895" s="3" t="s">
        <v>1439</v>
      </c>
      <c r="D895" s="1" t="s">
        <v>20</v>
      </c>
      <c r="E895" s="1" t="s">
        <v>28</v>
      </c>
      <c r="H895" s="1" t="s">
        <v>2046</v>
      </c>
      <c r="I895" s="1" t="s">
        <v>385</v>
      </c>
      <c r="J895" s="1" t="s">
        <v>76</v>
      </c>
      <c r="K895" s="1" t="s">
        <v>161</v>
      </c>
      <c r="L895" s="2">
        <v>45835</v>
      </c>
      <c r="M895" s="18" t="s">
        <v>6687</v>
      </c>
      <c r="T895" s="3" t="s">
        <v>1437</v>
      </c>
      <c r="V895" s="4" t="s">
        <v>385</v>
      </c>
      <c r="W895" s="17" t="s">
        <v>107</v>
      </c>
    </row>
    <row r="896" spans="2:23" ht="11.25" hidden="1" customHeight="1" x14ac:dyDescent="0.25">
      <c r="B896" s="17" t="s">
        <v>610</v>
      </c>
      <c r="C896" s="19" t="s">
        <v>610</v>
      </c>
      <c r="D896" s="1" t="s">
        <v>348</v>
      </c>
      <c r="E896" s="1" t="s">
        <v>21</v>
      </c>
      <c r="H896" s="1" t="s">
        <v>2047</v>
      </c>
      <c r="I896" s="1" t="s">
        <v>350</v>
      </c>
      <c r="J896" s="1" t="s">
        <v>722</v>
      </c>
      <c r="K896" s="1" t="s">
        <v>1988</v>
      </c>
      <c r="L896" s="2">
        <v>45809</v>
      </c>
      <c r="M896" s="18" t="s">
        <v>6687</v>
      </c>
      <c r="P896" s="3">
        <v>45931</v>
      </c>
      <c r="Q896" s="19" t="s">
        <v>6687</v>
      </c>
      <c r="R896" s="3" t="s">
        <v>47</v>
      </c>
      <c r="S896" s="3" t="s">
        <v>2048</v>
      </c>
      <c r="T896" s="3" t="s">
        <v>608</v>
      </c>
      <c r="V896" s="4" t="s">
        <v>350</v>
      </c>
      <c r="W896" s="1" t="s">
        <v>351</v>
      </c>
    </row>
    <row r="897" spans="2:23" ht="11.25" hidden="1" customHeight="1" x14ac:dyDescent="0.25">
      <c r="B897" s="17" t="s">
        <v>2049</v>
      </c>
      <c r="C897" s="17" t="s">
        <v>2049</v>
      </c>
      <c r="D897" s="1" t="s">
        <v>20</v>
      </c>
      <c r="E897" s="1" t="s">
        <v>28</v>
      </c>
      <c r="H897" s="1" t="s">
        <v>2050</v>
      </c>
      <c r="I897" s="1" t="s">
        <v>23</v>
      </c>
      <c r="J897" s="1" t="s">
        <v>301</v>
      </c>
      <c r="K897" s="1" t="s">
        <v>1749</v>
      </c>
      <c r="L897" s="2">
        <v>45838</v>
      </c>
      <c r="M897" s="18" t="s">
        <v>6687</v>
      </c>
      <c r="V897" s="4" t="s">
        <v>23</v>
      </c>
      <c r="W897" s="17" t="s">
        <v>26</v>
      </c>
    </row>
    <row r="898" spans="2:23" ht="11.25" hidden="1" customHeight="1" x14ac:dyDescent="0.25">
      <c r="B898" s="17" t="s">
        <v>2051</v>
      </c>
      <c r="C898" s="17" t="s">
        <v>2051</v>
      </c>
      <c r="D898" s="1" t="s">
        <v>20</v>
      </c>
      <c r="E898" s="1" t="s">
        <v>28</v>
      </c>
      <c r="H898" s="1" t="s">
        <v>2052</v>
      </c>
      <c r="I898" s="1" t="s">
        <v>23</v>
      </c>
      <c r="J898" s="1" t="s">
        <v>1611</v>
      </c>
      <c r="K898" s="1" t="s">
        <v>1612</v>
      </c>
      <c r="L898" s="2">
        <v>45797</v>
      </c>
      <c r="M898" s="18" t="s">
        <v>6687</v>
      </c>
      <c r="T898" s="3" t="s">
        <v>322</v>
      </c>
      <c r="V898" s="4" t="s">
        <v>23</v>
      </c>
      <c r="W898" s="17" t="s">
        <v>26</v>
      </c>
    </row>
    <row r="899" spans="2:23" ht="11.25" hidden="1" customHeight="1" x14ac:dyDescent="0.25">
      <c r="B899" s="17" t="s">
        <v>1427</v>
      </c>
      <c r="C899" s="17" t="s">
        <v>1427</v>
      </c>
      <c r="D899" s="1" t="s">
        <v>20</v>
      </c>
      <c r="E899" s="1" t="s">
        <v>28</v>
      </c>
      <c r="H899" s="1" t="s">
        <v>2053</v>
      </c>
      <c r="I899" s="1" t="s">
        <v>23</v>
      </c>
      <c r="J899" s="1" t="s">
        <v>76</v>
      </c>
      <c r="K899" s="1" t="s">
        <v>161</v>
      </c>
      <c r="L899" s="2">
        <v>45848</v>
      </c>
      <c r="M899" s="18" t="s">
        <v>6687</v>
      </c>
      <c r="T899" s="3" t="s">
        <v>1423</v>
      </c>
      <c r="V899" s="4" t="s">
        <v>23</v>
      </c>
      <c r="W899" s="17" t="s">
        <v>26</v>
      </c>
    </row>
    <row r="900" spans="2:23" ht="11.25" hidden="1" customHeight="1" x14ac:dyDescent="0.25">
      <c r="B900" s="17" t="s">
        <v>1653</v>
      </c>
      <c r="C900" s="3" t="s">
        <v>1653</v>
      </c>
      <c r="D900" s="1" t="s">
        <v>20</v>
      </c>
      <c r="E900" s="1" t="s">
        <v>28</v>
      </c>
      <c r="H900" s="1" t="s">
        <v>2054</v>
      </c>
      <c r="I900" s="1" t="s">
        <v>23</v>
      </c>
      <c r="J900" s="1" t="s">
        <v>34</v>
      </c>
      <c r="K900" s="1" t="s">
        <v>365</v>
      </c>
      <c r="L900" s="2">
        <v>45866</v>
      </c>
      <c r="M900" s="18" t="s">
        <v>6687</v>
      </c>
      <c r="R900" s="3" t="s">
        <v>47</v>
      </c>
      <c r="T900" s="3" t="s">
        <v>48</v>
      </c>
      <c r="V900" s="4" t="s">
        <v>23</v>
      </c>
      <c r="W900" s="17" t="s">
        <v>26</v>
      </c>
    </row>
    <row r="901" spans="2:23" ht="11.25" hidden="1" customHeight="1" x14ac:dyDescent="0.25">
      <c r="B901" s="17" t="s">
        <v>2055</v>
      </c>
      <c r="C901" s="3" t="s">
        <v>2055</v>
      </c>
      <c r="D901" s="1" t="s">
        <v>20</v>
      </c>
      <c r="E901" s="1" t="s">
        <v>28</v>
      </c>
      <c r="H901" s="1" t="s">
        <v>2056</v>
      </c>
      <c r="I901" s="1" t="s">
        <v>23</v>
      </c>
      <c r="J901" s="1" t="s">
        <v>112</v>
      </c>
      <c r="K901" s="1" t="s">
        <v>113</v>
      </c>
      <c r="L901" s="2">
        <v>45864</v>
      </c>
      <c r="M901" s="18" t="s">
        <v>6687</v>
      </c>
      <c r="V901" s="4" t="s">
        <v>23</v>
      </c>
      <c r="W901" s="17" t="s">
        <v>26</v>
      </c>
    </row>
    <row r="902" spans="2:23" ht="11.25" hidden="1" customHeight="1" x14ac:dyDescent="0.25">
      <c r="B902" s="17" t="s">
        <v>1079</v>
      </c>
      <c r="C902" s="3" t="s">
        <v>1079</v>
      </c>
      <c r="D902" s="1" t="s">
        <v>20</v>
      </c>
      <c r="E902" s="1" t="s">
        <v>28</v>
      </c>
      <c r="H902" s="1" t="s">
        <v>2057</v>
      </c>
      <c r="I902" s="1" t="s">
        <v>23</v>
      </c>
      <c r="J902" s="1" t="s">
        <v>1446</v>
      </c>
      <c r="K902" s="1" t="s">
        <v>1447</v>
      </c>
      <c r="L902" s="2">
        <v>45853</v>
      </c>
      <c r="M902" s="18" t="s">
        <v>6687</v>
      </c>
      <c r="T902" s="3" t="s">
        <v>1077</v>
      </c>
      <c r="V902" s="4" t="s">
        <v>23</v>
      </c>
      <c r="W902" s="17" t="s">
        <v>26</v>
      </c>
    </row>
    <row r="903" spans="2:23" ht="11.25" hidden="1" customHeight="1" x14ac:dyDescent="0.25">
      <c r="B903" s="17" t="s">
        <v>1276</v>
      </c>
      <c r="C903" s="17" t="s">
        <v>1276</v>
      </c>
      <c r="D903" s="1" t="s">
        <v>20</v>
      </c>
      <c r="E903" s="1" t="s">
        <v>21</v>
      </c>
      <c r="H903" s="1" t="s">
        <v>2058</v>
      </c>
      <c r="I903" s="1" t="s">
        <v>23</v>
      </c>
      <c r="J903" s="1" t="s">
        <v>2059</v>
      </c>
      <c r="K903" s="1" t="s">
        <v>2060</v>
      </c>
      <c r="L903" s="2">
        <v>45843</v>
      </c>
      <c r="M903" s="18" t="s">
        <v>6687</v>
      </c>
      <c r="P903" s="3">
        <v>46012</v>
      </c>
      <c r="Q903" s="19" t="s">
        <v>6687</v>
      </c>
      <c r="R903" s="3" t="s">
        <v>2061</v>
      </c>
      <c r="S903" s="3" t="s">
        <v>2062</v>
      </c>
      <c r="T903" s="19" t="s">
        <v>1274</v>
      </c>
      <c r="V903" s="4" t="s">
        <v>23</v>
      </c>
      <c r="W903" s="17" t="s">
        <v>26</v>
      </c>
    </row>
    <row r="904" spans="2:23" ht="11.25" hidden="1" customHeight="1" x14ac:dyDescent="0.25">
      <c r="B904" s="17" t="s">
        <v>2063</v>
      </c>
      <c r="C904" s="17" t="s">
        <v>2063</v>
      </c>
      <c r="D904" s="1" t="s">
        <v>348</v>
      </c>
      <c r="E904" s="1" t="s">
        <v>28</v>
      </c>
      <c r="H904" s="1" t="s">
        <v>2064</v>
      </c>
      <c r="I904" s="1" t="s">
        <v>1982</v>
      </c>
      <c r="J904" s="1" t="s">
        <v>1593</v>
      </c>
      <c r="K904" s="1" t="s">
        <v>1594</v>
      </c>
      <c r="L904" s="2">
        <v>45844</v>
      </c>
      <c r="M904" s="18" t="s">
        <v>6687</v>
      </c>
      <c r="V904" s="4" t="s">
        <v>1982</v>
      </c>
      <c r="W904" s="17" t="s">
        <v>472</v>
      </c>
    </row>
    <row r="905" spans="2:23" ht="11.25" hidden="1" customHeight="1" x14ac:dyDescent="0.25">
      <c r="B905" s="17" t="s">
        <v>1667</v>
      </c>
      <c r="C905" s="3" t="s">
        <v>1667</v>
      </c>
      <c r="D905" s="1" t="s">
        <v>20</v>
      </c>
      <c r="E905" s="1" t="s">
        <v>28</v>
      </c>
      <c r="H905" s="1" t="s">
        <v>2065</v>
      </c>
      <c r="I905" s="1" t="s">
        <v>140</v>
      </c>
      <c r="J905" s="1" t="s">
        <v>301</v>
      </c>
      <c r="K905" s="1" t="s">
        <v>1749</v>
      </c>
      <c r="L905" s="2">
        <v>45916</v>
      </c>
      <c r="M905" s="18" t="s">
        <v>6687</v>
      </c>
      <c r="T905" s="3" t="s">
        <v>1096</v>
      </c>
      <c r="V905" s="4" t="s">
        <v>140</v>
      </c>
      <c r="W905" s="17" t="s">
        <v>107</v>
      </c>
    </row>
    <row r="906" spans="2:23" ht="11.25" hidden="1" customHeight="1" x14ac:dyDescent="0.25">
      <c r="B906" s="17" t="s">
        <v>1724</v>
      </c>
      <c r="C906" s="17" t="s">
        <v>1724</v>
      </c>
      <c r="D906" s="1" t="s">
        <v>20</v>
      </c>
      <c r="E906" s="1" t="s">
        <v>28</v>
      </c>
      <c r="H906" s="1" t="s">
        <v>2066</v>
      </c>
      <c r="I906" s="1" t="s">
        <v>140</v>
      </c>
      <c r="J906" s="1" t="s">
        <v>301</v>
      </c>
      <c r="K906" s="1" t="s">
        <v>1749</v>
      </c>
      <c r="L906" s="2">
        <v>45916</v>
      </c>
      <c r="M906" s="18" t="s">
        <v>6687</v>
      </c>
      <c r="T906" s="3" t="s">
        <v>1722</v>
      </c>
      <c r="V906" s="4" t="s">
        <v>140</v>
      </c>
      <c r="W906" s="17" t="s">
        <v>107</v>
      </c>
    </row>
    <row r="907" spans="2:23" ht="11.25" hidden="1" customHeight="1" x14ac:dyDescent="0.25">
      <c r="B907" s="17" t="s">
        <v>1687</v>
      </c>
      <c r="C907" s="17" t="s">
        <v>1687</v>
      </c>
      <c r="D907" s="1" t="s">
        <v>20</v>
      </c>
      <c r="E907" s="1" t="s">
        <v>28</v>
      </c>
      <c r="H907" s="1" t="s">
        <v>2067</v>
      </c>
      <c r="I907" s="1" t="s">
        <v>106</v>
      </c>
      <c r="J907" s="1" t="s">
        <v>301</v>
      </c>
      <c r="K907" s="1" t="s">
        <v>1749</v>
      </c>
      <c r="L907" s="2">
        <v>45916</v>
      </c>
      <c r="M907" s="18" t="s">
        <v>6687</v>
      </c>
      <c r="T907" s="3" t="s">
        <v>1334</v>
      </c>
      <c r="V907" s="4" t="s">
        <v>106</v>
      </c>
      <c r="W907" s="17" t="s">
        <v>107</v>
      </c>
    </row>
    <row r="908" spans="2:23" ht="11.25" hidden="1" customHeight="1" x14ac:dyDescent="0.25">
      <c r="B908" s="17" t="s">
        <v>2068</v>
      </c>
      <c r="C908" s="17" t="s">
        <v>2068</v>
      </c>
      <c r="D908" s="1" t="s">
        <v>348</v>
      </c>
      <c r="E908" s="1" t="s">
        <v>28</v>
      </c>
      <c r="H908" s="1" t="s">
        <v>2069</v>
      </c>
      <c r="I908" s="1" t="s">
        <v>1051</v>
      </c>
      <c r="J908" s="1" t="s">
        <v>34</v>
      </c>
      <c r="K908" s="1" t="s">
        <v>365</v>
      </c>
      <c r="L908" s="2">
        <v>45923</v>
      </c>
      <c r="M908" s="18" t="s">
        <v>6687</v>
      </c>
      <c r="V908" s="1" t="s">
        <v>1051</v>
      </c>
      <c r="W908" s="17" t="s">
        <v>472</v>
      </c>
    </row>
    <row r="909" spans="2:23" ht="11.25" hidden="1" customHeight="1" x14ac:dyDescent="0.25">
      <c r="B909" s="17" t="s">
        <v>1763</v>
      </c>
      <c r="C909" s="17" t="s">
        <v>1763</v>
      </c>
      <c r="D909" s="1" t="s">
        <v>348</v>
      </c>
      <c r="E909" s="1" t="s">
        <v>28</v>
      </c>
      <c r="H909" s="1" t="s">
        <v>2070</v>
      </c>
      <c r="I909" s="1" t="s">
        <v>350</v>
      </c>
      <c r="J909" s="1" t="s">
        <v>1561</v>
      </c>
      <c r="K909" s="1" t="s">
        <v>1562</v>
      </c>
      <c r="L909" s="2">
        <v>45919</v>
      </c>
      <c r="M909" s="18" t="s">
        <v>6687</v>
      </c>
      <c r="T909" s="3" t="s">
        <v>903</v>
      </c>
      <c r="V909" s="4" t="s">
        <v>350</v>
      </c>
      <c r="W909" s="1" t="s">
        <v>351</v>
      </c>
    </row>
    <row r="910" spans="2:23" ht="11.25" hidden="1" customHeight="1" x14ac:dyDescent="0.25">
      <c r="B910" s="17" t="s">
        <v>942</v>
      </c>
      <c r="C910" s="17" t="s">
        <v>942</v>
      </c>
      <c r="D910" s="1" t="s">
        <v>348</v>
      </c>
      <c r="E910" s="1" t="s">
        <v>28</v>
      </c>
      <c r="H910" s="1" t="s">
        <v>2071</v>
      </c>
      <c r="I910" s="1" t="s">
        <v>350</v>
      </c>
      <c r="J910" s="1" t="s">
        <v>183</v>
      </c>
      <c r="K910" s="1" t="s">
        <v>436</v>
      </c>
      <c r="L910" s="2">
        <v>45915</v>
      </c>
      <c r="M910" s="18" t="s">
        <v>6687</v>
      </c>
      <c r="T910" s="3" t="s">
        <v>940</v>
      </c>
      <c r="V910" s="4" t="s">
        <v>350</v>
      </c>
      <c r="W910" s="1" t="s">
        <v>351</v>
      </c>
    </row>
    <row r="911" spans="2:23" ht="11.25" hidden="1" customHeight="1" x14ac:dyDescent="0.25">
      <c r="B911" s="17" t="s">
        <v>2072</v>
      </c>
      <c r="C911" s="17" t="s">
        <v>2072</v>
      </c>
      <c r="D911" s="1" t="s">
        <v>348</v>
      </c>
      <c r="E911" s="1" t="s">
        <v>28</v>
      </c>
      <c r="H911" s="1" t="s">
        <v>2073</v>
      </c>
      <c r="I911" s="1" t="s">
        <v>1051</v>
      </c>
      <c r="J911" s="1" t="s">
        <v>76</v>
      </c>
      <c r="K911" s="1" t="s">
        <v>161</v>
      </c>
      <c r="L911" s="2">
        <v>45923</v>
      </c>
      <c r="M911" s="18" t="s">
        <v>6687</v>
      </c>
      <c r="V911" s="1" t="s">
        <v>1051</v>
      </c>
      <c r="W911" s="17" t="s">
        <v>472</v>
      </c>
    </row>
    <row r="912" spans="2:23" ht="11.25" hidden="1" customHeight="1" x14ac:dyDescent="0.25">
      <c r="B912" s="17" t="s">
        <v>2074</v>
      </c>
      <c r="C912" s="17" t="s">
        <v>2074</v>
      </c>
      <c r="D912" s="1" t="s">
        <v>20</v>
      </c>
      <c r="E912" s="1" t="s">
        <v>28</v>
      </c>
      <c r="H912" s="1" t="s">
        <v>2075</v>
      </c>
      <c r="I912" s="1" t="s">
        <v>23</v>
      </c>
      <c r="J912" s="1" t="s">
        <v>1630</v>
      </c>
      <c r="K912" s="1" t="s">
        <v>2023</v>
      </c>
      <c r="L912" s="2">
        <v>45901</v>
      </c>
      <c r="M912" s="18" t="s">
        <v>6687</v>
      </c>
      <c r="V912" s="4" t="s">
        <v>23</v>
      </c>
      <c r="W912" s="1" t="s">
        <v>26</v>
      </c>
    </row>
    <row r="913" spans="2:23" ht="11.25" hidden="1" customHeight="1" x14ac:dyDescent="0.25">
      <c r="B913" s="17" t="s">
        <v>2076</v>
      </c>
      <c r="C913" s="17" t="s">
        <v>2076</v>
      </c>
      <c r="D913" s="1" t="s">
        <v>20</v>
      </c>
      <c r="E913" s="1" t="s">
        <v>28</v>
      </c>
      <c r="H913" s="1" t="s">
        <v>2077</v>
      </c>
      <c r="I913" s="1" t="s">
        <v>23</v>
      </c>
      <c r="J913" s="1" t="s">
        <v>1446</v>
      </c>
      <c r="K913" s="1" t="s">
        <v>1447</v>
      </c>
      <c r="L913" s="2">
        <v>45901</v>
      </c>
      <c r="M913" s="18" t="s">
        <v>6687</v>
      </c>
      <c r="V913" s="4" t="s">
        <v>23</v>
      </c>
      <c r="W913" s="1" t="s">
        <v>26</v>
      </c>
    </row>
    <row r="914" spans="2:23" ht="11.25" hidden="1" customHeight="1" x14ac:dyDescent="0.25">
      <c r="B914" s="17" t="s">
        <v>1962</v>
      </c>
      <c r="C914" s="17" t="s">
        <v>1962</v>
      </c>
      <c r="D914" s="1" t="s">
        <v>20</v>
      </c>
      <c r="E914" s="1" t="s">
        <v>28</v>
      </c>
      <c r="H914" s="1" t="s">
        <v>2078</v>
      </c>
      <c r="I914" s="1" t="s">
        <v>23</v>
      </c>
      <c r="J914" s="1" t="s">
        <v>1446</v>
      </c>
      <c r="K914" s="1" t="s">
        <v>1447</v>
      </c>
      <c r="L914" s="2">
        <v>45905</v>
      </c>
      <c r="M914" s="18" t="s">
        <v>6687</v>
      </c>
      <c r="T914" s="44" t="s">
        <v>1960</v>
      </c>
      <c r="V914" s="4" t="s">
        <v>23</v>
      </c>
      <c r="W914" s="1" t="s">
        <v>26</v>
      </c>
    </row>
    <row r="915" spans="2:23" ht="11.25" hidden="1" customHeight="1" x14ac:dyDescent="0.25">
      <c r="B915" s="17" t="s">
        <v>1955</v>
      </c>
      <c r="C915" s="17" t="s">
        <v>1955</v>
      </c>
      <c r="D915" s="1" t="s">
        <v>20</v>
      </c>
      <c r="E915" s="1" t="s">
        <v>28</v>
      </c>
      <c r="H915" s="1" t="s">
        <v>2079</v>
      </c>
      <c r="I915" s="1" t="s">
        <v>23</v>
      </c>
      <c r="J915" s="1" t="s">
        <v>1446</v>
      </c>
      <c r="K915" s="1" t="s">
        <v>1447</v>
      </c>
      <c r="L915" s="2">
        <v>45925</v>
      </c>
      <c r="M915" s="18" t="s">
        <v>6687</v>
      </c>
      <c r="T915" s="44" t="s">
        <v>1953</v>
      </c>
      <c r="V915" s="4" t="s">
        <v>23</v>
      </c>
      <c r="W915" s="1" t="s">
        <v>26</v>
      </c>
    </row>
    <row r="916" spans="2:23" ht="11.25" hidden="1" customHeight="1" x14ac:dyDescent="0.25">
      <c r="B916" s="17" t="s">
        <v>1932</v>
      </c>
      <c r="C916" s="17" t="s">
        <v>1932</v>
      </c>
      <c r="D916" s="1" t="s">
        <v>20</v>
      </c>
      <c r="E916" s="1" t="s">
        <v>28</v>
      </c>
      <c r="H916" s="1" t="s">
        <v>2080</v>
      </c>
      <c r="I916" s="1" t="s">
        <v>23</v>
      </c>
      <c r="J916" s="1" t="s">
        <v>1446</v>
      </c>
      <c r="K916" s="1" t="s">
        <v>1447</v>
      </c>
      <c r="L916" s="2">
        <v>45917</v>
      </c>
      <c r="M916" s="18" t="s">
        <v>6687</v>
      </c>
      <c r="T916" s="44" t="s">
        <v>1930</v>
      </c>
      <c r="V916" s="4" t="s">
        <v>23</v>
      </c>
      <c r="W916" s="1" t="s">
        <v>26</v>
      </c>
    </row>
    <row r="917" spans="2:23" ht="11.25" hidden="1" customHeight="1" x14ac:dyDescent="0.25">
      <c r="B917" s="17" t="s">
        <v>2081</v>
      </c>
      <c r="C917" s="17" t="s">
        <v>2081</v>
      </c>
      <c r="D917" s="1" t="s">
        <v>20</v>
      </c>
      <c r="E917" s="1" t="s">
        <v>28</v>
      </c>
      <c r="H917" s="1" t="s">
        <v>2082</v>
      </c>
      <c r="I917" s="1" t="s">
        <v>23</v>
      </c>
      <c r="J917" s="1" t="s">
        <v>1319</v>
      </c>
      <c r="K917" s="1" t="s">
        <v>1320</v>
      </c>
      <c r="L917" s="2">
        <v>45944</v>
      </c>
      <c r="M917" s="18" t="s">
        <v>6687</v>
      </c>
      <c r="V917" s="4" t="s">
        <v>23</v>
      </c>
      <c r="W917" s="1" t="s">
        <v>26</v>
      </c>
    </row>
    <row r="918" spans="2:23" ht="11.25" hidden="1" customHeight="1" x14ac:dyDescent="0.25">
      <c r="B918" s="17" t="s">
        <v>2083</v>
      </c>
      <c r="C918" s="17" t="s">
        <v>2083</v>
      </c>
      <c r="D918" s="1" t="s">
        <v>348</v>
      </c>
      <c r="E918" s="1" t="s">
        <v>28</v>
      </c>
      <c r="H918" s="1" t="s">
        <v>2084</v>
      </c>
      <c r="I918" s="1" t="s">
        <v>106</v>
      </c>
      <c r="J918" s="1" t="s">
        <v>76</v>
      </c>
      <c r="K918" s="1" t="s">
        <v>161</v>
      </c>
      <c r="L918" s="2">
        <v>45944</v>
      </c>
      <c r="M918" s="18" t="s">
        <v>6687</v>
      </c>
      <c r="V918" s="4" t="s">
        <v>106</v>
      </c>
      <c r="W918" s="17" t="s">
        <v>472</v>
      </c>
    </row>
    <row r="919" spans="2:23" ht="11.25" hidden="1" customHeight="1" x14ac:dyDescent="0.25">
      <c r="B919" s="17" t="s">
        <v>1717</v>
      </c>
      <c r="C919" s="17" t="s">
        <v>1717</v>
      </c>
      <c r="D919" s="1" t="s">
        <v>20</v>
      </c>
      <c r="E919" s="1" t="s">
        <v>28</v>
      </c>
      <c r="H919" s="1" t="s">
        <v>2085</v>
      </c>
      <c r="I919" s="1" t="s">
        <v>23</v>
      </c>
      <c r="J919" s="1" t="s">
        <v>2086</v>
      </c>
      <c r="K919" s="1" t="s">
        <v>2087</v>
      </c>
      <c r="L919" s="2">
        <v>45949</v>
      </c>
      <c r="M919" s="18" t="s">
        <v>6687</v>
      </c>
      <c r="T919" s="3" t="s">
        <v>1715</v>
      </c>
      <c r="V919" s="4" t="s">
        <v>23</v>
      </c>
      <c r="W919" s="1" t="s">
        <v>26</v>
      </c>
    </row>
    <row r="920" spans="2:23" ht="11.25" hidden="1" customHeight="1" x14ac:dyDescent="0.25">
      <c r="B920" s="17" t="s">
        <v>1518</v>
      </c>
      <c r="C920" s="17" t="s">
        <v>1518</v>
      </c>
      <c r="D920" s="1" t="s">
        <v>20</v>
      </c>
      <c r="E920" s="1" t="s">
        <v>28</v>
      </c>
      <c r="H920" s="1" t="s">
        <v>2088</v>
      </c>
      <c r="I920" s="1" t="s">
        <v>23</v>
      </c>
      <c r="J920" s="1" t="s">
        <v>301</v>
      </c>
      <c r="K920" s="1" t="s">
        <v>1749</v>
      </c>
      <c r="L920" s="2">
        <v>45931</v>
      </c>
      <c r="M920" s="18" t="s">
        <v>6687</v>
      </c>
      <c r="T920" s="3" t="s">
        <v>1516</v>
      </c>
      <c r="V920" s="4" t="s">
        <v>23</v>
      </c>
      <c r="W920" s="1" t="s">
        <v>26</v>
      </c>
    </row>
    <row r="921" spans="2:23" ht="11.25" hidden="1" customHeight="1" x14ac:dyDescent="0.25">
      <c r="B921" s="17" t="s">
        <v>1627</v>
      </c>
      <c r="C921" s="17" t="s">
        <v>1627</v>
      </c>
      <c r="D921" s="1" t="s">
        <v>20</v>
      </c>
      <c r="E921" s="1" t="s">
        <v>21</v>
      </c>
      <c r="H921" s="1" t="s">
        <v>2089</v>
      </c>
      <c r="I921" s="1" t="s">
        <v>23</v>
      </c>
      <c r="J921" s="1" t="s">
        <v>301</v>
      </c>
      <c r="K921" s="1" t="s">
        <v>1749</v>
      </c>
      <c r="L921" s="2">
        <v>45931</v>
      </c>
      <c r="M921" s="18" t="s">
        <v>6687</v>
      </c>
      <c r="P921" s="3">
        <v>46008</v>
      </c>
      <c r="Q921" s="19" t="s">
        <v>6687</v>
      </c>
      <c r="R921" s="3" t="s">
        <v>2061</v>
      </c>
      <c r="T921" s="3" t="s">
        <v>1490</v>
      </c>
      <c r="V921" s="4" t="s">
        <v>23</v>
      </c>
      <c r="W921" s="1" t="s">
        <v>26</v>
      </c>
    </row>
    <row r="922" spans="2:23" ht="11.25" hidden="1" customHeight="1" x14ac:dyDescent="0.25">
      <c r="B922" s="17" t="s">
        <v>1660</v>
      </c>
      <c r="C922" s="17" t="s">
        <v>1660</v>
      </c>
      <c r="D922" s="1" t="s">
        <v>348</v>
      </c>
      <c r="E922" s="1" t="s">
        <v>28</v>
      </c>
      <c r="H922" s="1" t="s">
        <v>2090</v>
      </c>
      <c r="I922" s="1" t="s">
        <v>350</v>
      </c>
      <c r="J922" s="1" t="s">
        <v>301</v>
      </c>
      <c r="K922" s="1" t="s">
        <v>1749</v>
      </c>
      <c r="L922" s="2">
        <v>45931</v>
      </c>
      <c r="M922" s="18" t="s">
        <v>6687</v>
      </c>
      <c r="T922" s="3" t="s">
        <v>1528</v>
      </c>
      <c r="V922" s="4" t="s">
        <v>350</v>
      </c>
      <c r="W922" s="1" t="s">
        <v>351</v>
      </c>
    </row>
    <row r="923" spans="2:23" ht="11.25" hidden="1" customHeight="1" x14ac:dyDescent="0.25">
      <c r="B923" s="17" t="s">
        <v>1747</v>
      </c>
      <c r="C923" s="17" t="s">
        <v>1747</v>
      </c>
      <c r="D923" s="1" t="s">
        <v>348</v>
      </c>
      <c r="E923" s="1" t="s">
        <v>28</v>
      </c>
      <c r="H923" s="1" t="s">
        <v>2091</v>
      </c>
      <c r="I923" s="1" t="s">
        <v>350</v>
      </c>
      <c r="J923" s="1" t="s">
        <v>301</v>
      </c>
      <c r="K923" s="1" t="s">
        <v>1749</v>
      </c>
      <c r="L923" s="2">
        <v>45931</v>
      </c>
      <c r="M923" s="18" t="s">
        <v>6687</v>
      </c>
      <c r="T923" s="3" t="s">
        <v>1284</v>
      </c>
      <c r="V923" s="4" t="s">
        <v>350</v>
      </c>
      <c r="W923" s="1" t="s">
        <v>351</v>
      </c>
    </row>
    <row r="924" spans="2:23" ht="11.25" hidden="1" customHeight="1" x14ac:dyDescent="0.25">
      <c r="B924" s="17" t="s">
        <v>2040</v>
      </c>
      <c r="C924" s="17" t="s">
        <v>2040</v>
      </c>
      <c r="D924" s="1" t="s">
        <v>348</v>
      </c>
      <c r="E924" s="1" t="s">
        <v>28</v>
      </c>
      <c r="H924" s="1" t="s">
        <v>2092</v>
      </c>
      <c r="I924" s="1" t="s">
        <v>350</v>
      </c>
      <c r="J924" s="1" t="s">
        <v>301</v>
      </c>
      <c r="K924" s="1" t="s">
        <v>1749</v>
      </c>
      <c r="L924" s="2">
        <v>45931</v>
      </c>
      <c r="M924" s="18" t="s">
        <v>6687</v>
      </c>
      <c r="T924" s="3" t="s">
        <v>1647</v>
      </c>
      <c r="V924" s="4" t="s">
        <v>350</v>
      </c>
      <c r="W924" s="1" t="s">
        <v>351</v>
      </c>
    </row>
    <row r="925" spans="2:23" ht="11.25" hidden="1" customHeight="1" x14ac:dyDescent="0.25">
      <c r="B925" s="17" t="s">
        <v>2042</v>
      </c>
      <c r="C925" s="17" t="s">
        <v>2042</v>
      </c>
      <c r="D925" s="1" t="s">
        <v>348</v>
      </c>
      <c r="E925" s="1" t="s">
        <v>21</v>
      </c>
      <c r="H925" s="1" t="s">
        <v>2093</v>
      </c>
      <c r="I925" s="1" t="s">
        <v>350</v>
      </c>
      <c r="J925" s="1" t="s">
        <v>301</v>
      </c>
      <c r="K925" s="1" t="s">
        <v>1749</v>
      </c>
      <c r="L925" s="2">
        <v>45931</v>
      </c>
      <c r="M925" s="18" t="s">
        <v>6687</v>
      </c>
      <c r="P925" s="3">
        <v>46068</v>
      </c>
      <c r="Q925" s="19" t="s">
        <v>6687</v>
      </c>
      <c r="S925" s="3" t="s">
        <v>2094</v>
      </c>
      <c r="T925" s="3" t="s">
        <v>1551</v>
      </c>
      <c r="V925" s="4" t="s">
        <v>350</v>
      </c>
      <c r="W925" s="1" t="s">
        <v>351</v>
      </c>
    </row>
    <row r="926" spans="2:23" ht="11.25" hidden="1" customHeight="1" x14ac:dyDescent="0.25">
      <c r="B926" s="17" t="s">
        <v>2048</v>
      </c>
      <c r="C926" s="17" t="s">
        <v>2048</v>
      </c>
      <c r="D926" s="1" t="s">
        <v>348</v>
      </c>
      <c r="E926" s="1" t="s">
        <v>28</v>
      </c>
      <c r="H926" s="1" t="s">
        <v>2095</v>
      </c>
      <c r="I926" s="1" t="s">
        <v>350</v>
      </c>
      <c r="J926" s="1" t="s">
        <v>301</v>
      </c>
      <c r="K926" s="1" t="s">
        <v>1749</v>
      </c>
      <c r="L926" s="2">
        <v>45931</v>
      </c>
      <c r="M926" s="18" t="s">
        <v>6687</v>
      </c>
      <c r="T926" s="3" t="s">
        <v>610</v>
      </c>
      <c r="V926" s="4" t="s">
        <v>350</v>
      </c>
      <c r="W926" s="1" t="s">
        <v>351</v>
      </c>
    </row>
    <row r="927" spans="2:23" ht="11.25" hidden="1" customHeight="1" x14ac:dyDescent="0.25">
      <c r="B927" s="17" t="s">
        <v>1902</v>
      </c>
      <c r="C927" s="17" t="s">
        <v>1902</v>
      </c>
      <c r="D927" s="1" t="s">
        <v>20</v>
      </c>
      <c r="E927" s="1" t="s">
        <v>28</v>
      </c>
      <c r="H927" s="1" t="s">
        <v>2096</v>
      </c>
      <c r="I927" s="1" t="s">
        <v>23</v>
      </c>
      <c r="J927" s="1" t="s">
        <v>1311</v>
      </c>
      <c r="K927" s="1" t="s">
        <v>1312</v>
      </c>
      <c r="L927" s="2">
        <v>45957</v>
      </c>
      <c r="M927" s="18" t="s">
        <v>6687</v>
      </c>
      <c r="T927" s="3" t="s">
        <v>1900</v>
      </c>
      <c r="V927" s="4" t="s">
        <v>23</v>
      </c>
      <c r="W927" s="1" t="s">
        <v>26</v>
      </c>
    </row>
    <row r="928" spans="2:23" ht="11.25" hidden="1" customHeight="1" x14ac:dyDescent="0.25">
      <c r="B928" s="17" t="s">
        <v>1766</v>
      </c>
      <c r="C928" s="17" t="s">
        <v>1766</v>
      </c>
      <c r="D928" s="1" t="s">
        <v>348</v>
      </c>
      <c r="E928" s="1" t="s">
        <v>28</v>
      </c>
      <c r="H928" s="1" t="s">
        <v>2097</v>
      </c>
      <c r="I928" s="1" t="s">
        <v>350</v>
      </c>
      <c r="J928" s="1" t="s">
        <v>34</v>
      </c>
      <c r="K928" s="1" t="s">
        <v>365</v>
      </c>
      <c r="L928" s="2">
        <v>45936</v>
      </c>
      <c r="M928" s="18" t="s">
        <v>6687</v>
      </c>
      <c r="T928" s="3" t="s">
        <v>1764</v>
      </c>
      <c r="V928" s="4" t="s">
        <v>350</v>
      </c>
      <c r="W928" s="1" t="s">
        <v>351</v>
      </c>
    </row>
    <row r="929" spans="2:23" ht="11.25" hidden="1" customHeight="1" x14ac:dyDescent="0.25">
      <c r="B929" s="17" t="s">
        <v>1925</v>
      </c>
      <c r="C929" s="17" t="s">
        <v>1925</v>
      </c>
      <c r="D929" s="1" t="s">
        <v>20</v>
      </c>
      <c r="E929" s="1" t="s">
        <v>28</v>
      </c>
      <c r="H929" s="1" t="s">
        <v>2098</v>
      </c>
      <c r="I929" s="1" t="s">
        <v>23</v>
      </c>
      <c r="J929" s="1" t="s">
        <v>1446</v>
      </c>
      <c r="K929" s="1" t="s">
        <v>1447</v>
      </c>
      <c r="L929" s="2">
        <v>45957</v>
      </c>
      <c r="M929" s="18" t="s">
        <v>6687</v>
      </c>
      <c r="T929" s="3" t="s">
        <v>1923</v>
      </c>
      <c r="V929" s="4" t="s">
        <v>23</v>
      </c>
      <c r="W929" s="1" t="s">
        <v>26</v>
      </c>
    </row>
    <row r="930" spans="2:23" ht="11.25" hidden="1" customHeight="1" x14ac:dyDescent="0.25">
      <c r="B930" s="17" t="s">
        <v>2099</v>
      </c>
      <c r="C930" s="17" t="s">
        <v>2099</v>
      </c>
      <c r="D930" s="1" t="s">
        <v>20</v>
      </c>
      <c r="E930" s="1" t="s">
        <v>2000</v>
      </c>
      <c r="H930" s="1" t="s">
        <v>2100</v>
      </c>
      <c r="I930" s="1" t="s">
        <v>23</v>
      </c>
      <c r="J930" s="1" t="s">
        <v>1446</v>
      </c>
      <c r="K930" s="1" t="s">
        <v>1447</v>
      </c>
      <c r="L930" s="2">
        <v>45901</v>
      </c>
      <c r="M930" s="18" t="s">
        <v>6687</v>
      </c>
      <c r="V930" s="4" t="s">
        <v>23</v>
      </c>
      <c r="W930" s="1" t="s">
        <v>26</v>
      </c>
    </row>
    <row r="931" spans="2:23" ht="11.25" hidden="1" customHeight="1" x14ac:dyDescent="0.25">
      <c r="B931" s="17" t="s">
        <v>2101</v>
      </c>
      <c r="C931" s="17" t="s">
        <v>2101</v>
      </c>
      <c r="D931" s="1" t="s">
        <v>20</v>
      </c>
      <c r="E931" s="1" t="s">
        <v>2000</v>
      </c>
      <c r="H931" s="1" t="s">
        <v>2102</v>
      </c>
      <c r="I931" s="1" t="s">
        <v>23</v>
      </c>
      <c r="J931" s="1" t="s">
        <v>1446</v>
      </c>
      <c r="K931" s="1" t="s">
        <v>1447</v>
      </c>
      <c r="L931" s="2">
        <v>45917</v>
      </c>
      <c r="M931" s="18" t="s">
        <v>6687</v>
      </c>
      <c r="V931" s="4" t="s">
        <v>23</v>
      </c>
      <c r="W931" s="1" t="s">
        <v>26</v>
      </c>
    </row>
    <row r="932" spans="2:23" ht="11.25" hidden="1" customHeight="1" x14ac:dyDescent="0.25">
      <c r="B932" s="17" t="s">
        <v>2103</v>
      </c>
      <c r="C932" s="17" t="s">
        <v>2103</v>
      </c>
      <c r="D932" s="1" t="s">
        <v>20</v>
      </c>
      <c r="E932" s="1" t="s">
        <v>2000</v>
      </c>
      <c r="H932" s="1" t="s">
        <v>2104</v>
      </c>
      <c r="I932" s="1" t="s">
        <v>23</v>
      </c>
      <c r="J932" s="1" t="s">
        <v>1446</v>
      </c>
      <c r="K932" s="1" t="s">
        <v>1447</v>
      </c>
      <c r="L932" s="2">
        <v>45905</v>
      </c>
      <c r="M932" s="18" t="s">
        <v>6687</v>
      </c>
      <c r="V932" s="4" t="s">
        <v>23</v>
      </c>
      <c r="W932" s="1" t="s">
        <v>26</v>
      </c>
    </row>
    <row r="933" spans="2:23" ht="11.25" hidden="1" customHeight="1" x14ac:dyDescent="0.25">
      <c r="B933" s="17" t="s">
        <v>2105</v>
      </c>
      <c r="C933" s="17" t="s">
        <v>2105</v>
      </c>
      <c r="D933" s="1" t="s">
        <v>20</v>
      </c>
      <c r="E933" s="1" t="s">
        <v>2000</v>
      </c>
      <c r="H933" s="1" t="s">
        <v>2106</v>
      </c>
      <c r="I933" s="1" t="s">
        <v>23</v>
      </c>
      <c r="J933" s="1" t="s">
        <v>1446</v>
      </c>
      <c r="K933" s="1" t="s">
        <v>1447</v>
      </c>
      <c r="L933" s="2">
        <v>45957</v>
      </c>
      <c r="M933" s="18" t="s">
        <v>6687</v>
      </c>
      <c r="V933" s="4" t="s">
        <v>23</v>
      </c>
      <c r="W933" s="1" t="s">
        <v>26</v>
      </c>
    </row>
    <row r="934" spans="2:23" ht="11.25" hidden="1" customHeight="1" x14ac:dyDescent="0.25">
      <c r="B934" s="17" t="s">
        <v>2107</v>
      </c>
      <c r="C934" s="17" t="s">
        <v>2107</v>
      </c>
      <c r="D934" s="1" t="s">
        <v>20</v>
      </c>
      <c r="E934" s="1" t="s">
        <v>2000</v>
      </c>
      <c r="H934" s="1" t="s">
        <v>2075</v>
      </c>
      <c r="I934" s="1" t="s">
        <v>23</v>
      </c>
      <c r="J934" s="1" t="s">
        <v>1630</v>
      </c>
      <c r="K934" s="1" t="s">
        <v>2023</v>
      </c>
      <c r="L934" s="2">
        <v>45901</v>
      </c>
      <c r="M934" s="18" t="s">
        <v>6687</v>
      </c>
      <c r="V934" s="4" t="s">
        <v>23</v>
      </c>
      <c r="W934" s="1" t="s">
        <v>26</v>
      </c>
    </row>
    <row r="935" spans="2:23" ht="11.25" hidden="1" customHeight="1" x14ac:dyDescent="0.25">
      <c r="B935" s="17" t="s">
        <v>2108</v>
      </c>
      <c r="C935" s="17" t="s">
        <v>2108</v>
      </c>
      <c r="D935" s="1" t="s">
        <v>20</v>
      </c>
      <c r="E935" s="1" t="s">
        <v>2000</v>
      </c>
      <c r="H935" s="1" t="s">
        <v>2109</v>
      </c>
      <c r="I935" s="1" t="s">
        <v>23</v>
      </c>
      <c r="J935" s="1" t="s">
        <v>1446</v>
      </c>
      <c r="K935" s="1" t="s">
        <v>1447</v>
      </c>
      <c r="L935" s="2">
        <v>45925</v>
      </c>
      <c r="M935" s="18" t="s">
        <v>6687</v>
      </c>
      <c r="V935" s="4" t="s">
        <v>23</v>
      </c>
      <c r="W935" s="1" t="s">
        <v>26</v>
      </c>
    </row>
    <row r="936" spans="2:23" ht="11.25" hidden="1" customHeight="1" x14ac:dyDescent="0.25">
      <c r="B936" s="17" t="s">
        <v>2110</v>
      </c>
      <c r="C936" s="17" t="s">
        <v>2110</v>
      </c>
      <c r="D936" s="1" t="s">
        <v>20</v>
      </c>
      <c r="E936" s="1" t="s">
        <v>2000</v>
      </c>
      <c r="H936" s="1" t="s">
        <v>2111</v>
      </c>
      <c r="I936" s="1" t="s">
        <v>23</v>
      </c>
      <c r="J936" s="1" t="s">
        <v>1446</v>
      </c>
      <c r="K936" s="1" t="s">
        <v>1447</v>
      </c>
      <c r="L936" s="2">
        <v>45249</v>
      </c>
      <c r="M936" s="18" t="s">
        <v>6687</v>
      </c>
      <c r="V936" s="4" t="s">
        <v>23</v>
      </c>
      <c r="W936" s="1" t="s">
        <v>26</v>
      </c>
    </row>
    <row r="937" spans="2:23" ht="11.25" hidden="1" customHeight="1" x14ac:dyDescent="0.25">
      <c r="B937" s="17" t="s">
        <v>2112</v>
      </c>
      <c r="C937" s="17" t="s">
        <v>2112</v>
      </c>
      <c r="D937" s="1" t="s">
        <v>20</v>
      </c>
      <c r="E937" s="1" t="s">
        <v>2000</v>
      </c>
      <c r="H937" s="1" t="s">
        <v>2113</v>
      </c>
      <c r="I937" s="1" t="s">
        <v>23</v>
      </c>
      <c r="J937" s="1" t="s">
        <v>1446</v>
      </c>
      <c r="K937" s="1" t="s">
        <v>1447</v>
      </c>
      <c r="L937" s="2">
        <v>45853</v>
      </c>
      <c r="M937" s="18" t="s">
        <v>6687</v>
      </c>
      <c r="V937" s="4" t="s">
        <v>23</v>
      </c>
      <c r="W937" s="1" t="s">
        <v>26</v>
      </c>
    </row>
    <row r="938" spans="2:23" ht="11.25" hidden="1" customHeight="1" x14ac:dyDescent="0.25">
      <c r="B938" s="17" t="s">
        <v>2114</v>
      </c>
      <c r="C938" s="17" t="s">
        <v>2114</v>
      </c>
      <c r="D938" s="1" t="s">
        <v>20</v>
      </c>
      <c r="E938" s="1" t="s">
        <v>2000</v>
      </c>
      <c r="H938" s="1" t="s">
        <v>2115</v>
      </c>
      <c r="I938" s="1" t="s">
        <v>23</v>
      </c>
      <c r="J938" s="1" t="s">
        <v>1446</v>
      </c>
      <c r="K938" s="1" t="s">
        <v>1447</v>
      </c>
      <c r="L938" s="2">
        <v>45624</v>
      </c>
      <c r="M938" s="18" t="s">
        <v>6687</v>
      </c>
      <c r="V938" s="4" t="s">
        <v>23</v>
      </c>
      <c r="W938" s="1" t="s">
        <v>26</v>
      </c>
    </row>
    <row r="939" spans="2:23" ht="11.25" hidden="1" customHeight="1" x14ac:dyDescent="0.25">
      <c r="B939" s="17" t="s">
        <v>2116</v>
      </c>
      <c r="C939" s="17" t="s">
        <v>2116</v>
      </c>
      <c r="D939" s="1" t="s">
        <v>20</v>
      </c>
      <c r="E939" s="1" t="s">
        <v>2000</v>
      </c>
      <c r="H939" s="1" t="s">
        <v>2117</v>
      </c>
      <c r="I939" s="1" t="s">
        <v>23</v>
      </c>
      <c r="J939" s="1" t="s">
        <v>1446</v>
      </c>
      <c r="K939" s="1" t="s">
        <v>1447</v>
      </c>
      <c r="L939" s="2">
        <v>45295</v>
      </c>
      <c r="M939" s="18" t="s">
        <v>6687</v>
      </c>
      <c r="V939" s="4" t="s">
        <v>23</v>
      </c>
      <c r="W939" s="1" t="s">
        <v>26</v>
      </c>
    </row>
    <row r="940" spans="2:23" ht="11.25" hidden="1" customHeight="1" x14ac:dyDescent="0.25">
      <c r="B940" s="17" t="s">
        <v>2118</v>
      </c>
      <c r="C940" s="17" t="s">
        <v>2118</v>
      </c>
      <c r="D940" s="1" t="s">
        <v>20</v>
      </c>
      <c r="E940" s="1" t="s">
        <v>2000</v>
      </c>
      <c r="H940" s="1" t="s">
        <v>2119</v>
      </c>
      <c r="I940" s="1" t="s">
        <v>23</v>
      </c>
      <c r="J940" s="1" t="s">
        <v>1446</v>
      </c>
      <c r="K940" s="1" t="s">
        <v>1447</v>
      </c>
      <c r="L940" s="2">
        <v>45327</v>
      </c>
      <c r="M940" s="18" t="s">
        <v>6687</v>
      </c>
      <c r="V940" s="4" t="s">
        <v>23</v>
      </c>
      <c r="W940" s="1" t="s">
        <v>26</v>
      </c>
    </row>
    <row r="941" spans="2:23" ht="11.25" hidden="1" customHeight="1" x14ac:dyDescent="0.25">
      <c r="B941" s="17" t="s">
        <v>2120</v>
      </c>
      <c r="C941" s="17" t="s">
        <v>2120</v>
      </c>
      <c r="D941" s="1" t="s">
        <v>20</v>
      </c>
      <c r="E941" s="1" t="s">
        <v>2000</v>
      </c>
      <c r="H941" s="1" t="s">
        <v>2121</v>
      </c>
      <c r="I941" s="1" t="s">
        <v>23</v>
      </c>
      <c r="J941" s="1" t="s">
        <v>1446</v>
      </c>
      <c r="K941" s="1" t="s">
        <v>1447</v>
      </c>
      <c r="L941" s="2">
        <v>45147</v>
      </c>
      <c r="M941" s="18" t="s">
        <v>6687</v>
      </c>
      <c r="V941" s="4" t="s">
        <v>23</v>
      </c>
      <c r="W941" s="1" t="s">
        <v>26</v>
      </c>
    </row>
    <row r="942" spans="2:23" ht="11.25" hidden="1" customHeight="1" x14ac:dyDescent="0.25">
      <c r="B942" s="17" t="s">
        <v>1756</v>
      </c>
      <c r="C942" s="17" t="s">
        <v>1756</v>
      </c>
      <c r="D942" s="1" t="s">
        <v>348</v>
      </c>
      <c r="E942" s="1" t="s">
        <v>28</v>
      </c>
      <c r="H942" s="1" t="s">
        <v>2122</v>
      </c>
      <c r="I942" s="1" t="s">
        <v>350</v>
      </c>
      <c r="J942" s="1" t="s">
        <v>301</v>
      </c>
      <c r="K942" s="1" t="s">
        <v>1749</v>
      </c>
      <c r="L942" s="2">
        <v>45968</v>
      </c>
      <c r="M942" s="18" t="s">
        <v>6687</v>
      </c>
      <c r="T942" s="17" t="s">
        <v>1304</v>
      </c>
      <c r="V942" s="4" t="s">
        <v>350</v>
      </c>
      <c r="W942" s="1" t="s">
        <v>351</v>
      </c>
    </row>
    <row r="943" spans="2:23" ht="11.25" hidden="1" customHeight="1" x14ac:dyDescent="0.25">
      <c r="B943" s="17" t="s">
        <v>1497</v>
      </c>
      <c r="C943" s="17" t="s">
        <v>1497</v>
      </c>
      <c r="D943" s="1" t="s">
        <v>348</v>
      </c>
      <c r="E943" s="1" t="s">
        <v>21</v>
      </c>
      <c r="H943" s="1" t="s">
        <v>2123</v>
      </c>
      <c r="I943" s="1" t="s">
        <v>350</v>
      </c>
      <c r="J943" s="1" t="s">
        <v>140</v>
      </c>
      <c r="K943" s="1" t="s">
        <v>2124</v>
      </c>
      <c r="L943" s="2">
        <v>45964</v>
      </c>
      <c r="M943" s="18" t="s">
        <v>6687</v>
      </c>
      <c r="P943" s="3">
        <v>45987</v>
      </c>
      <c r="Q943" s="19" t="s">
        <v>6687</v>
      </c>
      <c r="R943" s="3" t="s">
        <v>2061</v>
      </c>
      <c r="T943" s="3" t="s">
        <v>1495</v>
      </c>
      <c r="V943" s="4" t="s">
        <v>350</v>
      </c>
      <c r="W943" s="1" t="s">
        <v>351</v>
      </c>
    </row>
    <row r="944" spans="2:23" ht="11.25" hidden="1" customHeight="1" x14ac:dyDescent="0.25">
      <c r="B944" s="17" t="s">
        <v>2036</v>
      </c>
      <c r="C944" s="17" t="s">
        <v>2036</v>
      </c>
      <c r="D944" s="1" t="s">
        <v>20</v>
      </c>
      <c r="E944" s="1" t="s">
        <v>28</v>
      </c>
      <c r="H944" s="1" t="s">
        <v>2125</v>
      </c>
      <c r="I944" s="1" t="s">
        <v>23</v>
      </c>
      <c r="J944" s="1" t="s">
        <v>1311</v>
      </c>
      <c r="K944" s="1" t="s">
        <v>1312</v>
      </c>
      <c r="L944" s="2">
        <v>46003</v>
      </c>
      <c r="M944" s="18" t="s">
        <v>6687</v>
      </c>
      <c r="T944" s="3" t="s">
        <v>1510</v>
      </c>
      <c r="V944" s="4" t="s">
        <v>23</v>
      </c>
      <c r="W944" s="1" t="s">
        <v>26</v>
      </c>
    </row>
    <row r="945" spans="2:23" ht="11.25" hidden="1" customHeight="1" x14ac:dyDescent="0.25">
      <c r="B945" s="17" t="s">
        <v>701</v>
      </c>
      <c r="C945" s="17" t="s">
        <v>701</v>
      </c>
      <c r="D945" s="1" t="s">
        <v>348</v>
      </c>
      <c r="E945" s="1" t="s">
        <v>28</v>
      </c>
      <c r="H945" s="1" t="s">
        <v>2126</v>
      </c>
      <c r="I945" s="1" t="s">
        <v>350</v>
      </c>
      <c r="J945" s="1" t="s">
        <v>2044</v>
      </c>
      <c r="K945" s="1" t="s">
        <v>2045</v>
      </c>
      <c r="L945" s="2">
        <v>46017</v>
      </c>
      <c r="M945" s="18" t="s">
        <v>6687</v>
      </c>
      <c r="T945" s="3" t="s">
        <v>699</v>
      </c>
      <c r="V945" s="4" t="s">
        <v>350</v>
      </c>
      <c r="W945" s="1" t="s">
        <v>351</v>
      </c>
    </row>
    <row r="946" spans="2:23" ht="11.25" hidden="1" customHeight="1" x14ac:dyDescent="0.25">
      <c r="B946" s="17" t="s">
        <v>1779</v>
      </c>
      <c r="C946" s="17" t="s">
        <v>1779</v>
      </c>
      <c r="D946" s="1" t="s">
        <v>20</v>
      </c>
      <c r="E946" s="1" t="s">
        <v>28</v>
      </c>
      <c r="H946" s="1" t="s">
        <v>2127</v>
      </c>
      <c r="I946" s="1" t="s">
        <v>350</v>
      </c>
      <c r="J946" s="1" t="s">
        <v>34</v>
      </c>
      <c r="K946" s="1" t="s">
        <v>365</v>
      </c>
      <c r="L946" s="2">
        <v>46021</v>
      </c>
      <c r="M946" s="18" t="s">
        <v>6687</v>
      </c>
      <c r="T946" s="3" t="s">
        <v>1136</v>
      </c>
      <c r="V946" s="4" t="s">
        <v>23</v>
      </c>
      <c r="W946" s="1" t="s">
        <v>26</v>
      </c>
    </row>
    <row r="947" spans="2:23" ht="11.25" hidden="1" customHeight="1" x14ac:dyDescent="0.25">
      <c r="B947" s="17" t="s">
        <v>2128</v>
      </c>
      <c r="C947" s="17" t="s">
        <v>2128</v>
      </c>
      <c r="D947" s="1" t="s">
        <v>348</v>
      </c>
      <c r="E947" s="1" t="s">
        <v>28</v>
      </c>
      <c r="H947" s="1" t="s">
        <v>2129</v>
      </c>
      <c r="I947" s="1" t="s">
        <v>385</v>
      </c>
      <c r="J947" s="1" t="s">
        <v>2044</v>
      </c>
      <c r="K947" s="1" t="s">
        <v>2045</v>
      </c>
      <c r="L947" s="2">
        <v>46018</v>
      </c>
      <c r="M947" s="18" t="s">
        <v>6687</v>
      </c>
      <c r="T947" s="3" t="s">
        <v>1437</v>
      </c>
      <c r="V947" s="4" t="s">
        <v>385</v>
      </c>
      <c r="W947" s="1" t="s">
        <v>107</v>
      </c>
    </row>
    <row r="948" spans="2:23" ht="11.25" hidden="1" customHeight="1" x14ac:dyDescent="0.25">
      <c r="B948" s="17" t="s">
        <v>1367</v>
      </c>
      <c r="C948" s="17" t="s">
        <v>1367</v>
      </c>
      <c r="D948" s="1" t="s">
        <v>348</v>
      </c>
      <c r="E948" s="1" t="s">
        <v>28</v>
      </c>
      <c r="H948" s="1" t="s">
        <v>2130</v>
      </c>
      <c r="I948" s="1" t="s">
        <v>350</v>
      </c>
      <c r="J948" s="1" t="s">
        <v>2044</v>
      </c>
      <c r="K948" s="1" t="s">
        <v>2045</v>
      </c>
      <c r="L948" s="2">
        <v>46016</v>
      </c>
      <c r="M948" s="18" t="s">
        <v>6687</v>
      </c>
      <c r="T948" s="3" t="s">
        <v>1365</v>
      </c>
      <c r="V948" s="4" t="s">
        <v>350</v>
      </c>
      <c r="W948" s="1" t="s">
        <v>351</v>
      </c>
    </row>
    <row r="949" spans="2:23" ht="11.25" hidden="1" customHeight="1" x14ac:dyDescent="0.25">
      <c r="B949" s="17" t="s">
        <v>298</v>
      </c>
      <c r="C949" s="17" t="s">
        <v>298</v>
      </c>
      <c r="D949" s="1" t="s">
        <v>20</v>
      </c>
      <c r="E949" s="1" t="s">
        <v>28</v>
      </c>
      <c r="H949" s="1" t="s">
        <v>2131</v>
      </c>
      <c r="I949" s="1" t="s">
        <v>23</v>
      </c>
      <c r="J949" s="1" t="s">
        <v>2132</v>
      </c>
      <c r="K949" s="1" t="s">
        <v>2133</v>
      </c>
      <c r="L949" s="2">
        <v>45997</v>
      </c>
      <c r="M949" s="18" t="s">
        <v>6687</v>
      </c>
      <c r="T949" s="3" t="s">
        <v>296</v>
      </c>
      <c r="V949" s="4" t="s">
        <v>23</v>
      </c>
      <c r="W949" s="1" t="s">
        <v>26</v>
      </c>
    </row>
    <row r="950" spans="2:23" ht="11.25" hidden="1" customHeight="1" x14ac:dyDescent="0.25">
      <c r="B950" s="17" t="s">
        <v>1879</v>
      </c>
      <c r="C950" s="17" t="s">
        <v>1879</v>
      </c>
      <c r="D950" s="1" t="s">
        <v>348</v>
      </c>
      <c r="E950" s="1" t="s">
        <v>28</v>
      </c>
      <c r="H950" s="1" t="s">
        <v>2134</v>
      </c>
      <c r="I950" s="1" t="s">
        <v>350</v>
      </c>
      <c r="J950" s="1" t="s">
        <v>1446</v>
      </c>
      <c r="K950" s="1" t="s">
        <v>2135</v>
      </c>
      <c r="L950" s="2">
        <v>46007</v>
      </c>
      <c r="M950" s="18" t="s">
        <v>6687</v>
      </c>
      <c r="T950" s="3" t="s">
        <v>1877</v>
      </c>
      <c r="V950" s="4" t="s">
        <v>350</v>
      </c>
      <c r="W950" s="1" t="s">
        <v>351</v>
      </c>
    </row>
    <row r="951" spans="2:23" ht="11.25" hidden="1" customHeight="1" x14ac:dyDescent="0.25">
      <c r="B951" s="17" t="s">
        <v>1795</v>
      </c>
      <c r="C951" s="17" t="s">
        <v>1795</v>
      </c>
      <c r="D951" s="1" t="s">
        <v>348</v>
      </c>
      <c r="E951" s="1" t="s">
        <v>28</v>
      </c>
      <c r="H951" s="1" t="s">
        <v>2136</v>
      </c>
      <c r="I951" s="1" t="s">
        <v>350</v>
      </c>
      <c r="J951" s="1" t="s">
        <v>1446</v>
      </c>
      <c r="K951" s="1" t="s">
        <v>2135</v>
      </c>
      <c r="L951" s="2">
        <v>46011</v>
      </c>
      <c r="M951" s="18" t="s">
        <v>6687</v>
      </c>
      <c r="T951" s="3" t="s">
        <v>1792</v>
      </c>
      <c r="V951" s="4" t="s">
        <v>350</v>
      </c>
      <c r="W951" s="1" t="s">
        <v>351</v>
      </c>
    </row>
    <row r="952" spans="2:23" ht="11.25" hidden="1" customHeight="1" x14ac:dyDescent="0.25">
      <c r="B952" s="17" t="s">
        <v>2137</v>
      </c>
      <c r="C952" s="17" t="s">
        <v>2137</v>
      </c>
      <c r="D952" s="1" t="s">
        <v>348</v>
      </c>
      <c r="E952" s="1" t="s">
        <v>28</v>
      </c>
      <c r="H952" s="1" t="s">
        <v>2138</v>
      </c>
      <c r="I952" s="1" t="s">
        <v>1215</v>
      </c>
      <c r="J952" s="1" t="s">
        <v>1788</v>
      </c>
      <c r="K952" s="1" t="s">
        <v>1789</v>
      </c>
      <c r="L952" s="2">
        <v>46005</v>
      </c>
      <c r="M952" s="18" t="s">
        <v>6687</v>
      </c>
      <c r="T952" s="3" t="s">
        <v>1222</v>
      </c>
      <c r="V952" s="4" t="s">
        <v>1215</v>
      </c>
      <c r="W952" s="1" t="s">
        <v>472</v>
      </c>
    </row>
    <row r="953" spans="2:23" ht="11.25" hidden="1" customHeight="1" x14ac:dyDescent="0.25">
      <c r="B953" s="17" t="s">
        <v>2139</v>
      </c>
      <c r="C953" s="17" t="s">
        <v>2139</v>
      </c>
      <c r="D953" s="1" t="s">
        <v>20</v>
      </c>
      <c r="E953" s="1" t="s">
        <v>28</v>
      </c>
      <c r="H953" s="1" t="s">
        <v>2140</v>
      </c>
      <c r="I953" s="1" t="s">
        <v>23</v>
      </c>
      <c r="J953" s="1" t="s">
        <v>1533</v>
      </c>
      <c r="K953" s="1" t="s">
        <v>1532</v>
      </c>
      <c r="L953" s="2">
        <v>45995</v>
      </c>
      <c r="M953" s="18" t="s">
        <v>6687</v>
      </c>
      <c r="T953" s="3" t="s">
        <v>2141</v>
      </c>
      <c r="V953" s="4" t="s">
        <v>23</v>
      </c>
      <c r="W953" s="1" t="s">
        <v>26</v>
      </c>
    </row>
    <row r="954" spans="2:23" ht="11.25" hidden="1" customHeight="1" x14ac:dyDescent="0.25">
      <c r="B954" s="17" t="s">
        <v>2142</v>
      </c>
      <c r="C954" s="17" t="s">
        <v>2142</v>
      </c>
      <c r="D954" s="1" t="s">
        <v>348</v>
      </c>
      <c r="E954" s="1" t="s">
        <v>28</v>
      </c>
      <c r="H954" s="1" t="s">
        <v>2143</v>
      </c>
      <c r="I954" s="1" t="s">
        <v>350</v>
      </c>
      <c r="J954" s="1" t="s">
        <v>1777</v>
      </c>
      <c r="K954" s="1" t="s">
        <v>1778</v>
      </c>
      <c r="L954" s="2">
        <v>45986</v>
      </c>
      <c r="M954" s="18" t="s">
        <v>6687</v>
      </c>
      <c r="T954" s="3" t="s">
        <v>2144</v>
      </c>
      <c r="V954" s="4" t="s">
        <v>350</v>
      </c>
      <c r="W954" s="1" t="s">
        <v>351</v>
      </c>
    </row>
    <row r="955" spans="2:23" ht="11.25" hidden="1" customHeight="1" x14ac:dyDescent="0.25">
      <c r="B955" s="17" t="s">
        <v>2145</v>
      </c>
      <c r="C955" s="17" t="s">
        <v>2145</v>
      </c>
      <c r="D955" s="1" t="s">
        <v>348</v>
      </c>
      <c r="E955" s="1" t="s">
        <v>28</v>
      </c>
      <c r="H955" s="1" t="s">
        <v>2146</v>
      </c>
      <c r="I955" s="1" t="s">
        <v>350</v>
      </c>
      <c r="J955" s="1" t="s">
        <v>228</v>
      </c>
      <c r="K955" s="1" t="s">
        <v>376</v>
      </c>
      <c r="L955" s="2">
        <v>46032</v>
      </c>
      <c r="M955" s="18" t="s">
        <v>6687</v>
      </c>
      <c r="T955" s="3" t="s">
        <v>2147</v>
      </c>
      <c r="V955" s="4" t="s">
        <v>350</v>
      </c>
      <c r="W955" s="1" t="s">
        <v>351</v>
      </c>
    </row>
    <row r="956" spans="2:23" ht="11.25" hidden="1" customHeight="1" x14ac:dyDescent="0.25">
      <c r="B956" s="1" t="s">
        <v>2148</v>
      </c>
      <c r="C956" s="17" t="s">
        <v>2062</v>
      </c>
      <c r="D956" s="1" t="s">
        <v>20</v>
      </c>
      <c r="E956" s="1" t="s">
        <v>28</v>
      </c>
      <c r="H956" s="1" t="s">
        <v>2149</v>
      </c>
      <c r="I956" s="1" t="s">
        <v>23</v>
      </c>
      <c r="J956" s="1" t="s">
        <v>228</v>
      </c>
      <c r="K956" s="1" t="s">
        <v>376</v>
      </c>
      <c r="L956" s="2">
        <v>46052</v>
      </c>
      <c r="M956" s="18" t="s">
        <v>6687</v>
      </c>
      <c r="T956" s="3" t="s">
        <v>1276</v>
      </c>
      <c r="V956" s="4" t="s">
        <v>23</v>
      </c>
      <c r="W956" s="1" t="s">
        <v>26</v>
      </c>
    </row>
    <row r="957" spans="2:23" ht="11.25" hidden="1" customHeight="1" x14ac:dyDescent="0.25">
      <c r="B957" s="1" t="s">
        <v>2150</v>
      </c>
      <c r="C957" s="17" t="s">
        <v>2150</v>
      </c>
      <c r="D957" s="1" t="s">
        <v>348</v>
      </c>
      <c r="E957" s="1" t="s">
        <v>28</v>
      </c>
      <c r="H957" s="1" t="s">
        <v>2151</v>
      </c>
      <c r="I957" s="1" t="s">
        <v>350</v>
      </c>
      <c r="J957" s="1" t="s">
        <v>76</v>
      </c>
      <c r="K957" s="1" t="s">
        <v>161</v>
      </c>
      <c r="L957" s="2">
        <v>46039</v>
      </c>
      <c r="M957" s="18" t="s">
        <v>6687</v>
      </c>
      <c r="T957" s="3" t="s">
        <v>2147</v>
      </c>
      <c r="V957" s="4" t="s">
        <v>350</v>
      </c>
      <c r="W957" s="1" t="s">
        <v>351</v>
      </c>
    </row>
    <row r="958" spans="2:23" ht="11.25" hidden="1" customHeight="1" x14ac:dyDescent="0.25">
      <c r="B958" s="1" t="s">
        <v>2152</v>
      </c>
      <c r="C958" s="17" t="s">
        <v>1670</v>
      </c>
      <c r="D958" s="1" t="s">
        <v>348</v>
      </c>
      <c r="E958" s="1" t="s">
        <v>28</v>
      </c>
      <c r="H958" s="1" t="s">
        <v>2153</v>
      </c>
      <c r="I958" s="1" t="s">
        <v>350</v>
      </c>
      <c r="J958" s="1" t="s">
        <v>76</v>
      </c>
      <c r="K958" s="1" t="s">
        <v>161</v>
      </c>
      <c r="L958" s="2">
        <v>46046</v>
      </c>
      <c r="M958" s="18" t="s">
        <v>6687</v>
      </c>
      <c r="T958" s="3" t="s">
        <v>1392</v>
      </c>
      <c r="V958" s="4" t="s">
        <v>350</v>
      </c>
      <c r="W958" s="1" t="s">
        <v>351</v>
      </c>
    </row>
    <row r="959" spans="2:23" ht="11.25" hidden="1" customHeight="1" x14ac:dyDescent="0.25">
      <c r="B959" s="17" t="s">
        <v>2154</v>
      </c>
      <c r="C959" s="17" t="s">
        <v>2154</v>
      </c>
      <c r="D959" s="1" t="s">
        <v>20</v>
      </c>
      <c r="E959" s="1" t="s">
        <v>28</v>
      </c>
      <c r="H959" s="1" t="s">
        <v>2155</v>
      </c>
      <c r="I959" s="1" t="s">
        <v>23</v>
      </c>
      <c r="J959" s="1" t="s">
        <v>76</v>
      </c>
      <c r="K959" s="1" t="s">
        <v>161</v>
      </c>
      <c r="L959" s="2">
        <v>46052</v>
      </c>
      <c r="M959" s="18" t="s">
        <v>6687</v>
      </c>
      <c r="T959" s="3" t="s">
        <v>2147</v>
      </c>
      <c r="V959" s="4" t="s">
        <v>23</v>
      </c>
      <c r="W959" s="1" t="s">
        <v>26</v>
      </c>
    </row>
    <row r="960" spans="2:23" ht="11.25" hidden="1" customHeight="1" x14ac:dyDescent="0.25">
      <c r="B960" s="17" t="s">
        <v>2156</v>
      </c>
      <c r="C960" s="17" t="s">
        <v>2156</v>
      </c>
      <c r="D960" s="1" t="s">
        <v>348</v>
      </c>
      <c r="E960" s="1" t="s">
        <v>28</v>
      </c>
      <c r="H960" s="1" t="s">
        <v>2157</v>
      </c>
      <c r="I960" s="1" t="s">
        <v>350</v>
      </c>
      <c r="J960" s="1" t="s">
        <v>34</v>
      </c>
      <c r="K960" s="1" t="s">
        <v>365</v>
      </c>
      <c r="L960" s="2">
        <v>46032</v>
      </c>
      <c r="M960" s="18" t="s">
        <v>6687</v>
      </c>
      <c r="T960" s="3" t="s">
        <v>2147</v>
      </c>
      <c r="V960" s="4" t="s">
        <v>350</v>
      </c>
      <c r="W960" s="1" t="s">
        <v>351</v>
      </c>
    </row>
    <row r="961" spans="2:23" ht="11.25" hidden="1" customHeight="1" x14ac:dyDescent="0.25">
      <c r="B961" s="17" t="s">
        <v>2158</v>
      </c>
      <c r="C961" s="17" t="s">
        <v>2158</v>
      </c>
      <c r="D961" s="1" t="s">
        <v>20</v>
      </c>
      <c r="E961" s="1" t="s">
        <v>28</v>
      </c>
      <c r="H961" s="1" t="s">
        <v>2159</v>
      </c>
      <c r="I961" s="1" t="s">
        <v>23</v>
      </c>
      <c r="J961" s="1" t="s">
        <v>34</v>
      </c>
      <c r="K961" s="1" t="s">
        <v>365</v>
      </c>
      <c r="L961" s="2">
        <v>46053</v>
      </c>
      <c r="M961" s="18" t="s">
        <v>6687</v>
      </c>
      <c r="T961" s="3" t="s">
        <v>2147</v>
      </c>
      <c r="V961" s="4" t="s">
        <v>23</v>
      </c>
      <c r="W961" s="1" t="s">
        <v>26</v>
      </c>
    </row>
    <row r="962" spans="2:23" ht="11.25" hidden="1" customHeight="1" x14ac:dyDescent="0.25">
      <c r="B962" s="3" t="s">
        <v>2160</v>
      </c>
      <c r="C962" s="3" t="s">
        <v>2034</v>
      </c>
      <c r="D962" s="1" t="s">
        <v>20</v>
      </c>
      <c r="E962" s="1" t="s">
        <v>28</v>
      </c>
      <c r="H962" s="1" t="s">
        <v>2161</v>
      </c>
      <c r="I962" s="1" t="s">
        <v>956</v>
      </c>
      <c r="J962" s="1" t="s">
        <v>112</v>
      </c>
      <c r="K962" s="1" t="s">
        <v>113</v>
      </c>
      <c r="L962" s="2">
        <v>46046</v>
      </c>
      <c r="M962" s="18" t="s">
        <v>6687</v>
      </c>
      <c r="T962" s="3" t="s">
        <v>1640</v>
      </c>
      <c r="V962" s="4" t="s">
        <v>956</v>
      </c>
      <c r="W962" s="1" t="s">
        <v>107</v>
      </c>
    </row>
    <row r="963" spans="2:23" ht="11.25" hidden="1" customHeight="1" x14ac:dyDescent="0.25">
      <c r="B963" s="3" t="s">
        <v>2162</v>
      </c>
      <c r="C963" s="3" t="s">
        <v>2162</v>
      </c>
      <c r="D963" s="1" t="s">
        <v>348</v>
      </c>
      <c r="E963" s="1" t="s">
        <v>28</v>
      </c>
      <c r="H963" s="1" t="s">
        <v>2163</v>
      </c>
      <c r="I963" s="1" t="s">
        <v>350</v>
      </c>
      <c r="J963" s="1" t="s">
        <v>76</v>
      </c>
      <c r="K963" s="1" t="s">
        <v>161</v>
      </c>
      <c r="L963" s="2">
        <v>46046</v>
      </c>
      <c r="M963" s="18" t="s">
        <v>6687</v>
      </c>
      <c r="T963" s="3" t="s">
        <v>1764</v>
      </c>
      <c r="V963" s="4" t="s">
        <v>350</v>
      </c>
      <c r="W963" s="1" t="s">
        <v>351</v>
      </c>
    </row>
    <row r="964" spans="2:23" ht="11.25" hidden="1" customHeight="1" x14ac:dyDescent="0.25">
      <c r="B964" s="17" t="s">
        <v>2164</v>
      </c>
      <c r="C964" s="17" t="s">
        <v>2164</v>
      </c>
      <c r="D964" s="1" t="s">
        <v>348</v>
      </c>
      <c r="E964" s="1" t="s">
        <v>28</v>
      </c>
      <c r="H964" s="1" t="s">
        <v>2165</v>
      </c>
      <c r="I964" s="1" t="s">
        <v>350</v>
      </c>
      <c r="J964" s="1" t="s">
        <v>228</v>
      </c>
      <c r="K964" s="1" t="s">
        <v>376</v>
      </c>
      <c r="L964" s="2">
        <v>46047</v>
      </c>
      <c r="M964" s="18" t="s">
        <v>6687</v>
      </c>
      <c r="T964" s="3" t="s">
        <v>1764</v>
      </c>
      <c r="V964" s="4" t="s">
        <v>350</v>
      </c>
      <c r="W964" s="1" t="s">
        <v>351</v>
      </c>
    </row>
    <row r="965" spans="2:23" ht="11.25" hidden="1" customHeight="1" x14ac:dyDescent="0.25">
      <c r="B965" s="17" t="s">
        <v>2166</v>
      </c>
      <c r="C965" s="17" t="s">
        <v>2166</v>
      </c>
      <c r="D965" s="1" t="s">
        <v>348</v>
      </c>
      <c r="E965" s="1" t="s">
        <v>28</v>
      </c>
      <c r="H965" s="1" t="s">
        <v>2167</v>
      </c>
      <c r="I965" s="1" t="s">
        <v>350</v>
      </c>
      <c r="J965" s="1" t="s">
        <v>1311</v>
      </c>
      <c r="K965" s="1" t="s">
        <v>1312</v>
      </c>
      <c r="L965" s="2">
        <v>46048</v>
      </c>
      <c r="M965" s="18" t="s">
        <v>6687</v>
      </c>
      <c r="T965" s="3" t="s">
        <v>2168</v>
      </c>
      <c r="V965" s="4" t="s">
        <v>350</v>
      </c>
      <c r="W965" s="1" t="s">
        <v>351</v>
      </c>
    </row>
    <row r="966" spans="2:23" ht="11.25" hidden="1" customHeight="1" x14ac:dyDescent="0.25">
      <c r="B966" s="45">
        <v>2010319</v>
      </c>
      <c r="C966" s="45">
        <v>2010319</v>
      </c>
      <c r="D966" s="1" t="s">
        <v>20</v>
      </c>
      <c r="E966" s="1" t="s">
        <v>28</v>
      </c>
      <c r="H966" s="1" t="s">
        <v>2169</v>
      </c>
      <c r="I966" s="1" t="s">
        <v>23</v>
      </c>
      <c r="J966" s="1" t="s">
        <v>1788</v>
      </c>
      <c r="K966" s="1" t="s">
        <v>1789</v>
      </c>
      <c r="L966" s="2">
        <v>45972</v>
      </c>
      <c r="M966" s="18" t="s">
        <v>6687</v>
      </c>
      <c r="T966" s="3" t="s">
        <v>2147</v>
      </c>
      <c r="V966" s="4" t="s">
        <v>23</v>
      </c>
      <c r="W966" s="1" t="s">
        <v>26</v>
      </c>
    </row>
    <row r="967" spans="2:23" ht="11.25" hidden="1" customHeight="1" x14ac:dyDescent="0.25">
      <c r="B967" s="1" t="s">
        <v>2032</v>
      </c>
      <c r="C967" s="3" t="s">
        <v>2032</v>
      </c>
      <c r="D967" s="1" t="s">
        <v>20</v>
      </c>
      <c r="E967" s="1" t="s">
        <v>28</v>
      </c>
      <c r="H967" s="1" t="s">
        <v>2170</v>
      </c>
      <c r="I967" s="1" t="s">
        <v>23</v>
      </c>
      <c r="J967" s="1" t="s">
        <v>2059</v>
      </c>
      <c r="K967" s="1" t="s">
        <v>2060</v>
      </c>
      <c r="L967" s="2">
        <v>46023</v>
      </c>
      <c r="M967" s="18" t="s">
        <v>6687</v>
      </c>
      <c r="T967" s="17" t="s">
        <v>2028</v>
      </c>
      <c r="V967" s="4" t="s">
        <v>23</v>
      </c>
      <c r="W967" s="1" t="s">
        <v>26</v>
      </c>
    </row>
    <row r="968" spans="2:23" ht="11.25" hidden="1" customHeight="1" x14ac:dyDescent="0.25">
      <c r="B968" s="1" t="s">
        <v>2171</v>
      </c>
      <c r="C968" s="17" t="s">
        <v>2014</v>
      </c>
      <c r="D968" s="1" t="s">
        <v>20</v>
      </c>
      <c r="E968" s="1" t="s">
        <v>28</v>
      </c>
      <c r="H968" s="1" t="s">
        <v>2172</v>
      </c>
      <c r="I968" s="1" t="s">
        <v>23</v>
      </c>
      <c r="J968" s="1" t="s">
        <v>2044</v>
      </c>
      <c r="K968" s="1" t="s">
        <v>2045</v>
      </c>
      <c r="L968" s="2">
        <v>46075</v>
      </c>
      <c r="M968" s="18" t="s">
        <v>6687</v>
      </c>
      <c r="T968" s="17" t="s">
        <v>334</v>
      </c>
      <c r="V968" s="4" t="s">
        <v>23</v>
      </c>
      <c r="W968" s="1" t="s">
        <v>26</v>
      </c>
    </row>
    <row r="969" spans="2:23" ht="11.25" hidden="1" customHeight="1" x14ac:dyDescent="0.25">
      <c r="B969" s="1" t="s">
        <v>2173</v>
      </c>
      <c r="C969" s="17" t="s">
        <v>2174</v>
      </c>
      <c r="D969" s="1" t="s">
        <v>20</v>
      </c>
      <c r="E969" s="1" t="s">
        <v>28</v>
      </c>
      <c r="H969" s="1" t="s">
        <v>2175</v>
      </c>
      <c r="I969" s="1" t="s">
        <v>23</v>
      </c>
      <c r="J969" s="1" t="s">
        <v>1311</v>
      </c>
      <c r="K969" s="1" t="s">
        <v>1312</v>
      </c>
      <c r="L969" s="2">
        <v>46060</v>
      </c>
      <c r="M969" s="18" t="s">
        <v>6687</v>
      </c>
      <c r="T969" s="17" t="s">
        <v>1628</v>
      </c>
      <c r="V969" s="4" t="s">
        <v>23</v>
      </c>
      <c r="W969" s="1" t="s">
        <v>26</v>
      </c>
    </row>
    <row r="970" spans="2:23" ht="11.25" hidden="1" customHeight="1" x14ac:dyDescent="0.25">
      <c r="B970" s="1" t="s">
        <v>2176</v>
      </c>
      <c r="C970" s="17" t="s">
        <v>2176</v>
      </c>
      <c r="D970" s="1" t="s">
        <v>348</v>
      </c>
      <c r="E970" s="1" t="s">
        <v>28</v>
      </c>
      <c r="H970" s="1" t="s">
        <v>2177</v>
      </c>
      <c r="I970" s="1" t="s">
        <v>350</v>
      </c>
      <c r="J970" s="1" t="s">
        <v>379</v>
      </c>
      <c r="K970" s="1" t="s">
        <v>1453</v>
      </c>
      <c r="L970" s="2">
        <v>46044</v>
      </c>
      <c r="M970" s="18" t="s">
        <v>6687</v>
      </c>
      <c r="T970" s="3" t="s">
        <v>2147</v>
      </c>
      <c r="V970" s="4" t="s">
        <v>350</v>
      </c>
      <c r="W970" s="1" t="s">
        <v>351</v>
      </c>
    </row>
    <row r="971" spans="2:23" ht="11.25" hidden="1" customHeight="1" x14ac:dyDescent="0.25">
      <c r="B971" s="1" t="s">
        <v>2178</v>
      </c>
      <c r="C971" s="17" t="s">
        <v>1704</v>
      </c>
      <c r="D971" s="1" t="s">
        <v>348</v>
      </c>
      <c r="E971" s="1" t="s">
        <v>28</v>
      </c>
      <c r="H971" s="1" t="s">
        <v>2179</v>
      </c>
      <c r="I971" s="1" t="s">
        <v>350</v>
      </c>
      <c r="J971" s="1" t="s">
        <v>228</v>
      </c>
      <c r="K971" s="1" t="s">
        <v>376</v>
      </c>
      <c r="L971" s="2">
        <v>46073</v>
      </c>
      <c r="M971" s="18" t="s">
        <v>6687</v>
      </c>
      <c r="T971" s="3" t="s">
        <v>1702</v>
      </c>
      <c r="V971" s="4" t="s">
        <v>350</v>
      </c>
      <c r="W971" s="1" t="s">
        <v>351</v>
      </c>
    </row>
    <row r="972" spans="2:23" ht="11.25" hidden="1" customHeight="1" x14ac:dyDescent="0.25">
      <c r="B972" s="46" t="s">
        <v>2180</v>
      </c>
      <c r="C972" s="43" t="s">
        <v>2180</v>
      </c>
      <c r="D972" s="1" t="s">
        <v>20</v>
      </c>
      <c r="E972" s="1" t="s">
        <v>28</v>
      </c>
      <c r="H972" s="1" t="s">
        <v>2181</v>
      </c>
      <c r="I972" s="1" t="s">
        <v>23</v>
      </c>
      <c r="J972" s="1" t="s">
        <v>1533</v>
      </c>
      <c r="K972" s="1" t="s">
        <v>1532</v>
      </c>
      <c r="L972" s="2">
        <v>45981</v>
      </c>
      <c r="M972" s="18" t="s">
        <v>6687</v>
      </c>
      <c r="T972" s="3" t="s">
        <v>2182</v>
      </c>
      <c r="V972" s="4" t="s">
        <v>23</v>
      </c>
      <c r="W972" s="1" t="s">
        <v>26</v>
      </c>
    </row>
    <row r="973" spans="2:23" ht="11.25" hidden="1" customHeight="1" x14ac:dyDescent="0.25">
      <c r="B973" s="1" t="s">
        <v>2183</v>
      </c>
      <c r="C973" s="43" t="s">
        <v>2184</v>
      </c>
      <c r="D973" s="1" t="s">
        <v>348</v>
      </c>
      <c r="E973" s="1" t="s">
        <v>28</v>
      </c>
      <c r="H973" s="1" t="s">
        <v>2185</v>
      </c>
      <c r="I973" s="1" t="s">
        <v>350</v>
      </c>
      <c r="J973" s="1" t="s">
        <v>1788</v>
      </c>
      <c r="K973" s="1" t="s">
        <v>1789</v>
      </c>
      <c r="L973" s="2">
        <v>46062</v>
      </c>
      <c r="M973" s="18" t="s">
        <v>6687</v>
      </c>
      <c r="T973" s="3" t="s">
        <v>2147</v>
      </c>
      <c r="V973" s="4" t="s">
        <v>350</v>
      </c>
      <c r="W973" s="1" t="s">
        <v>351</v>
      </c>
    </row>
    <row r="974" spans="2:23" ht="11.25" hidden="1" customHeight="1" x14ac:dyDescent="0.25">
      <c r="B974" s="1" t="s">
        <v>2186</v>
      </c>
      <c r="C974" s="43" t="s">
        <v>2187</v>
      </c>
      <c r="D974" s="1" t="s">
        <v>348</v>
      </c>
      <c r="E974" s="1" t="s">
        <v>28</v>
      </c>
      <c r="H974" s="1" t="s">
        <v>2188</v>
      </c>
      <c r="I974" s="1" t="s">
        <v>350</v>
      </c>
      <c r="J974" s="1" t="s">
        <v>1533</v>
      </c>
      <c r="K974" s="1" t="s">
        <v>1532</v>
      </c>
      <c r="L974" s="2">
        <v>46029</v>
      </c>
      <c r="M974" s="18" t="s">
        <v>6687</v>
      </c>
      <c r="T974" s="3" t="s">
        <v>2189</v>
      </c>
      <c r="V974" s="4" t="s">
        <v>350</v>
      </c>
      <c r="W974" s="1" t="s">
        <v>351</v>
      </c>
    </row>
    <row r="975" spans="2:23" ht="11.25" hidden="1" customHeight="1" x14ac:dyDescent="0.25">
      <c r="B975" s="46" t="s">
        <v>1844</v>
      </c>
      <c r="C975" s="43" t="s">
        <v>1844</v>
      </c>
      <c r="D975" s="1" t="s">
        <v>348</v>
      </c>
      <c r="E975" s="1" t="s">
        <v>28</v>
      </c>
      <c r="H975" s="1" t="s">
        <v>2190</v>
      </c>
      <c r="I975" s="1" t="s">
        <v>350</v>
      </c>
      <c r="J975" s="1" t="s">
        <v>1446</v>
      </c>
      <c r="K975" s="1" t="s">
        <v>2135</v>
      </c>
      <c r="L975" s="2">
        <v>46036</v>
      </c>
      <c r="M975" s="18" t="s">
        <v>6687</v>
      </c>
      <c r="T975" s="44" t="s">
        <v>1842</v>
      </c>
      <c r="V975" s="4" t="s">
        <v>350</v>
      </c>
      <c r="W975" s="1" t="s">
        <v>351</v>
      </c>
    </row>
    <row r="976" spans="2:23" ht="11.25" hidden="1" customHeight="1" x14ac:dyDescent="0.25">
      <c r="B976" s="46" t="s">
        <v>1876</v>
      </c>
      <c r="C976" s="43" t="s">
        <v>1876</v>
      </c>
      <c r="D976" s="1" t="s">
        <v>348</v>
      </c>
      <c r="E976" s="1" t="s">
        <v>28</v>
      </c>
      <c r="H976" s="1" t="s">
        <v>2191</v>
      </c>
      <c r="I976" s="1" t="s">
        <v>350</v>
      </c>
      <c r="J976" s="1" t="s">
        <v>1446</v>
      </c>
      <c r="K976" s="1" t="s">
        <v>2135</v>
      </c>
      <c r="L976" s="2">
        <v>46042</v>
      </c>
      <c r="M976" s="18" t="s">
        <v>6687</v>
      </c>
      <c r="T976" s="42" t="s">
        <v>1874</v>
      </c>
      <c r="V976" s="4" t="s">
        <v>350</v>
      </c>
      <c r="W976" s="1" t="s">
        <v>351</v>
      </c>
    </row>
    <row r="977" spans="1:24" ht="11.25" hidden="1" customHeight="1" x14ac:dyDescent="0.25">
      <c r="B977" s="1" t="s">
        <v>1861</v>
      </c>
      <c r="C977" s="17" t="s">
        <v>1861</v>
      </c>
      <c r="D977" s="1" t="s">
        <v>348</v>
      </c>
      <c r="E977" s="1" t="s">
        <v>28</v>
      </c>
      <c r="H977" s="1" t="s">
        <v>2192</v>
      </c>
      <c r="I977" s="1" t="s">
        <v>350</v>
      </c>
      <c r="J977" s="1" t="s">
        <v>1446</v>
      </c>
      <c r="K977" s="1" t="s">
        <v>2135</v>
      </c>
      <c r="L977" s="2">
        <v>46044</v>
      </c>
      <c r="M977" s="18" t="s">
        <v>6687</v>
      </c>
      <c r="T977" s="42" t="s">
        <v>1859</v>
      </c>
      <c r="V977" s="4" t="s">
        <v>350</v>
      </c>
      <c r="W977" s="1" t="s">
        <v>351</v>
      </c>
    </row>
    <row r="978" spans="1:24" ht="11.25" hidden="1" customHeight="1" x14ac:dyDescent="0.25">
      <c r="B978" s="1" t="s">
        <v>2193</v>
      </c>
      <c r="C978" s="17" t="s">
        <v>2193</v>
      </c>
      <c r="D978" s="1" t="s">
        <v>20</v>
      </c>
      <c r="E978" s="1" t="s">
        <v>28</v>
      </c>
      <c r="H978" s="1" t="s">
        <v>2194</v>
      </c>
      <c r="I978" s="1" t="s">
        <v>23</v>
      </c>
      <c r="J978" s="1" t="s">
        <v>2195</v>
      </c>
      <c r="K978" s="1" t="s">
        <v>2194</v>
      </c>
      <c r="L978" s="2">
        <v>45689</v>
      </c>
      <c r="M978" s="18" t="s">
        <v>6687</v>
      </c>
      <c r="V978" s="4" t="s">
        <v>23</v>
      </c>
      <c r="W978" s="1" t="s">
        <v>26</v>
      </c>
    </row>
    <row r="979" spans="1:24" ht="11.25" hidden="1" customHeight="1" x14ac:dyDescent="0.25">
      <c r="B979" s="47" t="s">
        <v>2196</v>
      </c>
      <c r="C979" s="17" t="s">
        <v>2197</v>
      </c>
      <c r="D979" s="1" t="s">
        <v>348</v>
      </c>
      <c r="E979" s="1" t="s">
        <v>28</v>
      </c>
      <c r="H979" s="1" t="s">
        <v>2198</v>
      </c>
      <c r="I979" s="1" t="s">
        <v>350</v>
      </c>
      <c r="J979" s="1" t="s">
        <v>1533</v>
      </c>
      <c r="K979" s="1" t="s">
        <v>1532</v>
      </c>
      <c r="L979" s="2">
        <v>46034</v>
      </c>
      <c r="M979" s="18" t="s">
        <v>6687</v>
      </c>
      <c r="T979" s="3" t="s">
        <v>2199</v>
      </c>
      <c r="V979" s="4" t="s">
        <v>350</v>
      </c>
      <c r="W979" s="1" t="s">
        <v>351</v>
      </c>
    </row>
    <row r="980" spans="1:24" ht="11.25" hidden="1" customHeight="1" x14ac:dyDescent="0.25">
      <c r="A980" s="54" t="s">
        <v>6685</v>
      </c>
      <c r="B980" s="48" t="s">
        <v>2200</v>
      </c>
      <c r="C980" s="17" t="s">
        <v>1016</v>
      </c>
      <c r="D980" s="1" t="s">
        <v>348</v>
      </c>
      <c r="E980" s="1" t="s">
        <v>28</v>
      </c>
      <c r="F980" s="1" t="s">
        <v>6684</v>
      </c>
      <c r="G980" s="1" t="s">
        <v>6684</v>
      </c>
      <c r="H980" s="1" t="s">
        <v>2201</v>
      </c>
      <c r="I980" s="1" t="s">
        <v>350</v>
      </c>
      <c r="J980" s="1" t="s">
        <v>2044</v>
      </c>
      <c r="K980" s="1" t="s">
        <v>2045</v>
      </c>
      <c r="L980" s="2">
        <v>46087</v>
      </c>
      <c r="M980" s="18" t="s">
        <v>6687</v>
      </c>
      <c r="T980" s="3" t="s">
        <v>1014</v>
      </c>
      <c r="V980" s="4" t="s">
        <v>350</v>
      </c>
      <c r="W980" s="1" t="s">
        <v>351</v>
      </c>
    </row>
    <row r="981" spans="1:24" ht="11.25" hidden="1" customHeight="1" x14ac:dyDescent="0.25">
      <c r="B981" s="1" t="s">
        <v>2202</v>
      </c>
      <c r="C981" s="17" t="str">
        <f>VLOOKUP(B981,'For consider'!D:E,2,0)</f>
        <v>09HNOCH003</v>
      </c>
      <c r="D981" s="1" t="s">
        <v>20</v>
      </c>
      <c r="E981" s="1" t="str">
        <f>IF(AND(F981="Đã ký",G981&lt;&gt;"Chưa có trong file PMO"),"Waiting for open",IF(F981="Đã ký","Lock mb chưa thi công","Chưa triển khai"))</f>
        <v>Waiting for open</v>
      </c>
      <c r="F981" s="1" t="str">
        <f>IFERROR(VLOOKUP(B981,'Plan 2026'!B:AC,28,0),"không có trong file network")</f>
        <v>Đã ký</v>
      </c>
      <c r="G981" s="1" t="str">
        <f>IFERROR(IF(VLOOKUP(B981,'TCH (append)'!C:P,14,0)="Completed","Hoàn thành thi công",
IF(VLOOKUP(B981,'TCH (append)'!C:K,9,0)="Completed","Hoàn thành đấu thầu",
IF(VLOOKUP(B981,'TCH (append)'!C:J,8,0)="Completed","Hoàn thành dự toán",
IF(VLOOKUP(B981,'TCH (append)'!C:I,7,0)="Completed","Hoàn thành thiết kế",
"Chưa thiết kế")))),"Chưa có trong file PMO")</f>
        <v>Hoàn thành dự toán</v>
      </c>
      <c r="H981" s="1" t="s">
        <v>2203</v>
      </c>
      <c r="I981" s="1" t="s">
        <v>23</v>
      </c>
      <c r="J981" s="1" t="s">
        <v>1506</v>
      </c>
      <c r="K981" s="1" t="s">
        <v>1507</v>
      </c>
      <c r="L981" s="2">
        <f>IF(
    F981&lt;&gt;"Đã ký",
    "Chưa triển khai",
    IF(
        IFERROR(VLOOKUP(B981,TCH[[Code budget]:[Ngày kết thúc thi công theo kế hoạch]],10,0),0)&gt;0,
        VLOOKUP(B981,TCH[[Code budget]:[Ngày kết thúc thi công theo kế hoạch]],10,0),
        IFERROR(
            DATE(2026,VLOOKUP(B981,'Plan 2026'!B:H,7,0),31),
            "Chưa triển khai"
        )
    )
)</f>
        <v>46162</v>
      </c>
      <c r="M981" s="2" t="s">
        <v>6688</v>
      </c>
      <c r="N981" s="2">
        <v>46174</v>
      </c>
      <c r="X981" s="1" t="s">
        <v>2204</v>
      </c>
    </row>
    <row r="982" spans="1:24" ht="11.25" hidden="1" customHeight="1" x14ac:dyDescent="0.25">
      <c r="B982" s="1" t="s">
        <v>2205</v>
      </c>
      <c r="C982" s="17" t="str">
        <f>B982</f>
        <v>09HNOSK004</v>
      </c>
      <c r="D982" s="1" t="s">
        <v>20</v>
      </c>
      <c r="E982" s="1" t="str">
        <f t="shared" ref="E982:E1043" si="0">IF(AND(F982="Đã ký",G982&lt;&gt;"Chưa có trong file PMO"),"Waiting for open",IF(F982="Đã ký","Lock mb chưa thi công","Chưa triển khai"))</f>
        <v>Chưa triển khai</v>
      </c>
      <c r="F982" s="1" t="str">
        <f>IFERROR(VLOOKUP(B982,'Plan 2026'!B:AC,28,0),"không có trong file network")</f>
        <v>Chưa có</v>
      </c>
      <c r="G982" s="1" t="str">
        <f>IFERROR(IF(VLOOKUP(B982,'TCH (append)'!C:P,14,0)="Completed","Hoàn thành thi công",
IF(VLOOKUP(B982,'TCH (append)'!C:K,9,0)="Completed","Hoàn thành đấu thầu",
IF(VLOOKUP(B982,'TCH (append)'!C:J,8,0)="Completed","Hoàn thành dự toán",
IF(VLOOKUP(B982,'TCH (append)'!C:I,7,0)="Completed","Hoàn thành thiết kế",
"Chưa thiết kế")))),"Chưa có trong file PMO")</f>
        <v>Chưa có trong file PMO</v>
      </c>
      <c r="H982" s="1" t="s">
        <v>2206</v>
      </c>
      <c r="I982" s="1" t="s">
        <v>23</v>
      </c>
      <c r="J982" s="1" t="s">
        <v>1603</v>
      </c>
      <c r="K982" s="1" t="s">
        <v>1604</v>
      </c>
      <c r="L982" s="2" t="str">
        <f>IF(
    F982&lt;&gt;"Đã ký",
    "Chưa triển khai",
    IF(
        IFERROR(VLOOKUP(B982,TCH[[Code budget]:[Ngày kết thúc thi công theo kế hoạch]],10,0),0)&gt;0,
        VLOOKUP(B982,TCH[[Code budget]:[Ngày kết thúc thi công theo kế hoạch]],10,0),
        IFERROR(
            DATE(2026,VLOOKUP(B982,'Plan 2026'!B:H,7,0),31),
            "Chưa triển khai"
        )
    )
)</f>
        <v>Chưa triển khai</v>
      </c>
      <c r="M982" s="2" t="s">
        <v>6688</v>
      </c>
      <c r="N982" s="2">
        <v>46174</v>
      </c>
      <c r="X982" s="1" t="s">
        <v>2204</v>
      </c>
    </row>
    <row r="983" spans="1:24" ht="11.25" hidden="1" customHeight="1" x14ac:dyDescent="0.25">
      <c r="B983" s="1" t="s">
        <v>2207</v>
      </c>
      <c r="C983" s="17" t="str">
        <f>IFERROR(LEFT(VLOOKUP(B983,'For consider'!D:E,2,0),8),"Chưa có code")</f>
        <v>Chưa có code</v>
      </c>
      <c r="D983" s="1" t="s">
        <v>20</v>
      </c>
      <c r="E983" s="1" t="str">
        <f t="shared" si="0"/>
        <v>Chưa triển khai</v>
      </c>
      <c r="F983" s="1" t="str">
        <f>IFERROR(VLOOKUP(B983,'Plan 2026'!B:AC,28,0),"không có trong file network")</f>
        <v>Chưa có</v>
      </c>
      <c r="G983" s="1" t="str">
        <f>IFERROR(IF(VLOOKUP(B983,'TCH (append)'!C:P,14,0)="Completed","Hoàn thành thi công",
IF(VLOOKUP(B983,'TCH (append)'!C:K,9,0)="Completed","Hoàn thành đấu thầu",
IF(VLOOKUP(B983,'TCH (append)'!C:J,8,0)="Completed","Hoàn thành dự toán",
IF(VLOOKUP(B983,'TCH (append)'!C:I,7,0)="Completed","Hoàn thành thiết kế",
"Chưa thiết kế")))),"Chưa có trong file PMO")</f>
        <v>Chưa có trong file PMO</v>
      </c>
      <c r="H983" s="1" t="s">
        <v>2208</v>
      </c>
      <c r="I983" s="1" t="s">
        <v>23</v>
      </c>
      <c r="J983" s="1" t="s">
        <v>51</v>
      </c>
      <c r="K983" s="1" t="s">
        <v>52</v>
      </c>
      <c r="L983" s="2" t="str">
        <f>IF(
    F983&lt;&gt;"Đã ký",
    "Chưa triển khai",
    IF(
        IFERROR(VLOOKUP(B983,TCH[[Code budget]:[Ngày kết thúc thi công theo kế hoạch]],10,0),0)&gt;0,
        VLOOKUP(B983,TCH[[Code budget]:[Ngày kết thúc thi công theo kế hoạch]],10,0),
        IFERROR(
            DATE(2026,VLOOKUP(B983,'Plan 2026'!B:H,7,0),31),
            "Chưa triển khai"
        )
    )
)</f>
        <v>Chưa triển khai</v>
      </c>
      <c r="M983" s="2" t="s">
        <v>6688</v>
      </c>
      <c r="N983" s="2">
        <v>46082</v>
      </c>
      <c r="X983" s="1" t="s">
        <v>2204</v>
      </c>
    </row>
    <row r="984" spans="1:24" ht="11.25" hidden="1" customHeight="1" x14ac:dyDescent="0.25">
      <c r="B984" s="1" t="s">
        <v>2209</v>
      </c>
      <c r="C984" s="17" t="str">
        <f>IFERROR(LEFT(VLOOKUP(B984,'For consider'!D:E,2,0),8),"Chưa có code")</f>
        <v>Chưa có code</v>
      </c>
      <c r="D984" s="1" t="s">
        <v>20</v>
      </c>
      <c r="E984" s="1" t="str">
        <f t="shared" si="0"/>
        <v>Chưa triển khai</v>
      </c>
      <c r="F984" s="1" t="str">
        <f>IFERROR(VLOOKUP(B984,'Plan 2026'!B:AC,28,0),"không có trong file network")</f>
        <v>Chưa có</v>
      </c>
      <c r="G984" s="1" t="str">
        <f>IFERROR(IF(VLOOKUP(B984,'TCH (append)'!C:P,14,0)="Completed","Hoàn thành thi công",
IF(VLOOKUP(B984,'TCH (append)'!C:K,9,0)="Completed","Hoàn thành đấu thầu",
IF(VLOOKUP(B984,'TCH (append)'!C:J,8,0)="Completed","Hoàn thành dự toán",
IF(VLOOKUP(B984,'TCH (append)'!C:I,7,0)="Completed","Hoàn thành thiết kế",
"Chưa thiết kế")))),"Chưa có trong file PMO")</f>
        <v>Chưa có trong file PMO</v>
      </c>
      <c r="H984" s="1" t="s">
        <v>2210</v>
      </c>
      <c r="I984" s="1" t="s">
        <v>23</v>
      </c>
      <c r="J984" s="1" t="s">
        <v>1311</v>
      </c>
      <c r="K984" s="1" t="s">
        <v>1312</v>
      </c>
      <c r="L984" s="2" t="str">
        <f>IF(
    F984&lt;&gt;"Đã ký",
    "Chưa triển khai",
    IF(
        IFERROR(VLOOKUP(B984,TCH[[Code budget]:[Ngày kết thúc thi công theo kế hoạch]],10,0),0)&gt;0,
        VLOOKUP(B984,TCH[[Code budget]:[Ngày kết thúc thi công theo kế hoạch]],10,0),
        IFERROR(
            DATE(2026,VLOOKUP(B984,'Plan 2026'!B:H,7,0),31),
            "Chưa triển khai"
        )
    )
)</f>
        <v>Chưa triển khai</v>
      </c>
      <c r="M984" s="2" t="s">
        <v>6688</v>
      </c>
      <c r="N984" s="2">
        <v>46054</v>
      </c>
      <c r="X984" s="1" t="s">
        <v>2204</v>
      </c>
    </row>
    <row r="985" spans="1:24" ht="11.25" hidden="1" customHeight="1" x14ac:dyDescent="0.25">
      <c r="B985" s="1" t="s">
        <v>2211</v>
      </c>
      <c r="C985" s="17" t="str">
        <f>IFERROR(LEFT(VLOOKUP(B985,'For consider'!D:E,2,0),8),"Chưa có code")</f>
        <v>Chưa có code</v>
      </c>
      <c r="D985" s="1" t="s">
        <v>348</v>
      </c>
      <c r="E985" s="1" t="str">
        <f t="shared" si="0"/>
        <v>Chưa triển khai</v>
      </c>
      <c r="F985" s="1" t="str">
        <f>IFERROR(VLOOKUP(B985,'Plan 2026'!B:AC,28,0),"không có trong file network")</f>
        <v>Chưa có</v>
      </c>
      <c r="G985" s="1" t="str">
        <f>IFERROR(IF(VLOOKUP(B985,'TCH (append)'!C:P,14,0)="Completed","Hoàn thành thi công",
IF(VLOOKUP(B985,'TCH (append)'!C:K,9,0)="Completed","Hoàn thành đấu thầu",
IF(VLOOKUP(B985,'TCH (append)'!C:J,8,0)="Completed","Hoàn thành dự toán",
IF(VLOOKUP(B985,'TCH (append)'!C:I,7,0)="Completed","Hoàn thành thiết kế",
"Chưa thiết kế")))),"Chưa có trong file PMO")</f>
        <v>Chưa có trong file PMO</v>
      </c>
      <c r="H985" s="1" t="s">
        <v>2212</v>
      </c>
      <c r="I985" s="1" t="s">
        <v>350</v>
      </c>
      <c r="J985" s="1" t="s">
        <v>1771</v>
      </c>
      <c r="K985" s="1" t="s">
        <v>1772</v>
      </c>
      <c r="L985" s="2" t="str">
        <f>IF(
    F985&lt;&gt;"Đã ký",
    "Chưa triển khai",
    IF(
        IFERROR(VLOOKUP(B985,TCH[[Code budget]:[Ngày kết thúc thi công theo kế hoạch]],10,0),0)&gt;0,
        VLOOKUP(B985,TCH[[Code budget]:[Ngày kết thúc thi công theo kế hoạch]],10,0),
        IFERROR(
            DATE(2026,VLOOKUP(B985,'Plan 2026'!B:H,7,0),31),
            "Chưa triển khai"
        )
    )
)</f>
        <v>Chưa triển khai</v>
      </c>
      <c r="M985" s="2" t="s">
        <v>6688</v>
      </c>
      <c r="N985" s="2">
        <v>46023</v>
      </c>
      <c r="X985" s="1" t="s">
        <v>2204</v>
      </c>
    </row>
    <row r="986" spans="1:24" ht="11.25" hidden="1" customHeight="1" x14ac:dyDescent="0.25">
      <c r="B986" s="1" t="s">
        <v>2213</v>
      </c>
      <c r="C986" s="17" t="str">
        <f>IFERROR(LEFT(VLOOKUP(B986,'For consider'!D:E,2,0),8),"Chưa có code")</f>
        <v>Chưa có code</v>
      </c>
      <c r="D986" s="1" t="s">
        <v>348</v>
      </c>
      <c r="E986" s="1" t="str">
        <f t="shared" si="0"/>
        <v>Chưa triển khai</v>
      </c>
      <c r="F986" s="1" t="str">
        <f>IFERROR(VLOOKUP(B986,'Plan 2026'!B:AC,28,0),"không có trong file network")</f>
        <v>Chưa có</v>
      </c>
      <c r="G986" s="1" t="str">
        <f>IFERROR(IF(VLOOKUP(B986,'TCH (append)'!C:P,14,0)="Completed","Hoàn thành thi công",
IF(VLOOKUP(B986,'TCH (append)'!C:K,9,0)="Completed","Hoàn thành đấu thầu",
IF(VLOOKUP(B986,'TCH (append)'!C:J,8,0)="Completed","Hoàn thành dự toán",
IF(VLOOKUP(B986,'TCH (append)'!C:I,7,0)="Completed","Hoàn thành thiết kế",
"Chưa thiết kế")))),"Chưa có trong file PMO")</f>
        <v>Chưa có trong file PMO</v>
      </c>
      <c r="H986" s="1" t="s">
        <v>2214</v>
      </c>
      <c r="I986" s="1" t="s">
        <v>350</v>
      </c>
      <c r="J986" s="1" t="s">
        <v>51</v>
      </c>
      <c r="K986" s="1" t="s">
        <v>52</v>
      </c>
      <c r="L986" s="2" t="str">
        <f>IF(
    F986&lt;&gt;"Đã ký",
    "Chưa triển khai",
    IF(
        IFERROR(VLOOKUP(B986,TCH[[Code budget]:[Ngày kết thúc thi công theo kế hoạch]],10,0),0)&gt;0,
        VLOOKUP(B986,TCH[[Code budget]:[Ngày kết thúc thi công theo kế hoạch]],10,0),
        IFERROR(
            DATE(2026,VLOOKUP(B986,'Plan 2026'!B:H,7,0),31),
            "Chưa triển khai"
        )
    )
)</f>
        <v>Chưa triển khai</v>
      </c>
      <c r="M986" s="2" t="s">
        <v>6688</v>
      </c>
      <c r="N986" s="2">
        <v>46235</v>
      </c>
      <c r="X986" s="1" t="s">
        <v>2204</v>
      </c>
    </row>
    <row r="987" spans="1:24" ht="11.25" hidden="1" customHeight="1" x14ac:dyDescent="0.25">
      <c r="B987" s="1" t="s">
        <v>2215</v>
      </c>
      <c r="C987" s="17" t="str">
        <f>IFERROR(LEFT(VLOOKUP(B987,'For consider'!D:E,2,0),8),"Chưa có code")</f>
        <v>Chưa có code</v>
      </c>
      <c r="D987" s="1" t="s">
        <v>348</v>
      </c>
      <c r="E987" s="1" t="str">
        <f t="shared" si="0"/>
        <v>Chưa triển khai</v>
      </c>
      <c r="F987" s="1" t="str">
        <f>IFERROR(VLOOKUP(B987,'Plan 2026'!B:AC,28,0),"không có trong file network")</f>
        <v>Không có</v>
      </c>
      <c r="G987" s="1" t="str">
        <f>IFERROR(IF(VLOOKUP(B987,'TCH (append)'!C:P,14,0)="Completed","Hoàn thành thi công",
IF(VLOOKUP(B987,'TCH (append)'!C:K,9,0)="Completed","Hoàn thành đấu thầu",
IF(VLOOKUP(B987,'TCH (append)'!C:J,8,0)="Completed","Hoàn thành dự toán",
IF(VLOOKUP(B987,'TCH (append)'!C:I,7,0)="Completed","Hoàn thành thiết kế",
"Chưa thiết kế")))),"Chưa có trong file PMO")</f>
        <v>Chưa có trong file PMO</v>
      </c>
      <c r="H987" s="1" t="s">
        <v>2216</v>
      </c>
      <c r="I987" s="1" t="s">
        <v>350</v>
      </c>
      <c r="J987" s="1" t="s">
        <v>51</v>
      </c>
      <c r="K987" s="1" t="s">
        <v>52</v>
      </c>
      <c r="L987" s="2" t="str">
        <f>IF(
    F987&lt;&gt;"Đã ký",
    "Chưa triển khai",
    IF(
        IFERROR(VLOOKUP(B987,TCH[[Code budget]:[Ngày kết thúc thi công theo kế hoạch]],10,0),0)&gt;0,
        VLOOKUP(B987,TCH[[Code budget]:[Ngày kết thúc thi công theo kế hoạch]],10,0),
        IFERROR(
            DATE(2026,VLOOKUP(B987,'Plan 2026'!B:H,7,0),31),
            "Chưa triển khai"
        )
    )
)</f>
        <v>Chưa triển khai</v>
      </c>
      <c r="M987" s="2" t="s">
        <v>6688</v>
      </c>
      <c r="N987" s="2">
        <v>46296</v>
      </c>
      <c r="X987" s="1" t="s">
        <v>2204</v>
      </c>
    </row>
    <row r="988" spans="1:24" ht="11.25" hidden="1" customHeight="1" x14ac:dyDescent="0.25">
      <c r="B988" s="1" t="s">
        <v>2217</v>
      </c>
      <c r="C988" s="17" t="str">
        <f>IFERROR(LEFT(VLOOKUP(B988,'For consider'!D:E,2,0),8),"Chưa có code")</f>
        <v>10AS5030</v>
      </c>
      <c r="D988" s="1" t="s">
        <v>20</v>
      </c>
      <c r="E988" s="1" t="str">
        <f t="shared" si="0"/>
        <v>Waiting for open</v>
      </c>
      <c r="F988" s="1" t="str">
        <f>IFERROR(VLOOKUP(B988,'Plan 2026'!B:AC,28,0),"không có trong file network")</f>
        <v>Đã ký</v>
      </c>
      <c r="G988" s="1" t="str">
        <f>IFERROR(IF(VLOOKUP(B988,'TCH (append)'!C:P,14,0)="Completed","Hoàn thành thi công",
IF(VLOOKUP(B988,'TCH (append)'!C:K,9,0)="Completed","Hoàn thành đấu thầu",
IF(VLOOKUP(B988,'TCH (append)'!C:J,8,0)="Completed","Hoàn thành dự toán",
IF(VLOOKUP(B988,'TCH (append)'!C:I,7,0)="Completed","Hoàn thành thiết kế",
"Chưa thiết kế")))),"Chưa có trong file PMO")</f>
        <v>Hoàn thành dự toán</v>
      </c>
      <c r="H988" s="1" t="s">
        <v>2218</v>
      </c>
      <c r="I988" s="1" t="s">
        <v>23</v>
      </c>
      <c r="J988" s="1" t="s">
        <v>24</v>
      </c>
      <c r="K988" s="1" t="s">
        <v>25</v>
      </c>
      <c r="L988" s="2">
        <f>IF(
    F988&lt;&gt;"Đã ký",
    "Chưa triển khai",
    IF(
        IFERROR(VLOOKUP(B988,TCH[[Code budget]:[Ngày kết thúc thi công theo kế hoạch]],10,0),0)&gt;0,
        VLOOKUP(B988,TCH[[Code budget]:[Ngày kết thúc thi công theo kế hoạch]],10,0),
        IFERROR(
            DATE(2026,VLOOKUP(B988,'Plan 2026'!B:H,7,0),31),
            "Chưa triển khai"
        )
    )
)</f>
        <v>46167</v>
      </c>
      <c r="M988" s="2" t="s">
        <v>6688</v>
      </c>
      <c r="N988" s="2">
        <v>46023</v>
      </c>
      <c r="X988" s="1" t="s">
        <v>2204</v>
      </c>
    </row>
    <row r="989" spans="1:24" ht="11.25" hidden="1" customHeight="1" x14ac:dyDescent="0.25">
      <c r="B989" s="1" t="s">
        <v>2219</v>
      </c>
      <c r="C989" s="17" t="str">
        <f>IFERROR(LEFT(VLOOKUP(B989,'For consider'!D:E,2,0),8),"Chưa có code")</f>
        <v>Chưa có code</v>
      </c>
      <c r="D989" s="1" t="s">
        <v>20</v>
      </c>
      <c r="E989" s="1" t="str">
        <f t="shared" si="0"/>
        <v>Chưa triển khai</v>
      </c>
      <c r="F989" s="1" t="str">
        <f>IFERROR(VLOOKUP(B989,'Plan 2026'!B:AC,28,0),"không có trong file network")</f>
        <v>không có trong file network</v>
      </c>
      <c r="G989" s="1" t="str">
        <f>IFERROR(IF(VLOOKUP(B989,'TCH (append)'!C:P,14,0)="Completed","Hoàn thành thi công",
IF(VLOOKUP(B989,'TCH (append)'!C:K,9,0)="Completed","Hoàn thành đấu thầu",
IF(VLOOKUP(B989,'TCH (append)'!C:J,8,0)="Completed","Hoàn thành dự toán",
IF(VLOOKUP(B989,'TCH (append)'!C:I,7,0)="Completed","Hoàn thành thiết kế",
"Chưa thiết kế")))),"Chưa có trong file PMO")</f>
        <v>Chưa có trong file PMO</v>
      </c>
      <c r="H989" s="1" t="s">
        <v>2220</v>
      </c>
      <c r="I989" s="1" t="s">
        <v>23</v>
      </c>
      <c r="J989" s="1" t="s">
        <v>1239</v>
      </c>
      <c r="K989" s="1" t="s">
        <v>1240</v>
      </c>
      <c r="L989" s="2" t="str">
        <f>IF(
    F989&lt;&gt;"Đã ký",
    "Chưa triển khai",
    IF(
        IFERROR(VLOOKUP(B989,TCH[[Code budget]:[Ngày kết thúc thi công theo kế hoạch]],10,0),0)&gt;0,
        VLOOKUP(B989,TCH[[Code budget]:[Ngày kết thúc thi công theo kế hoạch]],10,0),
        IFERROR(
            DATE(2026,VLOOKUP(B989,'Plan 2026'!B:H,7,0),31),
            "Chưa triển khai"
        )
    )
)</f>
        <v>Chưa triển khai</v>
      </c>
      <c r="M989" s="2" t="s">
        <v>6688</v>
      </c>
      <c r="N989" s="2">
        <v>46023</v>
      </c>
      <c r="X989" s="1" t="s">
        <v>2204</v>
      </c>
    </row>
    <row r="990" spans="1:24" ht="11.25" hidden="1" customHeight="1" x14ac:dyDescent="0.25">
      <c r="B990" s="1" t="s">
        <v>2221</v>
      </c>
      <c r="C990" s="17" t="str">
        <f>IFERROR(LEFT(VLOOKUP(B990,'For consider'!D:E,2,0),8),"Chưa có code")</f>
        <v>Chưa có code</v>
      </c>
      <c r="D990" s="1" t="s">
        <v>20</v>
      </c>
      <c r="E990" s="1" t="str">
        <f t="shared" si="0"/>
        <v>Chưa triển khai</v>
      </c>
      <c r="F990" s="1" t="str">
        <f>IFERROR(VLOOKUP(B990,'Plan 2026'!B:AC,28,0),"không có trong file network")</f>
        <v>không có trong file network</v>
      </c>
      <c r="G990" s="1" t="str">
        <f>IFERROR(IF(VLOOKUP(B990,'TCH (append)'!C:P,14,0)="Completed","Hoàn thành thi công",
IF(VLOOKUP(B990,'TCH (append)'!C:K,9,0)="Completed","Hoàn thành đấu thầu",
IF(VLOOKUP(B990,'TCH (append)'!C:J,8,0)="Completed","Hoàn thành dự toán",
IF(VLOOKUP(B990,'TCH (append)'!C:I,7,0)="Completed","Hoàn thành thiết kế",
"Chưa thiết kế")))),"Chưa có trong file PMO")</f>
        <v>Chưa có trong file PMO</v>
      </c>
      <c r="H990" s="1" t="s">
        <v>2222</v>
      </c>
      <c r="I990" s="1" t="s">
        <v>23</v>
      </c>
      <c r="J990" s="1" t="s">
        <v>1239</v>
      </c>
      <c r="K990" s="1" t="s">
        <v>1240</v>
      </c>
      <c r="L990" s="2" t="str">
        <f>IF(
    F990&lt;&gt;"Đã ký",
    "Chưa triển khai",
    IF(
        IFERROR(VLOOKUP(B990,TCH[[Code budget]:[Ngày kết thúc thi công theo kế hoạch]],10,0),0)&gt;0,
        VLOOKUP(B990,TCH[[Code budget]:[Ngày kết thúc thi công theo kế hoạch]],10,0),
        IFERROR(
            DATE(2026,VLOOKUP(B990,'Plan 2026'!B:H,7,0),31),
            "Chưa triển khai"
        )
    )
)</f>
        <v>Chưa triển khai</v>
      </c>
      <c r="M990" s="2" t="s">
        <v>6688</v>
      </c>
      <c r="N990" s="2">
        <v>46113</v>
      </c>
      <c r="X990" s="1" t="s">
        <v>2204</v>
      </c>
    </row>
    <row r="991" spans="1:24" ht="11.25" hidden="1" customHeight="1" x14ac:dyDescent="0.25">
      <c r="B991" s="1" t="s">
        <v>2223</v>
      </c>
      <c r="C991" s="17" t="str">
        <f>IFERROR(LEFT(VLOOKUP(B991,'For consider'!D:E,2,0),8),"Chưa có code")</f>
        <v>Chưa có code</v>
      </c>
      <c r="D991" s="1" t="s">
        <v>20</v>
      </c>
      <c r="E991" s="1" t="str">
        <f t="shared" si="0"/>
        <v>Chưa triển khai</v>
      </c>
      <c r="F991" s="1" t="str">
        <f>IFERROR(VLOOKUP(B991,'Plan 2026'!B:AC,28,0),"không có trong file network")</f>
        <v>không có trong file network</v>
      </c>
      <c r="G991" s="1" t="str">
        <f>IFERROR(IF(VLOOKUP(B991,'TCH (append)'!C:P,14,0)="Completed","Hoàn thành thi công",
IF(VLOOKUP(B991,'TCH (append)'!C:K,9,0)="Completed","Hoàn thành đấu thầu",
IF(VLOOKUP(B991,'TCH (append)'!C:J,8,0)="Completed","Hoàn thành dự toán",
IF(VLOOKUP(B991,'TCH (append)'!C:I,7,0)="Completed","Hoàn thành thiết kế",
"Chưa thiết kế")))),"Chưa có trong file PMO")</f>
        <v>Chưa có trong file PMO</v>
      </c>
      <c r="H991" s="1" t="s">
        <v>2224</v>
      </c>
      <c r="I991" s="1" t="s">
        <v>23</v>
      </c>
      <c r="J991" s="1" t="s">
        <v>1239</v>
      </c>
      <c r="K991" s="1" t="s">
        <v>1240</v>
      </c>
      <c r="L991" s="2" t="str">
        <f>IF(
    F991&lt;&gt;"Đã ký",
    "Chưa triển khai",
    IF(
        IFERROR(VLOOKUP(B991,TCH[[Code budget]:[Ngày kết thúc thi công theo kế hoạch]],10,0),0)&gt;0,
        VLOOKUP(B991,TCH[[Code budget]:[Ngày kết thúc thi công theo kế hoạch]],10,0),
        IFERROR(
            DATE(2026,VLOOKUP(B991,'Plan 2026'!B:H,7,0),31),
            "Chưa triển khai"
        )
    )
)</f>
        <v>Chưa triển khai</v>
      </c>
      <c r="M991" s="2" t="s">
        <v>6688</v>
      </c>
      <c r="N991" s="2">
        <v>46113</v>
      </c>
      <c r="X991" s="1" t="s">
        <v>2204</v>
      </c>
    </row>
    <row r="992" spans="1:24" ht="11.25" hidden="1" customHeight="1" x14ac:dyDescent="0.25">
      <c r="B992" s="1" t="s">
        <v>2225</v>
      </c>
      <c r="C992" s="17" t="str">
        <f>IFERROR(LEFT(VLOOKUP(B992,'For consider'!D:E,2,0),8),"Chưa có code")</f>
        <v>Chưa có code</v>
      </c>
      <c r="D992" s="1" t="s">
        <v>20</v>
      </c>
      <c r="E992" s="1" t="str">
        <f t="shared" si="0"/>
        <v>Chưa triển khai</v>
      </c>
      <c r="F992" s="1" t="str">
        <f>IFERROR(VLOOKUP(B992,'Plan 2026'!B:AC,28,0),"không có trong file network")</f>
        <v>không có trong file network</v>
      </c>
      <c r="G992" s="1" t="str">
        <f>IFERROR(IF(VLOOKUP(B992,'TCH (append)'!C:P,14,0)="Completed","Hoàn thành thi công",
IF(VLOOKUP(B992,'TCH (append)'!C:K,9,0)="Completed","Hoàn thành đấu thầu",
IF(VLOOKUP(B992,'TCH (append)'!C:J,8,0)="Completed","Hoàn thành dự toán",
IF(VLOOKUP(B992,'TCH (append)'!C:I,7,0)="Completed","Hoàn thành thiết kế",
"Chưa thiết kế")))),"Chưa có trong file PMO")</f>
        <v>Chưa có trong file PMO</v>
      </c>
      <c r="H992" s="1" t="s">
        <v>2226</v>
      </c>
      <c r="I992" s="1" t="s">
        <v>23</v>
      </c>
      <c r="J992" s="1" t="s">
        <v>1239</v>
      </c>
      <c r="K992" s="1" t="s">
        <v>1240</v>
      </c>
      <c r="L992" s="2" t="str">
        <f>IF(
    F992&lt;&gt;"Đã ký",
    "Chưa triển khai",
    IF(
        IFERROR(VLOOKUP(B992,TCH[[Code budget]:[Ngày kết thúc thi công theo kế hoạch]],10,0),0)&gt;0,
        VLOOKUP(B992,TCH[[Code budget]:[Ngày kết thúc thi công theo kế hoạch]],10,0),
        IFERROR(
            DATE(2026,VLOOKUP(B992,'Plan 2026'!B:H,7,0),31),
            "Chưa triển khai"
        )
    )
)</f>
        <v>Chưa triển khai</v>
      </c>
      <c r="M992" s="2" t="s">
        <v>6688</v>
      </c>
      <c r="N992" s="2">
        <v>46113</v>
      </c>
      <c r="X992" s="1" t="s">
        <v>2204</v>
      </c>
    </row>
    <row r="993" spans="2:24" ht="11.25" hidden="1" customHeight="1" x14ac:dyDescent="0.25">
      <c r="B993" s="1" t="s">
        <v>2227</v>
      </c>
      <c r="C993" s="17" t="str">
        <f>IFERROR(LEFT(VLOOKUP(B993,'For consider'!D:E,2,0),8),"Chưa có code")</f>
        <v>Chưa có code</v>
      </c>
      <c r="D993" s="1" t="s">
        <v>20</v>
      </c>
      <c r="E993" s="1" t="str">
        <f t="shared" si="0"/>
        <v>Chưa triển khai</v>
      </c>
      <c r="F993" s="1" t="str">
        <f>IFERROR(VLOOKUP(B993,'Plan 2026'!B:AC,28,0),"không có trong file network")</f>
        <v>không có trong file network</v>
      </c>
      <c r="G993" s="1" t="str">
        <f>IFERROR(IF(VLOOKUP(B993,'TCH (append)'!C:P,14,0)="Completed","Hoàn thành thi công",
IF(VLOOKUP(B993,'TCH (append)'!C:K,9,0)="Completed","Hoàn thành đấu thầu",
IF(VLOOKUP(B993,'TCH (append)'!C:J,8,0)="Completed","Hoàn thành dự toán",
IF(VLOOKUP(B993,'TCH (append)'!C:I,7,0)="Completed","Hoàn thành thiết kế",
"Chưa thiết kế")))),"Chưa có trong file PMO")</f>
        <v>Chưa có trong file PMO</v>
      </c>
      <c r="H993" s="1" t="s">
        <v>2228</v>
      </c>
      <c r="I993" s="1" t="s">
        <v>23</v>
      </c>
      <c r="J993" s="1" t="s">
        <v>1239</v>
      </c>
      <c r="K993" s="1" t="s">
        <v>1240</v>
      </c>
      <c r="L993" s="2" t="str">
        <f>IF(
    F993&lt;&gt;"Đã ký",
    "Chưa triển khai",
    IF(
        IFERROR(VLOOKUP(B993,TCH[[Code budget]:[Ngày kết thúc thi công theo kế hoạch]],10,0),0)&gt;0,
        VLOOKUP(B993,TCH[[Code budget]:[Ngày kết thúc thi công theo kế hoạch]],10,0),
        IFERROR(
            DATE(2026,VLOOKUP(B993,'Plan 2026'!B:H,7,0),31),
            "Chưa triển khai"
        )
    )
)</f>
        <v>Chưa triển khai</v>
      </c>
      <c r="M993" s="2" t="s">
        <v>6688</v>
      </c>
      <c r="N993" s="2">
        <v>46113</v>
      </c>
      <c r="X993" s="1" t="s">
        <v>2204</v>
      </c>
    </row>
    <row r="994" spans="2:24" ht="11.25" hidden="1" customHeight="1" x14ac:dyDescent="0.25">
      <c r="B994" s="1" t="s">
        <v>2229</v>
      </c>
      <c r="C994" s="17" t="str">
        <f>IFERROR(LEFT(VLOOKUP(B994,'For consider'!D:E,2,0),8),"Chưa có code")</f>
        <v>Chưa có code</v>
      </c>
      <c r="D994" s="1" t="s">
        <v>20</v>
      </c>
      <c r="E994" s="1" t="str">
        <f t="shared" si="0"/>
        <v>Chưa triển khai</v>
      </c>
      <c r="F994" s="1" t="str">
        <f>IFERROR(VLOOKUP(B994,'Plan 2026'!B:AC,28,0),"không có trong file network")</f>
        <v>không có trong file network</v>
      </c>
      <c r="G994" s="1" t="str">
        <f>IFERROR(IF(VLOOKUP(B994,'TCH (append)'!C:P,14,0)="Completed","Hoàn thành thi công",
IF(VLOOKUP(B994,'TCH (append)'!C:K,9,0)="Completed","Hoàn thành đấu thầu",
IF(VLOOKUP(B994,'TCH (append)'!C:J,8,0)="Completed","Hoàn thành dự toán",
IF(VLOOKUP(B994,'TCH (append)'!C:I,7,0)="Completed","Hoàn thành thiết kế",
"Chưa thiết kế")))),"Chưa có trong file PMO")</f>
        <v>Chưa có trong file PMO</v>
      </c>
      <c r="H994" s="1" t="s">
        <v>2230</v>
      </c>
      <c r="I994" s="1" t="s">
        <v>23</v>
      </c>
      <c r="J994" s="1" t="s">
        <v>1239</v>
      </c>
      <c r="K994" s="1" t="s">
        <v>1240</v>
      </c>
      <c r="L994" s="2" t="str">
        <f>IF(
    F994&lt;&gt;"Đã ký",
    "Chưa triển khai",
    IF(
        IFERROR(VLOOKUP(B994,TCH[[Code budget]:[Ngày kết thúc thi công theo kế hoạch]],10,0),0)&gt;0,
        VLOOKUP(B994,TCH[[Code budget]:[Ngày kết thúc thi công theo kế hoạch]],10,0),
        IFERROR(
            DATE(2026,VLOOKUP(B994,'Plan 2026'!B:H,7,0),31),
            "Chưa triển khai"
        )
    )
)</f>
        <v>Chưa triển khai</v>
      </c>
      <c r="M994" s="2" t="s">
        <v>6688</v>
      </c>
      <c r="N994" s="2">
        <v>46113</v>
      </c>
      <c r="X994" s="1" t="s">
        <v>2204</v>
      </c>
    </row>
    <row r="995" spans="2:24" ht="11.25" hidden="1" customHeight="1" x14ac:dyDescent="0.25">
      <c r="B995" s="1" t="s">
        <v>2231</v>
      </c>
      <c r="C995" s="17" t="str">
        <f>IFERROR(LEFT(VLOOKUP(B995,'For consider'!D:E,2,0),8),"Chưa có code")</f>
        <v>Chưa có code</v>
      </c>
      <c r="D995" s="1" t="s">
        <v>20</v>
      </c>
      <c r="E995" s="1" t="str">
        <f t="shared" si="0"/>
        <v>Chưa triển khai</v>
      </c>
      <c r="F995" s="1" t="str">
        <f>IFERROR(VLOOKUP(B995,'Plan 2026'!B:AC,28,0),"không có trong file network")</f>
        <v>không có trong file network</v>
      </c>
      <c r="G995" s="1" t="str">
        <f>IFERROR(IF(VLOOKUP(B995,'TCH (append)'!C:P,14,0)="Completed","Hoàn thành thi công",
IF(VLOOKUP(B995,'TCH (append)'!C:K,9,0)="Completed","Hoàn thành đấu thầu",
IF(VLOOKUP(B995,'TCH (append)'!C:J,8,0)="Completed","Hoàn thành dự toán",
IF(VLOOKUP(B995,'TCH (append)'!C:I,7,0)="Completed","Hoàn thành thiết kế",
"Chưa thiết kế")))),"Chưa có trong file PMO")</f>
        <v>Chưa có trong file PMO</v>
      </c>
      <c r="H995" s="1" t="s">
        <v>2232</v>
      </c>
      <c r="I995" s="1" t="s">
        <v>23</v>
      </c>
      <c r="J995" s="1" t="s">
        <v>1239</v>
      </c>
      <c r="K995" s="1" t="s">
        <v>1240</v>
      </c>
      <c r="L995" s="2" t="str">
        <f>IF(
    F995&lt;&gt;"Đã ký",
    "Chưa triển khai",
    IF(
        IFERROR(VLOOKUP(B995,TCH[[Code budget]:[Ngày kết thúc thi công theo kế hoạch]],10,0),0)&gt;0,
        VLOOKUP(B995,TCH[[Code budget]:[Ngày kết thúc thi công theo kế hoạch]],10,0),
        IFERROR(
            DATE(2026,VLOOKUP(B995,'Plan 2026'!B:H,7,0),31),
            "Chưa triển khai"
        )
    )
)</f>
        <v>Chưa triển khai</v>
      </c>
      <c r="M995" s="2" t="s">
        <v>6688</v>
      </c>
      <c r="N995" s="2">
        <v>46204</v>
      </c>
      <c r="X995" s="1" t="s">
        <v>2204</v>
      </c>
    </row>
    <row r="996" spans="2:24" ht="11.25" hidden="1" customHeight="1" x14ac:dyDescent="0.25">
      <c r="B996" s="1" t="s">
        <v>2233</v>
      </c>
      <c r="C996" s="17" t="str">
        <f>IFERROR(LEFT(VLOOKUP(B996,'For consider'!D:E,2,0),8),"Chưa có code")</f>
        <v>Chưa có code</v>
      </c>
      <c r="D996" s="1" t="s">
        <v>20</v>
      </c>
      <c r="E996" s="1" t="str">
        <f t="shared" si="0"/>
        <v>Chưa triển khai</v>
      </c>
      <c r="F996" s="1" t="str">
        <f>IFERROR(VLOOKUP(B996,'Plan 2026'!B:AC,28,0),"không có trong file network")</f>
        <v>không có trong file network</v>
      </c>
      <c r="G996" s="1" t="str">
        <f>IFERROR(IF(VLOOKUP(B996,'TCH (append)'!C:P,14,0)="Completed","Hoàn thành thi công",
IF(VLOOKUP(B996,'TCH (append)'!C:K,9,0)="Completed","Hoàn thành đấu thầu",
IF(VLOOKUP(B996,'TCH (append)'!C:J,8,0)="Completed","Hoàn thành dự toán",
IF(VLOOKUP(B996,'TCH (append)'!C:I,7,0)="Completed","Hoàn thành thiết kế",
"Chưa thiết kế")))),"Chưa có trong file PMO")</f>
        <v>Chưa có trong file PMO</v>
      </c>
      <c r="H996" s="1" t="s">
        <v>2234</v>
      </c>
      <c r="I996" s="1" t="s">
        <v>23</v>
      </c>
      <c r="J996" s="1" t="s">
        <v>1239</v>
      </c>
      <c r="K996" s="1" t="s">
        <v>1240</v>
      </c>
      <c r="L996" s="2" t="str">
        <f>IF(
    F996&lt;&gt;"Đã ký",
    "Chưa triển khai",
    IF(
        IFERROR(VLOOKUP(B996,TCH[[Code budget]:[Ngày kết thúc thi công theo kế hoạch]],10,0),0)&gt;0,
        VLOOKUP(B996,TCH[[Code budget]:[Ngày kết thúc thi công theo kế hoạch]],10,0),
        IFERROR(
            DATE(2026,VLOOKUP(B996,'Plan 2026'!B:H,7,0),31),
            "Chưa triển khai"
        )
    )
)</f>
        <v>Chưa triển khai</v>
      </c>
      <c r="M996" s="2" t="s">
        <v>6688</v>
      </c>
      <c r="N996" s="2">
        <v>46296</v>
      </c>
      <c r="X996" s="1" t="s">
        <v>2204</v>
      </c>
    </row>
    <row r="997" spans="2:24" ht="11.25" hidden="1" customHeight="1" x14ac:dyDescent="0.25">
      <c r="B997" s="1" t="s">
        <v>2235</v>
      </c>
      <c r="C997" s="17" t="str">
        <f>IFERROR(LEFT(VLOOKUP(B997,'For consider'!D:E,2,0),8),"Chưa có code")</f>
        <v>Chưa có code</v>
      </c>
      <c r="D997" s="1" t="s">
        <v>348</v>
      </c>
      <c r="E997" s="1" t="str">
        <f t="shared" si="0"/>
        <v>Chưa triển khai</v>
      </c>
      <c r="F997" s="1" t="str">
        <f>IFERROR(VLOOKUP(B997,'Plan 2026'!B:AC,28,0),"không có trong file network")</f>
        <v>không có trong file network</v>
      </c>
      <c r="G997" s="1" t="str">
        <f>IFERROR(IF(VLOOKUP(B997,'TCH (append)'!C:P,14,0)="Completed","Hoàn thành thi công",
IF(VLOOKUP(B997,'TCH (append)'!C:K,9,0)="Completed","Hoàn thành đấu thầu",
IF(VLOOKUP(B997,'TCH (append)'!C:J,8,0)="Completed","Hoàn thành dự toán",
IF(VLOOKUP(B997,'TCH (append)'!C:I,7,0)="Completed","Hoàn thành thiết kế",
"Chưa thiết kế")))),"Chưa có trong file PMO")</f>
        <v>Chưa có trong file PMO</v>
      </c>
      <c r="H997" s="1" t="s">
        <v>2236</v>
      </c>
      <c r="I997" s="1" t="s">
        <v>350</v>
      </c>
      <c r="J997" s="1" t="s">
        <v>34</v>
      </c>
      <c r="K997" s="1" t="s">
        <v>35</v>
      </c>
      <c r="L997" s="2" t="str">
        <f>IF(
    F997&lt;&gt;"Đã ký",
    "Chưa triển khai",
    IF(
        IFERROR(VLOOKUP(B997,TCH[[Code budget]:[Ngày kết thúc thi công theo kế hoạch]],10,0),0)&gt;0,
        VLOOKUP(B997,TCH[[Code budget]:[Ngày kết thúc thi công theo kế hoạch]],10,0),
        IFERROR(
            DATE(2026,VLOOKUP(B997,'Plan 2026'!B:H,7,0),31),
            "Chưa triển khai"
        )
    )
)</f>
        <v>Chưa triển khai</v>
      </c>
      <c r="M997" s="2" t="s">
        <v>6688</v>
      </c>
      <c r="N997" s="2">
        <v>46327</v>
      </c>
      <c r="X997" s="1" t="s">
        <v>2204</v>
      </c>
    </row>
    <row r="998" spans="2:24" ht="11.25" hidden="1" customHeight="1" x14ac:dyDescent="0.25">
      <c r="B998" s="1" t="s">
        <v>2237</v>
      </c>
      <c r="C998" s="17" t="str">
        <f>IFERROR(LEFT(VLOOKUP(B998,'For consider'!D:E,2,0),8),"Chưa có code")</f>
        <v>Chưa có code</v>
      </c>
      <c r="D998" s="1" t="s">
        <v>348</v>
      </c>
      <c r="E998" s="1" t="str">
        <f t="shared" si="0"/>
        <v>Chưa triển khai</v>
      </c>
      <c r="F998" s="1" t="str">
        <f>IFERROR(VLOOKUP(B998,'Plan 2026'!B:AC,28,0),"không có trong file network")</f>
        <v>Đang offer</v>
      </c>
      <c r="G998" s="1" t="str">
        <f>IFERROR(IF(VLOOKUP(B998,'TCH (append)'!C:P,14,0)="Completed","Hoàn thành thi công",
IF(VLOOKUP(B998,'TCH (append)'!C:K,9,0)="Completed","Hoàn thành đấu thầu",
IF(VLOOKUP(B998,'TCH (append)'!C:J,8,0)="Completed","Hoàn thành dự toán",
IF(VLOOKUP(B998,'TCH (append)'!C:I,7,0)="Completed","Hoàn thành thiết kế",
"Chưa thiết kế")))),"Chưa có trong file PMO")</f>
        <v>Chưa có trong file PMO</v>
      </c>
      <c r="H998" s="1" t="s">
        <v>2238</v>
      </c>
      <c r="I998" s="1" t="s">
        <v>350</v>
      </c>
      <c r="J998" s="1" t="s">
        <v>34</v>
      </c>
      <c r="K998" s="1" t="s">
        <v>35</v>
      </c>
      <c r="L998" s="2" t="str">
        <f>IF(
    F998&lt;&gt;"Đã ký",
    "Chưa triển khai",
    IF(
        IFERROR(VLOOKUP(B998,TCH[[Code budget]:[Ngày kết thúc thi công theo kế hoạch]],10,0),0)&gt;0,
        VLOOKUP(B998,TCH[[Code budget]:[Ngày kết thúc thi công theo kế hoạch]],10,0),
        IFERROR(
            DATE(2026,VLOOKUP(B998,'Plan 2026'!B:H,7,0),31),
            "Chưa triển khai"
        )
    )
)</f>
        <v>Chưa triển khai</v>
      </c>
      <c r="M998" s="2" t="s">
        <v>6688</v>
      </c>
      <c r="N998" s="2">
        <v>46113</v>
      </c>
      <c r="X998" s="1" t="s">
        <v>2204</v>
      </c>
    </row>
    <row r="999" spans="2:24" ht="11.25" hidden="1" customHeight="1" x14ac:dyDescent="0.25">
      <c r="B999" s="1" t="s">
        <v>2239</v>
      </c>
      <c r="C999" s="17" t="str">
        <f>IFERROR(LEFT(VLOOKUP(B999,'For consider'!D:E,2,0),8),"Chưa có code")</f>
        <v/>
      </c>
      <c r="D999" s="1" t="s">
        <v>20</v>
      </c>
      <c r="E999" s="1" t="str">
        <f t="shared" si="0"/>
        <v>Waiting for open</v>
      </c>
      <c r="F999" s="1" t="str">
        <f>IFERROR(VLOOKUP(B999,'Plan 2026'!B:AC,28,0),"không có trong file network")</f>
        <v>Đã ký</v>
      </c>
      <c r="G999" s="1" t="str">
        <f>IFERROR(IF(VLOOKUP(B999,'TCH (append)'!C:P,14,0)="Completed","Hoàn thành thi công",
IF(VLOOKUP(B999,'TCH (append)'!C:K,9,0)="Completed","Hoàn thành đấu thầu",
IF(VLOOKUP(B999,'TCH (append)'!C:J,8,0)="Completed","Hoàn thành dự toán",
IF(VLOOKUP(B999,'TCH (append)'!C:I,7,0)="Completed","Hoàn thành thiết kế",
"Chưa thiết kế")))),"Chưa có trong file PMO")</f>
        <v>Chưa thiết kế</v>
      </c>
      <c r="H999" s="1" t="s">
        <v>2240</v>
      </c>
      <c r="I999" s="1" t="s">
        <v>2241</v>
      </c>
      <c r="J999" s="1" t="s">
        <v>34</v>
      </c>
      <c r="K999" s="1" t="s">
        <v>35</v>
      </c>
      <c r="L999" s="2">
        <f>IF(
    F999&lt;&gt;"Đã ký",
    "Chưa triển khai",
    IF(
        IFERROR(VLOOKUP(B999,TCH[[Code budget]:[Ngày kết thúc thi công theo kế hoạch]],10,0),0)&gt;0,
        VLOOKUP(B999,TCH[[Code budget]:[Ngày kết thúc thi công theo kế hoạch]],10,0),
        IFERROR(
            DATE(2026,VLOOKUP(B999,'Plan 2026'!B:H,7,0),31),
            "Chưa triển khai"
        )
    )
)</f>
        <v>46244</v>
      </c>
      <c r="M999" s="2" t="s">
        <v>6688</v>
      </c>
      <c r="N999" s="2">
        <v>46113</v>
      </c>
      <c r="X999" s="1" t="s">
        <v>2204</v>
      </c>
    </row>
    <row r="1000" spans="2:24" ht="11.25" hidden="1" customHeight="1" x14ac:dyDescent="0.25">
      <c r="B1000" s="1" t="s">
        <v>2242</v>
      </c>
      <c r="C1000" s="17" t="str">
        <f>IFERROR(LEFT(VLOOKUP(B1000,'For consider'!D:E,2,0),8),"Chưa có code")</f>
        <v>Chưa có code</v>
      </c>
      <c r="D1000" s="1" t="s">
        <v>348</v>
      </c>
      <c r="E1000" s="1" t="str">
        <f t="shared" si="0"/>
        <v>Chưa triển khai</v>
      </c>
      <c r="F1000" s="1" t="str">
        <f>IFERROR(VLOOKUP(B1000,'Plan 2026'!B:AC,28,0),"không có trong file network")</f>
        <v>Đang đàm phán</v>
      </c>
      <c r="G1000" s="1" t="str">
        <f>IFERROR(IF(VLOOKUP(B1000,'TCH (append)'!C:P,14,0)="Completed","Hoàn thành thi công",
IF(VLOOKUP(B1000,'TCH (append)'!C:K,9,0)="Completed","Hoàn thành đấu thầu",
IF(VLOOKUP(B1000,'TCH (append)'!C:J,8,0)="Completed","Hoàn thành dự toán",
IF(VLOOKUP(B1000,'TCH (append)'!C:I,7,0)="Completed","Hoàn thành thiết kế",
"Chưa thiết kế")))),"Chưa có trong file PMO")</f>
        <v>Chưa có trong file PMO</v>
      </c>
      <c r="H1000" s="1" t="s">
        <v>2243</v>
      </c>
      <c r="I1000" s="1" t="s">
        <v>2244</v>
      </c>
      <c r="J1000" s="1" t="s">
        <v>34</v>
      </c>
      <c r="K1000" s="1" t="s">
        <v>35</v>
      </c>
      <c r="L1000" s="2" t="str">
        <f>IF(
    F1000&lt;&gt;"Đã ký",
    "Chưa triển khai",
    IF(
        IFERROR(VLOOKUP(B1000,TCH[[Code budget]:[Ngày kết thúc thi công theo kế hoạch]],10,0),0)&gt;0,
        VLOOKUP(B1000,TCH[[Code budget]:[Ngày kết thúc thi công theo kế hoạch]],10,0),
        IFERROR(
            DATE(2026,VLOOKUP(B1000,'Plan 2026'!B:H,7,0),31),
            "Chưa triển khai"
        )
    )
)</f>
        <v>Chưa triển khai</v>
      </c>
      <c r="M1000" s="2" t="s">
        <v>6688</v>
      </c>
      <c r="N1000" s="2">
        <v>46113</v>
      </c>
      <c r="X1000" s="1" t="s">
        <v>2204</v>
      </c>
    </row>
    <row r="1001" spans="2:24" ht="11.25" hidden="1" customHeight="1" x14ac:dyDescent="0.25">
      <c r="B1001" s="1" t="s">
        <v>2245</v>
      </c>
      <c r="C1001" s="17" t="str">
        <f>IFERROR(LEFT(VLOOKUP(B1001,'For consider'!D:E,2,0),8),"Chưa có code")</f>
        <v>Chưa có code</v>
      </c>
      <c r="D1001" s="1" t="s">
        <v>348</v>
      </c>
      <c r="E1001" s="1" t="str">
        <f t="shared" si="0"/>
        <v>Chưa triển khai</v>
      </c>
      <c r="F1001" s="1" t="str">
        <f>IFERROR(VLOOKUP(B1001,'Plan 2026'!B:AC,28,0),"không có trong file network")</f>
        <v>Chưa có</v>
      </c>
      <c r="G1001" s="1" t="str">
        <f>IFERROR(IF(VLOOKUP(B1001,'TCH (append)'!C:P,14,0)="Completed","Hoàn thành thi công",
IF(VLOOKUP(B1001,'TCH (append)'!C:K,9,0)="Completed","Hoàn thành đấu thầu",
IF(VLOOKUP(B1001,'TCH (append)'!C:J,8,0)="Completed","Hoàn thành dự toán",
IF(VLOOKUP(B1001,'TCH (append)'!C:I,7,0)="Completed","Hoàn thành thiết kế",
"Chưa thiết kế")))),"Chưa có trong file PMO")</f>
        <v>Chưa có trong file PMO</v>
      </c>
      <c r="H1001" s="1" t="s">
        <v>2246</v>
      </c>
      <c r="I1001" s="1" t="s">
        <v>2244</v>
      </c>
      <c r="J1001" s="1" t="s">
        <v>34</v>
      </c>
      <c r="K1001" s="1" t="s">
        <v>35</v>
      </c>
      <c r="L1001" s="2" t="str">
        <f>IF(
    F1001&lt;&gt;"Đã ký",
    "Chưa triển khai",
    IF(
        IFERROR(VLOOKUP(B1001,TCH[[Code budget]:[Ngày kết thúc thi công theo kế hoạch]],10,0),0)&gt;0,
        VLOOKUP(B1001,TCH[[Code budget]:[Ngày kết thúc thi công theo kế hoạch]],10,0),
        IFERROR(
            DATE(2026,VLOOKUP(B1001,'Plan 2026'!B:H,7,0),31),
            "Chưa triển khai"
        )
    )
)</f>
        <v>Chưa triển khai</v>
      </c>
      <c r="M1001" s="2" t="s">
        <v>6688</v>
      </c>
      <c r="N1001" s="2">
        <v>46113</v>
      </c>
      <c r="X1001" s="1" t="s">
        <v>2204</v>
      </c>
    </row>
    <row r="1002" spans="2:24" ht="11.25" hidden="1" customHeight="1" x14ac:dyDescent="0.25">
      <c r="B1002" s="1" t="s">
        <v>2247</v>
      </c>
      <c r="C1002" s="17" t="str">
        <f>IFERROR(LEFT(VLOOKUP(B1002,'For consider'!D:E,2,0),8),"Chưa có code")</f>
        <v>30KK5002</v>
      </c>
      <c r="D1002" s="1" t="s">
        <v>348</v>
      </c>
      <c r="E1002" s="1" t="str">
        <f t="shared" si="0"/>
        <v>Waiting for open</v>
      </c>
      <c r="F1002" s="1" t="str">
        <f>IFERROR(VLOOKUP(B1002,'Plan 2026'!B:AC,28,0),"không có trong file network")</f>
        <v>Đã ký</v>
      </c>
      <c r="G1002" s="1" t="str">
        <f>IFERROR(IF(VLOOKUP(B1002,'TCH (append)'!C:P,14,0)="Completed","Hoàn thành thi công",
IF(VLOOKUP(B1002,'TCH (append)'!C:K,9,0)="Completed","Hoàn thành đấu thầu",
IF(VLOOKUP(B1002,'TCH (append)'!C:J,8,0)="Completed","Hoàn thành dự toán",
IF(VLOOKUP(B1002,'TCH (append)'!C:I,7,0)="Completed","Hoàn thành thiết kế",
"Chưa thiết kế")))),"Chưa có trong file PMO")</f>
        <v>Hoàn thành đấu thầu</v>
      </c>
      <c r="H1002" s="1" t="s">
        <v>2248</v>
      </c>
      <c r="I1002" s="1" t="s">
        <v>2244</v>
      </c>
      <c r="J1002" s="1" t="s">
        <v>34</v>
      </c>
      <c r="K1002" s="1" t="s">
        <v>35</v>
      </c>
      <c r="L1002" s="2">
        <f>IF(
    F1002&lt;&gt;"Đã ký",
    "Chưa triển khai",
    IF(
        IFERROR(VLOOKUP(B1002,TCH[[Code budget]:[Ngày kết thúc thi công theo kế hoạch]],10,0),0)&gt;0,
        VLOOKUP(B1002,TCH[[Code budget]:[Ngày kết thúc thi công theo kế hoạch]],10,0),
        IFERROR(
            DATE(2026,VLOOKUP(B1002,'Plan 2026'!B:H,7,0),31),
            "Chưa triển khai"
        )
    )
)</f>
        <v>46134</v>
      </c>
      <c r="M1002" s="2" t="s">
        <v>6688</v>
      </c>
      <c r="N1002" s="2">
        <v>46204</v>
      </c>
      <c r="X1002" s="1" t="s">
        <v>2204</v>
      </c>
    </row>
    <row r="1003" spans="2:24" ht="11.25" hidden="1" customHeight="1" x14ac:dyDescent="0.25">
      <c r="B1003" s="1" t="s">
        <v>2249</v>
      </c>
      <c r="C1003" s="17" t="str">
        <f>IFERROR(LEFT(VLOOKUP(B1003,'For consider'!D:E,2,0),8),"Chưa có code")</f>
        <v>Chưa có code</v>
      </c>
      <c r="D1003" s="1" t="s">
        <v>348</v>
      </c>
      <c r="E1003" s="1" t="str">
        <f t="shared" si="0"/>
        <v>Chưa triển khai</v>
      </c>
      <c r="F1003" s="1" t="str">
        <f>IFERROR(VLOOKUP(B1003,'Plan 2026'!B:AC,28,0),"không có trong file network")</f>
        <v>Chưa có</v>
      </c>
      <c r="G1003" s="1" t="str">
        <f>IFERROR(IF(VLOOKUP(B1003,'TCH (append)'!C:P,14,0)="Completed","Hoàn thành thi công",
IF(VLOOKUP(B1003,'TCH (append)'!C:K,9,0)="Completed","Hoàn thành đấu thầu",
IF(VLOOKUP(B1003,'TCH (append)'!C:J,8,0)="Completed","Hoàn thành dự toán",
IF(VLOOKUP(B1003,'TCH (append)'!C:I,7,0)="Completed","Hoàn thành thiết kế",
"Chưa thiết kế")))),"Chưa có trong file PMO")</f>
        <v>Chưa có trong file PMO</v>
      </c>
      <c r="H1003" s="1" t="s">
        <v>2250</v>
      </c>
      <c r="I1003" s="1" t="s">
        <v>2244</v>
      </c>
      <c r="J1003" s="1" t="s">
        <v>34</v>
      </c>
      <c r="K1003" s="1" t="s">
        <v>35</v>
      </c>
      <c r="L1003" s="2" t="str">
        <f>IF(
    F1003&lt;&gt;"Đã ký",
    "Chưa triển khai",
    IF(
        IFERROR(VLOOKUP(B1003,TCH[[Code budget]:[Ngày kết thúc thi công theo kế hoạch]],10,0),0)&gt;0,
        VLOOKUP(B1003,TCH[[Code budget]:[Ngày kết thúc thi công theo kế hoạch]],10,0),
        IFERROR(
            DATE(2026,VLOOKUP(B1003,'Plan 2026'!B:H,7,0),31),
            "Chưa triển khai"
        )
    )
)</f>
        <v>Chưa triển khai</v>
      </c>
      <c r="M1003" s="2" t="s">
        <v>6688</v>
      </c>
      <c r="N1003" s="2">
        <v>46113</v>
      </c>
      <c r="X1003" s="1" t="s">
        <v>2204</v>
      </c>
    </row>
    <row r="1004" spans="2:24" ht="11.25" hidden="1" customHeight="1" x14ac:dyDescent="0.25">
      <c r="B1004" s="1" t="s">
        <v>2251</v>
      </c>
      <c r="C1004" s="17" t="str">
        <f>IFERROR(LEFT(VLOOKUP(B1004,'For consider'!D:E,2,0),8),"Chưa có code")</f>
        <v>Chưa có code</v>
      </c>
      <c r="D1004" s="1" t="s">
        <v>348</v>
      </c>
      <c r="E1004" s="1" t="str">
        <f t="shared" si="0"/>
        <v>Chưa triển khai</v>
      </c>
      <c r="F1004" s="1" t="str">
        <f>IFERROR(VLOOKUP(B1004,'Plan 2026'!B:AC,28,0),"không có trong file network")</f>
        <v>Chưa có</v>
      </c>
      <c r="G1004" s="1" t="str">
        <f>IFERROR(IF(VLOOKUP(B1004,'TCH (append)'!C:P,14,0)="Completed","Hoàn thành thi công",
IF(VLOOKUP(B1004,'TCH (append)'!C:K,9,0)="Completed","Hoàn thành đấu thầu",
IF(VLOOKUP(B1004,'TCH (append)'!C:J,8,0)="Completed","Hoàn thành dự toán",
IF(VLOOKUP(B1004,'TCH (append)'!C:I,7,0)="Completed","Hoàn thành thiết kế",
"Chưa thiết kế")))),"Chưa có trong file PMO")</f>
        <v>Chưa có trong file PMO</v>
      </c>
      <c r="H1004" s="1" t="s">
        <v>2252</v>
      </c>
      <c r="I1004" s="1" t="s">
        <v>350</v>
      </c>
      <c r="J1004" s="1" t="s">
        <v>34</v>
      </c>
      <c r="K1004" s="1" t="s">
        <v>35</v>
      </c>
      <c r="L1004" s="2" t="str">
        <f>IF(
    F1004&lt;&gt;"Đã ký",
    "Chưa triển khai",
    IF(
        IFERROR(VLOOKUP(B1004,TCH[[Code budget]:[Ngày kết thúc thi công theo kế hoạch]],10,0),0)&gt;0,
        VLOOKUP(B1004,TCH[[Code budget]:[Ngày kết thúc thi công theo kế hoạch]],10,0),
        IFERROR(
            DATE(2026,VLOOKUP(B1004,'Plan 2026'!B:H,7,0),31),
            "Chưa triển khai"
        )
    )
)</f>
        <v>Chưa triển khai</v>
      </c>
      <c r="M1004" s="2" t="s">
        <v>6688</v>
      </c>
      <c r="N1004" s="2">
        <v>46204</v>
      </c>
      <c r="X1004" s="1" t="s">
        <v>2204</v>
      </c>
    </row>
    <row r="1005" spans="2:24" ht="11.25" hidden="1" customHeight="1" x14ac:dyDescent="0.25">
      <c r="B1005" s="1" t="s">
        <v>2253</v>
      </c>
      <c r="C1005" s="17" t="str">
        <f>IFERROR(LEFT(VLOOKUP(B1005,'For consider'!D:E,2,0),8),"Chưa có code")</f>
        <v>Chưa có code</v>
      </c>
      <c r="D1005" s="1" t="s">
        <v>348</v>
      </c>
      <c r="E1005" s="1" t="str">
        <f t="shared" si="0"/>
        <v>Chưa triển khai</v>
      </c>
      <c r="F1005" s="1" t="str">
        <f>IFERROR(VLOOKUP(B1005,'Plan 2026'!B:AC,28,0),"không có trong file network")</f>
        <v>Không có</v>
      </c>
      <c r="G1005" s="1" t="str">
        <f>IFERROR(IF(VLOOKUP(B1005,'TCH (append)'!C:P,14,0)="Completed","Hoàn thành thi công",
IF(VLOOKUP(B1005,'TCH (append)'!C:K,9,0)="Completed","Hoàn thành đấu thầu",
IF(VLOOKUP(B1005,'TCH (append)'!C:J,8,0)="Completed","Hoàn thành dự toán",
IF(VLOOKUP(B1005,'TCH (append)'!C:I,7,0)="Completed","Hoàn thành thiết kế",
"Chưa thiết kế")))),"Chưa có trong file PMO")</f>
        <v>Chưa có trong file PMO</v>
      </c>
      <c r="H1005" s="1" t="s">
        <v>2254</v>
      </c>
      <c r="I1005" s="1" t="s">
        <v>350</v>
      </c>
      <c r="J1005" s="1" t="s">
        <v>34</v>
      </c>
      <c r="K1005" s="1" t="s">
        <v>35</v>
      </c>
      <c r="L1005" s="2" t="str">
        <f>IF(
    F1005&lt;&gt;"Đã ký",
    "Chưa triển khai",
    IF(
        IFERROR(VLOOKUP(B1005,TCH[[Code budget]:[Ngày kết thúc thi công theo kế hoạch]],10,0),0)&gt;0,
        VLOOKUP(B1005,TCH[[Code budget]:[Ngày kết thúc thi công theo kế hoạch]],10,0),
        IFERROR(
            DATE(2026,VLOOKUP(B1005,'Plan 2026'!B:H,7,0),31),
            "Chưa triển khai"
        )
    )
)</f>
        <v>Chưa triển khai</v>
      </c>
      <c r="M1005" s="2" t="s">
        <v>6688</v>
      </c>
      <c r="N1005" s="2">
        <v>46204</v>
      </c>
      <c r="X1005" s="1" t="s">
        <v>2204</v>
      </c>
    </row>
    <row r="1006" spans="2:24" ht="11.25" hidden="1" customHeight="1" x14ac:dyDescent="0.25">
      <c r="B1006" s="1" t="s">
        <v>2255</v>
      </c>
      <c r="C1006" s="17" t="str">
        <f>IFERROR(LEFT(VLOOKUP(B1006,'For consider'!D:E,2,0),8),"Chưa có code")</f>
        <v>Chưa có code</v>
      </c>
      <c r="D1006" s="1" t="s">
        <v>20</v>
      </c>
      <c r="E1006" s="1" t="str">
        <f t="shared" si="0"/>
        <v>Chưa triển khai</v>
      </c>
      <c r="F1006" s="1" t="str">
        <f>IFERROR(VLOOKUP(B1006,'Plan 2026'!B:AC,28,0),"không có trong file network")</f>
        <v>Reject</v>
      </c>
      <c r="G1006" s="1" t="str">
        <f>IFERROR(IF(VLOOKUP(B1006,'TCH (append)'!C:P,14,0)="Completed","Hoàn thành thi công",
IF(VLOOKUP(B1006,'TCH (append)'!C:K,9,0)="Completed","Hoàn thành đấu thầu",
IF(VLOOKUP(B1006,'TCH (append)'!C:J,8,0)="Completed","Hoàn thành dự toán",
IF(VLOOKUP(B1006,'TCH (append)'!C:I,7,0)="Completed","Hoàn thành thiết kế",
"Chưa thiết kế")))),"Chưa có trong file PMO")</f>
        <v>Chưa thiết kế</v>
      </c>
      <c r="H1006" s="1" t="s">
        <v>2256</v>
      </c>
      <c r="I1006" s="1" t="s">
        <v>23</v>
      </c>
      <c r="J1006" s="1" t="s">
        <v>34</v>
      </c>
      <c r="K1006" s="1" t="s">
        <v>35</v>
      </c>
      <c r="L1006" s="2" t="str">
        <f>IF(
    F1006&lt;&gt;"Đã ký",
    "Chưa triển khai",
    IF(
        IFERROR(VLOOKUP(B1006,TCH[[Code budget]:[Ngày kết thúc thi công theo kế hoạch]],10,0),0)&gt;0,
        VLOOKUP(B1006,TCH[[Code budget]:[Ngày kết thúc thi công theo kế hoạch]],10,0),
        IFERROR(
            DATE(2026,VLOOKUP(B1006,'Plan 2026'!B:H,7,0),31),
            "Chưa triển khai"
        )
    )
)</f>
        <v>Chưa triển khai</v>
      </c>
      <c r="M1006" s="2" t="s">
        <v>6688</v>
      </c>
      <c r="N1006" s="2">
        <v>46296</v>
      </c>
      <c r="X1006" s="1" t="s">
        <v>2204</v>
      </c>
    </row>
    <row r="1007" spans="2:24" ht="11.25" hidden="1" customHeight="1" x14ac:dyDescent="0.25">
      <c r="B1007" s="1" t="s">
        <v>2257</v>
      </c>
      <c r="C1007" s="17" t="str">
        <f>IFERROR(LEFT(VLOOKUP(B1007,'For consider'!D:E,2,0),8),"Chưa có code")</f>
        <v>Chưa có code</v>
      </c>
      <c r="D1007" s="1" t="s">
        <v>20</v>
      </c>
      <c r="E1007" s="1" t="str">
        <f t="shared" si="0"/>
        <v>Chưa triển khai</v>
      </c>
      <c r="F1007" s="1" t="str">
        <f>IFERROR(VLOOKUP(B1007,'Plan 2026'!B:AC,28,0),"không có trong file network")</f>
        <v>không có trong file network</v>
      </c>
      <c r="G1007" s="1" t="str">
        <f>IFERROR(IF(VLOOKUP(B1007,'TCH (append)'!C:P,14,0)="Completed","Hoàn thành thi công",
IF(VLOOKUP(B1007,'TCH (append)'!C:K,9,0)="Completed","Hoàn thành đấu thầu",
IF(VLOOKUP(B1007,'TCH (append)'!C:J,8,0)="Completed","Hoàn thành dự toán",
IF(VLOOKUP(B1007,'TCH (append)'!C:I,7,0)="Completed","Hoàn thành thiết kế",
"Chưa thiết kế")))),"Chưa có trong file PMO")</f>
        <v>Chưa có trong file PMO</v>
      </c>
      <c r="H1007" s="1" t="s">
        <v>2258</v>
      </c>
      <c r="I1007" s="1" t="s">
        <v>23</v>
      </c>
      <c r="J1007" s="1" t="s">
        <v>34</v>
      </c>
      <c r="K1007" s="1" t="s">
        <v>35</v>
      </c>
      <c r="L1007" s="2" t="str">
        <f>IF(
    F1007&lt;&gt;"Đã ký",
    "Chưa triển khai",
    IF(
        IFERROR(VLOOKUP(B1007,TCH[[Code budget]:[Ngày kết thúc thi công theo kế hoạch]],10,0),0)&gt;0,
        VLOOKUP(B1007,TCH[[Code budget]:[Ngày kết thúc thi công theo kế hoạch]],10,0),
        IFERROR(
            DATE(2026,VLOOKUP(B1007,'Plan 2026'!B:H,7,0),31),
            "Chưa triển khai"
        )
    )
)</f>
        <v>Chưa triển khai</v>
      </c>
      <c r="M1007" s="2" t="s">
        <v>6688</v>
      </c>
      <c r="N1007" s="2">
        <v>46296</v>
      </c>
      <c r="X1007" s="1" t="s">
        <v>2204</v>
      </c>
    </row>
    <row r="1008" spans="2:24" ht="11.25" hidden="1" customHeight="1" x14ac:dyDescent="0.25">
      <c r="B1008" s="1" t="s">
        <v>2259</v>
      </c>
      <c r="C1008" s="17" t="str">
        <f>IFERROR(LEFT(VLOOKUP(B1008,'For consider'!D:E,2,0),8),"Chưa có code")</f>
        <v/>
      </c>
      <c r="D1008" s="1" t="s">
        <v>20</v>
      </c>
      <c r="E1008" s="1" t="str">
        <f t="shared" si="0"/>
        <v>Waiting for open</v>
      </c>
      <c r="F1008" s="1" t="str">
        <f>IFERROR(VLOOKUP(B1008,'Plan 2026'!B:AC,28,0),"không có trong file network")</f>
        <v>Đã ký</v>
      </c>
      <c r="G1008" s="1" t="str">
        <f>IFERROR(IF(VLOOKUP(B1008,'TCH (append)'!C:P,14,0)="Completed","Hoàn thành thi công",
IF(VLOOKUP(B1008,'TCH (append)'!C:K,9,0)="Completed","Hoàn thành đấu thầu",
IF(VLOOKUP(B1008,'TCH (append)'!C:J,8,0)="Completed","Hoàn thành dự toán",
IF(VLOOKUP(B1008,'TCH (append)'!C:I,7,0)="Completed","Hoàn thành thiết kế",
"Chưa thiết kế")))),"Chưa có trong file PMO")</f>
        <v>Chưa thiết kế</v>
      </c>
      <c r="H1008" s="1" t="s">
        <v>2260</v>
      </c>
      <c r="I1008" s="1" t="s">
        <v>2241</v>
      </c>
      <c r="J1008" s="1" t="s">
        <v>34</v>
      </c>
      <c r="K1008" s="1" t="s">
        <v>35</v>
      </c>
      <c r="L1008" s="2">
        <f>IF(
    F1008&lt;&gt;"Đã ký",
    "Chưa triển khai",
    IF(
        IFERROR(VLOOKUP(B1008,TCH[[Code budget]:[Ngày kết thúc thi công theo kế hoạch]],10,0),0)&gt;0,
        VLOOKUP(B1008,TCH[[Code budget]:[Ngày kết thúc thi công theo kế hoạch]],10,0),
        IFERROR(
            DATE(2026,VLOOKUP(B1008,'Plan 2026'!B:H,7,0),31),
            "Chưa triển khai"
        )
    )
)</f>
        <v>46216</v>
      </c>
      <c r="M1008" s="2" t="s">
        <v>6688</v>
      </c>
      <c r="N1008" s="2">
        <v>46296</v>
      </c>
      <c r="X1008" s="1" t="s">
        <v>2204</v>
      </c>
    </row>
    <row r="1009" spans="2:24" ht="11.25" hidden="1" customHeight="1" x14ac:dyDescent="0.25">
      <c r="B1009" s="1" t="s">
        <v>2261</v>
      </c>
      <c r="C1009" s="17" t="str">
        <f>IFERROR(LEFT(VLOOKUP(B1009,'For consider'!D:E,2,0),8),"Chưa có code")</f>
        <v/>
      </c>
      <c r="D1009" s="1" t="s">
        <v>348</v>
      </c>
      <c r="E1009" s="1" t="str">
        <f t="shared" si="0"/>
        <v>Waiting for open</v>
      </c>
      <c r="F1009" s="1" t="str">
        <f>IFERROR(VLOOKUP(B1009,'Plan 2026'!B:AC,28,0),"không có trong file network")</f>
        <v>Đã ký</v>
      </c>
      <c r="G1009" s="1" t="str">
        <f>IFERROR(IF(VLOOKUP(B1009,'TCH (append)'!C:P,14,0)="Completed","Hoàn thành thi công",
IF(VLOOKUP(B1009,'TCH (append)'!C:K,9,0)="Completed","Hoàn thành đấu thầu",
IF(VLOOKUP(B1009,'TCH (append)'!C:J,8,0)="Completed","Hoàn thành dự toán",
IF(VLOOKUP(B1009,'TCH (append)'!C:I,7,0)="Completed","Hoàn thành thiết kế",
"Chưa thiết kế")))),"Chưa có trong file PMO")</f>
        <v>Hoàn thành đấu thầu</v>
      </c>
      <c r="H1009" s="1" t="s">
        <v>2262</v>
      </c>
      <c r="I1009" s="1" t="s">
        <v>2244</v>
      </c>
      <c r="J1009" s="1" t="s">
        <v>34</v>
      </c>
      <c r="K1009" s="1" t="s">
        <v>35</v>
      </c>
      <c r="L1009" s="2">
        <f>IF(
    F1009&lt;&gt;"Đã ký",
    "Chưa triển khai",
    IF(
        IFERROR(VLOOKUP(B1009,TCH[[Code budget]:[Ngày kết thúc thi công theo kế hoạch]],10,0),0)&gt;0,
        VLOOKUP(B1009,TCH[[Code budget]:[Ngày kết thúc thi công theo kế hoạch]],10,0),
        IFERROR(
            DATE(2026,VLOOKUP(B1009,'Plan 2026'!B:H,7,0),31),
            "Chưa triển khai"
        )
    )
)</f>
        <v>46123</v>
      </c>
      <c r="M1009" s="2" t="s">
        <v>6688</v>
      </c>
      <c r="N1009" s="2">
        <v>46296</v>
      </c>
      <c r="X1009" s="1" t="s">
        <v>2204</v>
      </c>
    </row>
    <row r="1010" spans="2:24" ht="11.25" hidden="1" customHeight="1" x14ac:dyDescent="0.25">
      <c r="B1010" s="1" t="s">
        <v>2263</v>
      </c>
      <c r="C1010" s="17" t="str">
        <f>IFERROR(LEFT(VLOOKUP(B1010,'For consider'!D:E,2,0),8),"Chưa có code")</f>
        <v>Chưa có code</v>
      </c>
      <c r="D1010" s="1" t="s">
        <v>348</v>
      </c>
      <c r="E1010" s="1" t="str">
        <f t="shared" si="0"/>
        <v>Chưa triển khai</v>
      </c>
      <c r="F1010" s="1" t="str">
        <f>IFERROR(VLOOKUP(B1010,'Plan 2026'!B:AC,28,0),"không có trong file network")</f>
        <v>Chưa có</v>
      </c>
      <c r="G1010" s="1" t="str">
        <f>IFERROR(IF(VLOOKUP(B1010,'TCH (append)'!C:P,14,0)="Completed","Hoàn thành thi công",
IF(VLOOKUP(B1010,'TCH (append)'!C:K,9,0)="Completed","Hoàn thành đấu thầu",
IF(VLOOKUP(B1010,'TCH (append)'!C:J,8,0)="Completed","Hoàn thành dự toán",
IF(VLOOKUP(B1010,'TCH (append)'!C:I,7,0)="Completed","Hoàn thành thiết kế",
"Chưa thiết kế")))),"Chưa có trong file PMO")</f>
        <v>Chưa có trong file PMO</v>
      </c>
      <c r="H1010" s="1" t="s">
        <v>2264</v>
      </c>
      <c r="I1010" s="1" t="s">
        <v>2244</v>
      </c>
      <c r="J1010" s="1" t="s">
        <v>34</v>
      </c>
      <c r="K1010" s="1" t="s">
        <v>35</v>
      </c>
      <c r="L1010" s="2" t="str">
        <f>IF(
    F1010&lt;&gt;"Đã ký",
    "Chưa triển khai",
    IF(
        IFERROR(VLOOKUP(B1010,TCH[[Code budget]:[Ngày kết thúc thi công theo kế hoạch]],10,0),0)&gt;0,
        VLOOKUP(B1010,TCH[[Code budget]:[Ngày kết thúc thi công theo kế hoạch]],10,0),
        IFERROR(
            DATE(2026,VLOOKUP(B1010,'Plan 2026'!B:H,7,0),31),
            "Chưa triển khai"
        )
    )
)</f>
        <v>Chưa triển khai</v>
      </c>
      <c r="M1010" s="2" t="s">
        <v>6688</v>
      </c>
      <c r="N1010" s="2">
        <v>46296</v>
      </c>
      <c r="X1010" s="1" t="s">
        <v>2204</v>
      </c>
    </row>
    <row r="1011" spans="2:24" ht="11.25" hidden="1" customHeight="1" x14ac:dyDescent="0.25">
      <c r="B1011" s="1" t="s">
        <v>2265</v>
      </c>
      <c r="C1011" s="17" t="str">
        <f>IFERROR(LEFT(VLOOKUP(B1011,'For consider'!D:E,2,0),8),"Chưa có code")</f>
        <v>10KK5038</v>
      </c>
      <c r="D1011" s="1" t="s">
        <v>20</v>
      </c>
      <c r="E1011" s="1" t="str">
        <f t="shared" si="0"/>
        <v>Chưa triển khai</v>
      </c>
      <c r="F1011" s="1" t="str">
        <f>IFERROR(VLOOKUP(B1011,'Plan 2026'!B:AC,28,0),"không có trong file network")</f>
        <v>Đang đàm phán</v>
      </c>
      <c r="G1011" s="1" t="str">
        <f>IFERROR(IF(VLOOKUP(B1011,'TCH (append)'!C:P,14,0)="Completed","Hoàn thành thi công",
IF(VLOOKUP(B1011,'TCH (append)'!C:K,9,0)="Completed","Hoàn thành đấu thầu",
IF(VLOOKUP(B1011,'TCH (append)'!C:J,8,0)="Completed","Hoàn thành dự toán",
IF(VLOOKUP(B1011,'TCH (append)'!C:I,7,0)="Completed","Hoàn thành thiết kế",
"Chưa thiết kế")))),"Chưa có trong file PMO")</f>
        <v>Chưa thiết kế</v>
      </c>
      <c r="H1011" s="1" t="s">
        <v>2266</v>
      </c>
      <c r="I1011" s="1" t="s">
        <v>23</v>
      </c>
      <c r="J1011" s="1" t="s">
        <v>34</v>
      </c>
      <c r="K1011" s="1" t="s">
        <v>35</v>
      </c>
      <c r="L1011" s="2" t="str">
        <f>IF(
    F1011&lt;&gt;"Đã ký",
    "Chưa triển khai",
    IF(
        IFERROR(VLOOKUP(B1011,TCH[[Code budget]:[Ngày kết thúc thi công theo kế hoạch]],10,0),0)&gt;0,
        VLOOKUP(B1011,TCH[[Code budget]:[Ngày kết thúc thi công theo kế hoạch]],10,0),
        IFERROR(
            DATE(2026,VLOOKUP(B1011,'Plan 2026'!B:H,7,0),31),
            "Chưa triển khai"
        )
    )
)</f>
        <v>Chưa triển khai</v>
      </c>
      <c r="M1011" s="2" t="s">
        <v>6688</v>
      </c>
      <c r="N1011" s="2">
        <v>46143</v>
      </c>
      <c r="X1011" s="1" t="s">
        <v>2204</v>
      </c>
    </row>
    <row r="1012" spans="2:24" ht="11.25" hidden="1" customHeight="1" x14ac:dyDescent="0.25">
      <c r="B1012" s="1" t="s">
        <v>2267</v>
      </c>
      <c r="C1012" s="17" t="str">
        <f>IFERROR(LEFT(VLOOKUP(B1012,'For consider'!D:E,2,0),8),"Chưa có code")</f>
        <v>Chưa có code</v>
      </c>
      <c r="D1012" s="1" t="s">
        <v>20</v>
      </c>
      <c r="E1012" s="1" t="str">
        <f t="shared" si="0"/>
        <v>Chưa triển khai</v>
      </c>
      <c r="F1012" s="1" t="str">
        <f>IFERROR(VLOOKUP(B1012,'Plan 2026'!B:AC,28,0),"không có trong file network")</f>
        <v>Reject</v>
      </c>
      <c r="G1012" s="1" t="str">
        <f>IFERROR(IF(VLOOKUP(B1012,'TCH (append)'!C:P,14,0)="Completed","Hoàn thành thi công",
IF(VLOOKUP(B1012,'TCH (append)'!C:K,9,0)="Completed","Hoàn thành đấu thầu",
IF(VLOOKUP(B1012,'TCH (append)'!C:J,8,0)="Completed","Hoàn thành dự toán",
IF(VLOOKUP(B1012,'TCH (append)'!C:I,7,0)="Completed","Hoàn thành thiết kế",
"Chưa thiết kế")))),"Chưa có trong file PMO")</f>
        <v>Chưa có trong file PMO</v>
      </c>
      <c r="H1012" s="1" t="s">
        <v>2268</v>
      </c>
      <c r="I1012" s="1" t="s">
        <v>23</v>
      </c>
      <c r="J1012" s="1" t="s">
        <v>34</v>
      </c>
      <c r="K1012" s="1" t="s">
        <v>35</v>
      </c>
      <c r="L1012" s="2" t="str">
        <f>IF(
    F1012&lt;&gt;"Đã ký",
    "Chưa triển khai",
    IF(
        IFERROR(VLOOKUP(B1012,TCH[[Code budget]:[Ngày kết thúc thi công theo kế hoạch]],10,0),0)&gt;0,
        VLOOKUP(B1012,TCH[[Code budget]:[Ngày kết thúc thi công theo kế hoạch]],10,0),
        IFERROR(
            DATE(2026,VLOOKUP(B1012,'Plan 2026'!B:H,7,0),31),
            "Chưa triển khai"
        )
    )
)</f>
        <v>Chưa triển khai</v>
      </c>
      <c r="M1012" s="2" t="s">
        <v>6688</v>
      </c>
      <c r="N1012" s="2">
        <v>46113</v>
      </c>
      <c r="X1012" s="1" t="s">
        <v>2204</v>
      </c>
    </row>
    <row r="1013" spans="2:24" ht="11.25" hidden="1" customHeight="1" x14ac:dyDescent="0.25">
      <c r="B1013" s="1" t="s">
        <v>2269</v>
      </c>
      <c r="C1013" s="17" t="str">
        <f>IFERROR(LEFT(VLOOKUP(B1013,'For consider'!D:E,2,0),8),"Chưa có code")</f>
        <v>Chưa có code</v>
      </c>
      <c r="D1013" s="1" t="s">
        <v>20</v>
      </c>
      <c r="E1013" s="1" t="str">
        <f t="shared" si="0"/>
        <v>Chưa triển khai</v>
      </c>
      <c r="F1013" s="1" t="str">
        <f>IFERROR(VLOOKUP(B1013,'Plan 2026'!B:AC,28,0),"không có trong file network")</f>
        <v>Chưa có</v>
      </c>
      <c r="G1013" s="1" t="str">
        <f>IFERROR(IF(VLOOKUP(B1013,'TCH (append)'!C:P,14,0)="Completed","Hoàn thành thi công",
IF(VLOOKUP(B1013,'TCH (append)'!C:K,9,0)="Completed","Hoàn thành đấu thầu",
IF(VLOOKUP(B1013,'TCH (append)'!C:J,8,0)="Completed","Hoàn thành dự toán",
IF(VLOOKUP(B1013,'TCH (append)'!C:I,7,0)="Completed","Hoàn thành thiết kế",
"Chưa thiết kế")))),"Chưa có trong file PMO")</f>
        <v>Chưa có trong file PMO</v>
      </c>
      <c r="H1013" s="1" t="s">
        <v>2270</v>
      </c>
      <c r="I1013" s="1" t="s">
        <v>23</v>
      </c>
      <c r="J1013" s="1" t="s">
        <v>34</v>
      </c>
      <c r="K1013" s="1" t="s">
        <v>35</v>
      </c>
      <c r="L1013" s="2" t="str">
        <f>IF(
    F1013&lt;&gt;"Đã ký",
    "Chưa triển khai",
    IF(
        IFERROR(VLOOKUP(B1013,TCH[[Code budget]:[Ngày kết thúc thi công theo kế hoạch]],10,0),0)&gt;0,
        VLOOKUP(B1013,TCH[[Code budget]:[Ngày kết thúc thi công theo kế hoạch]],10,0),
        IFERROR(
            DATE(2026,VLOOKUP(B1013,'Plan 2026'!B:H,7,0),31),
            "Chưa triển khai"
        )
    )
)</f>
        <v>Chưa triển khai</v>
      </c>
      <c r="M1013" s="2" t="s">
        <v>6688</v>
      </c>
      <c r="N1013" s="2">
        <v>46204</v>
      </c>
      <c r="X1013" s="1" t="s">
        <v>2204</v>
      </c>
    </row>
    <row r="1014" spans="2:24" ht="11.25" hidden="1" customHeight="1" x14ac:dyDescent="0.25">
      <c r="B1014" s="1" t="s">
        <v>2271</v>
      </c>
      <c r="C1014" s="17" t="str">
        <f>IFERROR(LEFT(VLOOKUP(B1014,'For consider'!D:E,2,0),8),"Chưa có code")</f>
        <v>Chưa có code</v>
      </c>
      <c r="D1014" s="1" t="s">
        <v>20</v>
      </c>
      <c r="E1014" s="1" t="str">
        <f t="shared" si="0"/>
        <v>Chưa triển khai</v>
      </c>
      <c r="F1014" s="1" t="str">
        <f>IFERROR(VLOOKUP(B1014,'Plan 2026'!B:AC,28,0),"không có trong file network")</f>
        <v>Reject</v>
      </c>
      <c r="G1014" s="1" t="str">
        <f>IFERROR(IF(VLOOKUP(B1014,'TCH (append)'!C:P,14,0)="Completed","Hoàn thành thi công",
IF(VLOOKUP(B1014,'TCH (append)'!C:K,9,0)="Completed","Hoàn thành đấu thầu",
IF(VLOOKUP(B1014,'TCH (append)'!C:J,8,0)="Completed","Hoàn thành dự toán",
IF(VLOOKUP(B1014,'TCH (append)'!C:I,7,0)="Completed","Hoàn thành thiết kế",
"Chưa thiết kế")))),"Chưa có trong file PMO")</f>
        <v>Chưa có trong file PMO</v>
      </c>
      <c r="H1014" s="1" t="s">
        <v>2272</v>
      </c>
      <c r="I1014" s="1" t="s">
        <v>23</v>
      </c>
      <c r="J1014" s="1" t="s">
        <v>34</v>
      </c>
      <c r="K1014" s="1" t="s">
        <v>35</v>
      </c>
      <c r="L1014" s="2" t="str">
        <f>IF(
    F1014&lt;&gt;"Đã ký",
    "Chưa triển khai",
    IF(
        IFERROR(VLOOKUP(B1014,TCH[[Code budget]:[Ngày kết thúc thi công theo kế hoạch]],10,0),0)&gt;0,
        VLOOKUP(B1014,TCH[[Code budget]:[Ngày kết thúc thi công theo kế hoạch]],10,0),
        IFERROR(
            DATE(2026,VLOOKUP(B1014,'Plan 2026'!B:H,7,0),31),
            "Chưa triển khai"
        )
    )
)</f>
        <v>Chưa triển khai</v>
      </c>
      <c r="M1014" s="2" t="s">
        <v>6688</v>
      </c>
      <c r="N1014" s="2">
        <v>46204</v>
      </c>
      <c r="X1014" s="1" t="s">
        <v>2204</v>
      </c>
    </row>
    <row r="1015" spans="2:24" ht="11.25" hidden="1" customHeight="1" x14ac:dyDescent="0.25">
      <c r="B1015" s="1" t="s">
        <v>2273</v>
      </c>
      <c r="C1015" s="17" t="str">
        <f>IFERROR(LEFT(VLOOKUP(B1015,'For consider'!D:E,2,0),8),"Chưa có code")</f>
        <v>Chưa có code</v>
      </c>
      <c r="D1015" s="1" t="s">
        <v>348</v>
      </c>
      <c r="E1015" s="1" t="str">
        <f t="shared" si="0"/>
        <v>Chưa triển khai</v>
      </c>
      <c r="F1015" s="1" t="str">
        <f>IFERROR(VLOOKUP(B1015,'Plan 2026'!B:AC,28,0),"không có trong file network")</f>
        <v>Chưa có</v>
      </c>
      <c r="G1015" s="1" t="str">
        <f>IFERROR(IF(VLOOKUP(B1015,'TCH (append)'!C:P,14,0)="Completed","Hoàn thành thi công",
IF(VLOOKUP(B1015,'TCH (append)'!C:K,9,0)="Completed","Hoàn thành đấu thầu",
IF(VLOOKUP(B1015,'TCH (append)'!C:J,8,0)="Completed","Hoàn thành dự toán",
IF(VLOOKUP(B1015,'TCH (append)'!C:I,7,0)="Completed","Hoàn thành thiết kế",
"Chưa thiết kế")))),"Chưa có trong file PMO")</f>
        <v>Chưa có trong file PMO</v>
      </c>
      <c r="H1015" s="1" t="s">
        <v>2274</v>
      </c>
      <c r="I1015" s="1" t="s">
        <v>350</v>
      </c>
      <c r="J1015" s="1" t="s">
        <v>34</v>
      </c>
      <c r="K1015" s="1" t="s">
        <v>35</v>
      </c>
      <c r="L1015" s="2" t="str">
        <f>IF(
    F1015&lt;&gt;"Đã ký",
    "Chưa triển khai",
    IF(
        IFERROR(VLOOKUP(B1015,TCH[[Code budget]:[Ngày kết thúc thi công theo kế hoạch]],10,0),0)&gt;0,
        VLOOKUP(B1015,TCH[[Code budget]:[Ngày kết thúc thi công theo kế hoạch]],10,0),
        IFERROR(
            DATE(2026,VLOOKUP(B1015,'Plan 2026'!B:H,7,0),31),
            "Chưa triển khai"
        )
    )
)</f>
        <v>Chưa triển khai</v>
      </c>
      <c r="M1015" s="2" t="s">
        <v>6688</v>
      </c>
      <c r="N1015" s="2">
        <v>46327</v>
      </c>
      <c r="X1015" s="1" t="s">
        <v>2204</v>
      </c>
    </row>
    <row r="1016" spans="2:24" ht="11.25" hidden="1" customHeight="1" x14ac:dyDescent="0.25">
      <c r="B1016" s="1" t="s">
        <v>2275</v>
      </c>
      <c r="C1016" s="17" t="str">
        <f>IFERROR(LEFT(VLOOKUP(B1016,'For consider'!D:E,2,0),8),"Chưa có code")</f>
        <v>Chưa có code</v>
      </c>
      <c r="D1016" s="1" t="s">
        <v>348</v>
      </c>
      <c r="E1016" s="1" t="str">
        <f t="shared" si="0"/>
        <v>Chưa triển khai</v>
      </c>
      <c r="F1016" s="1" t="str">
        <f>IFERROR(VLOOKUP(B1016,'Plan 2026'!B:AC,28,0),"không có trong file network")</f>
        <v>Đang offer</v>
      </c>
      <c r="G1016" s="1" t="str">
        <f>IFERROR(IF(VLOOKUP(B1016,'TCH (append)'!C:P,14,0)="Completed","Hoàn thành thi công",
IF(VLOOKUP(B1016,'TCH (append)'!C:K,9,0)="Completed","Hoàn thành đấu thầu",
IF(VLOOKUP(B1016,'TCH (append)'!C:J,8,0)="Completed","Hoàn thành dự toán",
IF(VLOOKUP(B1016,'TCH (append)'!C:I,7,0)="Completed","Hoàn thành thiết kế",
"Chưa thiết kế")))),"Chưa có trong file PMO")</f>
        <v>Chưa có trong file PMO</v>
      </c>
      <c r="H1016" s="1" t="s">
        <v>2276</v>
      </c>
      <c r="I1016" s="1" t="s">
        <v>350</v>
      </c>
      <c r="J1016" s="1" t="s">
        <v>34</v>
      </c>
      <c r="K1016" s="1" t="s">
        <v>35</v>
      </c>
      <c r="L1016" s="2" t="str">
        <f>IF(
    F1016&lt;&gt;"Đã ký",
    "Chưa triển khai",
    IF(
        IFERROR(VLOOKUP(B1016,TCH[[Code budget]:[Ngày kết thúc thi công theo kế hoạch]],10,0),0)&gt;0,
        VLOOKUP(B1016,TCH[[Code budget]:[Ngày kết thúc thi công theo kế hoạch]],10,0),
        IFERROR(
            DATE(2026,VLOOKUP(B1016,'Plan 2026'!B:H,7,0),31),
            "Chưa triển khai"
        )
    )
)</f>
        <v>Chưa triển khai</v>
      </c>
      <c r="M1016" s="2" t="s">
        <v>6688</v>
      </c>
      <c r="N1016" s="2">
        <v>46113</v>
      </c>
      <c r="X1016" s="1" t="s">
        <v>2204</v>
      </c>
    </row>
    <row r="1017" spans="2:24" ht="11.25" hidden="1" customHeight="1" x14ac:dyDescent="0.25">
      <c r="B1017" s="1" t="s">
        <v>2277</v>
      </c>
      <c r="C1017" s="17" t="str">
        <f>IFERROR(LEFT(VLOOKUP(B1017,'For consider'!D:E,2,0),8),"Chưa có code")</f>
        <v>Chưa có code</v>
      </c>
      <c r="D1017" s="1" t="s">
        <v>348</v>
      </c>
      <c r="E1017" s="1" t="str">
        <f t="shared" si="0"/>
        <v>Chưa triển khai</v>
      </c>
      <c r="F1017" s="1" t="str">
        <f>IFERROR(VLOOKUP(B1017,'Plan 2026'!B:AC,28,0),"không có trong file network")</f>
        <v>Chưa có</v>
      </c>
      <c r="G1017" s="1" t="str">
        <f>IFERROR(IF(VLOOKUP(B1017,'TCH (append)'!C:P,14,0)="Completed","Hoàn thành thi công",
IF(VLOOKUP(B1017,'TCH (append)'!C:K,9,0)="Completed","Hoàn thành đấu thầu",
IF(VLOOKUP(B1017,'TCH (append)'!C:J,8,0)="Completed","Hoàn thành dự toán",
IF(VLOOKUP(B1017,'TCH (append)'!C:I,7,0)="Completed","Hoàn thành thiết kế",
"Chưa thiết kế")))),"Chưa có trong file PMO")</f>
        <v>Chưa có trong file PMO</v>
      </c>
      <c r="H1017" s="1" t="s">
        <v>2278</v>
      </c>
      <c r="I1017" s="1" t="s">
        <v>350</v>
      </c>
      <c r="J1017" s="1" t="s">
        <v>34</v>
      </c>
      <c r="K1017" s="1" t="s">
        <v>35</v>
      </c>
      <c r="L1017" s="2" t="str">
        <f>IF(
    F1017&lt;&gt;"Đã ký",
    "Chưa triển khai",
    IF(
        IFERROR(VLOOKUP(B1017,TCH[[Code budget]:[Ngày kết thúc thi công theo kế hoạch]],10,0),0)&gt;0,
        VLOOKUP(B1017,TCH[[Code budget]:[Ngày kết thúc thi công theo kế hoạch]],10,0),
        IFERROR(
            DATE(2026,VLOOKUP(B1017,'Plan 2026'!B:H,7,0),31),
            "Chưa triển khai"
        )
    )
)</f>
        <v>Chưa triển khai</v>
      </c>
      <c r="M1017" s="2" t="s">
        <v>6688</v>
      </c>
      <c r="N1017" s="2">
        <v>46204</v>
      </c>
      <c r="X1017" s="1" t="s">
        <v>2204</v>
      </c>
    </row>
    <row r="1018" spans="2:24" ht="11.25" hidden="1" customHeight="1" x14ac:dyDescent="0.25">
      <c r="B1018" s="1" t="s">
        <v>2279</v>
      </c>
      <c r="C1018" s="17" t="str">
        <f>IFERROR(LEFT(VLOOKUP(B1018,'For consider'!D:E,2,0),8),"Chưa có code")</f>
        <v>Chưa có code</v>
      </c>
      <c r="D1018" s="1" t="s">
        <v>20</v>
      </c>
      <c r="E1018" s="1" t="str">
        <f t="shared" si="0"/>
        <v>Chưa triển khai</v>
      </c>
      <c r="F1018" s="1" t="str">
        <f>IFERROR(VLOOKUP(B1018,'Plan 2026'!B:AC,28,0),"không có trong file network")</f>
        <v>Không có</v>
      </c>
      <c r="G1018" s="1" t="str">
        <f>IFERROR(IF(VLOOKUP(B1018,'TCH (append)'!C:P,14,0)="Completed","Hoàn thành thi công",
IF(VLOOKUP(B1018,'TCH (append)'!C:K,9,0)="Completed","Hoàn thành đấu thầu",
IF(VLOOKUP(B1018,'TCH (append)'!C:J,8,0)="Completed","Hoàn thành dự toán",
IF(VLOOKUP(B1018,'TCH (append)'!C:I,7,0)="Completed","Hoàn thành thiết kế",
"Chưa thiết kế")))),"Chưa có trong file PMO")</f>
        <v>Chưa có trong file PMO</v>
      </c>
      <c r="H1018" s="1" t="s">
        <v>2280</v>
      </c>
      <c r="I1018" s="1" t="s">
        <v>23</v>
      </c>
      <c r="J1018" s="1" t="s">
        <v>1777</v>
      </c>
      <c r="K1018" s="1" t="s">
        <v>1778</v>
      </c>
      <c r="L1018" s="2" t="str">
        <f>IF(
    F1018&lt;&gt;"Đã ký",
    "Chưa triển khai",
    IF(
        IFERROR(VLOOKUP(B1018,TCH[[Code budget]:[Ngày kết thúc thi công theo kế hoạch]],10,0),0)&gt;0,
        VLOOKUP(B1018,TCH[[Code budget]:[Ngày kết thúc thi công theo kế hoạch]],10,0),
        IFERROR(
            DATE(2026,VLOOKUP(B1018,'Plan 2026'!B:H,7,0),31),
            "Chưa triển khai"
        )
    )
)</f>
        <v>Chưa triển khai</v>
      </c>
      <c r="M1018" s="2" t="s">
        <v>6688</v>
      </c>
      <c r="N1018" s="2">
        <v>46143</v>
      </c>
      <c r="X1018" s="1" t="s">
        <v>2204</v>
      </c>
    </row>
    <row r="1019" spans="2:24" ht="11.25" hidden="1" customHeight="1" x14ac:dyDescent="0.25">
      <c r="B1019" s="1" t="s">
        <v>2281</v>
      </c>
      <c r="C1019" s="17" t="str">
        <f>IFERROR(LEFT(VLOOKUP(B1019,'For consider'!D:E,2,0),8),"Chưa có code")</f>
        <v>Chưa có code</v>
      </c>
      <c r="D1019" s="1" t="s">
        <v>348</v>
      </c>
      <c r="E1019" s="1" t="str">
        <f t="shared" si="0"/>
        <v>Chưa triển khai</v>
      </c>
      <c r="F1019" s="1" t="str">
        <f>IFERROR(VLOOKUP(B1019,'Plan 2026'!B:AC,28,0),"không có trong file network")</f>
        <v>Chưa có</v>
      </c>
      <c r="G1019" s="1" t="str">
        <f>IFERROR(IF(VLOOKUP(B1019,'TCH (append)'!C:P,14,0)="Completed","Hoàn thành thi công",
IF(VLOOKUP(B1019,'TCH (append)'!C:K,9,0)="Completed","Hoàn thành đấu thầu",
IF(VLOOKUP(B1019,'TCH (append)'!C:J,8,0)="Completed","Hoàn thành dự toán",
IF(VLOOKUP(B1019,'TCH (append)'!C:I,7,0)="Completed","Hoàn thành thiết kế",
"Chưa thiết kế")))),"Chưa có trong file PMO")</f>
        <v>Chưa có trong file PMO</v>
      </c>
      <c r="H1019" s="1" t="s">
        <v>2282</v>
      </c>
      <c r="I1019" s="1" t="s">
        <v>350</v>
      </c>
      <c r="J1019" s="1" t="s">
        <v>1777</v>
      </c>
      <c r="K1019" s="1" t="s">
        <v>1778</v>
      </c>
      <c r="L1019" s="2" t="str">
        <f>IF(
    F1019&lt;&gt;"Đã ký",
    "Chưa triển khai",
    IF(
        IFERROR(VLOOKUP(B1019,TCH[[Code budget]:[Ngày kết thúc thi công theo kế hoạch]],10,0),0)&gt;0,
        VLOOKUP(B1019,TCH[[Code budget]:[Ngày kết thúc thi công theo kế hoạch]],10,0),
        IFERROR(
            DATE(2026,VLOOKUP(B1019,'Plan 2026'!B:H,7,0),31),
            "Chưa triển khai"
        )
    )
)</f>
        <v>Chưa triển khai</v>
      </c>
      <c r="M1019" s="2" t="s">
        <v>6688</v>
      </c>
      <c r="N1019" s="2">
        <v>46235</v>
      </c>
      <c r="X1019" s="1" t="s">
        <v>2204</v>
      </c>
    </row>
    <row r="1020" spans="2:24" ht="11.25" hidden="1" customHeight="1" x14ac:dyDescent="0.25">
      <c r="B1020" s="1" t="s">
        <v>2283</v>
      </c>
      <c r="C1020" s="17" t="str">
        <f>IFERROR(LEFT(VLOOKUP(B1020,'For consider'!D:E,2,0),8),"Chưa có code")</f>
        <v>Chưa có code</v>
      </c>
      <c r="D1020" s="1" t="s">
        <v>20</v>
      </c>
      <c r="E1020" s="1" t="str">
        <f t="shared" si="0"/>
        <v>Chưa triển khai</v>
      </c>
      <c r="F1020" s="1" t="str">
        <f>IFERROR(VLOOKUP(B1020,'Plan 2026'!B:AC,28,0),"không có trong file network")</f>
        <v>không có trong file network</v>
      </c>
      <c r="G1020" s="1" t="str">
        <f>IFERROR(IF(VLOOKUP(B1020,'TCH (append)'!C:P,14,0)="Completed","Hoàn thành thi công",
IF(VLOOKUP(B1020,'TCH (append)'!C:K,9,0)="Completed","Hoàn thành đấu thầu",
IF(VLOOKUP(B1020,'TCH (append)'!C:J,8,0)="Completed","Hoàn thành dự toán",
IF(VLOOKUP(B1020,'TCH (append)'!C:I,7,0)="Completed","Hoàn thành thiết kế",
"Chưa thiết kế")))),"Chưa có trong file PMO")</f>
        <v>Chưa có trong file PMO</v>
      </c>
      <c r="H1020" s="1" t="s">
        <v>2284</v>
      </c>
      <c r="I1020" s="1" t="s">
        <v>23</v>
      </c>
      <c r="J1020" s="1" t="s">
        <v>1019</v>
      </c>
      <c r="K1020" s="1" t="s">
        <v>1020</v>
      </c>
      <c r="L1020" s="2" t="str">
        <f>IF(
    F1020&lt;&gt;"Đã ký",
    "Chưa triển khai",
    IF(
        IFERROR(VLOOKUP(B1020,TCH[[Code budget]:[Ngày kết thúc thi công theo kế hoạch]],10,0),0)&gt;0,
        VLOOKUP(B1020,TCH[[Code budget]:[Ngày kết thúc thi công theo kế hoạch]],10,0),
        IFERROR(
            DATE(2026,VLOOKUP(B1020,'Plan 2026'!B:H,7,0),31),
            "Chưa triển khai"
        )
    )
)</f>
        <v>Chưa triển khai</v>
      </c>
      <c r="M1020" s="2" t="s">
        <v>6688</v>
      </c>
      <c r="N1020" s="2">
        <v>46143</v>
      </c>
      <c r="X1020" s="1" t="s">
        <v>2204</v>
      </c>
    </row>
    <row r="1021" spans="2:24" ht="11.25" hidden="1" customHeight="1" x14ac:dyDescent="0.25">
      <c r="B1021" s="1" t="s">
        <v>2285</v>
      </c>
      <c r="C1021" s="17" t="str">
        <f>IFERROR(LEFT(VLOOKUP(B1021,'For consider'!D:E,2,0),8),"Chưa có code")</f>
        <v>Chưa có code</v>
      </c>
      <c r="D1021" s="1" t="s">
        <v>20</v>
      </c>
      <c r="E1021" s="1" t="str">
        <f t="shared" si="0"/>
        <v>Chưa triển khai</v>
      </c>
      <c r="F1021" s="1" t="str">
        <f>IFERROR(VLOOKUP(B1021,'Plan 2026'!B:AC,28,0),"không có trong file network")</f>
        <v>không có trong file network</v>
      </c>
      <c r="G1021" s="1" t="str">
        <f>IFERROR(IF(VLOOKUP(B1021,'TCH (append)'!C:P,14,0)="Completed","Hoàn thành thi công",
IF(VLOOKUP(B1021,'TCH (append)'!C:K,9,0)="Completed","Hoàn thành đấu thầu",
IF(VLOOKUP(B1021,'TCH (append)'!C:J,8,0)="Completed","Hoàn thành dự toán",
IF(VLOOKUP(B1021,'TCH (append)'!C:I,7,0)="Completed","Hoàn thành thiết kế",
"Chưa thiết kế")))),"Chưa có trong file PMO")</f>
        <v>Chưa có trong file PMO</v>
      </c>
      <c r="H1021" s="1" t="s">
        <v>2286</v>
      </c>
      <c r="I1021" s="1" t="s">
        <v>23</v>
      </c>
      <c r="J1021" s="1" t="s">
        <v>1019</v>
      </c>
      <c r="K1021" s="1" t="s">
        <v>1020</v>
      </c>
      <c r="L1021" s="2" t="str">
        <f>IF(
    F1021&lt;&gt;"Đã ký",
    "Chưa triển khai",
    IF(
        IFERROR(VLOOKUP(B1021,TCH[[Code budget]:[Ngày kết thúc thi công theo kế hoạch]],10,0),0)&gt;0,
        VLOOKUP(B1021,TCH[[Code budget]:[Ngày kết thúc thi công theo kế hoạch]],10,0),
        IFERROR(
            DATE(2026,VLOOKUP(B1021,'Plan 2026'!B:H,7,0),31),
            "Chưa triển khai"
        )
    )
)</f>
        <v>Chưa triển khai</v>
      </c>
      <c r="M1021" s="2" t="s">
        <v>6688</v>
      </c>
      <c r="N1021" s="2">
        <v>46143</v>
      </c>
      <c r="X1021" s="1" t="s">
        <v>2204</v>
      </c>
    </row>
    <row r="1022" spans="2:24" ht="11.25" hidden="1" customHeight="1" x14ac:dyDescent="0.25">
      <c r="B1022" s="1" t="s">
        <v>2287</v>
      </c>
      <c r="C1022" s="17" t="str">
        <f>IFERROR(LEFT(VLOOKUP(B1022,'For consider'!D:E,2,0),8),"Chưa có code")</f>
        <v>Chưa có code</v>
      </c>
      <c r="D1022" s="1" t="s">
        <v>348</v>
      </c>
      <c r="E1022" s="1" t="str">
        <f t="shared" si="0"/>
        <v>Chưa triển khai</v>
      </c>
      <c r="F1022" s="1" t="str">
        <f>IFERROR(VLOOKUP(B1022,'Plan 2026'!B:AC,28,0),"không có trong file network")</f>
        <v>Chưa có</v>
      </c>
      <c r="G1022" s="1" t="str">
        <f>IFERROR(IF(VLOOKUP(B1022,'TCH (append)'!C:P,14,0)="Completed","Hoàn thành thi công",
IF(VLOOKUP(B1022,'TCH (append)'!C:K,9,0)="Completed","Hoàn thành đấu thầu",
IF(VLOOKUP(B1022,'TCH (append)'!C:J,8,0)="Completed","Hoàn thành dự toán",
IF(VLOOKUP(B1022,'TCH (append)'!C:I,7,0)="Completed","Hoàn thành thiết kế",
"Chưa thiết kế")))),"Chưa có trong file PMO")</f>
        <v>Chưa có trong file PMO</v>
      </c>
      <c r="H1022" s="1" t="s">
        <v>2288</v>
      </c>
      <c r="I1022" s="1" t="s">
        <v>350</v>
      </c>
      <c r="J1022" s="1" t="s">
        <v>1019</v>
      </c>
      <c r="K1022" s="1" t="s">
        <v>1020</v>
      </c>
      <c r="L1022" s="2" t="str">
        <f>IF(
    F1022&lt;&gt;"Đã ký",
    "Chưa triển khai",
    IF(
        IFERROR(VLOOKUP(B1022,TCH[[Code budget]:[Ngày kết thúc thi công theo kế hoạch]],10,0),0)&gt;0,
        VLOOKUP(B1022,TCH[[Code budget]:[Ngày kết thúc thi công theo kế hoạch]],10,0),
        IFERROR(
            DATE(2026,VLOOKUP(B1022,'Plan 2026'!B:H,7,0),31),
            "Chưa triển khai"
        )
    )
)</f>
        <v>Chưa triển khai</v>
      </c>
      <c r="M1022" s="2" t="s">
        <v>6688</v>
      </c>
      <c r="N1022" s="2">
        <v>46143</v>
      </c>
      <c r="X1022" s="1" t="s">
        <v>2204</v>
      </c>
    </row>
    <row r="1023" spans="2:24" ht="11.25" hidden="1" customHeight="1" x14ac:dyDescent="0.25">
      <c r="B1023" s="1" t="s">
        <v>2289</v>
      </c>
      <c r="C1023" s="17" t="str">
        <f>IFERROR(LEFT(VLOOKUP(B1023,'For consider'!D:E,2,0),8),"Chưa có code")</f>
        <v>Chưa có code</v>
      </c>
      <c r="D1023" s="1" t="s">
        <v>348</v>
      </c>
      <c r="E1023" s="1" t="str">
        <f t="shared" si="0"/>
        <v>Chưa triển khai</v>
      </c>
      <c r="F1023" s="1" t="str">
        <f>IFERROR(VLOOKUP(B1023,'Plan 2026'!B:AC,28,0),"không có trong file network")</f>
        <v>Đang offer</v>
      </c>
      <c r="G1023" s="1" t="str">
        <f>IFERROR(IF(VLOOKUP(B1023,'TCH (append)'!C:P,14,0)="Completed","Hoàn thành thi công",
IF(VLOOKUP(B1023,'TCH (append)'!C:K,9,0)="Completed","Hoàn thành đấu thầu",
IF(VLOOKUP(B1023,'TCH (append)'!C:J,8,0)="Completed","Hoàn thành dự toán",
IF(VLOOKUP(B1023,'TCH (append)'!C:I,7,0)="Completed","Hoàn thành thiết kế",
"Chưa thiết kế")))),"Chưa có trong file PMO")</f>
        <v>Chưa thiết kế</v>
      </c>
      <c r="H1023" s="1" t="s">
        <v>2290</v>
      </c>
      <c r="I1023" s="1" t="s">
        <v>350</v>
      </c>
      <c r="J1023" s="1" t="s">
        <v>1019</v>
      </c>
      <c r="K1023" s="1" t="s">
        <v>1020</v>
      </c>
      <c r="L1023" s="2" t="str">
        <f>IF(
    F1023&lt;&gt;"Đã ký",
    "Chưa triển khai",
    IF(
        IFERROR(VLOOKUP(B1023,TCH[[Code budget]:[Ngày kết thúc thi công theo kế hoạch]],10,0),0)&gt;0,
        VLOOKUP(B1023,TCH[[Code budget]:[Ngày kết thúc thi công theo kế hoạch]],10,0),
        IFERROR(
            DATE(2026,VLOOKUP(B1023,'Plan 2026'!B:H,7,0),31),
            "Chưa triển khai"
        )
    )
)</f>
        <v>Chưa triển khai</v>
      </c>
      <c r="M1023" s="2" t="s">
        <v>6688</v>
      </c>
      <c r="N1023" s="2">
        <v>46327</v>
      </c>
      <c r="X1023" s="1" t="s">
        <v>2204</v>
      </c>
    </row>
    <row r="1024" spans="2:24" ht="11.25" hidden="1" customHeight="1" x14ac:dyDescent="0.25">
      <c r="B1024" s="1" t="s">
        <v>2291</v>
      </c>
      <c r="C1024" s="17" t="str">
        <f>IFERROR(LEFT(VLOOKUP(B1024,'For consider'!D:E,2,0),8),"Chưa có code")</f>
        <v>30CD5001</v>
      </c>
      <c r="D1024" s="1" t="s">
        <v>348</v>
      </c>
      <c r="E1024" s="1" t="str">
        <f t="shared" si="0"/>
        <v>Waiting for open</v>
      </c>
      <c r="F1024" s="1" t="str">
        <f>IFERROR(VLOOKUP(B1024,'Plan 2026'!B:AC,28,0),"không có trong file network")</f>
        <v>Đã ký</v>
      </c>
      <c r="G1024" s="1" t="str">
        <f>IFERROR(IF(VLOOKUP(B1024,'TCH (append)'!C:P,14,0)="Completed","Hoàn thành thi công",
IF(VLOOKUP(B1024,'TCH (append)'!C:K,9,0)="Completed","Hoàn thành đấu thầu",
IF(VLOOKUP(B1024,'TCH (append)'!C:J,8,0)="Completed","Hoàn thành dự toán",
IF(VLOOKUP(B1024,'TCH (append)'!C:I,7,0)="Completed","Hoàn thành thiết kế",
"Chưa thiết kế")))),"Chưa có trong file PMO")</f>
        <v>Hoàn thành đấu thầu</v>
      </c>
      <c r="H1024" s="1" t="s">
        <v>2292</v>
      </c>
      <c r="I1024" s="1" t="s">
        <v>2244</v>
      </c>
      <c r="J1024" s="1" t="s">
        <v>1019</v>
      </c>
      <c r="K1024" s="1" t="s">
        <v>1020</v>
      </c>
      <c r="L1024" s="2">
        <f>IF(
    F1024&lt;&gt;"Đã ký",
    "Chưa triển khai",
    IF(
        IFERROR(VLOOKUP(B1024,TCH[[Code budget]:[Ngày kết thúc thi công theo kế hoạch]],10,0),0)&gt;0,
        VLOOKUP(B1024,TCH[[Code budget]:[Ngày kết thúc thi công theo kế hoạch]],10,0),
        IFERROR(
            DATE(2026,VLOOKUP(B1024,'Plan 2026'!B:H,7,0),31),
            "Chưa triển khai"
        )
    )
)</f>
        <v>46134</v>
      </c>
      <c r="M1024" s="2" t="s">
        <v>6688</v>
      </c>
      <c r="N1024" s="2">
        <v>46327</v>
      </c>
      <c r="X1024" s="1" t="s">
        <v>2204</v>
      </c>
    </row>
    <row r="1025" spans="2:24" ht="11.25" hidden="1" customHeight="1" x14ac:dyDescent="0.25">
      <c r="B1025" s="1" t="s">
        <v>2293</v>
      </c>
      <c r="C1025" s="17" t="str">
        <f>IFERROR(LEFT(VLOOKUP(B1025,'For consider'!D:E,2,0),8),"Chưa có code")</f>
        <v>10SS4981</v>
      </c>
      <c r="D1025" s="1" t="s">
        <v>20</v>
      </c>
      <c r="E1025" s="1" t="str">
        <f t="shared" si="0"/>
        <v>Lock mb chưa thi công</v>
      </c>
      <c r="F1025" s="1" t="str">
        <f>IFERROR(VLOOKUP(B1025,'Plan 2026'!B:AC,28,0),"không có trong file network")</f>
        <v>Đã ký</v>
      </c>
      <c r="G1025" s="1" t="str">
        <f>IFERROR(IF(VLOOKUP(B1025,'TCH (append)'!C:P,14,0)="Completed","Hoàn thành thi công",
IF(VLOOKUP(B1025,'TCH (append)'!C:K,9,0)="Completed","Hoàn thành đấu thầu",
IF(VLOOKUP(B1025,'TCH (append)'!C:J,8,0)="Completed","Hoàn thành dự toán",
IF(VLOOKUP(B1025,'TCH (append)'!C:I,7,0)="Completed","Hoàn thành thiết kế",
"Chưa thiết kế")))),"Chưa có trong file PMO")</f>
        <v>Chưa có trong file PMO</v>
      </c>
      <c r="H1025" s="1" t="s">
        <v>2294</v>
      </c>
      <c r="I1025" s="1" t="s">
        <v>23</v>
      </c>
      <c r="J1025" s="1" t="s">
        <v>61</v>
      </c>
      <c r="K1025" s="1" t="s">
        <v>62</v>
      </c>
      <c r="L1025" s="2">
        <f>IF(
    F1025&lt;&gt;"Đã ký",
    "Chưa triển khai",
    IF(
        IFERROR(VLOOKUP(B1025,TCH[[Code budget]:[Ngày kết thúc thi công theo kế hoạch]],10,0),0)&gt;0,
        VLOOKUP(B1025,TCH[[Code budget]:[Ngày kết thúc thi công theo kế hoạch]],10,0),
        IFERROR(
            DATE(2026,VLOOKUP(B1025,'Plan 2026'!B:H,7,0),31),
            "Chưa triển khai"
        )
    )
)</f>
        <v>46143</v>
      </c>
      <c r="M1025" s="2" t="s">
        <v>6688</v>
      </c>
      <c r="N1025" s="2">
        <v>46113</v>
      </c>
      <c r="X1025" s="1" t="s">
        <v>2204</v>
      </c>
    </row>
    <row r="1026" spans="2:24" ht="11.25" hidden="1" customHeight="1" x14ac:dyDescent="0.25">
      <c r="B1026" s="1" t="s">
        <v>2295</v>
      </c>
      <c r="C1026" s="17" t="str">
        <f>IFERROR(LEFT(VLOOKUP(B1026,'For consider'!D:E,2,0),8),"Chưa có code")</f>
        <v>Chưa có code</v>
      </c>
      <c r="D1026" s="1" t="s">
        <v>20</v>
      </c>
      <c r="E1026" s="1" t="str">
        <f t="shared" si="0"/>
        <v>Chưa triển khai</v>
      </c>
      <c r="F1026" s="1" t="str">
        <f>IFERROR(VLOOKUP(B1026,'Plan 2026'!B:AC,28,0),"không có trong file network")</f>
        <v>Chưa có</v>
      </c>
      <c r="G1026" s="1" t="str">
        <f>IFERROR(IF(VLOOKUP(B1026,'TCH (append)'!C:P,14,0)="Completed","Hoàn thành thi công",
IF(VLOOKUP(B1026,'TCH (append)'!C:K,9,0)="Completed","Hoàn thành đấu thầu",
IF(VLOOKUP(B1026,'TCH (append)'!C:J,8,0)="Completed","Hoàn thành dự toán",
IF(VLOOKUP(B1026,'TCH (append)'!C:I,7,0)="Completed","Hoàn thành thiết kế",
"Chưa thiết kế")))),"Chưa có trong file PMO")</f>
        <v>Chưa có trong file PMO</v>
      </c>
      <c r="H1026" s="1" t="s">
        <v>2280</v>
      </c>
      <c r="I1026" s="1" t="s">
        <v>23</v>
      </c>
      <c r="J1026" s="1" t="s">
        <v>61</v>
      </c>
      <c r="K1026" s="1" t="s">
        <v>62</v>
      </c>
      <c r="L1026" s="2" t="str">
        <f>IF(
    F1026&lt;&gt;"Đã ký",
    "Chưa triển khai",
    IF(
        IFERROR(VLOOKUP(B1026,TCH[[Code budget]:[Ngày kết thúc thi công theo kế hoạch]],10,0),0)&gt;0,
        VLOOKUP(B1026,TCH[[Code budget]:[Ngày kết thúc thi công theo kế hoạch]],10,0),
        IFERROR(
            DATE(2026,VLOOKUP(B1026,'Plan 2026'!B:H,7,0),31),
            "Chưa triển khai"
        )
    )
)</f>
        <v>Chưa triển khai</v>
      </c>
      <c r="M1026" s="2" t="s">
        <v>6688</v>
      </c>
      <c r="N1026" s="2">
        <v>46143</v>
      </c>
      <c r="X1026" s="1" t="s">
        <v>2204</v>
      </c>
    </row>
    <row r="1027" spans="2:24" ht="11.25" hidden="1" customHeight="1" x14ac:dyDescent="0.25">
      <c r="B1027" s="1" t="s">
        <v>2296</v>
      </c>
      <c r="C1027" s="17" t="str">
        <f>IFERROR(LEFT(VLOOKUP(B1027,'For consider'!D:E,2,0),8),"Chưa có code")</f>
        <v/>
      </c>
      <c r="D1027" s="1" t="s">
        <v>20</v>
      </c>
      <c r="E1027" s="1" t="str">
        <f t="shared" si="0"/>
        <v>Waiting for open</v>
      </c>
      <c r="F1027" s="1" t="str">
        <f>IFERROR(VLOOKUP(B1027,'Plan 2026'!B:AC,28,0),"không có trong file network")</f>
        <v>Đã ký</v>
      </c>
      <c r="G1027" s="1" t="str">
        <f>IFERROR(IF(VLOOKUP(B1027,'TCH (append)'!C:P,14,0)="Completed","Hoàn thành thi công",
IF(VLOOKUP(B1027,'TCH (append)'!C:K,9,0)="Completed","Hoàn thành đấu thầu",
IF(VLOOKUP(B1027,'TCH (append)'!C:J,8,0)="Completed","Hoàn thành dự toán",
IF(VLOOKUP(B1027,'TCH (append)'!C:I,7,0)="Completed","Hoàn thành thiết kế",
"Chưa thiết kế")))),"Chưa có trong file PMO")</f>
        <v>Chưa thiết kế</v>
      </c>
      <c r="H1027" s="1" t="s">
        <v>2297</v>
      </c>
      <c r="I1027" s="1" t="s">
        <v>2241</v>
      </c>
      <c r="J1027" s="1" t="s">
        <v>61</v>
      </c>
      <c r="K1027" s="1" t="s">
        <v>62</v>
      </c>
      <c r="L1027" s="2">
        <f>IF(
    F1027&lt;&gt;"Đã ký",
    "Chưa triển khai",
    IF(
        IFERROR(VLOOKUP(B1027,TCH[[Code budget]:[Ngày kết thúc thi công theo kế hoạch]],10,0),0)&gt;0,
        VLOOKUP(B1027,TCH[[Code budget]:[Ngày kết thúc thi công theo kế hoạch]],10,0),
        IFERROR(
            DATE(2026,VLOOKUP(B1027,'Plan 2026'!B:H,7,0),31),
            "Chưa triển khai"
        )
    )
)</f>
        <v>46244</v>
      </c>
      <c r="M1027" s="2" t="s">
        <v>6688</v>
      </c>
      <c r="N1027" s="2">
        <v>46143</v>
      </c>
      <c r="X1027" s="1" t="s">
        <v>2204</v>
      </c>
    </row>
    <row r="1028" spans="2:24" ht="11.25" hidden="1" customHeight="1" x14ac:dyDescent="0.25">
      <c r="B1028" s="1" t="s">
        <v>2298</v>
      </c>
      <c r="C1028" s="17" t="str">
        <f>IFERROR(LEFT(VLOOKUP(B1028,'For consider'!D:E,2,0),8),"Chưa có code")</f>
        <v>Chưa có code</v>
      </c>
      <c r="D1028" s="1" t="s">
        <v>20</v>
      </c>
      <c r="E1028" s="1" t="str">
        <f t="shared" si="0"/>
        <v>Chưa triển khai</v>
      </c>
      <c r="F1028" s="1" t="str">
        <f>IFERROR(VLOOKUP(B1028,'Plan 2026'!B:AC,28,0),"không có trong file network")</f>
        <v>Chưa có</v>
      </c>
      <c r="G1028" s="1" t="str">
        <f>IFERROR(IF(VLOOKUP(B1028,'TCH (append)'!C:P,14,0)="Completed","Hoàn thành thi công",
IF(VLOOKUP(B1028,'TCH (append)'!C:K,9,0)="Completed","Hoàn thành đấu thầu",
IF(VLOOKUP(B1028,'TCH (append)'!C:J,8,0)="Completed","Hoàn thành dự toán",
IF(VLOOKUP(B1028,'TCH (append)'!C:I,7,0)="Completed","Hoàn thành thiết kế",
"Chưa thiết kế")))),"Chưa có trong file PMO")</f>
        <v>Chưa có trong file PMO</v>
      </c>
      <c r="H1028" s="1" t="s">
        <v>2299</v>
      </c>
      <c r="I1028" s="1" t="s">
        <v>23</v>
      </c>
      <c r="J1028" s="1" t="s">
        <v>61</v>
      </c>
      <c r="K1028" s="1" t="s">
        <v>62</v>
      </c>
      <c r="L1028" s="2" t="str">
        <f>IF(
    F1028&lt;&gt;"Đã ký",
    "Chưa triển khai",
    IF(
        IFERROR(VLOOKUP(B1028,TCH[[Code budget]:[Ngày kết thúc thi công theo kế hoạch]],10,0),0)&gt;0,
        VLOOKUP(B1028,TCH[[Code budget]:[Ngày kết thúc thi công theo kế hoạch]],10,0),
        IFERROR(
            DATE(2026,VLOOKUP(B1028,'Plan 2026'!B:H,7,0),31),
            "Chưa triển khai"
        )
    )
)</f>
        <v>Chưa triển khai</v>
      </c>
      <c r="M1028" s="2" t="s">
        <v>6688</v>
      </c>
      <c r="N1028" s="2">
        <v>46327</v>
      </c>
      <c r="X1028" s="1" t="s">
        <v>2204</v>
      </c>
    </row>
    <row r="1029" spans="2:24" ht="11.25" hidden="1" customHeight="1" x14ac:dyDescent="0.25">
      <c r="B1029" s="1" t="s">
        <v>2300</v>
      </c>
      <c r="C1029" s="17" t="str">
        <f>IFERROR(LEFT(VLOOKUP(B1029,'For consider'!D:E,2,0),8),"Chưa có code")</f>
        <v/>
      </c>
      <c r="D1029" s="1" t="s">
        <v>348</v>
      </c>
      <c r="E1029" s="1" t="str">
        <f t="shared" si="0"/>
        <v>Lock mb chưa thi công</v>
      </c>
      <c r="F1029" s="1" t="str">
        <f>IFERROR(VLOOKUP(B1029,'Plan 2026'!B:AC,28,0),"không có trong file network")</f>
        <v>Đã ký</v>
      </c>
      <c r="G1029" s="1" t="str">
        <f>IFERROR(IF(VLOOKUP(B1029,'TCH (append)'!C:P,14,0)="Completed","Hoàn thành thi công",
IF(VLOOKUP(B1029,'TCH (append)'!C:K,9,0)="Completed","Hoàn thành đấu thầu",
IF(VLOOKUP(B1029,'TCH (append)'!C:J,8,0)="Completed","Hoàn thành dự toán",
IF(VLOOKUP(B1029,'TCH (append)'!C:I,7,0)="Completed","Hoàn thành thiết kế",
"Chưa thiết kế")))),"Chưa có trong file PMO")</f>
        <v>Chưa có trong file PMO</v>
      </c>
      <c r="H1029" s="1" t="s">
        <v>2301</v>
      </c>
      <c r="I1029" s="1" t="s">
        <v>2244</v>
      </c>
      <c r="J1029" s="1" t="s">
        <v>61</v>
      </c>
      <c r="K1029" s="1" t="s">
        <v>62</v>
      </c>
      <c r="L1029" s="2">
        <f>IF(
    F1029&lt;&gt;"Đã ký",
    "Chưa triển khai",
    IF(
        IFERROR(VLOOKUP(B1029,TCH[[Code budget]:[Ngày kết thúc thi công theo kế hoạch]],10,0),0)&gt;0,
        VLOOKUP(B1029,TCH[[Code budget]:[Ngày kết thúc thi công theo kế hoạch]],10,0),
        IFERROR(
            DATE(2026,VLOOKUP(B1029,'Plan 2026'!B:H,7,0),31),
            "Chưa triển khai"
        )
    )
)</f>
        <v>46357</v>
      </c>
      <c r="M1029" s="2" t="s">
        <v>6688</v>
      </c>
      <c r="N1029" s="2">
        <v>46327</v>
      </c>
      <c r="X1029" s="1" t="s">
        <v>2204</v>
      </c>
    </row>
    <row r="1030" spans="2:24" ht="11.25" hidden="1" customHeight="1" x14ac:dyDescent="0.25">
      <c r="B1030" s="1" t="s">
        <v>2302</v>
      </c>
      <c r="C1030" s="17" t="str">
        <f>IFERROR(LEFT(VLOOKUP(B1030,'For consider'!D:E,2,0),8),"Chưa có code")</f>
        <v>Chưa có code</v>
      </c>
      <c r="D1030" s="1" t="s">
        <v>20</v>
      </c>
      <c r="E1030" s="1" t="str">
        <f t="shared" si="0"/>
        <v>Chưa triển khai</v>
      </c>
      <c r="F1030" s="1" t="str">
        <f>IFERROR(VLOOKUP(B1030,'Plan 2026'!B:AC,28,0),"không có trong file network")</f>
        <v>Hủy bỏ</v>
      </c>
      <c r="G1030" s="1" t="str">
        <f>IFERROR(IF(VLOOKUP(B1030,'TCH (append)'!C:P,14,0)="Completed","Hoàn thành thi công",
IF(VLOOKUP(B1030,'TCH (append)'!C:K,9,0)="Completed","Hoàn thành đấu thầu",
IF(VLOOKUP(B1030,'TCH (append)'!C:J,8,0)="Completed","Hoàn thành dự toán",
IF(VLOOKUP(B1030,'TCH (append)'!C:I,7,0)="Completed","Hoàn thành thiết kế",
"Chưa thiết kế")))),"Chưa có trong file PMO")</f>
        <v>Chưa có trong file PMO</v>
      </c>
      <c r="H1030" s="1" t="s">
        <v>2303</v>
      </c>
      <c r="I1030" s="1" t="s">
        <v>23</v>
      </c>
      <c r="J1030" s="1" t="s">
        <v>301</v>
      </c>
      <c r="K1030" s="1" t="s">
        <v>1749</v>
      </c>
      <c r="L1030" s="2" t="str">
        <f>IF(
    F1030&lt;&gt;"Đã ký",
    "Chưa triển khai",
    IF(
        IFERROR(VLOOKUP(B1030,TCH[[Code budget]:[Ngày kết thúc thi công theo kế hoạch]],10,0),0)&gt;0,
        VLOOKUP(B1030,TCH[[Code budget]:[Ngày kết thúc thi công theo kế hoạch]],10,0),
        IFERROR(
            DATE(2026,VLOOKUP(B1030,'Plan 2026'!B:H,7,0),31),
            "Chưa triển khai"
        )
    )
)</f>
        <v>Chưa triển khai</v>
      </c>
      <c r="M1030" s="2" t="s">
        <v>6688</v>
      </c>
      <c r="N1030" s="2">
        <v>46082</v>
      </c>
      <c r="X1030" s="1" t="s">
        <v>2204</v>
      </c>
    </row>
    <row r="1031" spans="2:24" ht="11.25" hidden="1" customHeight="1" x14ac:dyDescent="0.25">
      <c r="B1031" s="1" t="s">
        <v>2304</v>
      </c>
      <c r="C1031" s="17" t="str">
        <f>IFERROR(LEFT(VLOOKUP(B1031,'For consider'!D:E,2,0),8),"Chưa có code")</f>
        <v>Chưa có code</v>
      </c>
      <c r="D1031" s="1" t="s">
        <v>348</v>
      </c>
      <c r="E1031" s="1" t="str">
        <f t="shared" si="0"/>
        <v>Chưa triển khai</v>
      </c>
      <c r="F1031" s="1" t="str">
        <f>IFERROR(VLOOKUP(B1031,'Plan 2026'!B:AC,28,0),"không có trong file network")</f>
        <v>Hủy bỏ</v>
      </c>
      <c r="G1031" s="1" t="str">
        <f>IFERROR(IF(VLOOKUP(B1031,'TCH (append)'!C:P,14,0)="Completed","Hoàn thành thi công",
IF(VLOOKUP(B1031,'TCH (append)'!C:K,9,0)="Completed","Hoàn thành đấu thầu",
IF(VLOOKUP(B1031,'TCH (append)'!C:J,8,0)="Completed","Hoàn thành dự toán",
IF(VLOOKUP(B1031,'TCH (append)'!C:I,7,0)="Completed","Hoàn thành thiết kế",
"Chưa thiết kế")))),"Chưa có trong file PMO")</f>
        <v>Chưa có trong file PMO</v>
      </c>
      <c r="H1031" s="1" t="s">
        <v>2305</v>
      </c>
      <c r="I1031" s="1" t="s">
        <v>350</v>
      </c>
      <c r="J1031" s="1" t="s">
        <v>301</v>
      </c>
      <c r="K1031" s="1" t="s">
        <v>1749</v>
      </c>
      <c r="L1031" s="2" t="str">
        <f>IF(
    F1031&lt;&gt;"Đã ký",
    "Chưa triển khai",
    IF(
        IFERROR(VLOOKUP(B1031,TCH[[Code budget]:[Ngày kết thúc thi công theo kế hoạch]],10,0),0)&gt;0,
        VLOOKUP(B1031,TCH[[Code budget]:[Ngày kết thúc thi công theo kế hoạch]],10,0),
        IFERROR(
            DATE(2026,VLOOKUP(B1031,'Plan 2026'!B:H,7,0),31),
            "Chưa triển khai"
        )
    )
)</f>
        <v>Chưa triển khai</v>
      </c>
      <c r="M1031" s="2" t="s">
        <v>6688</v>
      </c>
      <c r="N1031" s="2">
        <v>46082</v>
      </c>
      <c r="X1031" s="1" t="s">
        <v>2204</v>
      </c>
    </row>
    <row r="1032" spans="2:24" ht="11.25" hidden="1" customHeight="1" x14ac:dyDescent="0.25">
      <c r="B1032" s="1" t="s">
        <v>2306</v>
      </c>
      <c r="C1032" s="17" t="str">
        <f>IFERROR(LEFT(VLOOKUP(B1032,'For consider'!D:E,2,0),8),"Chưa có code")</f>
        <v>Chưa có code</v>
      </c>
      <c r="D1032" s="1" t="s">
        <v>348</v>
      </c>
      <c r="E1032" s="1" t="str">
        <f t="shared" si="0"/>
        <v>Chưa triển khai</v>
      </c>
      <c r="F1032" s="1" t="str">
        <f>IFERROR(VLOOKUP(B1032,'Plan 2026'!B:AC,28,0),"không có trong file network")</f>
        <v>Không có</v>
      </c>
      <c r="G1032" s="1" t="str">
        <f>IFERROR(IF(VLOOKUP(B1032,'TCH (append)'!C:P,14,0)="Completed","Hoàn thành thi công",
IF(VLOOKUP(B1032,'TCH (append)'!C:K,9,0)="Completed","Hoàn thành đấu thầu",
IF(VLOOKUP(B1032,'TCH (append)'!C:J,8,0)="Completed","Hoàn thành dự toán",
IF(VLOOKUP(B1032,'TCH (append)'!C:I,7,0)="Completed","Hoàn thành thiết kế",
"Chưa thiết kế")))),"Chưa có trong file PMO")</f>
        <v>Chưa có trong file PMO</v>
      </c>
      <c r="H1032" s="1" t="s">
        <v>2307</v>
      </c>
      <c r="I1032" s="1" t="s">
        <v>350</v>
      </c>
      <c r="J1032" s="1" t="s">
        <v>301</v>
      </c>
      <c r="K1032" s="1" t="s">
        <v>1749</v>
      </c>
      <c r="L1032" s="2" t="str">
        <f>IF(
    F1032&lt;&gt;"Đã ký",
    "Chưa triển khai",
    IF(
        IFERROR(VLOOKUP(B1032,TCH[[Code budget]:[Ngày kết thúc thi công theo kế hoạch]],10,0),0)&gt;0,
        VLOOKUP(B1032,TCH[[Code budget]:[Ngày kết thúc thi công theo kế hoạch]],10,0),
        IFERROR(
            DATE(2026,VLOOKUP(B1032,'Plan 2026'!B:H,7,0),31),
            "Chưa triển khai"
        )
    )
)</f>
        <v>Chưa triển khai</v>
      </c>
      <c r="M1032" s="2" t="s">
        <v>6688</v>
      </c>
      <c r="N1032" s="2">
        <v>46113</v>
      </c>
      <c r="X1032" s="1" t="s">
        <v>2204</v>
      </c>
    </row>
    <row r="1033" spans="2:24" ht="11.25" hidden="1" customHeight="1" x14ac:dyDescent="0.25">
      <c r="B1033" s="1" t="s">
        <v>2308</v>
      </c>
      <c r="C1033" s="17" t="str">
        <f>IFERROR(LEFT(VLOOKUP(B1033,'For consider'!D:E,2,0),8),"Chưa có code")</f>
        <v>Chưa có code</v>
      </c>
      <c r="D1033" s="1" t="s">
        <v>348</v>
      </c>
      <c r="E1033" s="1" t="str">
        <f t="shared" si="0"/>
        <v>Chưa triển khai</v>
      </c>
      <c r="F1033" s="1" t="str">
        <f>IFERROR(VLOOKUP(B1033,'Plan 2026'!B:AC,28,0),"không có trong file network")</f>
        <v>Không có</v>
      </c>
      <c r="G1033" s="1" t="str">
        <f>IFERROR(IF(VLOOKUP(B1033,'TCH (append)'!C:P,14,0)="Completed","Hoàn thành thi công",
IF(VLOOKUP(B1033,'TCH (append)'!C:K,9,0)="Completed","Hoàn thành đấu thầu",
IF(VLOOKUP(B1033,'TCH (append)'!C:J,8,0)="Completed","Hoàn thành dự toán",
IF(VLOOKUP(B1033,'TCH (append)'!C:I,7,0)="Completed","Hoàn thành thiết kế",
"Chưa thiết kế")))),"Chưa có trong file PMO")</f>
        <v>Chưa có trong file PMO</v>
      </c>
      <c r="H1033" s="1" t="s">
        <v>2309</v>
      </c>
      <c r="I1033" s="1" t="s">
        <v>350</v>
      </c>
      <c r="J1033" s="1" t="s">
        <v>301</v>
      </c>
      <c r="K1033" s="1" t="s">
        <v>1749</v>
      </c>
      <c r="L1033" s="2" t="str">
        <f>IF(
    F1033&lt;&gt;"Đã ký",
    "Chưa triển khai",
    IF(
        IFERROR(VLOOKUP(B1033,TCH[[Code budget]:[Ngày kết thúc thi công theo kế hoạch]],10,0),0)&gt;0,
        VLOOKUP(B1033,TCH[[Code budget]:[Ngày kết thúc thi công theo kế hoạch]],10,0),
        IFERROR(
            DATE(2026,VLOOKUP(B1033,'Plan 2026'!B:H,7,0),31),
            "Chưa triển khai"
        )
    )
)</f>
        <v>Chưa triển khai</v>
      </c>
      <c r="M1033" s="2" t="s">
        <v>6688</v>
      </c>
      <c r="N1033" s="2">
        <v>46113</v>
      </c>
      <c r="X1033" s="1" t="s">
        <v>2204</v>
      </c>
    </row>
    <row r="1034" spans="2:24" ht="11.25" hidden="1" customHeight="1" x14ac:dyDescent="0.25">
      <c r="B1034" s="1" t="s">
        <v>2310</v>
      </c>
      <c r="C1034" s="17" t="str">
        <f>IFERROR(LEFT(VLOOKUP(B1034,'For consider'!D:E,2,0),8),"Chưa có code")</f>
        <v>Chưa có code</v>
      </c>
      <c r="D1034" s="1" t="s">
        <v>20</v>
      </c>
      <c r="E1034" s="1" t="str">
        <f t="shared" si="0"/>
        <v>Chưa triển khai</v>
      </c>
      <c r="F1034" s="1" t="str">
        <f>IFERROR(VLOOKUP(B1034,'Plan 2026'!B:AC,28,0),"không có trong file network")</f>
        <v>Chưa có</v>
      </c>
      <c r="G1034" s="1" t="str">
        <f>IFERROR(IF(VLOOKUP(B1034,'TCH (append)'!C:P,14,0)="Completed","Hoàn thành thi công",
IF(VLOOKUP(B1034,'TCH (append)'!C:K,9,0)="Completed","Hoàn thành đấu thầu",
IF(VLOOKUP(B1034,'TCH (append)'!C:J,8,0)="Completed","Hoàn thành dự toán",
IF(VLOOKUP(B1034,'TCH (append)'!C:I,7,0)="Completed","Hoàn thành thiết kế",
"Chưa thiết kế")))),"Chưa có trong file PMO")</f>
        <v>Chưa có trong file PMO</v>
      </c>
      <c r="H1034" s="1" t="s">
        <v>2311</v>
      </c>
      <c r="I1034" s="1" t="s">
        <v>23</v>
      </c>
      <c r="J1034" s="1" t="s">
        <v>301</v>
      </c>
      <c r="K1034" s="1" t="s">
        <v>1749</v>
      </c>
      <c r="L1034" s="2" t="str">
        <f>IF(
    F1034&lt;&gt;"Đã ký",
    "Chưa triển khai",
    IF(
        IFERROR(VLOOKUP(B1034,TCH[[Code budget]:[Ngày kết thúc thi công theo kế hoạch]],10,0),0)&gt;0,
        VLOOKUP(B1034,TCH[[Code budget]:[Ngày kết thúc thi công theo kế hoạch]],10,0),
        IFERROR(
            DATE(2026,VLOOKUP(B1034,'Plan 2026'!B:H,7,0),31),
            "Chưa triển khai"
        )
    )
)</f>
        <v>Chưa triển khai</v>
      </c>
      <c r="M1034" s="2" t="s">
        <v>6688</v>
      </c>
      <c r="N1034" s="2">
        <v>46235</v>
      </c>
      <c r="X1034" s="1" t="s">
        <v>2204</v>
      </c>
    </row>
    <row r="1035" spans="2:24" ht="11.25" hidden="1" customHeight="1" x14ac:dyDescent="0.25">
      <c r="B1035" s="1" t="s">
        <v>2312</v>
      </c>
      <c r="C1035" s="17" t="str">
        <f>IFERROR(LEFT(VLOOKUP(B1035,'For consider'!D:E,2,0),8),"Chưa có code")</f>
        <v>Chưa có code</v>
      </c>
      <c r="D1035" s="1" t="s">
        <v>348</v>
      </c>
      <c r="E1035" s="1" t="str">
        <f t="shared" si="0"/>
        <v>Chưa triển khai</v>
      </c>
      <c r="F1035" s="1" t="str">
        <f>IFERROR(VLOOKUP(B1035,'Plan 2026'!B:AC,28,0),"không có trong file network")</f>
        <v>Không có</v>
      </c>
      <c r="G1035" s="1" t="str">
        <f>IFERROR(IF(VLOOKUP(B1035,'TCH (append)'!C:P,14,0)="Completed","Hoàn thành thi công",
IF(VLOOKUP(B1035,'TCH (append)'!C:K,9,0)="Completed","Hoàn thành đấu thầu",
IF(VLOOKUP(B1035,'TCH (append)'!C:J,8,0)="Completed","Hoàn thành dự toán",
IF(VLOOKUP(B1035,'TCH (append)'!C:I,7,0)="Completed","Hoàn thành thiết kế",
"Chưa thiết kế")))),"Chưa có trong file PMO")</f>
        <v>Chưa có trong file PMO</v>
      </c>
      <c r="H1035" s="1" t="s">
        <v>2313</v>
      </c>
      <c r="I1035" s="1" t="s">
        <v>350</v>
      </c>
      <c r="J1035" s="1" t="s">
        <v>301</v>
      </c>
      <c r="K1035" s="1" t="s">
        <v>1749</v>
      </c>
      <c r="L1035" s="2" t="str">
        <f>IF(
    F1035&lt;&gt;"Đã ký",
    "Chưa triển khai",
    IF(
        IFERROR(VLOOKUP(B1035,TCH[[Code budget]:[Ngày kết thúc thi công theo kế hoạch]],10,0),0)&gt;0,
        VLOOKUP(B1035,TCH[[Code budget]:[Ngày kết thúc thi công theo kế hoạch]],10,0),
        IFERROR(
            DATE(2026,VLOOKUP(B1035,'Plan 2026'!B:H,7,0),31),
            "Chưa triển khai"
        )
    )
)</f>
        <v>Chưa triển khai</v>
      </c>
      <c r="M1035" s="2" t="s">
        <v>6688</v>
      </c>
      <c r="N1035" s="2">
        <v>46235</v>
      </c>
      <c r="X1035" s="1" t="s">
        <v>2204</v>
      </c>
    </row>
    <row r="1036" spans="2:24" ht="11.25" hidden="1" customHeight="1" x14ac:dyDescent="0.25">
      <c r="B1036" s="1" t="s">
        <v>2314</v>
      </c>
      <c r="C1036" s="17" t="str">
        <f>IFERROR(LEFT(VLOOKUP(B1036,'For consider'!D:E,2,0),8),"Chưa có code")</f>
        <v>Chưa có code</v>
      </c>
      <c r="D1036" s="1" t="s">
        <v>348</v>
      </c>
      <c r="E1036" s="1" t="str">
        <f t="shared" si="0"/>
        <v>Chưa triển khai</v>
      </c>
      <c r="F1036" s="1" t="str">
        <f>IFERROR(VLOOKUP(B1036,'Plan 2026'!B:AC,28,0),"không có trong file network")</f>
        <v>Chưa có</v>
      </c>
      <c r="G1036" s="1" t="str">
        <f>IFERROR(IF(VLOOKUP(B1036,'TCH (append)'!C:P,14,0)="Completed","Hoàn thành thi công",
IF(VLOOKUP(B1036,'TCH (append)'!C:K,9,0)="Completed","Hoàn thành đấu thầu",
IF(VLOOKUP(B1036,'TCH (append)'!C:J,8,0)="Completed","Hoàn thành dự toán",
IF(VLOOKUP(B1036,'TCH (append)'!C:I,7,0)="Completed","Hoàn thành thiết kế",
"Chưa thiết kế")))),"Chưa có trong file PMO")</f>
        <v>Chưa có trong file PMO</v>
      </c>
      <c r="H1036" s="1" t="s">
        <v>2315</v>
      </c>
      <c r="I1036" s="1" t="s">
        <v>350</v>
      </c>
      <c r="J1036" s="1" t="s">
        <v>301</v>
      </c>
      <c r="K1036" s="1" t="s">
        <v>1749</v>
      </c>
      <c r="L1036" s="2" t="str">
        <f>IF(
    F1036&lt;&gt;"Đã ký",
    "Chưa triển khai",
    IF(
        IFERROR(VLOOKUP(B1036,TCH[[Code budget]:[Ngày kết thúc thi công theo kế hoạch]],10,0),0)&gt;0,
        VLOOKUP(B1036,TCH[[Code budget]:[Ngày kết thúc thi công theo kế hoạch]],10,0),
        IFERROR(
            DATE(2026,VLOOKUP(B1036,'Plan 2026'!B:H,7,0),31),
            "Chưa triển khai"
        )
    )
)</f>
        <v>Chưa triển khai</v>
      </c>
      <c r="M1036" s="2" t="s">
        <v>6688</v>
      </c>
      <c r="N1036" s="2">
        <v>46327</v>
      </c>
      <c r="X1036" s="1" t="s">
        <v>2204</v>
      </c>
    </row>
    <row r="1037" spans="2:24" ht="11.25" hidden="1" customHeight="1" x14ac:dyDescent="0.25">
      <c r="B1037" s="1" t="s">
        <v>2316</v>
      </c>
      <c r="C1037" s="17" t="str">
        <f>IFERROR(LEFT(VLOOKUP(B1037,'For consider'!D:E,2,0),8),"Chưa có code")</f>
        <v>Chưa có code</v>
      </c>
      <c r="D1037" s="1" t="s">
        <v>20</v>
      </c>
      <c r="E1037" s="1" t="str">
        <f t="shared" si="0"/>
        <v>Chưa triển khai</v>
      </c>
      <c r="F1037" s="1" t="str">
        <f>IFERROR(VLOOKUP(B1037,'Plan 2026'!B:AC,28,0),"không có trong file network")</f>
        <v>Chưa có</v>
      </c>
      <c r="G1037" s="1" t="str">
        <f>IFERROR(IF(VLOOKUP(B1037,'TCH (append)'!C:P,14,0)="Completed","Hoàn thành thi công",
IF(VLOOKUP(B1037,'TCH (append)'!C:K,9,0)="Completed","Hoàn thành đấu thầu",
IF(VLOOKUP(B1037,'TCH (append)'!C:J,8,0)="Completed","Hoàn thành dự toán",
IF(VLOOKUP(B1037,'TCH (append)'!C:I,7,0)="Completed","Hoàn thành thiết kế",
"Chưa thiết kế")))),"Chưa có trong file PMO")</f>
        <v>Chưa có trong file PMO</v>
      </c>
      <c r="H1037" s="1" t="s">
        <v>2317</v>
      </c>
      <c r="I1037" s="1" t="s">
        <v>23</v>
      </c>
      <c r="J1037" s="1" t="s">
        <v>228</v>
      </c>
      <c r="K1037" s="1" t="s">
        <v>229</v>
      </c>
      <c r="L1037" s="2" t="str">
        <f>IF(
    F1037&lt;&gt;"Đã ký",
    "Chưa triển khai",
    IF(
        IFERROR(VLOOKUP(B1037,TCH[[Code budget]:[Ngày kết thúc thi công theo kế hoạch]],10,0),0)&gt;0,
        VLOOKUP(B1037,TCH[[Code budget]:[Ngày kết thúc thi công theo kế hoạch]],10,0),
        IFERROR(
            DATE(2026,VLOOKUP(B1037,'Plan 2026'!B:H,7,0),31),
            "Chưa triển khai"
        )
    )
)</f>
        <v>Chưa triển khai</v>
      </c>
      <c r="M1037" s="2" t="s">
        <v>6688</v>
      </c>
      <c r="N1037" s="2">
        <v>46174</v>
      </c>
      <c r="X1037" s="1" t="s">
        <v>2204</v>
      </c>
    </row>
    <row r="1038" spans="2:24" ht="11.25" hidden="1" customHeight="1" x14ac:dyDescent="0.25">
      <c r="B1038" s="1" t="s">
        <v>2318</v>
      </c>
      <c r="C1038" s="17" t="str">
        <f>IFERROR(LEFT(VLOOKUP(B1038,'For consider'!D:E,2,0),8),"Chưa có code")</f>
        <v>Chưa có code</v>
      </c>
      <c r="D1038" s="1" t="s">
        <v>20</v>
      </c>
      <c r="E1038" s="1" t="str">
        <f t="shared" si="0"/>
        <v>Chưa triển khai</v>
      </c>
      <c r="F1038" s="1" t="str">
        <f>IFERROR(VLOOKUP(B1038,'Plan 2026'!B:AC,28,0),"không có trong file network")</f>
        <v>Chưa có</v>
      </c>
      <c r="G1038" s="1" t="str">
        <f>IFERROR(IF(VLOOKUP(B1038,'TCH (append)'!C:P,14,0)="Completed","Hoàn thành thi công",
IF(VLOOKUP(B1038,'TCH (append)'!C:K,9,0)="Completed","Hoàn thành đấu thầu",
IF(VLOOKUP(B1038,'TCH (append)'!C:J,8,0)="Completed","Hoàn thành dự toán",
IF(VLOOKUP(B1038,'TCH (append)'!C:I,7,0)="Completed","Hoàn thành thiết kế",
"Chưa thiết kế")))),"Chưa có trong file PMO")</f>
        <v>Chưa có trong file PMO</v>
      </c>
      <c r="H1038" s="1" t="s">
        <v>2319</v>
      </c>
      <c r="I1038" s="1" t="s">
        <v>23</v>
      </c>
      <c r="J1038" s="1" t="s">
        <v>228</v>
      </c>
      <c r="K1038" s="1" t="s">
        <v>229</v>
      </c>
      <c r="L1038" s="2" t="str">
        <f>IF(
    F1038&lt;&gt;"Đã ký",
    "Chưa triển khai",
    IF(
        IFERROR(VLOOKUP(B1038,TCH[[Code budget]:[Ngày kết thúc thi công theo kế hoạch]],10,0),0)&gt;0,
        VLOOKUP(B1038,TCH[[Code budget]:[Ngày kết thúc thi công theo kế hoạch]],10,0),
        IFERROR(
            DATE(2026,VLOOKUP(B1038,'Plan 2026'!B:H,7,0),31),
            "Chưa triển khai"
        )
    )
)</f>
        <v>Chưa triển khai</v>
      </c>
      <c r="M1038" s="2" t="s">
        <v>6688</v>
      </c>
      <c r="N1038" s="2">
        <v>46266</v>
      </c>
      <c r="X1038" s="1" t="s">
        <v>2204</v>
      </c>
    </row>
    <row r="1039" spans="2:24" ht="11.25" hidden="1" customHeight="1" x14ac:dyDescent="0.25">
      <c r="B1039" s="1" t="s">
        <v>2320</v>
      </c>
      <c r="C1039" s="17" t="str">
        <f>IFERROR(LEFT(VLOOKUP(B1039,'For consider'!D:E,2,0),8),"Chưa có code")</f>
        <v/>
      </c>
      <c r="D1039" s="1" t="s">
        <v>348</v>
      </c>
      <c r="E1039" s="1" t="str">
        <f t="shared" si="0"/>
        <v>Lock mb chưa thi công</v>
      </c>
      <c r="F1039" s="1" t="str">
        <f>IFERROR(VLOOKUP(B1039,'Plan 2026'!B:AC,28,0),"không có trong file network")</f>
        <v>Đã ký</v>
      </c>
      <c r="G1039" s="1" t="str">
        <f>IFERROR(IF(VLOOKUP(B1039,'TCH (append)'!C:P,14,0)="Completed","Hoàn thành thi công",
IF(VLOOKUP(B1039,'TCH (append)'!C:K,9,0)="Completed","Hoàn thành đấu thầu",
IF(VLOOKUP(B1039,'TCH (append)'!C:J,8,0)="Completed","Hoàn thành dự toán",
IF(VLOOKUP(B1039,'TCH (append)'!C:I,7,0)="Completed","Hoàn thành thiết kế",
"Chưa thiết kế")))),"Chưa có trong file PMO")</f>
        <v>Chưa có trong file PMO</v>
      </c>
      <c r="H1039" s="1" t="s">
        <v>2321</v>
      </c>
      <c r="I1039" s="1" t="s">
        <v>350</v>
      </c>
      <c r="J1039" s="1" t="s">
        <v>76</v>
      </c>
      <c r="K1039" s="1" t="s">
        <v>77</v>
      </c>
      <c r="L1039" s="2">
        <f>IF(
    F1039&lt;&gt;"Đã ký",
    "Chưa triển khai",
    IF(
        IFERROR(VLOOKUP(B1039,TCH[[Code budget]:[Ngày kết thúc thi công theo kế hoạch]],10,0),0)&gt;0,
        VLOOKUP(B1039,TCH[[Code budget]:[Ngày kết thúc thi công theo kế hoạch]],10,0),
        IFERROR(
            DATE(2026,VLOOKUP(B1039,'Plan 2026'!B:H,7,0),31),
            "Chưa triển khai"
        )
    )
)</f>
        <v>46112</v>
      </c>
      <c r="M1039" s="2" t="s">
        <v>6688</v>
      </c>
      <c r="N1039" s="2">
        <v>46082</v>
      </c>
      <c r="X1039" s="1" t="s">
        <v>2204</v>
      </c>
    </row>
    <row r="1040" spans="2:24" ht="11.25" hidden="1" customHeight="1" x14ac:dyDescent="0.25">
      <c r="B1040" s="1" t="s">
        <v>2322</v>
      </c>
      <c r="C1040" s="17" t="str">
        <f>IFERROR(LEFT(VLOOKUP(B1040,'For consider'!D:E,2,0),8),"Chưa có code")</f>
        <v>Chưa có code</v>
      </c>
      <c r="D1040" s="1" t="s">
        <v>348</v>
      </c>
      <c r="E1040" s="1" t="str">
        <f t="shared" si="0"/>
        <v>Chưa triển khai</v>
      </c>
      <c r="F1040" s="1" t="str">
        <f>IFERROR(VLOOKUP(B1040,'Plan 2026'!B:AC,28,0),"không có trong file network")</f>
        <v>Không có</v>
      </c>
      <c r="G1040" s="1" t="str">
        <f>IFERROR(IF(VLOOKUP(B1040,'TCH (append)'!C:P,14,0)="Completed","Hoàn thành thi công",
IF(VLOOKUP(B1040,'TCH (append)'!C:K,9,0)="Completed","Hoàn thành đấu thầu",
IF(VLOOKUP(B1040,'TCH (append)'!C:J,8,0)="Completed","Hoàn thành dự toán",
IF(VLOOKUP(B1040,'TCH (append)'!C:I,7,0)="Completed","Hoàn thành thiết kế",
"Chưa thiết kế")))),"Chưa có trong file PMO")</f>
        <v>Chưa có trong file PMO</v>
      </c>
      <c r="H1040" s="1" t="s">
        <v>2323</v>
      </c>
      <c r="I1040" s="1" t="s">
        <v>350</v>
      </c>
      <c r="J1040" s="1" t="s">
        <v>76</v>
      </c>
      <c r="K1040" s="1" t="s">
        <v>77</v>
      </c>
      <c r="L1040" s="2" t="str">
        <f>IF(
    F1040&lt;&gt;"Đã ký",
    "Chưa triển khai",
    IF(
        IFERROR(VLOOKUP(B1040,TCH[[Code budget]:[Ngày kết thúc thi công theo kế hoạch]],10,0),0)&gt;0,
        VLOOKUP(B1040,TCH[[Code budget]:[Ngày kết thúc thi công theo kế hoạch]],10,0),
        IFERROR(
            DATE(2026,VLOOKUP(B1040,'Plan 2026'!B:H,7,0),31),
            "Chưa triển khai"
        )
    )
)</f>
        <v>Chưa triển khai</v>
      </c>
      <c r="M1040" s="2" t="s">
        <v>6688</v>
      </c>
      <c r="N1040" s="2">
        <v>46174</v>
      </c>
      <c r="X1040" s="1" t="s">
        <v>2204</v>
      </c>
    </row>
    <row r="1041" spans="2:24" ht="11.25" hidden="1" customHeight="1" x14ac:dyDescent="0.25">
      <c r="B1041" s="1" t="s">
        <v>2324</v>
      </c>
      <c r="C1041" s="17" t="str">
        <f>IFERROR(LEFT(VLOOKUP(B1041,'For consider'!D:E,2,0),8),"Chưa có code")</f>
        <v>Chưa có code</v>
      </c>
      <c r="D1041" s="1" t="s">
        <v>348</v>
      </c>
      <c r="E1041" s="1" t="str">
        <f t="shared" si="0"/>
        <v>Chưa triển khai</v>
      </c>
      <c r="F1041" s="1" t="str">
        <f>IFERROR(VLOOKUP(B1041,'Plan 2026'!B:AC,28,0),"không có trong file network")</f>
        <v>Không có</v>
      </c>
      <c r="G1041" s="1" t="str">
        <f>IFERROR(IF(VLOOKUP(B1041,'TCH (append)'!C:P,14,0)="Completed","Hoàn thành thi công",
IF(VLOOKUP(B1041,'TCH (append)'!C:K,9,0)="Completed","Hoàn thành đấu thầu",
IF(VLOOKUP(B1041,'TCH (append)'!C:J,8,0)="Completed","Hoàn thành dự toán",
IF(VLOOKUP(B1041,'TCH (append)'!C:I,7,0)="Completed","Hoàn thành thiết kế",
"Chưa thiết kế")))),"Chưa có trong file PMO")</f>
        <v>Chưa có trong file PMO</v>
      </c>
      <c r="H1041" s="1" t="s">
        <v>2325</v>
      </c>
      <c r="I1041" s="1" t="s">
        <v>350</v>
      </c>
      <c r="J1041" s="1" t="s">
        <v>76</v>
      </c>
      <c r="K1041" s="1" t="s">
        <v>77</v>
      </c>
      <c r="L1041" s="2" t="str">
        <f>IF(
    F1041&lt;&gt;"Đã ký",
    "Chưa triển khai",
    IF(
        IFERROR(VLOOKUP(B1041,TCH[[Code budget]:[Ngày kết thúc thi công theo kế hoạch]],10,0),0)&gt;0,
        VLOOKUP(B1041,TCH[[Code budget]:[Ngày kết thúc thi công theo kế hoạch]],10,0),
        IFERROR(
            DATE(2026,VLOOKUP(B1041,'Plan 2026'!B:H,7,0),31),
            "Chưa triển khai"
        )
    )
)</f>
        <v>Chưa triển khai</v>
      </c>
      <c r="M1041" s="2" t="s">
        <v>6688</v>
      </c>
      <c r="N1041" s="2">
        <v>46174</v>
      </c>
      <c r="X1041" s="1" t="s">
        <v>2204</v>
      </c>
    </row>
    <row r="1042" spans="2:24" ht="11.25" hidden="1" customHeight="1" x14ac:dyDescent="0.25">
      <c r="B1042" s="1" t="s">
        <v>2326</v>
      </c>
      <c r="C1042" s="17" t="str">
        <f>IFERROR(LEFT(VLOOKUP(B1042,'For consider'!D:E,2,0),8),"Chưa có code")</f>
        <v>Chưa có code</v>
      </c>
      <c r="D1042" s="1" t="s">
        <v>348</v>
      </c>
      <c r="E1042" s="1" t="str">
        <f t="shared" si="0"/>
        <v>Chưa triển khai</v>
      </c>
      <c r="F1042" s="1" t="str">
        <f>IFERROR(VLOOKUP(B1042,'Plan 2026'!B:AC,28,0),"không có trong file network")</f>
        <v>Chưa có</v>
      </c>
      <c r="G1042" s="1" t="str">
        <f>IFERROR(IF(VLOOKUP(B1042,'TCH (append)'!C:P,14,0)="Completed","Hoàn thành thi công",
IF(VLOOKUP(B1042,'TCH (append)'!C:K,9,0)="Completed","Hoàn thành đấu thầu",
IF(VLOOKUP(B1042,'TCH (append)'!C:J,8,0)="Completed","Hoàn thành dự toán",
IF(VLOOKUP(B1042,'TCH (append)'!C:I,7,0)="Completed","Hoàn thành thiết kế",
"Chưa thiết kế")))),"Chưa có trong file PMO")</f>
        <v>Chưa có trong file PMO</v>
      </c>
      <c r="H1042" s="1" t="s">
        <v>2327</v>
      </c>
      <c r="I1042" s="1" t="s">
        <v>350</v>
      </c>
      <c r="J1042" s="1" t="s">
        <v>76</v>
      </c>
      <c r="K1042" s="1" t="s">
        <v>77</v>
      </c>
      <c r="L1042" s="2" t="str">
        <f>IF(
    F1042&lt;&gt;"Đã ký",
    "Chưa triển khai",
    IF(
        IFERROR(VLOOKUP(B1042,TCH[[Code budget]:[Ngày kết thúc thi công theo kế hoạch]],10,0),0)&gt;0,
        VLOOKUP(B1042,TCH[[Code budget]:[Ngày kết thúc thi công theo kế hoạch]],10,0),
        IFERROR(
            DATE(2026,VLOOKUP(B1042,'Plan 2026'!B:H,7,0),31),
            "Chưa triển khai"
        )
    )
)</f>
        <v>Chưa triển khai</v>
      </c>
      <c r="M1042" s="2" t="s">
        <v>6688</v>
      </c>
      <c r="N1042" s="2">
        <v>46174</v>
      </c>
      <c r="X1042" s="1" t="s">
        <v>2204</v>
      </c>
    </row>
    <row r="1043" spans="2:24" ht="11.25" hidden="1" customHeight="1" x14ac:dyDescent="0.25">
      <c r="B1043" s="1" t="s">
        <v>2328</v>
      </c>
      <c r="C1043" s="17" t="str">
        <f>IFERROR(LEFT(VLOOKUP(B1043,'For consider'!D:E,2,0),8),"Chưa có code")</f>
        <v>Chưa có code</v>
      </c>
      <c r="D1043" s="1" t="s">
        <v>348</v>
      </c>
      <c r="E1043" s="1" t="str">
        <f t="shared" si="0"/>
        <v>Chưa triển khai</v>
      </c>
      <c r="F1043" s="1" t="str">
        <f>IFERROR(VLOOKUP(B1043,'Plan 2026'!B:AC,28,0),"không có trong file network")</f>
        <v>Chưa có</v>
      </c>
      <c r="G1043" s="1" t="str">
        <f>IFERROR(IF(VLOOKUP(B1043,'TCH (append)'!C:P,14,0)="Completed","Hoàn thành thi công",
IF(VLOOKUP(B1043,'TCH (append)'!C:K,9,0)="Completed","Hoàn thành đấu thầu",
IF(VLOOKUP(B1043,'TCH (append)'!C:J,8,0)="Completed","Hoàn thành dự toán",
IF(VLOOKUP(B1043,'TCH (append)'!C:I,7,0)="Completed","Hoàn thành thiết kế",
"Chưa thiết kế")))),"Chưa có trong file PMO")</f>
        <v>Chưa có trong file PMO</v>
      </c>
      <c r="H1043" s="1" t="s">
        <v>2329</v>
      </c>
      <c r="I1043" s="1" t="s">
        <v>2244</v>
      </c>
      <c r="J1043" s="1" t="s">
        <v>76</v>
      </c>
      <c r="K1043" s="1" t="s">
        <v>77</v>
      </c>
      <c r="L1043" s="2" t="str">
        <f>IF(
    F1043&lt;&gt;"Đã ký",
    "Chưa triển khai",
    IF(
        IFERROR(VLOOKUP(B1043,TCH[[Code budget]:[Ngày kết thúc thi công theo kế hoạch]],10,0),0)&gt;0,
        VLOOKUP(B1043,TCH[[Code budget]:[Ngày kết thúc thi công theo kế hoạch]],10,0),
        IFERROR(
            DATE(2026,VLOOKUP(B1043,'Plan 2026'!B:H,7,0),31),
            "Chưa triển khai"
        )
    )
)</f>
        <v>Chưa triển khai</v>
      </c>
      <c r="M1043" s="2" t="s">
        <v>6688</v>
      </c>
      <c r="N1043" s="2">
        <v>46174</v>
      </c>
      <c r="X1043" s="1" t="s">
        <v>2204</v>
      </c>
    </row>
    <row r="1044" spans="2:24" ht="11.25" hidden="1" customHeight="1" x14ac:dyDescent="0.25">
      <c r="B1044" s="1" t="s">
        <v>2330</v>
      </c>
      <c r="C1044" s="17" t="str">
        <f>IFERROR(LEFT(VLOOKUP(B1044,'For consider'!D:E,2,0),8),"Chưa có code")</f>
        <v>Chưa có code</v>
      </c>
      <c r="D1044" s="1" t="s">
        <v>348</v>
      </c>
      <c r="E1044" s="1" t="str">
        <f t="shared" ref="E1044:E1107" si="1">IF(AND(F1044="Đã ký",G1044&lt;&gt;"Chưa có trong file PMO"),"Waiting for open",IF(F1044="Đã ký","Lock mb chưa thi công","Chưa triển khai"))</f>
        <v>Chưa triển khai</v>
      </c>
      <c r="F1044" s="1" t="str">
        <f>IFERROR(VLOOKUP(B1044,'Plan 2026'!B:AC,28,0),"không có trong file network")</f>
        <v>Chưa có</v>
      </c>
      <c r="G1044" s="1" t="str">
        <f>IFERROR(IF(VLOOKUP(B1044,'TCH (append)'!C:P,14,0)="Completed","Hoàn thành thi công",
IF(VLOOKUP(B1044,'TCH (append)'!C:K,9,0)="Completed","Hoàn thành đấu thầu",
IF(VLOOKUP(B1044,'TCH (append)'!C:J,8,0)="Completed","Hoàn thành dự toán",
IF(VLOOKUP(B1044,'TCH (append)'!C:I,7,0)="Completed","Hoàn thành thiết kế",
"Chưa thiết kế")))),"Chưa có trong file PMO")</f>
        <v>Chưa có trong file PMO</v>
      </c>
      <c r="H1044" s="1" t="s">
        <v>2331</v>
      </c>
      <c r="I1044" s="1" t="s">
        <v>350</v>
      </c>
      <c r="J1044" s="1" t="s">
        <v>76</v>
      </c>
      <c r="K1044" s="1" t="s">
        <v>77</v>
      </c>
      <c r="L1044" s="2" t="str">
        <f>IF(
    F1044&lt;&gt;"Đã ký",
    "Chưa triển khai",
    IF(
        IFERROR(VLOOKUP(B1044,TCH[[Code budget]:[Ngày kết thúc thi công theo kế hoạch]],10,0),0)&gt;0,
        VLOOKUP(B1044,TCH[[Code budget]:[Ngày kết thúc thi công theo kế hoạch]],10,0),
        IFERROR(
            DATE(2026,VLOOKUP(B1044,'Plan 2026'!B:H,7,0),31),
            "Chưa triển khai"
        )
    )
)</f>
        <v>Chưa triển khai</v>
      </c>
      <c r="M1044" s="2" t="s">
        <v>6688</v>
      </c>
      <c r="N1044" s="2">
        <v>46174</v>
      </c>
      <c r="X1044" s="1" t="s">
        <v>2204</v>
      </c>
    </row>
    <row r="1045" spans="2:24" ht="11.25" hidden="1" customHeight="1" x14ac:dyDescent="0.25">
      <c r="B1045" s="1" t="s">
        <v>2332</v>
      </c>
      <c r="C1045" s="17" t="str">
        <f>IFERROR(LEFT(VLOOKUP(B1045,'For consider'!D:E,2,0),8),"Chưa có code")</f>
        <v>Chưa có code</v>
      </c>
      <c r="D1045" s="1" t="s">
        <v>348</v>
      </c>
      <c r="E1045" s="1" t="str">
        <f t="shared" si="1"/>
        <v>Chưa triển khai</v>
      </c>
      <c r="F1045" s="1" t="str">
        <f>IFERROR(VLOOKUP(B1045,'Plan 2026'!B:AC,28,0),"không có trong file network")</f>
        <v>Chưa có</v>
      </c>
      <c r="G1045" s="1" t="str">
        <f>IFERROR(IF(VLOOKUP(B1045,'TCH (append)'!C:P,14,0)="Completed","Hoàn thành thi công",
IF(VLOOKUP(B1045,'TCH (append)'!C:K,9,0)="Completed","Hoàn thành đấu thầu",
IF(VLOOKUP(B1045,'TCH (append)'!C:J,8,0)="Completed","Hoàn thành dự toán",
IF(VLOOKUP(B1045,'TCH (append)'!C:I,7,0)="Completed","Hoàn thành thiết kế",
"Chưa thiết kế")))),"Chưa có trong file PMO")</f>
        <v>Chưa có trong file PMO</v>
      </c>
      <c r="H1045" s="1" t="s">
        <v>2333</v>
      </c>
      <c r="I1045" s="1" t="s">
        <v>350</v>
      </c>
      <c r="J1045" s="1" t="s">
        <v>76</v>
      </c>
      <c r="K1045" s="1" t="s">
        <v>77</v>
      </c>
      <c r="L1045" s="2" t="str">
        <f>IF(
    F1045&lt;&gt;"Đã ký",
    "Chưa triển khai",
    IF(
        IFERROR(VLOOKUP(B1045,TCH[[Code budget]:[Ngày kết thúc thi công theo kế hoạch]],10,0),0)&gt;0,
        VLOOKUP(B1045,TCH[[Code budget]:[Ngày kết thúc thi công theo kế hoạch]],10,0),
        IFERROR(
            DATE(2026,VLOOKUP(B1045,'Plan 2026'!B:H,7,0),31),
            "Chưa triển khai"
        )
    )
)</f>
        <v>Chưa triển khai</v>
      </c>
      <c r="M1045" s="2" t="s">
        <v>6688</v>
      </c>
      <c r="N1045" s="2">
        <v>46174</v>
      </c>
      <c r="X1045" s="1" t="s">
        <v>2204</v>
      </c>
    </row>
    <row r="1046" spans="2:24" ht="11.25" hidden="1" customHeight="1" x14ac:dyDescent="0.25">
      <c r="B1046" s="1" t="s">
        <v>2334</v>
      </c>
      <c r="C1046" s="17" t="str">
        <f>IFERROR(LEFT(VLOOKUP(B1046,'For consider'!D:E,2,0),8),"Chưa có code")</f>
        <v>Chưa có code</v>
      </c>
      <c r="D1046" s="1" t="s">
        <v>20</v>
      </c>
      <c r="E1046" s="1" t="str">
        <f t="shared" si="1"/>
        <v>Chưa triển khai</v>
      </c>
      <c r="F1046" s="1" t="str">
        <f>IFERROR(VLOOKUP(B1046,'Plan 2026'!B:AC,28,0),"không có trong file network")</f>
        <v>không có trong file network</v>
      </c>
      <c r="G1046" s="1" t="str">
        <f>IFERROR(IF(VLOOKUP(B1046,'TCH (append)'!C:P,14,0)="Completed","Hoàn thành thi công",
IF(VLOOKUP(B1046,'TCH (append)'!C:K,9,0)="Completed","Hoàn thành đấu thầu",
IF(VLOOKUP(B1046,'TCH (append)'!C:J,8,0)="Completed","Hoàn thành dự toán",
IF(VLOOKUP(B1046,'TCH (append)'!C:I,7,0)="Completed","Hoàn thành thiết kế",
"Chưa thiết kế")))),"Chưa có trong file PMO")</f>
        <v>Chưa có trong file PMO</v>
      </c>
      <c r="H1046" s="1" t="s">
        <v>2335</v>
      </c>
      <c r="I1046" s="1" t="s">
        <v>23</v>
      </c>
      <c r="J1046" s="1" t="s">
        <v>76</v>
      </c>
      <c r="K1046" s="1" t="s">
        <v>77</v>
      </c>
      <c r="L1046" s="2" t="str">
        <f>IF(
    F1046&lt;&gt;"Đã ký",
    "Chưa triển khai",
    IF(
        IFERROR(VLOOKUP(B1046,TCH[[Code budget]:[Ngày kết thúc thi công theo kế hoạch]],10,0),0)&gt;0,
        VLOOKUP(B1046,TCH[[Code budget]:[Ngày kết thúc thi công theo kế hoạch]],10,0),
        IFERROR(
            DATE(2026,VLOOKUP(B1046,'Plan 2026'!B:H,7,0),31),
            "Chưa triển khai"
        )
    )
)</f>
        <v>Chưa triển khai</v>
      </c>
      <c r="M1046" s="2" t="s">
        <v>6688</v>
      </c>
      <c r="N1046" s="2">
        <v>46266</v>
      </c>
      <c r="X1046" s="1" t="s">
        <v>2204</v>
      </c>
    </row>
    <row r="1047" spans="2:24" ht="11.25" hidden="1" customHeight="1" x14ac:dyDescent="0.25">
      <c r="B1047" s="1" t="s">
        <v>2336</v>
      </c>
      <c r="C1047" s="17" t="str">
        <f>IFERROR(LEFT(VLOOKUP(B1047,'For consider'!D:E,2,0),8),"Chưa có code")</f>
        <v>30GG5000</v>
      </c>
      <c r="D1047" s="1" t="s">
        <v>348</v>
      </c>
      <c r="E1047" s="1" t="str">
        <f t="shared" si="1"/>
        <v>Waiting for open</v>
      </c>
      <c r="F1047" s="1" t="str">
        <f>IFERROR(VLOOKUP(B1047,'Plan 2026'!B:AC,28,0),"không có trong file network")</f>
        <v>Đã ký</v>
      </c>
      <c r="G1047" s="1" t="str">
        <f>IFERROR(IF(VLOOKUP(B1047,'TCH (append)'!C:P,14,0)="Completed","Hoàn thành thi công",
IF(VLOOKUP(B1047,'TCH (append)'!C:K,9,0)="Completed","Hoàn thành đấu thầu",
IF(VLOOKUP(B1047,'TCH (append)'!C:J,8,0)="Completed","Hoàn thành dự toán",
IF(VLOOKUP(B1047,'TCH (append)'!C:I,7,0)="Completed","Hoàn thành thiết kế",
"Chưa thiết kế")))),"Chưa có trong file PMO")</f>
        <v>Hoàn thành đấu thầu</v>
      </c>
      <c r="H1047" s="1" t="s">
        <v>2337</v>
      </c>
      <c r="I1047" s="1" t="s">
        <v>2244</v>
      </c>
      <c r="J1047" s="1" t="s">
        <v>76</v>
      </c>
      <c r="K1047" s="1" t="s">
        <v>77</v>
      </c>
      <c r="L1047" s="2">
        <f>IF(
    F1047&lt;&gt;"Đã ký",
    "Chưa triển khai",
    IF(
        IFERROR(VLOOKUP(B1047,TCH[[Code budget]:[Ngày kết thúc thi công theo kế hoạch]],10,0),0)&gt;0,
        VLOOKUP(B1047,TCH[[Code budget]:[Ngày kết thúc thi công theo kế hoạch]],10,0),
        IFERROR(
            DATE(2026,VLOOKUP(B1047,'Plan 2026'!B:H,7,0),31),
            "Chưa triển khai"
        )
    )
)</f>
        <v>46134</v>
      </c>
      <c r="M1047" s="2" t="s">
        <v>6688</v>
      </c>
      <c r="N1047" s="2">
        <v>46266</v>
      </c>
      <c r="X1047" s="1" t="s">
        <v>2204</v>
      </c>
    </row>
    <row r="1048" spans="2:24" ht="11.25" hidden="1" customHeight="1" x14ac:dyDescent="0.25">
      <c r="B1048" s="1" t="s">
        <v>2338</v>
      </c>
      <c r="C1048" s="17" t="str">
        <f>IFERROR(LEFT(VLOOKUP(B1048,'For consider'!D:E,2,0),8),"Chưa có code")</f>
        <v>Chưa có code</v>
      </c>
      <c r="D1048" s="1" t="s">
        <v>348</v>
      </c>
      <c r="E1048" s="1" t="str">
        <f t="shared" si="1"/>
        <v>Chưa triển khai</v>
      </c>
      <c r="F1048" s="1" t="str">
        <f>IFERROR(VLOOKUP(B1048,'Plan 2026'!B:AC,28,0),"không có trong file network")</f>
        <v>Chưa có</v>
      </c>
      <c r="G1048" s="1" t="str">
        <f>IFERROR(IF(VLOOKUP(B1048,'TCH (append)'!C:P,14,0)="Completed","Hoàn thành thi công",
IF(VLOOKUP(B1048,'TCH (append)'!C:K,9,0)="Completed","Hoàn thành đấu thầu",
IF(VLOOKUP(B1048,'TCH (append)'!C:J,8,0)="Completed","Hoàn thành dự toán",
IF(VLOOKUP(B1048,'TCH (append)'!C:I,7,0)="Completed","Hoàn thành thiết kế",
"Chưa thiết kế")))),"Chưa có trong file PMO")</f>
        <v>Chưa có trong file PMO</v>
      </c>
      <c r="H1048" s="1" t="s">
        <v>2339</v>
      </c>
      <c r="I1048" s="1" t="s">
        <v>350</v>
      </c>
      <c r="J1048" s="1" t="s">
        <v>76</v>
      </c>
      <c r="K1048" s="1" t="s">
        <v>77</v>
      </c>
      <c r="L1048" s="2" t="str">
        <f>IF(
    F1048&lt;&gt;"Đã ký",
    "Chưa triển khai",
    IF(
        IFERROR(VLOOKUP(B1048,TCH[[Code budget]:[Ngày kết thúc thi công theo kế hoạch]],10,0),0)&gt;0,
        VLOOKUP(B1048,TCH[[Code budget]:[Ngày kết thúc thi công theo kế hoạch]],10,0),
        IFERROR(
            DATE(2026,VLOOKUP(B1048,'Plan 2026'!B:H,7,0),31),
            "Chưa triển khai"
        )
    )
)</f>
        <v>Chưa triển khai</v>
      </c>
      <c r="M1048" s="2" t="s">
        <v>6688</v>
      </c>
      <c r="N1048" s="2">
        <v>46266</v>
      </c>
      <c r="X1048" s="1" t="s">
        <v>2204</v>
      </c>
    </row>
    <row r="1049" spans="2:24" ht="11.25" hidden="1" customHeight="1" x14ac:dyDescent="0.25">
      <c r="B1049" s="1" t="s">
        <v>2340</v>
      </c>
      <c r="C1049" s="17" t="str">
        <f>IFERROR(LEFT(VLOOKUP(B1049,'For consider'!D:E,2,0),8),"Chưa có code")</f>
        <v>Chưa có code</v>
      </c>
      <c r="D1049" s="1" t="s">
        <v>348</v>
      </c>
      <c r="E1049" s="1" t="str">
        <f t="shared" si="1"/>
        <v>Chưa triển khai</v>
      </c>
      <c r="F1049" s="1" t="str">
        <f>IFERROR(VLOOKUP(B1049,'Plan 2026'!B:AC,28,0),"không có trong file network")</f>
        <v>Chưa có</v>
      </c>
      <c r="G1049" s="1" t="str">
        <f>IFERROR(IF(VLOOKUP(B1049,'TCH (append)'!C:P,14,0)="Completed","Hoàn thành thi công",
IF(VLOOKUP(B1049,'TCH (append)'!C:K,9,0)="Completed","Hoàn thành đấu thầu",
IF(VLOOKUP(B1049,'TCH (append)'!C:J,8,0)="Completed","Hoàn thành dự toán",
IF(VLOOKUP(B1049,'TCH (append)'!C:I,7,0)="Completed","Hoàn thành thiết kế",
"Chưa thiết kế")))),"Chưa có trong file PMO")</f>
        <v>Chưa có trong file PMO</v>
      </c>
      <c r="H1049" s="1" t="s">
        <v>2341</v>
      </c>
      <c r="I1049" s="1" t="s">
        <v>350</v>
      </c>
      <c r="J1049" s="1" t="s">
        <v>76</v>
      </c>
      <c r="K1049" s="1" t="s">
        <v>77</v>
      </c>
      <c r="L1049" s="2" t="str">
        <f>IF(
    F1049&lt;&gt;"Đã ký",
    "Chưa triển khai",
    IF(
        IFERROR(VLOOKUP(B1049,TCH[[Code budget]:[Ngày kết thúc thi công theo kế hoạch]],10,0),0)&gt;0,
        VLOOKUP(B1049,TCH[[Code budget]:[Ngày kết thúc thi công theo kế hoạch]],10,0),
        IFERROR(
            DATE(2026,VLOOKUP(B1049,'Plan 2026'!B:H,7,0),31),
            "Chưa triển khai"
        )
    )
)</f>
        <v>Chưa triển khai</v>
      </c>
      <c r="M1049" s="2" t="s">
        <v>6688</v>
      </c>
      <c r="N1049" s="2">
        <v>46266</v>
      </c>
      <c r="X1049" s="1" t="s">
        <v>2204</v>
      </c>
    </row>
    <row r="1050" spans="2:24" ht="11.25" hidden="1" customHeight="1" x14ac:dyDescent="0.25">
      <c r="B1050" s="1" t="s">
        <v>2342</v>
      </c>
      <c r="C1050" s="17" t="str">
        <f>IFERROR(LEFT(VLOOKUP(B1050,'For consider'!D:E,2,0),8),"Chưa có code")</f>
        <v>Chưa có code</v>
      </c>
      <c r="D1050" s="1" t="s">
        <v>348</v>
      </c>
      <c r="E1050" s="1" t="str">
        <f t="shared" si="1"/>
        <v>Chưa triển khai</v>
      </c>
      <c r="F1050" s="1" t="str">
        <f>IFERROR(VLOOKUP(B1050,'Plan 2026'!B:AC,28,0),"không có trong file network")</f>
        <v>Chưa có</v>
      </c>
      <c r="G1050" s="1" t="str">
        <f>IFERROR(IF(VLOOKUP(B1050,'TCH (append)'!C:P,14,0)="Completed","Hoàn thành thi công",
IF(VLOOKUP(B1050,'TCH (append)'!C:K,9,0)="Completed","Hoàn thành đấu thầu",
IF(VLOOKUP(B1050,'TCH (append)'!C:J,8,0)="Completed","Hoàn thành dự toán",
IF(VLOOKUP(B1050,'TCH (append)'!C:I,7,0)="Completed","Hoàn thành thiết kế",
"Chưa thiết kế")))),"Chưa có trong file PMO")</f>
        <v>Chưa có trong file PMO</v>
      </c>
      <c r="H1050" s="1" t="s">
        <v>2343</v>
      </c>
      <c r="I1050" s="1" t="s">
        <v>350</v>
      </c>
      <c r="J1050" s="1" t="s">
        <v>76</v>
      </c>
      <c r="K1050" s="1" t="s">
        <v>77</v>
      </c>
      <c r="L1050" s="2" t="str">
        <f>IF(
    F1050&lt;&gt;"Đã ký",
    "Chưa triển khai",
    IF(
        IFERROR(VLOOKUP(B1050,TCH[[Code budget]:[Ngày kết thúc thi công theo kế hoạch]],10,0),0)&gt;0,
        VLOOKUP(B1050,TCH[[Code budget]:[Ngày kết thúc thi công theo kế hoạch]],10,0),
        IFERROR(
            DATE(2026,VLOOKUP(B1050,'Plan 2026'!B:H,7,0),31),
            "Chưa triển khai"
        )
    )
)</f>
        <v>Chưa triển khai</v>
      </c>
      <c r="M1050" s="2" t="s">
        <v>6688</v>
      </c>
      <c r="N1050" s="2">
        <v>46266</v>
      </c>
      <c r="X1050" s="1" t="s">
        <v>2204</v>
      </c>
    </row>
    <row r="1051" spans="2:24" ht="11.25" hidden="1" customHeight="1" x14ac:dyDescent="0.25">
      <c r="B1051" s="1" t="s">
        <v>2344</v>
      </c>
      <c r="C1051" s="17" t="str">
        <f>IFERROR(LEFT(VLOOKUP(B1051,'For consider'!D:E,2,0),8),"Chưa có code")</f>
        <v>Chưa có code</v>
      </c>
      <c r="D1051" s="1" t="s">
        <v>348</v>
      </c>
      <c r="E1051" s="1" t="str">
        <f t="shared" si="1"/>
        <v>Chưa triển khai</v>
      </c>
      <c r="F1051" s="1" t="str">
        <f>IFERROR(VLOOKUP(B1051,'Plan 2026'!B:AC,28,0),"không có trong file network")</f>
        <v>Chưa có</v>
      </c>
      <c r="G1051" s="1" t="str">
        <f>IFERROR(IF(VLOOKUP(B1051,'TCH (append)'!C:P,14,0)="Completed","Hoàn thành thi công",
IF(VLOOKUP(B1051,'TCH (append)'!C:K,9,0)="Completed","Hoàn thành đấu thầu",
IF(VLOOKUP(B1051,'TCH (append)'!C:J,8,0)="Completed","Hoàn thành dự toán",
IF(VLOOKUP(B1051,'TCH (append)'!C:I,7,0)="Completed","Hoàn thành thiết kế",
"Chưa thiết kế")))),"Chưa có trong file PMO")</f>
        <v>Chưa có trong file PMO</v>
      </c>
      <c r="H1051" s="1" t="s">
        <v>2345</v>
      </c>
      <c r="I1051" s="1" t="s">
        <v>350</v>
      </c>
      <c r="J1051" s="1" t="s">
        <v>76</v>
      </c>
      <c r="K1051" s="1" t="s">
        <v>77</v>
      </c>
      <c r="L1051" s="2" t="str">
        <f>IF(
    F1051&lt;&gt;"Đã ký",
    "Chưa triển khai",
    IF(
        IFERROR(VLOOKUP(B1051,TCH[[Code budget]:[Ngày kết thúc thi công theo kế hoạch]],10,0),0)&gt;0,
        VLOOKUP(B1051,TCH[[Code budget]:[Ngày kết thúc thi công theo kế hoạch]],10,0),
        IFERROR(
            DATE(2026,VLOOKUP(B1051,'Plan 2026'!B:H,7,0),31),
            "Chưa triển khai"
        )
    )
)</f>
        <v>Chưa triển khai</v>
      </c>
      <c r="M1051" s="2" t="s">
        <v>6688</v>
      </c>
      <c r="N1051" s="2">
        <v>46266</v>
      </c>
      <c r="X1051" s="1" t="s">
        <v>2204</v>
      </c>
    </row>
    <row r="1052" spans="2:24" ht="11.25" hidden="1" customHeight="1" x14ac:dyDescent="0.25">
      <c r="B1052" s="1" t="s">
        <v>2346</v>
      </c>
      <c r="C1052" s="17" t="str">
        <f>IFERROR(LEFT(VLOOKUP(B1052,'For consider'!D:E,2,0),8),"Chưa có code")</f>
        <v>Chưa có code</v>
      </c>
      <c r="D1052" s="1" t="s">
        <v>348</v>
      </c>
      <c r="E1052" s="1" t="str">
        <f t="shared" si="1"/>
        <v>Chưa triển khai</v>
      </c>
      <c r="F1052" s="1" t="str">
        <f>IFERROR(VLOOKUP(B1052,'Plan 2026'!B:AC,28,0),"không có trong file network")</f>
        <v>Chưa có</v>
      </c>
      <c r="G1052" s="1" t="str">
        <f>IFERROR(IF(VLOOKUP(B1052,'TCH (append)'!C:P,14,0)="Completed","Hoàn thành thi công",
IF(VLOOKUP(B1052,'TCH (append)'!C:K,9,0)="Completed","Hoàn thành đấu thầu",
IF(VLOOKUP(B1052,'TCH (append)'!C:J,8,0)="Completed","Hoàn thành dự toán",
IF(VLOOKUP(B1052,'TCH (append)'!C:I,7,0)="Completed","Hoàn thành thiết kế",
"Chưa thiết kế")))),"Chưa có trong file PMO")</f>
        <v>Chưa có trong file PMO</v>
      </c>
      <c r="H1052" s="1" t="s">
        <v>2347</v>
      </c>
      <c r="I1052" s="1" t="s">
        <v>350</v>
      </c>
      <c r="J1052" s="1" t="s">
        <v>76</v>
      </c>
      <c r="K1052" s="1" t="s">
        <v>77</v>
      </c>
      <c r="L1052" s="2" t="str">
        <f>IF(
    F1052&lt;&gt;"Đã ký",
    "Chưa triển khai",
    IF(
        IFERROR(VLOOKUP(B1052,TCH[[Code budget]:[Ngày kết thúc thi công theo kế hoạch]],10,0),0)&gt;0,
        VLOOKUP(B1052,TCH[[Code budget]:[Ngày kết thúc thi công theo kế hoạch]],10,0),
        IFERROR(
            DATE(2026,VLOOKUP(B1052,'Plan 2026'!B:H,7,0),31),
            "Chưa triển khai"
        )
    )
)</f>
        <v>Chưa triển khai</v>
      </c>
      <c r="M1052" s="2" t="s">
        <v>6688</v>
      </c>
      <c r="N1052" s="2">
        <v>46266</v>
      </c>
      <c r="X1052" s="1" t="s">
        <v>2204</v>
      </c>
    </row>
    <row r="1053" spans="2:24" ht="11.25" hidden="1" customHeight="1" x14ac:dyDescent="0.25">
      <c r="B1053" s="1" t="s">
        <v>2348</v>
      </c>
      <c r="C1053" s="17" t="str">
        <f>IFERROR(LEFT(VLOOKUP(B1053,'For consider'!D:E,2,0),8),"Chưa có code")</f>
        <v/>
      </c>
      <c r="D1053" s="1" t="s">
        <v>348</v>
      </c>
      <c r="E1053" s="1" t="str">
        <f t="shared" si="1"/>
        <v>Lock mb chưa thi công</v>
      </c>
      <c r="F1053" s="1" t="str">
        <f>IFERROR(VLOOKUP(B1053,'Plan 2026'!B:AC,28,0),"không có trong file network")</f>
        <v>Đã ký</v>
      </c>
      <c r="G1053" s="1" t="str">
        <f>IFERROR(IF(VLOOKUP(B1053,'TCH (append)'!C:P,14,0)="Completed","Hoàn thành thi công",
IF(VLOOKUP(B1053,'TCH (append)'!C:K,9,0)="Completed","Hoàn thành đấu thầu",
IF(VLOOKUP(B1053,'TCH (append)'!C:J,8,0)="Completed","Hoàn thành dự toán",
IF(VLOOKUP(B1053,'TCH (append)'!C:I,7,0)="Completed","Hoàn thành thiết kế",
"Chưa thiết kế")))),"Chưa có trong file PMO")</f>
        <v>Chưa có trong file PMO</v>
      </c>
      <c r="H1053" s="1" t="s">
        <v>2349</v>
      </c>
      <c r="I1053" s="1" t="s">
        <v>2244</v>
      </c>
      <c r="J1053" s="1" t="s">
        <v>76</v>
      </c>
      <c r="K1053" s="1" t="s">
        <v>77</v>
      </c>
      <c r="L1053" s="2">
        <f>IF(
    F1053&lt;&gt;"Đã ký",
    "Chưa triển khai",
    IF(
        IFERROR(VLOOKUP(B1053,TCH[[Code budget]:[Ngày kết thúc thi công theo kế hoạch]],10,0),0)&gt;0,
        VLOOKUP(B1053,TCH[[Code budget]:[Ngày kết thúc thi công theo kế hoạch]],10,0),
        IFERROR(
            DATE(2026,VLOOKUP(B1053,'Plan 2026'!B:H,7,0),31),
            "Chưa triển khai"
        )
    )
)</f>
        <v>46296</v>
      </c>
      <c r="M1053" s="2" t="s">
        <v>6688</v>
      </c>
      <c r="N1053" s="2">
        <v>46266</v>
      </c>
      <c r="X1053" s="1" t="s">
        <v>2204</v>
      </c>
    </row>
    <row r="1054" spans="2:24" ht="11.25" hidden="1" customHeight="1" x14ac:dyDescent="0.25">
      <c r="B1054" s="1" t="s">
        <v>2350</v>
      </c>
      <c r="C1054" s="17" t="str">
        <f>IFERROR(LEFT(VLOOKUP(B1054,'For consider'!D:E,2,0),8),"Chưa có code")</f>
        <v>10GG5027</v>
      </c>
      <c r="D1054" s="1" t="s">
        <v>20</v>
      </c>
      <c r="E1054" s="1" t="str">
        <f t="shared" si="1"/>
        <v>Waiting for open</v>
      </c>
      <c r="F1054" s="1" t="str">
        <f>IFERROR(VLOOKUP(B1054,'Plan 2026'!B:AC,28,0),"không có trong file network")</f>
        <v>Đã ký</v>
      </c>
      <c r="G1054" s="1" t="str">
        <f>IFERROR(IF(VLOOKUP(B1054,'TCH (append)'!C:P,14,0)="Completed","Hoàn thành thi công",
IF(VLOOKUP(B1054,'TCH (append)'!C:K,9,0)="Completed","Hoàn thành đấu thầu",
IF(VLOOKUP(B1054,'TCH (append)'!C:J,8,0)="Completed","Hoàn thành dự toán",
IF(VLOOKUP(B1054,'TCH (append)'!C:I,7,0)="Completed","Hoàn thành thiết kế",
"Chưa thiết kế")))),"Chưa có trong file PMO")</f>
        <v>Chưa thiết kế</v>
      </c>
      <c r="H1054" s="1" t="s">
        <v>2351</v>
      </c>
      <c r="I1054" s="1" t="s">
        <v>2241</v>
      </c>
      <c r="J1054" s="1" t="s">
        <v>76</v>
      </c>
      <c r="K1054" s="1" t="s">
        <v>77</v>
      </c>
      <c r="L1054" s="2">
        <f>IF(
    F1054&lt;&gt;"Đã ký",
    "Chưa triển khai",
    IF(
        IFERROR(VLOOKUP(B1054,TCH[[Code budget]:[Ngày kết thúc thi công theo kế hoạch]],10,0),0)&gt;0,
        VLOOKUP(B1054,TCH[[Code budget]:[Ngày kết thúc thi công theo kế hoạch]],10,0),
        IFERROR(
            DATE(2026,VLOOKUP(B1054,'Plan 2026'!B:H,7,0),31),
            "Chưa triển khai"
        )
    )
)</f>
        <v>46244</v>
      </c>
      <c r="M1054" s="2" t="s">
        <v>6688</v>
      </c>
      <c r="N1054" s="2">
        <v>46357</v>
      </c>
      <c r="X1054" s="1" t="s">
        <v>2204</v>
      </c>
    </row>
    <row r="1055" spans="2:24" ht="11.25" hidden="1" customHeight="1" x14ac:dyDescent="0.25">
      <c r="B1055" s="1" t="s">
        <v>2352</v>
      </c>
      <c r="C1055" s="17" t="str">
        <f>IFERROR(LEFT(VLOOKUP(B1055,'For consider'!D:E,2,0),8),"Chưa có code")</f>
        <v>Check</v>
      </c>
      <c r="D1055" s="1" t="s">
        <v>20</v>
      </c>
      <c r="E1055" s="1" t="str">
        <f t="shared" si="1"/>
        <v>Waiting for open</v>
      </c>
      <c r="F1055" s="1" t="str">
        <f>IFERROR(VLOOKUP(B1055,'Plan 2026'!B:AC,28,0),"không có trong file network")</f>
        <v>Đã ký</v>
      </c>
      <c r="G1055" s="1" t="str">
        <f>IFERROR(IF(VLOOKUP(B1055,'TCH (append)'!C:P,14,0)="Completed","Hoàn thành thi công",
IF(VLOOKUP(B1055,'TCH (append)'!C:K,9,0)="Completed","Hoàn thành đấu thầu",
IF(VLOOKUP(B1055,'TCH (append)'!C:J,8,0)="Completed","Hoàn thành dự toán",
IF(VLOOKUP(B1055,'TCH (append)'!C:I,7,0)="Completed","Hoàn thành thiết kế",
"Chưa thiết kế")))),"Chưa có trong file PMO")</f>
        <v>Chưa thiết kế</v>
      </c>
      <c r="H1055" s="1" t="s">
        <v>2353</v>
      </c>
      <c r="I1055" s="1" t="s">
        <v>2241</v>
      </c>
      <c r="J1055" s="1" t="s">
        <v>76</v>
      </c>
      <c r="K1055" s="1" t="s">
        <v>77</v>
      </c>
      <c r="L1055" s="2">
        <f>IF(
    F1055&lt;&gt;"Đã ký",
    "Chưa triển khai",
    IF(
        IFERROR(VLOOKUP(B1055,TCH[[Code budget]:[Ngày kết thúc thi công theo kế hoạch]],10,0),0)&gt;0,
        VLOOKUP(B1055,TCH[[Code budget]:[Ngày kết thúc thi công theo kế hoạch]],10,0),
        IFERROR(
            DATE(2026,VLOOKUP(B1055,'Plan 2026'!B:H,7,0),31),
            "Chưa triển khai"
        )
    )
)</f>
        <v>46216</v>
      </c>
      <c r="M1055" s="2" t="s">
        <v>6688</v>
      </c>
      <c r="N1055" s="2">
        <v>46357</v>
      </c>
      <c r="X1055" s="1" t="s">
        <v>2204</v>
      </c>
    </row>
    <row r="1056" spans="2:24" ht="11.25" hidden="1" customHeight="1" x14ac:dyDescent="0.25">
      <c r="B1056" s="1" t="s">
        <v>2354</v>
      </c>
      <c r="C1056" s="17" t="str">
        <f>IFERROR(LEFT(VLOOKUP(B1056,'For consider'!D:E,2,0),8),"Chưa có code")</f>
        <v>Chưa có code</v>
      </c>
      <c r="D1056" s="1" t="s">
        <v>348</v>
      </c>
      <c r="E1056" s="1" t="str">
        <f t="shared" si="1"/>
        <v>Chưa triển khai</v>
      </c>
      <c r="F1056" s="1" t="str">
        <f>IFERROR(VLOOKUP(B1056,'Plan 2026'!B:AC,28,0),"không có trong file network")</f>
        <v>Chưa có</v>
      </c>
      <c r="G1056" s="1" t="str">
        <f>IFERROR(IF(VLOOKUP(B1056,'TCH (append)'!C:P,14,0)="Completed","Hoàn thành thi công",
IF(VLOOKUP(B1056,'TCH (append)'!C:K,9,0)="Completed","Hoàn thành đấu thầu",
IF(VLOOKUP(B1056,'TCH (append)'!C:J,8,0)="Completed","Hoàn thành dự toán",
IF(VLOOKUP(B1056,'TCH (append)'!C:I,7,0)="Completed","Hoàn thành thiết kế",
"Chưa thiết kế")))),"Chưa có trong file PMO")</f>
        <v>Chưa có trong file PMO</v>
      </c>
      <c r="H1056" s="1" t="s">
        <v>2355</v>
      </c>
      <c r="I1056" s="1" t="s">
        <v>2244</v>
      </c>
      <c r="J1056" s="1" t="s">
        <v>76</v>
      </c>
      <c r="K1056" s="1" t="s">
        <v>77</v>
      </c>
      <c r="L1056" s="2" t="str">
        <f>IF(
    F1056&lt;&gt;"Đã ký",
    "Chưa triển khai",
    IF(
        IFERROR(VLOOKUP(B1056,TCH[[Code budget]:[Ngày kết thúc thi công theo kế hoạch]],10,0),0)&gt;0,
        VLOOKUP(B1056,TCH[[Code budget]:[Ngày kết thúc thi công theo kế hoạch]],10,0),
        IFERROR(
            DATE(2026,VLOOKUP(B1056,'Plan 2026'!B:H,7,0),31),
            "Chưa triển khai"
        )
    )
)</f>
        <v>Chưa triển khai</v>
      </c>
      <c r="M1056" s="2" t="s">
        <v>6688</v>
      </c>
      <c r="N1056" s="2">
        <v>46357</v>
      </c>
      <c r="X1056" s="1" t="s">
        <v>2204</v>
      </c>
    </row>
    <row r="1057" spans="2:24" ht="11.25" hidden="1" customHeight="1" x14ac:dyDescent="0.25">
      <c r="B1057" s="1" t="s">
        <v>2356</v>
      </c>
      <c r="C1057" s="17" t="str">
        <f>IFERROR(LEFT(VLOOKUP(B1057,'For consider'!D:E,2,0),8),"Chưa có code")</f>
        <v>Chưa có code</v>
      </c>
      <c r="D1057" s="1" t="s">
        <v>348</v>
      </c>
      <c r="E1057" s="1" t="str">
        <f t="shared" si="1"/>
        <v>Chưa triển khai</v>
      </c>
      <c r="F1057" s="1" t="str">
        <f>IFERROR(VLOOKUP(B1057,'Plan 2026'!B:AC,28,0),"không có trong file network")</f>
        <v>Chưa có</v>
      </c>
      <c r="G1057" s="1" t="str">
        <f>IFERROR(IF(VLOOKUP(B1057,'TCH (append)'!C:P,14,0)="Completed","Hoàn thành thi công",
IF(VLOOKUP(B1057,'TCH (append)'!C:K,9,0)="Completed","Hoàn thành đấu thầu",
IF(VLOOKUP(B1057,'TCH (append)'!C:J,8,0)="Completed","Hoàn thành dự toán",
IF(VLOOKUP(B1057,'TCH (append)'!C:I,7,0)="Completed","Hoàn thành thiết kế",
"Chưa thiết kế")))),"Chưa có trong file PMO")</f>
        <v>Chưa có trong file PMO</v>
      </c>
      <c r="H1057" s="1" t="s">
        <v>2357</v>
      </c>
      <c r="I1057" s="1" t="s">
        <v>2244</v>
      </c>
      <c r="J1057" s="1" t="s">
        <v>76</v>
      </c>
      <c r="K1057" s="1" t="s">
        <v>77</v>
      </c>
      <c r="L1057" s="2" t="str">
        <f>IF(
    F1057&lt;&gt;"Đã ký",
    "Chưa triển khai",
    IF(
        IFERROR(VLOOKUP(B1057,TCH[[Code budget]:[Ngày kết thúc thi công theo kế hoạch]],10,0),0)&gt;0,
        VLOOKUP(B1057,TCH[[Code budget]:[Ngày kết thúc thi công theo kế hoạch]],10,0),
        IFERROR(
            DATE(2026,VLOOKUP(B1057,'Plan 2026'!B:H,7,0),31),
            "Chưa triển khai"
        )
    )
)</f>
        <v>Chưa triển khai</v>
      </c>
      <c r="M1057" s="2" t="s">
        <v>6688</v>
      </c>
      <c r="N1057" s="2">
        <v>46357</v>
      </c>
      <c r="X1057" s="1" t="s">
        <v>2204</v>
      </c>
    </row>
    <row r="1058" spans="2:24" ht="11.25" hidden="1" customHeight="1" x14ac:dyDescent="0.25">
      <c r="B1058" s="1" t="s">
        <v>2358</v>
      </c>
      <c r="C1058" s="17" t="str">
        <f>IFERROR(LEFT(VLOOKUP(B1058,'For consider'!D:E,2,0),8),"Chưa có code")</f>
        <v>Chưa có code</v>
      </c>
      <c r="D1058" s="1" t="s">
        <v>348</v>
      </c>
      <c r="E1058" s="1" t="str">
        <f t="shared" si="1"/>
        <v>Chưa triển khai</v>
      </c>
      <c r="F1058" s="1" t="str">
        <f>IFERROR(VLOOKUP(B1058,'Plan 2026'!B:AC,28,0),"không có trong file network")</f>
        <v>Chưa có</v>
      </c>
      <c r="G1058" s="1" t="str">
        <f>IFERROR(IF(VLOOKUP(B1058,'TCH (append)'!C:P,14,0)="Completed","Hoàn thành thi công",
IF(VLOOKUP(B1058,'TCH (append)'!C:K,9,0)="Completed","Hoàn thành đấu thầu",
IF(VLOOKUP(B1058,'TCH (append)'!C:J,8,0)="Completed","Hoàn thành dự toán",
IF(VLOOKUP(B1058,'TCH (append)'!C:I,7,0)="Completed","Hoàn thành thiết kế",
"Chưa thiết kế")))),"Chưa có trong file PMO")</f>
        <v>Chưa có trong file PMO</v>
      </c>
      <c r="H1058" s="1" t="s">
        <v>2359</v>
      </c>
      <c r="I1058" s="1" t="s">
        <v>2244</v>
      </c>
      <c r="J1058" s="1" t="s">
        <v>76</v>
      </c>
      <c r="K1058" s="1" t="s">
        <v>77</v>
      </c>
      <c r="L1058" s="2" t="str">
        <f>IF(
    F1058&lt;&gt;"Đã ký",
    "Chưa triển khai",
    IF(
        IFERROR(VLOOKUP(B1058,TCH[[Code budget]:[Ngày kết thúc thi công theo kế hoạch]],10,0),0)&gt;0,
        VLOOKUP(B1058,TCH[[Code budget]:[Ngày kết thúc thi công theo kế hoạch]],10,0),
        IFERROR(
            DATE(2026,VLOOKUP(B1058,'Plan 2026'!B:H,7,0),31),
            "Chưa triển khai"
        )
    )
)</f>
        <v>Chưa triển khai</v>
      </c>
      <c r="M1058" s="2" t="s">
        <v>6688</v>
      </c>
      <c r="N1058" s="2">
        <v>46357</v>
      </c>
      <c r="X1058" s="1" t="s">
        <v>2204</v>
      </c>
    </row>
    <row r="1059" spans="2:24" ht="11.25" hidden="1" customHeight="1" x14ac:dyDescent="0.25">
      <c r="B1059" s="1" t="s">
        <v>2360</v>
      </c>
      <c r="C1059" s="17" t="str">
        <f>IFERROR(LEFT(VLOOKUP(B1059,'For consider'!D:E,2,0),8),"Chưa có code")</f>
        <v>10GG5056</v>
      </c>
      <c r="D1059" s="1" t="s">
        <v>20</v>
      </c>
      <c r="E1059" s="1" t="str">
        <f t="shared" si="1"/>
        <v>Chưa triển khai</v>
      </c>
      <c r="F1059" s="1" t="str">
        <f>IFERROR(VLOOKUP(B1059,'Plan 2026'!B:AC,28,0),"không có trong file network")</f>
        <v>Đã cọc</v>
      </c>
      <c r="G1059" s="1" t="str">
        <f>IFERROR(IF(VLOOKUP(B1059,'TCH (append)'!C:P,14,0)="Completed","Hoàn thành thi công",
IF(VLOOKUP(B1059,'TCH (append)'!C:K,9,0)="Completed","Hoàn thành đấu thầu",
IF(VLOOKUP(B1059,'TCH (append)'!C:J,8,0)="Completed","Hoàn thành dự toán",
IF(VLOOKUP(B1059,'TCH (append)'!C:I,7,0)="Completed","Hoàn thành thiết kế",
"Chưa thiết kế")))),"Chưa có trong file PMO")</f>
        <v>Hoàn thành thiết kế</v>
      </c>
      <c r="H1059" s="1" t="s">
        <v>2361</v>
      </c>
      <c r="I1059" s="1" t="s">
        <v>23</v>
      </c>
      <c r="J1059" s="1" t="s">
        <v>76</v>
      </c>
      <c r="K1059" s="1" t="s">
        <v>77</v>
      </c>
      <c r="L1059" s="2" t="str">
        <f>IF(
    F1059&lt;&gt;"Đã ký",
    "Chưa triển khai",
    IF(
        IFERROR(VLOOKUP(B1059,TCH[[Code budget]:[Ngày kết thúc thi công theo kế hoạch]],10,0),0)&gt;0,
        VLOOKUP(B1059,TCH[[Code budget]:[Ngày kết thúc thi công theo kế hoạch]],10,0),
        IFERROR(
            DATE(2026,VLOOKUP(B1059,'Plan 2026'!B:H,7,0),31),
            "Chưa triển khai"
        )
    )
)</f>
        <v>Chưa triển khai</v>
      </c>
      <c r="M1059" s="2" t="s">
        <v>6688</v>
      </c>
      <c r="N1059" s="2">
        <v>46357</v>
      </c>
      <c r="X1059" s="1" t="s">
        <v>2204</v>
      </c>
    </row>
    <row r="1060" spans="2:24" ht="11.25" hidden="1" customHeight="1" x14ac:dyDescent="0.25">
      <c r="B1060" s="1" t="s">
        <v>2362</v>
      </c>
      <c r="C1060" s="17" t="str">
        <f>IFERROR(LEFT(VLOOKUP(B1060,'For consider'!D:E,2,0),8),"Chưa có code")</f>
        <v>Chưa có code</v>
      </c>
      <c r="D1060" s="1" t="s">
        <v>20</v>
      </c>
      <c r="E1060" s="1" t="str">
        <f t="shared" si="1"/>
        <v>Chưa triển khai</v>
      </c>
      <c r="F1060" s="1" t="str">
        <f>IFERROR(VLOOKUP(B1060,'Plan 2026'!B:AC,28,0),"không có trong file network")</f>
        <v>Chưa có</v>
      </c>
      <c r="G1060" s="1" t="str">
        <f>IFERROR(IF(VLOOKUP(B1060,'TCH (append)'!C:P,14,0)="Completed","Hoàn thành thi công",
IF(VLOOKUP(B1060,'TCH (append)'!C:K,9,0)="Completed","Hoàn thành đấu thầu",
IF(VLOOKUP(B1060,'TCH (append)'!C:J,8,0)="Completed","Hoàn thành dự toán",
IF(VLOOKUP(B1060,'TCH (append)'!C:I,7,0)="Completed","Hoàn thành thiết kế",
"Chưa thiết kế")))),"Chưa có trong file PMO")</f>
        <v>Chưa có trong file PMO</v>
      </c>
      <c r="H1060" s="1" t="s">
        <v>2363</v>
      </c>
      <c r="I1060" s="1" t="s">
        <v>23</v>
      </c>
      <c r="J1060" s="1" t="s">
        <v>76</v>
      </c>
      <c r="K1060" s="1" t="s">
        <v>77</v>
      </c>
      <c r="L1060" s="2" t="str">
        <f>IF(
    F1060&lt;&gt;"Đã ký",
    "Chưa triển khai",
    IF(
        IFERROR(VLOOKUP(B1060,TCH[[Code budget]:[Ngày kết thúc thi công theo kế hoạch]],10,0),0)&gt;0,
        VLOOKUP(B1060,TCH[[Code budget]:[Ngày kết thúc thi công theo kế hoạch]],10,0),
        IFERROR(
            DATE(2026,VLOOKUP(B1060,'Plan 2026'!B:H,7,0),31),
            "Chưa triển khai"
        )
    )
)</f>
        <v>Chưa triển khai</v>
      </c>
      <c r="M1060" s="2" t="s">
        <v>6688</v>
      </c>
      <c r="N1060" s="2">
        <v>46357</v>
      </c>
      <c r="X1060" s="1" t="s">
        <v>2204</v>
      </c>
    </row>
    <row r="1061" spans="2:24" ht="11.25" hidden="1" customHeight="1" x14ac:dyDescent="0.25">
      <c r="B1061" s="1" t="s">
        <v>2364</v>
      </c>
      <c r="C1061" s="17" t="str">
        <f>IFERROR(LEFT(VLOOKUP(B1061,'For consider'!D:E,2,0),8),"Chưa có code")</f>
        <v>Chưa có code</v>
      </c>
      <c r="D1061" s="1" t="s">
        <v>20</v>
      </c>
      <c r="E1061" s="1" t="str">
        <f t="shared" si="1"/>
        <v>Chưa triển khai</v>
      </c>
      <c r="F1061" s="1" t="str">
        <f>IFERROR(VLOOKUP(B1061,'Plan 2026'!B:AC,28,0),"không có trong file network")</f>
        <v>Reject</v>
      </c>
      <c r="G1061" s="1" t="str">
        <f>IFERROR(IF(VLOOKUP(B1061,'TCH (append)'!C:P,14,0)="Completed","Hoàn thành thi công",
IF(VLOOKUP(B1061,'TCH (append)'!C:K,9,0)="Completed","Hoàn thành đấu thầu",
IF(VLOOKUP(B1061,'TCH (append)'!C:J,8,0)="Completed","Hoàn thành dự toán",
IF(VLOOKUP(B1061,'TCH (append)'!C:I,7,0)="Completed","Hoàn thành thiết kế",
"Chưa thiết kế")))),"Chưa có trong file PMO")</f>
        <v>Chưa có trong file PMO</v>
      </c>
      <c r="H1061" s="1" t="s">
        <v>2365</v>
      </c>
      <c r="I1061" s="1" t="s">
        <v>23</v>
      </c>
      <c r="J1061" s="1" t="s">
        <v>76</v>
      </c>
      <c r="K1061" s="1" t="s">
        <v>77</v>
      </c>
      <c r="L1061" s="2" t="str">
        <f>IF(
    F1061&lt;&gt;"Đã ký",
    "Chưa triển khai",
    IF(
        IFERROR(VLOOKUP(B1061,TCH[[Code budget]:[Ngày kết thúc thi công theo kế hoạch]],10,0),0)&gt;0,
        VLOOKUP(B1061,TCH[[Code budget]:[Ngày kết thúc thi công theo kế hoạch]],10,0),
        IFERROR(
            DATE(2026,VLOOKUP(B1061,'Plan 2026'!B:H,7,0),31),
            "Chưa triển khai"
        )
    )
)</f>
        <v>Chưa triển khai</v>
      </c>
      <c r="M1061" s="2" t="s">
        <v>6688</v>
      </c>
      <c r="N1061" s="2">
        <v>46357</v>
      </c>
      <c r="X1061" s="1" t="s">
        <v>2204</v>
      </c>
    </row>
    <row r="1062" spans="2:24" ht="11.25" hidden="1" customHeight="1" x14ac:dyDescent="0.25">
      <c r="B1062" s="1" t="s">
        <v>2366</v>
      </c>
      <c r="C1062" s="17" t="str">
        <f>IFERROR(LEFT(VLOOKUP(B1062,'For consider'!D:E,2,0),8),"Chưa có code")</f>
        <v>Chưa có code</v>
      </c>
      <c r="D1062" s="1" t="s">
        <v>20</v>
      </c>
      <c r="E1062" s="1" t="str">
        <f t="shared" si="1"/>
        <v>Chưa triển khai</v>
      </c>
      <c r="F1062" s="1" t="str">
        <f>IFERROR(VLOOKUP(B1062,'Plan 2026'!B:AC,28,0),"không có trong file network")</f>
        <v>Reject</v>
      </c>
      <c r="G1062" s="1" t="str">
        <f>IFERROR(IF(VLOOKUP(B1062,'TCH (append)'!C:P,14,0)="Completed","Hoàn thành thi công",
IF(VLOOKUP(B1062,'TCH (append)'!C:K,9,0)="Completed","Hoàn thành đấu thầu",
IF(VLOOKUP(B1062,'TCH (append)'!C:J,8,0)="Completed","Hoàn thành dự toán",
IF(VLOOKUP(B1062,'TCH (append)'!C:I,7,0)="Completed","Hoàn thành thiết kế",
"Chưa thiết kế")))),"Chưa có trong file PMO")</f>
        <v>Chưa có trong file PMO</v>
      </c>
      <c r="H1062" s="1" t="s">
        <v>2367</v>
      </c>
      <c r="I1062" s="1" t="s">
        <v>23</v>
      </c>
      <c r="J1062" s="1" t="s">
        <v>76</v>
      </c>
      <c r="K1062" s="1" t="s">
        <v>77</v>
      </c>
      <c r="L1062" s="2" t="str">
        <f>IF(
    F1062&lt;&gt;"Đã ký",
    "Chưa triển khai",
    IF(
        IFERROR(VLOOKUP(B1062,TCH[[Code budget]:[Ngày kết thúc thi công theo kế hoạch]],10,0),0)&gt;0,
        VLOOKUP(B1062,TCH[[Code budget]:[Ngày kết thúc thi công theo kế hoạch]],10,0),
        IFERROR(
            DATE(2026,VLOOKUP(B1062,'Plan 2026'!B:H,7,0),31),
            "Chưa triển khai"
        )
    )
)</f>
        <v>Chưa triển khai</v>
      </c>
      <c r="M1062" s="2" t="s">
        <v>6688</v>
      </c>
      <c r="N1062" s="2">
        <v>46357</v>
      </c>
      <c r="X1062" s="1" t="s">
        <v>2204</v>
      </c>
    </row>
    <row r="1063" spans="2:24" ht="11.25" hidden="1" customHeight="1" x14ac:dyDescent="0.25">
      <c r="B1063" s="1" t="s">
        <v>2368</v>
      </c>
      <c r="C1063" s="17" t="str">
        <f>IFERROR(LEFT(VLOOKUP(B1063,'For consider'!D:E,2,0),8),"Chưa có code")</f>
        <v>Chưa có code</v>
      </c>
      <c r="D1063" s="1" t="s">
        <v>20</v>
      </c>
      <c r="E1063" s="1" t="str">
        <f t="shared" si="1"/>
        <v>Chưa triển khai</v>
      </c>
      <c r="F1063" s="1" t="str">
        <f>IFERROR(VLOOKUP(B1063,'Plan 2026'!B:AC,28,0),"không có trong file network")</f>
        <v>Chưa có</v>
      </c>
      <c r="G1063" s="1" t="str">
        <f>IFERROR(IF(VLOOKUP(B1063,'TCH (append)'!C:P,14,0)="Completed","Hoàn thành thi công",
IF(VLOOKUP(B1063,'TCH (append)'!C:K,9,0)="Completed","Hoàn thành đấu thầu",
IF(VLOOKUP(B1063,'TCH (append)'!C:J,8,0)="Completed","Hoàn thành dự toán",
IF(VLOOKUP(B1063,'TCH (append)'!C:I,7,0)="Completed","Hoàn thành thiết kế",
"Chưa thiết kế")))),"Chưa có trong file PMO")</f>
        <v>Chưa có trong file PMO</v>
      </c>
      <c r="H1063" s="1" t="s">
        <v>2369</v>
      </c>
      <c r="I1063" s="1" t="s">
        <v>23</v>
      </c>
      <c r="J1063" s="1" t="s">
        <v>76</v>
      </c>
      <c r="K1063" s="1" t="s">
        <v>77</v>
      </c>
      <c r="L1063" s="2" t="str">
        <f>IF(
    F1063&lt;&gt;"Đã ký",
    "Chưa triển khai",
    IF(
        IFERROR(VLOOKUP(B1063,TCH[[Code budget]:[Ngày kết thúc thi công theo kế hoạch]],10,0),0)&gt;0,
        VLOOKUP(B1063,TCH[[Code budget]:[Ngày kết thúc thi công theo kế hoạch]],10,0),
        IFERROR(
            DATE(2026,VLOOKUP(B1063,'Plan 2026'!B:H,7,0),31),
            "Chưa triển khai"
        )
    )
)</f>
        <v>Chưa triển khai</v>
      </c>
      <c r="M1063" s="2" t="s">
        <v>6688</v>
      </c>
      <c r="N1063" s="2">
        <v>46357</v>
      </c>
      <c r="X1063" s="1" t="s">
        <v>2204</v>
      </c>
    </row>
    <row r="1064" spans="2:24" ht="11.25" hidden="1" customHeight="1" x14ac:dyDescent="0.25">
      <c r="B1064" s="1" t="s">
        <v>2370</v>
      </c>
      <c r="C1064" s="17" t="str">
        <f>IFERROR(LEFT(VLOOKUP(B1064,'For consider'!D:E,2,0),8),"Chưa có code")</f>
        <v>Chưa có code</v>
      </c>
      <c r="D1064" s="1" t="s">
        <v>348</v>
      </c>
      <c r="E1064" s="1" t="str">
        <f t="shared" si="1"/>
        <v>Chưa triển khai</v>
      </c>
      <c r="F1064" s="1" t="str">
        <f>IFERROR(VLOOKUP(B1064,'Plan 2026'!B:AC,28,0),"không có trong file network")</f>
        <v>Chưa có</v>
      </c>
      <c r="G1064" s="1" t="str">
        <f>IFERROR(IF(VLOOKUP(B1064,'TCH (append)'!C:P,14,0)="Completed","Hoàn thành thi công",
IF(VLOOKUP(B1064,'TCH (append)'!C:K,9,0)="Completed","Hoàn thành đấu thầu",
IF(VLOOKUP(B1064,'TCH (append)'!C:J,8,0)="Completed","Hoàn thành dự toán",
IF(VLOOKUP(B1064,'TCH (append)'!C:I,7,0)="Completed","Hoàn thành thiết kế",
"Chưa thiết kế")))),"Chưa có trong file PMO")</f>
        <v>Chưa có trong file PMO</v>
      </c>
      <c r="H1064" s="1" t="s">
        <v>2371</v>
      </c>
      <c r="I1064" s="1" t="s">
        <v>350</v>
      </c>
      <c r="J1064" s="1" t="s">
        <v>76</v>
      </c>
      <c r="K1064" s="1" t="s">
        <v>77</v>
      </c>
      <c r="L1064" s="2" t="str">
        <f>IF(
    F1064&lt;&gt;"Đã ký",
    "Chưa triển khai",
    IF(
        IFERROR(VLOOKUP(B1064,TCH[[Code budget]:[Ngày kết thúc thi công theo kế hoạch]],10,0),0)&gt;0,
        VLOOKUP(B1064,TCH[[Code budget]:[Ngày kết thúc thi công theo kế hoạch]],10,0),
        IFERROR(
            DATE(2026,VLOOKUP(B1064,'Plan 2026'!B:H,7,0),31),
            "Chưa triển khai"
        )
    )
)</f>
        <v>Chưa triển khai</v>
      </c>
      <c r="M1064" s="2" t="s">
        <v>6688</v>
      </c>
      <c r="N1064" s="2">
        <v>46357</v>
      </c>
      <c r="X1064" s="1" t="s">
        <v>2204</v>
      </c>
    </row>
    <row r="1065" spans="2:24" ht="11.25" hidden="1" customHeight="1" x14ac:dyDescent="0.25">
      <c r="B1065" s="1" t="s">
        <v>2372</v>
      </c>
      <c r="C1065" s="17" t="str">
        <f>IFERROR(LEFT(VLOOKUP(B1065,'For consider'!D:E,2,0),8),"Chưa có code")</f>
        <v>Chưa có code</v>
      </c>
      <c r="D1065" s="1" t="s">
        <v>348</v>
      </c>
      <c r="E1065" s="1" t="str">
        <f t="shared" si="1"/>
        <v>Chưa triển khai</v>
      </c>
      <c r="F1065" s="1" t="str">
        <f>IFERROR(VLOOKUP(B1065,'Plan 2026'!B:AC,28,0),"không có trong file network")</f>
        <v>Chưa có</v>
      </c>
      <c r="G1065" s="1" t="str">
        <f>IFERROR(IF(VLOOKUP(B1065,'TCH (append)'!C:P,14,0)="Completed","Hoàn thành thi công",
IF(VLOOKUP(B1065,'TCH (append)'!C:K,9,0)="Completed","Hoàn thành đấu thầu",
IF(VLOOKUP(B1065,'TCH (append)'!C:J,8,0)="Completed","Hoàn thành dự toán",
IF(VLOOKUP(B1065,'TCH (append)'!C:I,7,0)="Completed","Hoàn thành thiết kế",
"Chưa thiết kế")))),"Chưa có trong file PMO")</f>
        <v>Chưa có trong file PMO</v>
      </c>
      <c r="H1065" s="1" t="s">
        <v>2373</v>
      </c>
      <c r="I1065" s="1" t="s">
        <v>350</v>
      </c>
      <c r="J1065" s="1" t="s">
        <v>76</v>
      </c>
      <c r="K1065" s="1" t="s">
        <v>77</v>
      </c>
      <c r="L1065" s="2" t="str">
        <f>IF(
    F1065&lt;&gt;"Đã ký",
    "Chưa triển khai",
    IF(
        IFERROR(VLOOKUP(B1065,TCH[[Code budget]:[Ngày kết thúc thi công theo kế hoạch]],10,0),0)&gt;0,
        VLOOKUP(B1065,TCH[[Code budget]:[Ngày kết thúc thi công theo kế hoạch]],10,0),
        IFERROR(
            DATE(2026,VLOOKUP(B1065,'Plan 2026'!B:H,7,0),31),
            "Chưa triển khai"
        )
    )
)</f>
        <v>Chưa triển khai</v>
      </c>
      <c r="M1065" s="2" t="s">
        <v>6688</v>
      </c>
      <c r="N1065" s="2">
        <v>46357</v>
      </c>
      <c r="X1065" s="1" t="s">
        <v>2204</v>
      </c>
    </row>
    <row r="1066" spans="2:24" ht="11.25" hidden="1" customHeight="1" x14ac:dyDescent="0.25">
      <c r="B1066" s="1" t="s">
        <v>2374</v>
      </c>
      <c r="C1066" s="17" t="str">
        <f>IFERROR(LEFT(VLOOKUP(B1066,'For consider'!D:E,2,0),8),"Chưa có code")</f>
        <v>Chưa có code</v>
      </c>
      <c r="D1066" s="1" t="s">
        <v>348</v>
      </c>
      <c r="E1066" s="1" t="str">
        <f t="shared" si="1"/>
        <v>Chưa triển khai</v>
      </c>
      <c r="F1066" s="1" t="str">
        <f>IFERROR(VLOOKUP(B1066,'Plan 2026'!B:AC,28,0),"không có trong file network")</f>
        <v>Chưa có</v>
      </c>
      <c r="G1066" s="1" t="str">
        <f>IFERROR(IF(VLOOKUP(B1066,'TCH (append)'!C:P,14,0)="Completed","Hoàn thành thi công",
IF(VLOOKUP(B1066,'TCH (append)'!C:K,9,0)="Completed","Hoàn thành đấu thầu",
IF(VLOOKUP(B1066,'TCH (append)'!C:J,8,0)="Completed","Hoàn thành dự toán",
IF(VLOOKUP(B1066,'TCH (append)'!C:I,7,0)="Completed","Hoàn thành thiết kế",
"Chưa thiết kế")))),"Chưa có trong file PMO")</f>
        <v>Chưa có trong file PMO</v>
      </c>
      <c r="H1066" s="1" t="s">
        <v>2375</v>
      </c>
      <c r="I1066" s="1" t="s">
        <v>2244</v>
      </c>
      <c r="J1066" s="1" t="s">
        <v>76</v>
      </c>
      <c r="K1066" s="1" t="s">
        <v>77</v>
      </c>
      <c r="L1066" s="2" t="str">
        <f>IF(
    F1066&lt;&gt;"Đã ký",
    "Chưa triển khai",
    IF(
        IFERROR(VLOOKUP(B1066,TCH[[Code budget]:[Ngày kết thúc thi công theo kế hoạch]],10,0),0)&gt;0,
        VLOOKUP(B1066,TCH[[Code budget]:[Ngày kết thúc thi công theo kế hoạch]],10,0),
        IFERROR(
            DATE(2026,VLOOKUP(B1066,'Plan 2026'!B:H,7,0),31),
            "Chưa triển khai"
        )
    )
)</f>
        <v>Chưa triển khai</v>
      </c>
      <c r="M1066" s="2" t="s">
        <v>6688</v>
      </c>
      <c r="N1066" s="2">
        <v>46357</v>
      </c>
      <c r="X1066" s="1" t="s">
        <v>2204</v>
      </c>
    </row>
    <row r="1067" spans="2:24" ht="11.25" hidden="1" customHeight="1" x14ac:dyDescent="0.25">
      <c r="B1067" s="1" t="s">
        <v>2376</v>
      </c>
      <c r="C1067" s="17" t="str">
        <f>IFERROR(LEFT(VLOOKUP(B1067,'For consider'!D:E,2,0),8),"Chưa có code")</f>
        <v>Chưa có code</v>
      </c>
      <c r="D1067" s="1" t="s">
        <v>348</v>
      </c>
      <c r="E1067" s="1" t="str">
        <f t="shared" si="1"/>
        <v>Chưa triển khai</v>
      </c>
      <c r="F1067" s="1" t="str">
        <f>IFERROR(VLOOKUP(B1067,'Plan 2026'!B:AC,28,0),"không có trong file network")</f>
        <v>Reject</v>
      </c>
      <c r="G1067" s="1" t="str">
        <f>IFERROR(IF(VLOOKUP(B1067,'TCH (append)'!C:P,14,0)="Completed","Hoàn thành thi công",
IF(VLOOKUP(B1067,'TCH (append)'!C:K,9,0)="Completed","Hoàn thành đấu thầu",
IF(VLOOKUP(B1067,'TCH (append)'!C:J,8,0)="Completed","Hoàn thành dự toán",
IF(VLOOKUP(B1067,'TCH (append)'!C:I,7,0)="Completed","Hoàn thành thiết kế",
"Chưa thiết kế")))),"Chưa có trong file PMO")</f>
        <v>Chưa có trong file PMO</v>
      </c>
      <c r="H1067" s="1" t="s">
        <v>2377</v>
      </c>
      <c r="I1067" s="1" t="s">
        <v>2244</v>
      </c>
      <c r="J1067" s="1" t="s">
        <v>76</v>
      </c>
      <c r="K1067" s="1" t="s">
        <v>77</v>
      </c>
      <c r="L1067" s="2" t="str">
        <f>IF(
    F1067&lt;&gt;"Đã ký",
    "Chưa triển khai",
    IF(
        IFERROR(VLOOKUP(B1067,TCH[[Code budget]:[Ngày kết thúc thi công theo kế hoạch]],10,0),0)&gt;0,
        VLOOKUP(B1067,TCH[[Code budget]:[Ngày kết thúc thi công theo kế hoạch]],10,0),
        IFERROR(
            DATE(2026,VLOOKUP(B1067,'Plan 2026'!B:H,7,0),31),
            "Chưa triển khai"
        )
    )
)</f>
        <v>Chưa triển khai</v>
      </c>
      <c r="M1067" s="2" t="s">
        <v>6688</v>
      </c>
      <c r="N1067" s="2">
        <v>46357</v>
      </c>
      <c r="X1067" s="1" t="s">
        <v>2204</v>
      </c>
    </row>
    <row r="1068" spans="2:24" ht="11.25" hidden="1" customHeight="1" x14ac:dyDescent="0.25">
      <c r="B1068" s="1" t="s">
        <v>2378</v>
      </c>
      <c r="C1068" s="17" t="str">
        <f>IFERROR(LEFT(VLOOKUP(B1068,'For consider'!D:E,2,0),8),"Chưa có code")</f>
        <v>Chưa có code</v>
      </c>
      <c r="D1068" s="1" t="s">
        <v>348</v>
      </c>
      <c r="E1068" s="1" t="str">
        <f t="shared" si="1"/>
        <v>Chưa triển khai</v>
      </c>
      <c r="F1068" s="1" t="str">
        <f>IFERROR(VLOOKUP(B1068,'Plan 2026'!B:AC,28,0),"không có trong file network")</f>
        <v>Chưa có</v>
      </c>
      <c r="G1068" s="1" t="str">
        <f>IFERROR(IF(VLOOKUP(B1068,'TCH (append)'!C:P,14,0)="Completed","Hoàn thành thi công",
IF(VLOOKUP(B1068,'TCH (append)'!C:K,9,0)="Completed","Hoàn thành đấu thầu",
IF(VLOOKUP(B1068,'TCH (append)'!C:J,8,0)="Completed","Hoàn thành dự toán",
IF(VLOOKUP(B1068,'TCH (append)'!C:I,7,0)="Completed","Hoàn thành thiết kế",
"Chưa thiết kế")))),"Chưa có trong file PMO")</f>
        <v>Chưa có trong file PMO</v>
      </c>
      <c r="H1068" s="1" t="s">
        <v>2379</v>
      </c>
      <c r="I1068" s="1" t="s">
        <v>2244</v>
      </c>
      <c r="J1068" s="1" t="s">
        <v>76</v>
      </c>
      <c r="K1068" s="1" t="s">
        <v>77</v>
      </c>
      <c r="L1068" s="2" t="str">
        <f>IF(
    F1068&lt;&gt;"Đã ký",
    "Chưa triển khai",
    IF(
        IFERROR(VLOOKUP(B1068,TCH[[Code budget]:[Ngày kết thúc thi công theo kế hoạch]],10,0),0)&gt;0,
        VLOOKUP(B1068,TCH[[Code budget]:[Ngày kết thúc thi công theo kế hoạch]],10,0),
        IFERROR(
            DATE(2026,VLOOKUP(B1068,'Plan 2026'!B:H,7,0),31),
            "Chưa triển khai"
        )
    )
)</f>
        <v>Chưa triển khai</v>
      </c>
      <c r="M1068" s="2" t="s">
        <v>6688</v>
      </c>
      <c r="N1068" s="2">
        <v>46357</v>
      </c>
      <c r="X1068" s="1" t="s">
        <v>2204</v>
      </c>
    </row>
    <row r="1069" spans="2:24" ht="11.25" hidden="1" customHeight="1" x14ac:dyDescent="0.25">
      <c r="B1069" s="1" t="s">
        <v>2380</v>
      </c>
      <c r="C1069" s="17" t="str">
        <f>IFERROR(LEFT(VLOOKUP(B1069,'For consider'!D:E,2,0),8),"Chưa có code")</f>
        <v>Chưa có code</v>
      </c>
      <c r="D1069" s="1" t="s">
        <v>20</v>
      </c>
      <c r="E1069" s="1" t="str">
        <f t="shared" si="1"/>
        <v>Waiting for open</v>
      </c>
      <c r="F1069" s="1" t="str">
        <f>IFERROR(VLOOKUP(B1069,'Plan 2026'!B:AC,28,0),"không có trong file network")</f>
        <v>Đã ký</v>
      </c>
      <c r="G1069" s="1" t="str">
        <f>IFERROR(IF(VLOOKUP(B1069,'TCH (append)'!C:P,14,0)="Completed","Hoàn thành thi công",
IF(VLOOKUP(B1069,'TCH (append)'!C:K,9,0)="Completed","Hoàn thành đấu thầu",
IF(VLOOKUP(B1069,'TCH (append)'!C:J,8,0)="Completed","Hoàn thành dự toán",
IF(VLOOKUP(B1069,'TCH (append)'!C:I,7,0)="Completed","Hoàn thành thiết kế",
"Chưa thiết kế")))),"Chưa có trong file PMO")</f>
        <v>Hoàn thành đấu thầu</v>
      </c>
      <c r="H1069" s="1" t="s">
        <v>2381</v>
      </c>
      <c r="I1069" s="1" t="s">
        <v>23</v>
      </c>
      <c r="J1069" s="1" t="s">
        <v>1611</v>
      </c>
      <c r="K1069" s="1" t="s">
        <v>1612</v>
      </c>
      <c r="L1069" s="2">
        <f>IF(
    F1069&lt;&gt;"Đã ký",
    "Chưa triển khai",
    IF(
        IFERROR(VLOOKUP(B1069,TCH[[Code budget]:[Ngày kết thúc thi công theo kế hoạch]],10,0),0)&gt;0,
        VLOOKUP(B1069,TCH[[Code budget]:[Ngày kết thúc thi công theo kế hoạch]],10,0),
        IFERROR(
            DATE(2026,VLOOKUP(B1069,'Plan 2026'!B:H,7,0),31),
            "Chưa triển khai"
        )
    )
)</f>
        <v>46158</v>
      </c>
      <c r="M1069" s="2" t="s">
        <v>6688</v>
      </c>
      <c r="N1069" s="2">
        <v>46082</v>
      </c>
      <c r="X1069" s="1" t="s">
        <v>2204</v>
      </c>
    </row>
    <row r="1070" spans="2:24" ht="11.25" hidden="1" customHeight="1" x14ac:dyDescent="0.25">
      <c r="B1070" s="1" t="s">
        <v>2382</v>
      </c>
      <c r="C1070" s="17" t="str">
        <f>IFERROR(LEFT(VLOOKUP(B1070,'For consider'!D:E,2,0),8),"Chưa có code")</f>
        <v>Chưa có code</v>
      </c>
      <c r="D1070" s="1" t="s">
        <v>20</v>
      </c>
      <c r="E1070" s="1" t="str">
        <f t="shared" si="1"/>
        <v>Chưa triển khai</v>
      </c>
      <c r="F1070" s="1" t="str">
        <f>IFERROR(VLOOKUP(B1070,'Plan 2026'!B:AC,28,0),"không có trong file network")</f>
        <v>Chưa có</v>
      </c>
      <c r="G1070" s="1" t="str">
        <f>IFERROR(IF(VLOOKUP(B1070,'TCH (append)'!C:P,14,0)="Completed","Hoàn thành thi công",
IF(VLOOKUP(B1070,'TCH (append)'!C:K,9,0)="Completed","Hoàn thành đấu thầu",
IF(VLOOKUP(B1070,'TCH (append)'!C:J,8,0)="Completed","Hoàn thành dự toán",
IF(VLOOKUP(B1070,'TCH (append)'!C:I,7,0)="Completed","Hoàn thành thiết kế",
"Chưa thiết kế")))),"Chưa có trong file PMO")</f>
        <v>Chưa có trong file PMO</v>
      </c>
      <c r="H1070" s="1" t="s">
        <v>2383</v>
      </c>
      <c r="I1070" s="1" t="s">
        <v>23</v>
      </c>
      <c r="J1070" s="1" t="s">
        <v>1611</v>
      </c>
      <c r="K1070" s="1" t="s">
        <v>1612</v>
      </c>
      <c r="L1070" s="2" t="str">
        <f>IF(
    F1070&lt;&gt;"Đã ký",
    "Chưa triển khai",
    IF(
        IFERROR(VLOOKUP(B1070,TCH[[Code budget]:[Ngày kết thúc thi công theo kế hoạch]],10,0),0)&gt;0,
        VLOOKUP(B1070,TCH[[Code budget]:[Ngày kết thúc thi công theo kế hoạch]],10,0),
        IFERROR(
            DATE(2026,VLOOKUP(B1070,'Plan 2026'!B:H,7,0),31),
            "Chưa triển khai"
        )
    )
)</f>
        <v>Chưa triển khai</v>
      </c>
      <c r="M1070" s="2" t="s">
        <v>6688</v>
      </c>
      <c r="N1070" s="2">
        <v>46266</v>
      </c>
      <c r="X1070" s="1" t="s">
        <v>2204</v>
      </c>
    </row>
    <row r="1071" spans="2:24" ht="11.25" hidden="1" customHeight="1" x14ac:dyDescent="0.25">
      <c r="B1071" s="1" t="s">
        <v>2384</v>
      </c>
      <c r="C1071" s="17" t="str">
        <f>IFERROR(LEFT(VLOOKUP(B1071,'For consider'!D:E,2,0),8),"Chưa có code")</f>
        <v>Chưa có code</v>
      </c>
      <c r="D1071" s="1" t="s">
        <v>20</v>
      </c>
      <c r="E1071" s="1" t="str">
        <f t="shared" si="1"/>
        <v>Chưa triển khai</v>
      </c>
      <c r="F1071" s="1" t="str">
        <f>IFERROR(VLOOKUP(B1071,'Plan 2026'!B:AC,28,0),"không có trong file network")</f>
        <v>Chưa có</v>
      </c>
      <c r="G1071" s="1" t="str">
        <f>IFERROR(IF(VLOOKUP(B1071,'TCH (append)'!C:P,14,0)="Completed","Hoàn thành thi công",
IF(VLOOKUP(B1071,'TCH (append)'!C:K,9,0)="Completed","Hoàn thành đấu thầu",
IF(VLOOKUP(B1071,'TCH (append)'!C:J,8,0)="Completed","Hoàn thành dự toán",
IF(VLOOKUP(B1071,'TCH (append)'!C:I,7,0)="Completed","Hoàn thành thiết kế",
"Chưa thiết kế")))),"Chưa có trong file PMO")</f>
        <v>Chưa có trong file PMO</v>
      </c>
      <c r="H1071" s="1" t="s">
        <v>2385</v>
      </c>
      <c r="I1071" s="1" t="s">
        <v>23</v>
      </c>
      <c r="J1071" s="1" t="s">
        <v>1611</v>
      </c>
      <c r="K1071" s="1" t="s">
        <v>1612</v>
      </c>
      <c r="L1071" s="2" t="str">
        <f>IF(
    F1071&lt;&gt;"Đã ký",
    "Chưa triển khai",
    IF(
        IFERROR(VLOOKUP(B1071,TCH[[Code budget]:[Ngày kết thúc thi công theo kế hoạch]],10,0),0)&gt;0,
        VLOOKUP(B1071,TCH[[Code budget]:[Ngày kết thúc thi công theo kế hoạch]],10,0),
        IFERROR(
            DATE(2026,VLOOKUP(B1071,'Plan 2026'!B:H,7,0),31),
            "Chưa triển khai"
        )
    )
)</f>
        <v>Chưa triển khai</v>
      </c>
      <c r="M1071" s="2" t="s">
        <v>6688</v>
      </c>
      <c r="N1071" s="2">
        <v>46357</v>
      </c>
      <c r="X1071" s="1" t="s">
        <v>2204</v>
      </c>
    </row>
    <row r="1072" spans="2:24" ht="11.25" hidden="1" customHeight="1" x14ac:dyDescent="0.25">
      <c r="B1072" s="1" t="s">
        <v>2386</v>
      </c>
      <c r="C1072" s="17" t="str">
        <f>IFERROR(LEFT(VLOOKUP(B1072,'For consider'!D:E,2,0),8),"Chưa có code")</f>
        <v>Chưa có code</v>
      </c>
      <c r="D1072" s="1" t="s">
        <v>348</v>
      </c>
      <c r="E1072" s="1" t="str">
        <f t="shared" si="1"/>
        <v>Chưa triển khai</v>
      </c>
      <c r="F1072" s="1" t="str">
        <f>IFERROR(VLOOKUP(B1072,'Plan 2026'!B:AC,28,0),"không có trong file network")</f>
        <v>không có trong file network</v>
      </c>
      <c r="G1072" s="1" t="str">
        <f>IFERROR(IF(VLOOKUP(B1072,'TCH (append)'!C:P,14,0)="Completed","Hoàn thành thi công",
IF(VLOOKUP(B1072,'TCH (append)'!C:K,9,0)="Completed","Hoàn thành đấu thầu",
IF(VLOOKUP(B1072,'TCH (append)'!C:J,8,0)="Completed","Hoàn thành dự toán",
IF(VLOOKUP(B1072,'TCH (append)'!C:I,7,0)="Completed","Hoàn thành thiết kế",
"Chưa thiết kế")))),"Chưa có trong file PMO")</f>
        <v>Chưa có trong file PMO</v>
      </c>
      <c r="H1072" s="1" t="s">
        <v>2387</v>
      </c>
      <c r="I1072" s="1" t="s">
        <v>350</v>
      </c>
      <c r="J1072" s="1" t="s">
        <v>183</v>
      </c>
      <c r="K1072" s="1" t="s">
        <v>184</v>
      </c>
      <c r="L1072" s="2" t="str">
        <f>IF(
    F1072&lt;&gt;"Đã ký",
    "Chưa triển khai",
    IF(
        IFERROR(VLOOKUP(B1072,TCH[[Code budget]:[Ngày kết thúc thi công theo kế hoạch]],10,0),0)&gt;0,
        VLOOKUP(B1072,TCH[[Code budget]:[Ngày kết thúc thi công theo kế hoạch]],10,0),
        IFERROR(
            DATE(2026,VLOOKUP(B1072,'Plan 2026'!B:H,7,0),31),
            "Chưa triển khai"
        )
    )
)</f>
        <v>Chưa triển khai</v>
      </c>
      <c r="M1072" s="2" t="s">
        <v>6688</v>
      </c>
      <c r="N1072" s="2">
        <v>46174</v>
      </c>
      <c r="X1072" s="1" t="s">
        <v>2204</v>
      </c>
    </row>
    <row r="1073" spans="2:24" ht="11.25" hidden="1" customHeight="1" x14ac:dyDescent="0.25">
      <c r="B1073" s="1" t="s">
        <v>2388</v>
      </c>
      <c r="C1073" s="17" t="str">
        <f>IFERROR(LEFT(VLOOKUP(B1073,'For consider'!D:E,2,0),8),"Chưa có code")</f>
        <v>Chưa có code</v>
      </c>
      <c r="D1073" s="1" t="s">
        <v>20</v>
      </c>
      <c r="E1073" s="1" t="str">
        <f t="shared" si="1"/>
        <v>Chưa triển khai</v>
      </c>
      <c r="F1073" s="1" t="str">
        <f>IFERROR(VLOOKUP(B1073,'Plan 2026'!B:AC,28,0),"không có trong file network")</f>
        <v>Chưa có</v>
      </c>
      <c r="G1073" s="1" t="str">
        <f>IFERROR(IF(VLOOKUP(B1073,'TCH (append)'!C:P,14,0)="Completed","Hoàn thành thi công",
IF(VLOOKUP(B1073,'TCH (append)'!C:K,9,0)="Completed","Hoàn thành đấu thầu",
IF(VLOOKUP(B1073,'TCH (append)'!C:J,8,0)="Completed","Hoàn thành dự toán",
IF(VLOOKUP(B1073,'TCH (append)'!C:I,7,0)="Completed","Hoàn thành thiết kế",
"Chưa thiết kế")))),"Chưa có trong file PMO")</f>
        <v>Chưa có trong file PMO</v>
      </c>
      <c r="H1073" s="1" t="s">
        <v>2389</v>
      </c>
      <c r="I1073" s="1" t="s">
        <v>23</v>
      </c>
      <c r="J1073" s="1" t="s">
        <v>183</v>
      </c>
      <c r="K1073" s="1" t="s">
        <v>184</v>
      </c>
      <c r="L1073" s="2" t="str">
        <f>IF(
    F1073&lt;&gt;"Đã ký",
    "Chưa triển khai",
    IF(
        IFERROR(VLOOKUP(B1073,TCH[[Code budget]:[Ngày kết thúc thi công theo kế hoạch]],10,0),0)&gt;0,
        VLOOKUP(B1073,TCH[[Code budget]:[Ngày kết thúc thi công theo kế hoạch]],10,0),
        IFERROR(
            DATE(2026,VLOOKUP(B1073,'Plan 2026'!B:H,7,0),31),
            "Chưa triển khai"
        )
    )
)</f>
        <v>Chưa triển khai</v>
      </c>
      <c r="M1073" s="2" t="s">
        <v>6688</v>
      </c>
      <c r="N1073" s="2">
        <v>46174</v>
      </c>
      <c r="X1073" s="1" t="s">
        <v>2204</v>
      </c>
    </row>
    <row r="1074" spans="2:24" ht="11.25" hidden="1" customHeight="1" x14ac:dyDescent="0.25">
      <c r="B1074" s="1" t="s">
        <v>2390</v>
      </c>
      <c r="C1074" s="17" t="str">
        <f>IFERROR(LEFT(VLOOKUP(B1074,'For consider'!D:E,2,0),8),"Chưa có code")</f>
        <v>Chưa có code</v>
      </c>
      <c r="D1074" s="1" t="s">
        <v>20</v>
      </c>
      <c r="E1074" s="1" t="str">
        <f t="shared" si="1"/>
        <v>Chưa triển khai</v>
      </c>
      <c r="F1074" s="1" t="str">
        <f>IFERROR(VLOOKUP(B1074,'Plan 2026'!B:AC,28,0),"không có trong file network")</f>
        <v>Reject</v>
      </c>
      <c r="G1074" s="1" t="str">
        <f>IFERROR(IF(VLOOKUP(B1074,'TCH (append)'!C:P,14,0)="Completed","Hoàn thành thi công",
IF(VLOOKUP(B1074,'TCH (append)'!C:K,9,0)="Completed","Hoàn thành đấu thầu",
IF(VLOOKUP(B1074,'TCH (append)'!C:J,8,0)="Completed","Hoàn thành dự toán",
IF(VLOOKUP(B1074,'TCH (append)'!C:I,7,0)="Completed","Hoàn thành thiết kế",
"Chưa thiết kế")))),"Chưa có trong file PMO")</f>
        <v>Chưa có trong file PMO</v>
      </c>
      <c r="H1074" s="1" t="s">
        <v>2391</v>
      </c>
      <c r="I1074" s="1" t="s">
        <v>23</v>
      </c>
      <c r="J1074" s="1" t="s">
        <v>183</v>
      </c>
      <c r="K1074" s="1" t="s">
        <v>184</v>
      </c>
      <c r="L1074" s="2" t="str">
        <f>IF(
    F1074&lt;&gt;"Đã ký",
    "Chưa triển khai",
    IF(
        IFERROR(VLOOKUP(B1074,TCH[[Code budget]:[Ngày kết thúc thi công theo kế hoạch]],10,0),0)&gt;0,
        VLOOKUP(B1074,TCH[[Code budget]:[Ngày kết thúc thi công theo kế hoạch]],10,0),
        IFERROR(
            DATE(2026,VLOOKUP(B1074,'Plan 2026'!B:H,7,0),31),
            "Chưa triển khai"
        )
    )
)</f>
        <v>Chưa triển khai</v>
      </c>
      <c r="M1074" s="2" t="s">
        <v>6688</v>
      </c>
      <c r="N1074" s="2">
        <v>46296</v>
      </c>
      <c r="X1074" s="1" t="s">
        <v>2204</v>
      </c>
    </row>
    <row r="1075" spans="2:24" ht="11.25" hidden="1" customHeight="1" x14ac:dyDescent="0.25">
      <c r="B1075" s="1" t="s">
        <v>2392</v>
      </c>
      <c r="C1075" s="17" t="str">
        <f>IFERROR(LEFT(VLOOKUP(B1075,'For consider'!D:E,2,0),8),"Chưa có code")</f>
        <v>Chưa có code</v>
      </c>
      <c r="D1075" s="1" t="s">
        <v>20</v>
      </c>
      <c r="E1075" s="1" t="str">
        <f t="shared" si="1"/>
        <v>Chưa triển khai</v>
      </c>
      <c r="F1075" s="1" t="str">
        <f>IFERROR(VLOOKUP(B1075,'Plan 2026'!B:AC,28,0),"không có trong file network")</f>
        <v>Chưa có</v>
      </c>
      <c r="G1075" s="1" t="str">
        <f>IFERROR(IF(VLOOKUP(B1075,'TCH (append)'!C:P,14,0)="Completed","Hoàn thành thi công",
IF(VLOOKUP(B1075,'TCH (append)'!C:K,9,0)="Completed","Hoàn thành đấu thầu",
IF(VLOOKUP(B1075,'TCH (append)'!C:J,8,0)="Completed","Hoàn thành dự toán",
IF(VLOOKUP(B1075,'TCH (append)'!C:I,7,0)="Completed","Hoàn thành thiết kế",
"Chưa thiết kế")))),"Chưa có trong file PMO")</f>
        <v>Chưa có trong file PMO</v>
      </c>
      <c r="H1075" s="1" t="s">
        <v>2393</v>
      </c>
      <c r="I1075" s="1" t="s">
        <v>23</v>
      </c>
      <c r="J1075" s="1" t="s">
        <v>112</v>
      </c>
      <c r="K1075" s="1" t="s">
        <v>113</v>
      </c>
      <c r="L1075" s="2" t="str">
        <f>IF(
    F1075&lt;&gt;"Đã ký",
    "Chưa triển khai",
    IF(
        IFERROR(VLOOKUP(B1075,TCH[[Code budget]:[Ngày kết thúc thi công theo kế hoạch]],10,0),0)&gt;0,
        VLOOKUP(B1075,TCH[[Code budget]:[Ngày kết thúc thi công theo kế hoạch]],10,0),
        IFERROR(
            DATE(2026,VLOOKUP(B1075,'Plan 2026'!B:H,7,0),31),
            "Chưa triển khai"
        )
    )
)</f>
        <v>Chưa triển khai</v>
      </c>
      <c r="M1075" s="2" t="s">
        <v>6688</v>
      </c>
      <c r="N1075" s="2">
        <v>46143</v>
      </c>
      <c r="X1075" s="1" t="s">
        <v>2204</v>
      </c>
    </row>
    <row r="1076" spans="2:24" ht="11.25" hidden="1" customHeight="1" x14ac:dyDescent="0.25">
      <c r="B1076" s="1" t="s">
        <v>2394</v>
      </c>
      <c r="C1076" s="17" t="str">
        <f>IFERROR(LEFT(VLOOKUP(B1076,'For consider'!D:E,2,0),8),"Chưa có code")</f>
        <v>Chưa có code</v>
      </c>
      <c r="D1076" s="1" t="s">
        <v>20</v>
      </c>
      <c r="E1076" s="1" t="str">
        <f t="shared" si="1"/>
        <v>Chưa triển khai</v>
      </c>
      <c r="F1076" s="1" t="str">
        <f>IFERROR(VLOOKUP(B1076,'Plan 2026'!B:AC,28,0),"không có trong file network")</f>
        <v>Chưa có</v>
      </c>
      <c r="G1076" s="1" t="str">
        <f>IFERROR(IF(VLOOKUP(B1076,'TCH (append)'!C:P,14,0)="Completed","Hoàn thành thi công",
IF(VLOOKUP(B1076,'TCH (append)'!C:K,9,0)="Completed","Hoàn thành đấu thầu",
IF(VLOOKUP(B1076,'TCH (append)'!C:J,8,0)="Completed","Hoàn thành dự toán",
IF(VLOOKUP(B1076,'TCH (append)'!C:I,7,0)="Completed","Hoàn thành thiết kế",
"Chưa thiết kế")))),"Chưa có trong file PMO")</f>
        <v>Chưa có trong file PMO</v>
      </c>
      <c r="H1076" s="1" t="s">
        <v>2395</v>
      </c>
      <c r="I1076" s="1" t="s">
        <v>23</v>
      </c>
      <c r="J1076" s="1" t="s">
        <v>112</v>
      </c>
      <c r="K1076" s="1" t="s">
        <v>113</v>
      </c>
      <c r="L1076" s="2" t="str">
        <f>IF(
    F1076&lt;&gt;"Đã ký",
    "Chưa triển khai",
    IF(
        IFERROR(VLOOKUP(B1076,TCH[[Code budget]:[Ngày kết thúc thi công theo kế hoạch]],10,0),0)&gt;0,
        VLOOKUP(B1076,TCH[[Code budget]:[Ngày kết thúc thi công theo kế hoạch]],10,0),
        IFERROR(
            DATE(2026,VLOOKUP(B1076,'Plan 2026'!B:H,7,0),31),
            "Chưa triển khai"
        )
    )
)</f>
        <v>Chưa triển khai</v>
      </c>
      <c r="M1076" s="2" t="s">
        <v>6688</v>
      </c>
      <c r="N1076" s="2">
        <v>46296</v>
      </c>
      <c r="X1076" s="1" t="s">
        <v>2204</v>
      </c>
    </row>
    <row r="1077" spans="2:24" ht="11.25" hidden="1" customHeight="1" x14ac:dyDescent="0.25">
      <c r="B1077" s="1" t="s">
        <v>2396</v>
      </c>
      <c r="C1077" s="17" t="str">
        <f>IFERROR(LEFT(VLOOKUP(B1077,'For consider'!D:E,2,0),8),"Chưa có code")</f>
        <v>Chưa có code</v>
      </c>
      <c r="D1077" s="1" t="s">
        <v>20</v>
      </c>
      <c r="E1077" s="1" t="str">
        <f t="shared" si="1"/>
        <v>Chưa triển khai</v>
      </c>
      <c r="F1077" s="1" t="str">
        <f>IFERROR(VLOOKUP(B1077,'Plan 2026'!B:AC,28,0),"không có trong file network")</f>
        <v>Chưa có</v>
      </c>
      <c r="G1077" s="1" t="str">
        <f>IFERROR(IF(VLOOKUP(B1077,'TCH (append)'!C:P,14,0)="Completed","Hoàn thành thi công",
IF(VLOOKUP(B1077,'TCH (append)'!C:K,9,0)="Completed","Hoàn thành đấu thầu",
IF(VLOOKUP(B1077,'TCH (append)'!C:J,8,0)="Completed","Hoàn thành dự toán",
IF(VLOOKUP(B1077,'TCH (append)'!C:I,7,0)="Completed","Hoàn thành thiết kế",
"Chưa thiết kế")))),"Chưa có trong file PMO")</f>
        <v>Chưa có trong file PMO</v>
      </c>
      <c r="H1077" s="1" t="s">
        <v>2397</v>
      </c>
      <c r="I1077" s="1" t="s">
        <v>23</v>
      </c>
      <c r="J1077" s="1" t="s">
        <v>112</v>
      </c>
      <c r="K1077" s="1" t="s">
        <v>113</v>
      </c>
      <c r="L1077" s="2" t="str">
        <f>IF(
    F1077&lt;&gt;"Đã ký",
    "Chưa triển khai",
    IF(
        IFERROR(VLOOKUP(B1077,TCH[[Code budget]:[Ngày kết thúc thi công theo kế hoạch]],10,0),0)&gt;0,
        VLOOKUP(B1077,TCH[[Code budget]:[Ngày kết thúc thi công theo kế hoạch]],10,0),
        IFERROR(
            DATE(2026,VLOOKUP(B1077,'Plan 2026'!B:H,7,0),31),
            "Chưa triển khai"
        )
    )
)</f>
        <v>Chưa triển khai</v>
      </c>
      <c r="M1077" s="2" t="s">
        <v>6688</v>
      </c>
      <c r="N1077" s="2">
        <v>46143</v>
      </c>
      <c r="X1077" s="1" t="s">
        <v>2204</v>
      </c>
    </row>
    <row r="1078" spans="2:24" ht="11.25" hidden="1" customHeight="1" x14ac:dyDescent="0.25">
      <c r="B1078" s="1" t="s">
        <v>2398</v>
      </c>
      <c r="C1078" s="17" t="str">
        <f>IFERROR(LEFT(VLOOKUP(B1078,'For consider'!D:E,2,0),8),"Chưa có code")</f>
        <v>Chưa có code</v>
      </c>
      <c r="D1078" s="1" t="s">
        <v>348</v>
      </c>
      <c r="E1078" s="1" t="str">
        <f t="shared" si="1"/>
        <v>Chưa triển khai</v>
      </c>
      <c r="F1078" s="1" t="str">
        <f>IFERROR(VLOOKUP(B1078,'Plan 2026'!B:AC,28,0),"không có trong file network")</f>
        <v>Chưa có</v>
      </c>
      <c r="G1078" s="1" t="str">
        <f>IFERROR(IF(VLOOKUP(B1078,'TCH (append)'!C:P,14,0)="Completed","Hoàn thành thi công",
IF(VLOOKUP(B1078,'TCH (append)'!C:K,9,0)="Completed","Hoàn thành đấu thầu",
IF(VLOOKUP(B1078,'TCH (append)'!C:J,8,0)="Completed","Hoàn thành dự toán",
IF(VLOOKUP(B1078,'TCH (append)'!C:I,7,0)="Completed","Hoàn thành thiết kế",
"Chưa thiết kế")))),"Chưa có trong file PMO")</f>
        <v>Chưa có trong file PMO</v>
      </c>
      <c r="H1078" s="1" t="s">
        <v>2399</v>
      </c>
      <c r="I1078" s="1" t="s">
        <v>350</v>
      </c>
      <c r="J1078" s="1" t="s">
        <v>112</v>
      </c>
      <c r="K1078" s="1" t="s">
        <v>113</v>
      </c>
      <c r="L1078" s="2" t="str">
        <f>IF(
    F1078&lt;&gt;"Đã ký",
    "Chưa triển khai",
    IF(
        IFERROR(VLOOKUP(B1078,TCH[[Code budget]:[Ngày kết thúc thi công theo kế hoạch]],10,0),0)&gt;0,
        VLOOKUP(B1078,TCH[[Code budget]:[Ngày kết thúc thi công theo kế hoạch]],10,0),
        IFERROR(
            DATE(2026,VLOOKUP(B1078,'Plan 2026'!B:H,7,0),31),
            "Chưa triển khai"
        )
    )
)</f>
        <v>Chưa triển khai</v>
      </c>
      <c r="M1078" s="2" t="s">
        <v>6688</v>
      </c>
      <c r="N1078" s="2">
        <v>46235</v>
      </c>
      <c r="X1078" s="1" t="s">
        <v>2204</v>
      </c>
    </row>
    <row r="1079" spans="2:24" ht="11.25" hidden="1" customHeight="1" x14ac:dyDescent="0.25">
      <c r="B1079" s="1" t="s">
        <v>2400</v>
      </c>
      <c r="C1079" s="17" t="str">
        <f>IFERROR(LEFT(VLOOKUP(B1079,'For consider'!D:E,2,0),8),"Chưa có code")</f>
        <v>Chưa có code</v>
      </c>
      <c r="D1079" s="1" t="s">
        <v>348</v>
      </c>
      <c r="E1079" s="1" t="str">
        <f t="shared" si="1"/>
        <v>Chưa triển khai</v>
      </c>
      <c r="F1079" s="1" t="str">
        <f>IFERROR(VLOOKUP(B1079,'Plan 2026'!B:AC,28,0),"không có trong file network")</f>
        <v>Chưa có</v>
      </c>
      <c r="G1079" s="1" t="str">
        <f>IFERROR(IF(VLOOKUP(B1079,'TCH (append)'!C:P,14,0)="Completed","Hoàn thành thi công",
IF(VLOOKUP(B1079,'TCH (append)'!C:K,9,0)="Completed","Hoàn thành đấu thầu",
IF(VLOOKUP(B1079,'TCH (append)'!C:J,8,0)="Completed","Hoàn thành dự toán",
IF(VLOOKUP(B1079,'TCH (append)'!C:I,7,0)="Completed","Hoàn thành thiết kế",
"Chưa thiết kế")))),"Chưa có trong file PMO")</f>
        <v>Chưa có trong file PMO</v>
      </c>
      <c r="H1079" s="1" t="s">
        <v>2401</v>
      </c>
      <c r="I1079" s="1" t="s">
        <v>350</v>
      </c>
      <c r="J1079" s="1" t="s">
        <v>112</v>
      </c>
      <c r="K1079" s="1" t="s">
        <v>113</v>
      </c>
      <c r="L1079" s="2" t="str">
        <f>IF(
    F1079&lt;&gt;"Đã ký",
    "Chưa triển khai",
    IF(
        IFERROR(VLOOKUP(B1079,TCH[[Code budget]:[Ngày kết thúc thi công theo kế hoạch]],10,0),0)&gt;0,
        VLOOKUP(B1079,TCH[[Code budget]:[Ngày kết thúc thi công theo kế hoạch]],10,0),
        IFERROR(
            DATE(2026,VLOOKUP(B1079,'Plan 2026'!B:H,7,0),31),
            "Chưa triển khai"
        )
    )
)</f>
        <v>Chưa triển khai</v>
      </c>
      <c r="M1079" s="2" t="s">
        <v>6688</v>
      </c>
      <c r="N1079" s="2">
        <v>46143</v>
      </c>
      <c r="X1079" s="1" t="s">
        <v>2204</v>
      </c>
    </row>
    <row r="1080" spans="2:24" ht="11.25" hidden="1" customHeight="1" x14ac:dyDescent="0.25">
      <c r="B1080" s="1" t="s">
        <v>2402</v>
      </c>
      <c r="C1080" s="17" t="str">
        <f>IFERROR(LEFT(VLOOKUP(B1080,'For consider'!D:E,2,0),8),"Chưa có code")</f>
        <v>30MW5003</v>
      </c>
      <c r="D1080" s="1" t="s">
        <v>348</v>
      </c>
      <c r="E1080" s="1" t="str">
        <f t="shared" si="1"/>
        <v>Waiting for open</v>
      </c>
      <c r="F1080" s="1" t="str">
        <f>IFERROR(VLOOKUP(B1080,'Plan 2026'!B:AC,28,0),"không có trong file network")</f>
        <v>Đã ký</v>
      </c>
      <c r="G1080" s="1" t="str">
        <f>IFERROR(IF(VLOOKUP(B1080,'TCH (append)'!C:P,14,0)="Completed","Hoàn thành thi công",
IF(VLOOKUP(B1080,'TCH (append)'!C:K,9,0)="Completed","Hoàn thành đấu thầu",
IF(VLOOKUP(B1080,'TCH (append)'!C:J,8,0)="Completed","Hoàn thành dự toán",
IF(VLOOKUP(B1080,'TCH (append)'!C:I,7,0)="Completed","Hoàn thành thiết kế",
"Chưa thiết kế")))),"Chưa có trong file PMO")</f>
        <v>Hoàn thành đấu thầu</v>
      </c>
      <c r="H1080" s="1" t="s">
        <v>2403</v>
      </c>
      <c r="I1080" s="1" t="s">
        <v>2244</v>
      </c>
      <c r="J1080" s="1" t="s">
        <v>112</v>
      </c>
      <c r="K1080" s="1" t="s">
        <v>113</v>
      </c>
      <c r="L1080" s="2">
        <f>IF(
    F1080&lt;&gt;"Đã ký",
    "Chưa triển khai",
    IF(
        IFERROR(VLOOKUP(B1080,TCH[[Code budget]:[Ngày kết thúc thi công theo kế hoạch]],10,0),0)&gt;0,
        VLOOKUP(B1080,TCH[[Code budget]:[Ngày kết thúc thi công theo kế hoạch]],10,0),
        IFERROR(
            DATE(2026,VLOOKUP(B1080,'Plan 2026'!B:H,7,0),31),
            "Chưa triển khai"
        )
    )
)</f>
        <v>46139</v>
      </c>
      <c r="M1080" s="2" t="s">
        <v>6688</v>
      </c>
      <c r="N1080" s="2">
        <v>46143</v>
      </c>
      <c r="X1080" s="1" t="s">
        <v>2204</v>
      </c>
    </row>
    <row r="1081" spans="2:24" ht="11.25" hidden="1" customHeight="1" x14ac:dyDescent="0.25">
      <c r="B1081" s="1" t="s">
        <v>2404</v>
      </c>
      <c r="C1081" s="17" t="str">
        <f>IFERROR(LEFT(VLOOKUP(B1081,'For consider'!D:E,2,0),8),"Chưa có code")</f>
        <v>10MW5041</v>
      </c>
      <c r="D1081" s="1" t="s">
        <v>20</v>
      </c>
      <c r="E1081" s="1" t="str">
        <f t="shared" si="1"/>
        <v>Waiting for open</v>
      </c>
      <c r="F1081" s="1" t="str">
        <f>IFERROR(VLOOKUP(B1081,'Plan 2026'!B:AC,28,0),"không có trong file network")</f>
        <v>Đã ký</v>
      </c>
      <c r="G1081" s="1" t="str">
        <f>IFERROR(IF(VLOOKUP(B1081,'TCH (append)'!C:P,14,0)="Completed","Hoàn thành thi công",
IF(VLOOKUP(B1081,'TCH (append)'!C:K,9,0)="Completed","Hoàn thành đấu thầu",
IF(VLOOKUP(B1081,'TCH (append)'!C:J,8,0)="Completed","Hoàn thành dự toán",
IF(VLOOKUP(B1081,'TCH (append)'!C:I,7,0)="Completed","Hoàn thành thiết kế",
"Chưa thiết kế")))),"Chưa có trong file PMO")</f>
        <v>Chưa thiết kế</v>
      </c>
      <c r="H1081" s="1" t="s">
        <v>2405</v>
      </c>
      <c r="I1081" s="1" t="s">
        <v>2241</v>
      </c>
      <c r="J1081" s="1" t="s">
        <v>112</v>
      </c>
      <c r="K1081" s="1" t="s">
        <v>113</v>
      </c>
      <c r="L1081" s="2">
        <f>IF(
    F1081&lt;&gt;"Đã ký",
    "Chưa triển khai",
    IF(
        IFERROR(VLOOKUP(B1081,TCH[[Code budget]:[Ngày kết thúc thi công theo kế hoạch]],10,0),0)&gt;0,
        VLOOKUP(B1081,TCH[[Code budget]:[Ngày kết thúc thi công theo kế hoạch]],10,0),
        IFERROR(
            DATE(2026,VLOOKUP(B1081,'Plan 2026'!B:H,7,0),31),
            "Chưa triển khai"
        )
    )
)</f>
        <v>46244</v>
      </c>
      <c r="M1081" s="2" t="s">
        <v>6688</v>
      </c>
      <c r="N1081" s="2">
        <v>46296</v>
      </c>
      <c r="X1081" s="1" t="s">
        <v>2204</v>
      </c>
    </row>
    <row r="1082" spans="2:24" ht="11.25" hidden="1" customHeight="1" x14ac:dyDescent="0.25">
      <c r="B1082" s="1" t="s">
        <v>2406</v>
      </c>
      <c r="C1082" s="17" t="str">
        <f>IFERROR(LEFT(VLOOKUP(B1082,'For consider'!D:E,2,0),8),"Chưa có code")</f>
        <v>Chưa có code</v>
      </c>
      <c r="D1082" s="1" t="s">
        <v>348</v>
      </c>
      <c r="E1082" s="1" t="str">
        <f t="shared" si="1"/>
        <v>Chưa triển khai</v>
      </c>
      <c r="F1082" s="1" t="str">
        <f>IFERROR(VLOOKUP(B1082,'Plan 2026'!B:AC,28,0),"không có trong file network")</f>
        <v>không có trong file network</v>
      </c>
      <c r="G1082" s="1" t="str">
        <f>IFERROR(IF(VLOOKUP(B1082,'TCH (append)'!C:P,14,0)="Completed","Hoàn thành thi công",
IF(VLOOKUP(B1082,'TCH (append)'!C:K,9,0)="Completed","Hoàn thành đấu thầu",
IF(VLOOKUP(B1082,'TCH (append)'!C:J,8,0)="Completed","Hoàn thành dự toán",
IF(VLOOKUP(B1082,'TCH (append)'!C:I,7,0)="Completed","Hoàn thành thiết kế",
"Chưa thiết kế")))),"Chưa có trong file PMO")</f>
        <v>Chưa có trong file PMO</v>
      </c>
      <c r="H1082" s="1" t="s">
        <v>2407</v>
      </c>
      <c r="I1082" s="1" t="s">
        <v>350</v>
      </c>
      <c r="J1082" s="1" t="s">
        <v>112</v>
      </c>
      <c r="K1082" s="1" t="s">
        <v>113</v>
      </c>
      <c r="L1082" s="2" t="str">
        <f>IF(
    F1082&lt;&gt;"Đã ký",
    "Chưa triển khai",
    IF(
        IFERROR(VLOOKUP(B1082,TCH[[Code budget]:[Ngày kết thúc thi công theo kế hoạch]],10,0),0)&gt;0,
        VLOOKUP(B1082,TCH[[Code budget]:[Ngày kết thúc thi công theo kế hoạch]],10,0),
        IFERROR(
            DATE(2026,VLOOKUP(B1082,'Plan 2026'!B:H,7,0),31),
            "Chưa triển khai"
        )
    )
)</f>
        <v>Chưa triển khai</v>
      </c>
      <c r="M1082" s="2" t="s">
        <v>6688</v>
      </c>
      <c r="N1082" s="2">
        <v>46143</v>
      </c>
      <c r="X1082" s="1" t="s">
        <v>2204</v>
      </c>
    </row>
    <row r="1083" spans="2:24" ht="11.25" hidden="1" customHeight="1" x14ac:dyDescent="0.25">
      <c r="B1083" s="1" t="s">
        <v>2408</v>
      </c>
      <c r="C1083" s="17" t="str">
        <f>IFERROR(LEFT(VLOOKUP(B1083,'For consider'!D:E,2,0),8),"Chưa có code")</f>
        <v>30MW5003</v>
      </c>
      <c r="D1083" s="1" t="s">
        <v>348</v>
      </c>
      <c r="E1083" s="1" t="str">
        <f t="shared" si="1"/>
        <v>Chưa triển khai</v>
      </c>
      <c r="F1083" s="1" t="str">
        <f>IFERROR(VLOOKUP(B1083,'Plan 2026'!B:AC,28,0),"không có trong file network")</f>
        <v>Chưa có</v>
      </c>
      <c r="G1083" s="1" t="str">
        <f>IFERROR(IF(VLOOKUP(B1083,'TCH (append)'!C:P,14,0)="Completed","Hoàn thành thi công",
IF(VLOOKUP(B1083,'TCH (append)'!C:K,9,0)="Completed","Hoàn thành đấu thầu",
IF(VLOOKUP(B1083,'TCH (append)'!C:J,8,0)="Completed","Hoàn thành dự toán",
IF(VLOOKUP(B1083,'TCH (append)'!C:I,7,0)="Completed","Hoàn thành thiết kế",
"Chưa thiết kế")))),"Chưa có trong file PMO")</f>
        <v>Chưa có trong file PMO</v>
      </c>
      <c r="H1083" s="1" t="s">
        <v>2409</v>
      </c>
      <c r="I1083" s="1" t="s">
        <v>2244</v>
      </c>
      <c r="J1083" s="1" t="s">
        <v>112</v>
      </c>
      <c r="K1083" s="1" t="s">
        <v>113</v>
      </c>
      <c r="L1083" s="2" t="str">
        <f>IF(
    F1083&lt;&gt;"Đã ký",
    "Chưa triển khai",
    IF(
        IFERROR(VLOOKUP(B1083,TCH[[Code budget]:[Ngày kết thúc thi công theo kế hoạch]],10,0),0)&gt;0,
        VLOOKUP(B1083,TCH[[Code budget]:[Ngày kết thúc thi công theo kế hoạch]],10,0),
        IFERROR(
            DATE(2026,VLOOKUP(B1083,'Plan 2026'!B:H,7,0),31),
            "Chưa triển khai"
        )
    )
)</f>
        <v>Chưa triển khai</v>
      </c>
      <c r="M1083" s="2" t="s">
        <v>6688</v>
      </c>
      <c r="N1083" s="2">
        <v>46296</v>
      </c>
      <c r="X1083" s="1" t="s">
        <v>2204</v>
      </c>
    </row>
    <row r="1084" spans="2:24" ht="11.25" hidden="1" customHeight="1" x14ac:dyDescent="0.25">
      <c r="B1084" s="1" t="s">
        <v>2410</v>
      </c>
      <c r="C1084" s="17" t="str">
        <f>IFERROR(LEFT(VLOOKUP(B1084,'For consider'!D:E,2,0),8),"Chưa có code")</f>
        <v>Chưa có code</v>
      </c>
      <c r="D1084" s="1" t="s">
        <v>20</v>
      </c>
      <c r="E1084" s="1" t="str">
        <f t="shared" si="1"/>
        <v>Chưa triển khai</v>
      </c>
      <c r="F1084" s="1" t="str">
        <f>IFERROR(VLOOKUP(B1084,'Plan 2026'!B:AC,28,0),"không có trong file network")</f>
        <v>không có trong file network</v>
      </c>
      <c r="G1084" s="1" t="str">
        <f>IFERROR(IF(VLOOKUP(B1084,'TCH (append)'!C:P,14,0)="Completed","Hoàn thành thi công",
IF(VLOOKUP(B1084,'TCH (append)'!C:K,9,0)="Completed","Hoàn thành đấu thầu",
IF(VLOOKUP(B1084,'TCH (append)'!C:J,8,0)="Completed","Hoàn thành dự toán",
IF(VLOOKUP(B1084,'TCH (append)'!C:I,7,0)="Completed","Hoàn thành thiết kế",
"Chưa thiết kế")))),"Chưa có trong file PMO")</f>
        <v>Chưa có trong file PMO</v>
      </c>
      <c r="H1084" s="1" t="s">
        <v>2411</v>
      </c>
      <c r="I1084" s="1" t="s">
        <v>23</v>
      </c>
      <c r="J1084" s="1" t="s">
        <v>112</v>
      </c>
      <c r="K1084" s="1" t="s">
        <v>113</v>
      </c>
      <c r="L1084" s="2" t="str">
        <f>IF(
    F1084&lt;&gt;"Đã ký",
    "Chưa triển khai",
    IF(
        IFERROR(VLOOKUP(B1084,TCH[[Code budget]:[Ngày kết thúc thi công theo kế hoạch]],10,0),0)&gt;0,
        VLOOKUP(B1084,TCH[[Code budget]:[Ngày kết thúc thi công theo kế hoạch]],10,0),
        IFERROR(
            DATE(2026,VLOOKUP(B1084,'Plan 2026'!B:H,7,0),31),
            "Chưa triển khai"
        )
    )
)</f>
        <v>Chưa triển khai</v>
      </c>
      <c r="M1084" s="2" t="s">
        <v>6688</v>
      </c>
      <c r="N1084" s="2">
        <v>46296</v>
      </c>
      <c r="X1084" s="1" t="s">
        <v>2204</v>
      </c>
    </row>
    <row r="1085" spans="2:24" ht="11.25" hidden="1" customHeight="1" x14ac:dyDescent="0.25">
      <c r="B1085" s="1" t="s">
        <v>2412</v>
      </c>
      <c r="C1085" s="17" t="str">
        <f>IFERROR(LEFT(VLOOKUP(B1085,'For consider'!D:E,2,0),8),"Chưa có code")</f>
        <v>Chưa có code</v>
      </c>
      <c r="D1085" s="1" t="s">
        <v>20</v>
      </c>
      <c r="E1085" s="1" t="str">
        <f t="shared" si="1"/>
        <v>Chưa triển khai</v>
      </c>
      <c r="F1085" s="1" t="str">
        <f>IFERROR(VLOOKUP(B1085,'Plan 2026'!B:AC,28,0),"không có trong file network")</f>
        <v>không có trong file network</v>
      </c>
      <c r="G1085" s="1" t="str">
        <f>IFERROR(IF(VLOOKUP(B1085,'TCH (append)'!C:P,14,0)="Completed","Hoàn thành thi công",
IF(VLOOKUP(B1085,'TCH (append)'!C:K,9,0)="Completed","Hoàn thành đấu thầu",
IF(VLOOKUP(B1085,'TCH (append)'!C:J,8,0)="Completed","Hoàn thành dự toán",
IF(VLOOKUP(B1085,'TCH (append)'!C:I,7,0)="Completed","Hoàn thành thiết kế",
"Chưa thiết kế")))),"Chưa có trong file PMO")</f>
        <v>Chưa có trong file PMO</v>
      </c>
      <c r="H1085" s="1" t="s">
        <v>2413</v>
      </c>
      <c r="I1085" s="1" t="s">
        <v>23</v>
      </c>
      <c r="J1085" s="1" t="s">
        <v>112</v>
      </c>
      <c r="K1085" s="1" t="s">
        <v>113</v>
      </c>
      <c r="L1085" s="2" t="str">
        <f>IF(
    F1085&lt;&gt;"Đã ký",
    "Chưa triển khai",
    IF(
        IFERROR(VLOOKUP(B1085,TCH[[Code budget]:[Ngày kết thúc thi công theo kế hoạch]],10,0),0)&gt;0,
        VLOOKUP(B1085,TCH[[Code budget]:[Ngày kết thúc thi công theo kế hoạch]],10,0),
        IFERROR(
            DATE(2026,VLOOKUP(B1085,'Plan 2026'!B:H,7,0),31),
            "Chưa triển khai"
        )
    )
)</f>
        <v>Chưa triển khai</v>
      </c>
      <c r="M1085" s="2" t="s">
        <v>6688</v>
      </c>
      <c r="N1085" s="2">
        <v>46296</v>
      </c>
      <c r="X1085" s="1" t="s">
        <v>2204</v>
      </c>
    </row>
    <row r="1086" spans="2:24" ht="11.25" hidden="1" customHeight="1" x14ac:dyDescent="0.25">
      <c r="B1086" s="1" t="s">
        <v>2414</v>
      </c>
      <c r="C1086" s="17" t="str">
        <f>IFERROR(LEFT(VLOOKUP(B1086,'For consider'!D:E,2,0),8),"Chưa có code")</f>
        <v>Chưa có code</v>
      </c>
      <c r="D1086" s="1" t="s">
        <v>20</v>
      </c>
      <c r="E1086" s="1" t="str">
        <f t="shared" si="1"/>
        <v>Chưa triển khai</v>
      </c>
      <c r="F1086" s="1" t="str">
        <f>IFERROR(VLOOKUP(B1086,'Plan 2026'!B:AC,28,0),"không có trong file network")</f>
        <v>Chưa có</v>
      </c>
      <c r="G1086" s="1" t="str">
        <f>IFERROR(IF(VLOOKUP(B1086,'TCH (append)'!C:P,14,0)="Completed","Hoàn thành thi công",
IF(VLOOKUP(B1086,'TCH (append)'!C:K,9,0)="Completed","Hoàn thành đấu thầu",
IF(VLOOKUP(B1086,'TCH (append)'!C:J,8,0)="Completed","Hoàn thành dự toán",
IF(VLOOKUP(B1086,'TCH (append)'!C:I,7,0)="Completed","Hoàn thành thiết kế",
"Chưa thiết kế")))),"Chưa có trong file PMO")</f>
        <v>Chưa có trong file PMO</v>
      </c>
      <c r="H1086" s="1" t="s">
        <v>2280</v>
      </c>
      <c r="I1086" s="1" t="s">
        <v>23</v>
      </c>
      <c r="J1086" s="1" t="s">
        <v>1561</v>
      </c>
      <c r="K1086" s="1" t="s">
        <v>1562</v>
      </c>
      <c r="L1086" s="2" t="str">
        <f>IF(
    F1086&lt;&gt;"Đã ký",
    "Chưa triển khai",
    IF(
        IFERROR(VLOOKUP(B1086,TCH[[Code budget]:[Ngày kết thúc thi công theo kế hoạch]],10,0),0)&gt;0,
        VLOOKUP(B1086,TCH[[Code budget]:[Ngày kết thúc thi công theo kế hoạch]],10,0),
        IFERROR(
            DATE(2026,VLOOKUP(B1086,'Plan 2026'!B:H,7,0),31),
            "Chưa triển khai"
        )
    )
)</f>
        <v>Chưa triển khai</v>
      </c>
      <c r="M1086" s="2" t="s">
        <v>6688</v>
      </c>
      <c r="N1086" s="2">
        <v>46174</v>
      </c>
      <c r="X1086" s="1" t="s">
        <v>2204</v>
      </c>
    </row>
    <row r="1087" spans="2:24" ht="11.25" hidden="1" customHeight="1" x14ac:dyDescent="0.25">
      <c r="B1087" s="1" t="s">
        <v>2415</v>
      </c>
      <c r="C1087" s="17" t="str">
        <f>IFERROR(LEFT(VLOOKUP(B1087,'For consider'!D:E,2,0),8),"Chưa có code")</f>
        <v>Chưa có code</v>
      </c>
      <c r="D1087" s="1" t="s">
        <v>348</v>
      </c>
      <c r="E1087" s="1" t="str">
        <f t="shared" si="1"/>
        <v>Chưa triển khai</v>
      </c>
      <c r="F1087" s="1" t="str">
        <f>IFERROR(VLOOKUP(B1087,'Plan 2026'!B:AC,28,0),"không có trong file network")</f>
        <v>Chưa có</v>
      </c>
      <c r="G1087" s="1" t="str">
        <f>IFERROR(IF(VLOOKUP(B1087,'TCH (append)'!C:P,14,0)="Completed","Hoàn thành thi công",
IF(VLOOKUP(B1087,'TCH (append)'!C:K,9,0)="Completed","Hoàn thành đấu thầu",
IF(VLOOKUP(B1087,'TCH (append)'!C:J,8,0)="Completed","Hoàn thành dự toán",
IF(VLOOKUP(B1087,'TCH (append)'!C:I,7,0)="Completed","Hoàn thành thiết kế",
"Chưa thiết kế")))),"Chưa có trong file PMO")</f>
        <v>Chưa có trong file PMO</v>
      </c>
      <c r="H1087" s="1" t="s">
        <v>2416</v>
      </c>
      <c r="I1087" s="1" t="s">
        <v>350</v>
      </c>
      <c r="J1087" s="1" t="s">
        <v>1561</v>
      </c>
      <c r="K1087" s="1" t="s">
        <v>1562</v>
      </c>
      <c r="L1087" s="2" t="str">
        <f>IF(
    F1087&lt;&gt;"Đã ký",
    "Chưa triển khai",
    IF(
        IFERROR(VLOOKUP(B1087,TCH[[Code budget]:[Ngày kết thúc thi công theo kế hoạch]],10,0),0)&gt;0,
        VLOOKUP(B1087,TCH[[Code budget]:[Ngày kết thúc thi công theo kế hoạch]],10,0),
        IFERROR(
            DATE(2026,VLOOKUP(B1087,'Plan 2026'!B:H,7,0),31),
            "Chưa triển khai"
        )
    )
)</f>
        <v>Chưa triển khai</v>
      </c>
      <c r="M1087" s="2" t="s">
        <v>6688</v>
      </c>
      <c r="N1087" s="2">
        <v>46235</v>
      </c>
      <c r="X1087" s="1" t="s">
        <v>2204</v>
      </c>
    </row>
    <row r="1088" spans="2:24" ht="11.25" hidden="1" customHeight="1" x14ac:dyDescent="0.25">
      <c r="B1088" s="1" t="s">
        <v>2417</v>
      </c>
      <c r="C1088" s="17" t="str">
        <f>IFERROR(LEFT(VLOOKUP(B1088,'For consider'!D:E,2,0),8),"Chưa có code")</f>
        <v>10AS5029</v>
      </c>
      <c r="D1088" s="1" t="s">
        <v>20</v>
      </c>
      <c r="E1088" s="1" t="str">
        <f t="shared" si="1"/>
        <v>Chưa triển khai</v>
      </c>
      <c r="F1088" s="1" t="str">
        <f>IFERROR(VLOOKUP(B1088,'Plan 2026'!B:AC,28,0),"không có trong file network")</f>
        <v>Reject</v>
      </c>
      <c r="G1088" s="1" t="str">
        <f>IFERROR(IF(VLOOKUP(B1088,'TCH (append)'!C:P,14,0)="Completed","Hoàn thành thi công",
IF(VLOOKUP(B1088,'TCH (append)'!C:K,9,0)="Completed","Hoàn thành đấu thầu",
IF(VLOOKUP(B1088,'TCH (append)'!C:J,8,0)="Completed","Hoàn thành dự toán",
IF(VLOOKUP(B1088,'TCH (append)'!C:I,7,0)="Completed","Hoàn thành thiết kế",
"Chưa thiết kế")))),"Chưa có trong file PMO")</f>
        <v>Chưa thiết kế</v>
      </c>
      <c r="H1088" s="1" t="s">
        <v>2418</v>
      </c>
      <c r="I1088" s="1" t="s">
        <v>23</v>
      </c>
      <c r="J1088" s="1" t="s">
        <v>24</v>
      </c>
      <c r="K1088" s="1" t="s">
        <v>25</v>
      </c>
      <c r="L1088" s="2" t="str">
        <f>IF(
    F1088&lt;&gt;"Đã ký",
    "Chưa triển khai",
    IF(
        IFERROR(VLOOKUP(B1088,TCH[[Code budget]:[Ngày kết thúc thi công theo kế hoạch]],10,0),0)&gt;0,
        VLOOKUP(B1088,TCH[[Code budget]:[Ngày kết thúc thi công theo kế hoạch]],10,0),
        IFERROR(
            DATE(2026,VLOOKUP(B1088,'Plan 2026'!B:H,7,0),31),
            "Chưa triển khai"
        )
    )
)</f>
        <v>Chưa triển khai</v>
      </c>
      <c r="M1088" s="2" t="s">
        <v>6688</v>
      </c>
      <c r="N1088" s="2">
        <v>46143</v>
      </c>
      <c r="X1088" s="1" t="s">
        <v>2204</v>
      </c>
    </row>
    <row r="1089" spans="2:24" ht="11.25" hidden="1" customHeight="1" x14ac:dyDescent="0.25">
      <c r="B1089" s="1" t="s">
        <v>2419</v>
      </c>
      <c r="C1089" s="17" t="str">
        <f>IFERROR(LEFT(VLOOKUP(B1089,'For consider'!D:E,2,0),8),"Chưa có code")</f>
        <v>Chưa có code</v>
      </c>
      <c r="D1089" s="1" t="s">
        <v>348</v>
      </c>
      <c r="E1089" s="1" t="str">
        <f t="shared" si="1"/>
        <v>Chưa triển khai</v>
      </c>
      <c r="F1089" s="1" t="str">
        <f>IFERROR(VLOOKUP(B1089,'Plan 2026'!B:AC,28,0),"không có trong file network")</f>
        <v>không có trong file network</v>
      </c>
      <c r="G1089" s="1" t="str">
        <f>IFERROR(IF(VLOOKUP(B1089,'TCH (append)'!C:P,14,0)="Completed","Hoàn thành thi công",
IF(VLOOKUP(B1089,'TCH (append)'!C:K,9,0)="Completed","Hoàn thành đấu thầu",
IF(VLOOKUP(B1089,'TCH (append)'!C:J,8,0)="Completed","Hoàn thành dự toán",
IF(VLOOKUP(B1089,'TCH (append)'!C:I,7,0)="Completed","Hoàn thành thiết kế",
"Chưa thiết kế")))),"Chưa có trong file PMO")</f>
        <v>Chưa có trong file PMO</v>
      </c>
      <c r="H1089" s="1" t="s">
        <v>2420</v>
      </c>
      <c r="I1089" s="1" t="s">
        <v>350</v>
      </c>
      <c r="J1089" s="1" t="s">
        <v>24</v>
      </c>
      <c r="K1089" s="1" t="s">
        <v>25</v>
      </c>
      <c r="L1089" s="2" t="str">
        <f>IF(
    F1089&lt;&gt;"Đã ký",
    "Chưa triển khai",
    IF(
        IFERROR(VLOOKUP(B1089,TCH[[Code budget]:[Ngày kết thúc thi công theo kế hoạch]],10,0),0)&gt;0,
        VLOOKUP(B1089,TCH[[Code budget]:[Ngày kết thúc thi công theo kế hoạch]],10,0),
        IFERROR(
            DATE(2026,VLOOKUP(B1089,'Plan 2026'!B:H,7,0),31),
            "Chưa triển khai"
        )
    )
)</f>
        <v>Chưa triển khai</v>
      </c>
      <c r="M1089" s="2" t="s">
        <v>6688</v>
      </c>
      <c r="N1089" s="2">
        <v>46266</v>
      </c>
      <c r="X1089" s="1" t="s">
        <v>2204</v>
      </c>
    </row>
    <row r="1090" spans="2:24" ht="11.25" hidden="1" customHeight="1" x14ac:dyDescent="0.25">
      <c r="B1090" s="1" t="s">
        <v>2421</v>
      </c>
      <c r="C1090" s="17" t="str">
        <f>IFERROR(LEFT(VLOOKUP(B1090,'For consider'!D:E,2,0),8),"Chưa có code")</f>
        <v>Chưa có code</v>
      </c>
      <c r="D1090" s="1" t="s">
        <v>348</v>
      </c>
      <c r="E1090" s="1" t="str">
        <f t="shared" si="1"/>
        <v>Chưa triển khai</v>
      </c>
      <c r="F1090" s="1" t="str">
        <f>IFERROR(VLOOKUP(B1090,'Plan 2026'!B:AC,28,0),"không có trong file network")</f>
        <v>Không có</v>
      </c>
      <c r="G1090" s="1" t="str">
        <f>IFERROR(IF(VLOOKUP(B1090,'TCH (append)'!C:P,14,0)="Completed","Hoàn thành thi công",
IF(VLOOKUP(B1090,'TCH (append)'!C:K,9,0)="Completed","Hoàn thành đấu thầu",
IF(VLOOKUP(B1090,'TCH (append)'!C:J,8,0)="Completed","Hoàn thành dự toán",
IF(VLOOKUP(B1090,'TCH (append)'!C:I,7,0)="Completed","Hoàn thành thiết kế",
"Chưa thiết kế")))),"Chưa có trong file PMO")</f>
        <v>Chưa có trong file PMO</v>
      </c>
      <c r="H1090" s="1" t="s">
        <v>2422</v>
      </c>
      <c r="I1090" s="1" t="s">
        <v>350</v>
      </c>
      <c r="J1090" s="1" t="s">
        <v>24</v>
      </c>
      <c r="K1090" s="1" t="s">
        <v>25</v>
      </c>
      <c r="L1090" s="2" t="str">
        <f>IF(
    F1090&lt;&gt;"Đã ký",
    "Chưa triển khai",
    IF(
        IFERROR(VLOOKUP(B1090,TCH[[Code budget]:[Ngày kết thúc thi công theo kế hoạch]],10,0),0)&gt;0,
        VLOOKUP(B1090,TCH[[Code budget]:[Ngày kết thúc thi công theo kế hoạch]],10,0),
        IFERROR(
            DATE(2026,VLOOKUP(B1090,'Plan 2026'!B:H,7,0),31),
            "Chưa triển khai"
        )
    )
)</f>
        <v>Chưa triển khai</v>
      </c>
      <c r="M1090" s="2" t="s">
        <v>6688</v>
      </c>
      <c r="N1090" s="2">
        <v>46296</v>
      </c>
      <c r="X1090" s="1" t="s">
        <v>2204</v>
      </c>
    </row>
    <row r="1091" spans="2:24" ht="11.25" hidden="1" customHeight="1" x14ac:dyDescent="0.25">
      <c r="B1091" s="1" t="s">
        <v>2423</v>
      </c>
      <c r="C1091" s="17" t="str">
        <f>IFERROR(LEFT(VLOOKUP(B1091,'For consider'!D:E,2,0),8),"Chưa có code")</f>
        <v>Chưa có code</v>
      </c>
      <c r="D1091" s="1" t="s">
        <v>348</v>
      </c>
      <c r="E1091" s="1" t="str">
        <f t="shared" si="1"/>
        <v>Chưa triển khai</v>
      </c>
      <c r="F1091" s="1" t="str">
        <f>IFERROR(VLOOKUP(B1091,'Plan 2026'!B:AC,28,0),"không có trong file network")</f>
        <v>Đang offer</v>
      </c>
      <c r="G1091" s="1" t="str">
        <f>IFERROR(IF(VLOOKUP(B1091,'TCH (append)'!C:P,14,0)="Completed","Hoàn thành thi công",
IF(VLOOKUP(B1091,'TCH (append)'!C:K,9,0)="Completed","Hoàn thành đấu thầu",
IF(VLOOKUP(B1091,'TCH (append)'!C:J,8,0)="Completed","Hoàn thành dự toán",
IF(VLOOKUP(B1091,'TCH (append)'!C:I,7,0)="Completed","Hoàn thành thiết kế",
"Chưa thiết kế")))),"Chưa có trong file PMO")</f>
        <v>Chưa thiết kế</v>
      </c>
      <c r="H1091" s="1" t="s">
        <v>2424</v>
      </c>
      <c r="I1091" s="1" t="s">
        <v>350</v>
      </c>
      <c r="J1091" s="1" t="s">
        <v>24</v>
      </c>
      <c r="K1091" s="1" t="s">
        <v>25</v>
      </c>
      <c r="L1091" s="2" t="str">
        <f>IF(
    F1091&lt;&gt;"Đã ký",
    "Chưa triển khai",
    IF(
        IFERROR(VLOOKUP(B1091,TCH[[Code budget]:[Ngày kết thúc thi công theo kế hoạch]],10,0),0)&gt;0,
        VLOOKUP(B1091,TCH[[Code budget]:[Ngày kết thúc thi công theo kế hoạch]],10,0),
        IFERROR(
            DATE(2026,VLOOKUP(B1091,'Plan 2026'!B:H,7,0),31),
            "Chưa triển khai"
        )
    )
)</f>
        <v>Chưa triển khai</v>
      </c>
      <c r="M1091" s="2" t="s">
        <v>6688</v>
      </c>
      <c r="N1091" s="2">
        <v>46174</v>
      </c>
      <c r="X1091" s="1" t="s">
        <v>2204</v>
      </c>
    </row>
    <row r="1092" spans="2:24" ht="11.25" hidden="1" customHeight="1" x14ac:dyDescent="0.25">
      <c r="B1092" s="1" t="s">
        <v>2425</v>
      </c>
      <c r="C1092" s="17" t="str">
        <f>IFERROR(LEFT(VLOOKUP(B1092,'For consider'!D:E,2,0),8),"Chưa có code")</f>
        <v>10CK5028</v>
      </c>
      <c r="D1092" s="1" t="s">
        <v>20</v>
      </c>
      <c r="E1092" s="1" t="str">
        <f t="shared" si="1"/>
        <v>Waiting for open</v>
      </c>
      <c r="F1092" s="1" t="str">
        <f>IFERROR(VLOOKUP(B1092,'Plan 2026'!B:AC,28,0),"không có trong file network")</f>
        <v>Đã ký</v>
      </c>
      <c r="G1092" s="1" t="str">
        <f>IFERROR(IF(VLOOKUP(B1092,'TCH (append)'!C:P,14,0)="Completed","Hoàn thành thi công",
IF(VLOOKUP(B1092,'TCH (append)'!C:K,9,0)="Completed","Hoàn thành đấu thầu",
IF(VLOOKUP(B1092,'TCH (append)'!C:J,8,0)="Completed","Hoàn thành dự toán",
IF(VLOOKUP(B1092,'TCH (append)'!C:I,7,0)="Completed","Hoàn thành thiết kế",
"Chưa thiết kế")))),"Chưa có trong file PMO")</f>
        <v>Hoàn thành đấu thầu</v>
      </c>
      <c r="H1092" s="1" t="s">
        <v>2426</v>
      </c>
      <c r="I1092" s="1" t="s">
        <v>23</v>
      </c>
      <c r="J1092" s="1" t="s">
        <v>1319</v>
      </c>
      <c r="K1092" s="1" t="s">
        <v>1320</v>
      </c>
      <c r="L1092" s="2">
        <f>IF(
    F1092&lt;&gt;"Đã ký",
    "Chưa triển khai",
    IF(
        IFERROR(VLOOKUP(B1092,TCH[[Code budget]:[Ngày kết thúc thi công theo kế hoạch]],10,0),0)&gt;0,
        VLOOKUP(B1092,TCH[[Code budget]:[Ngày kết thúc thi công theo kế hoạch]],10,0),
        IFERROR(
            DATE(2026,VLOOKUP(B1092,'Plan 2026'!B:H,7,0),31),
            "Chưa triển khai"
        )
    )
)</f>
        <v>46167</v>
      </c>
      <c r="M1092" s="2" t="s">
        <v>6688</v>
      </c>
      <c r="N1092" s="2">
        <v>46204</v>
      </c>
      <c r="X1092" s="1" t="s">
        <v>2204</v>
      </c>
    </row>
    <row r="1093" spans="2:24" ht="11.25" hidden="1" customHeight="1" x14ac:dyDescent="0.25">
      <c r="B1093" s="1" t="s">
        <v>2427</v>
      </c>
      <c r="C1093" s="17" t="str">
        <f>IFERROR(LEFT(VLOOKUP(B1093,'For consider'!D:E,2,0),8),"Chưa có code")</f>
        <v>Chưa có code</v>
      </c>
      <c r="D1093" s="1" t="s">
        <v>348</v>
      </c>
      <c r="E1093" s="1" t="str">
        <f t="shared" si="1"/>
        <v>Chưa triển khai</v>
      </c>
      <c r="F1093" s="1" t="str">
        <f>IFERROR(VLOOKUP(B1093,'Plan 2026'!B:AC,28,0),"không có trong file network")</f>
        <v>Không có</v>
      </c>
      <c r="G1093" s="1" t="str">
        <f>IFERROR(IF(VLOOKUP(B1093,'TCH (append)'!C:P,14,0)="Completed","Hoàn thành thi công",
IF(VLOOKUP(B1093,'TCH (append)'!C:K,9,0)="Completed","Hoàn thành đấu thầu",
IF(VLOOKUP(B1093,'TCH (append)'!C:J,8,0)="Completed","Hoàn thành dự toán",
IF(VLOOKUP(B1093,'TCH (append)'!C:I,7,0)="Completed","Hoàn thành thiết kế",
"Chưa thiết kế")))),"Chưa có trong file PMO")</f>
        <v>Chưa có trong file PMO</v>
      </c>
      <c r="H1093" s="1" t="s">
        <v>2428</v>
      </c>
      <c r="I1093" s="1" t="s">
        <v>350</v>
      </c>
      <c r="J1093" s="1" t="s">
        <v>1319</v>
      </c>
      <c r="K1093" s="1" t="s">
        <v>1320</v>
      </c>
      <c r="L1093" s="2" t="str">
        <f>IF(
    F1093&lt;&gt;"Đã ký",
    "Chưa triển khai",
    IF(
        IFERROR(VLOOKUP(B1093,TCH[[Code budget]:[Ngày kết thúc thi công theo kế hoạch]],10,0),0)&gt;0,
        VLOOKUP(B1093,TCH[[Code budget]:[Ngày kết thúc thi công theo kế hoạch]],10,0),
        IFERROR(
            DATE(2026,VLOOKUP(B1093,'Plan 2026'!B:H,7,0),31),
            "Chưa triển khai"
        )
    )
)</f>
        <v>Chưa triển khai</v>
      </c>
      <c r="M1093" s="2" t="s">
        <v>6688</v>
      </c>
      <c r="N1093" s="2">
        <v>46266</v>
      </c>
      <c r="X1093" s="1" t="s">
        <v>2204</v>
      </c>
    </row>
    <row r="1094" spans="2:24" ht="11.25" hidden="1" customHeight="1" x14ac:dyDescent="0.25">
      <c r="B1094" s="1" t="s">
        <v>2429</v>
      </c>
      <c r="C1094" s="17" t="str">
        <f>IFERROR(LEFT(VLOOKUP(B1094,'For consider'!D:E,2,0),8),"Chưa có code")</f>
        <v>Chưa có code</v>
      </c>
      <c r="D1094" s="1" t="s">
        <v>348</v>
      </c>
      <c r="E1094" s="1" t="str">
        <f t="shared" si="1"/>
        <v>Chưa triển khai</v>
      </c>
      <c r="F1094" s="1" t="str">
        <f>IFERROR(VLOOKUP(B1094,'Plan 2026'!B:AC,28,0),"không có trong file network")</f>
        <v>Không có</v>
      </c>
      <c r="G1094" s="1" t="str">
        <f>IFERROR(IF(VLOOKUP(B1094,'TCH (append)'!C:P,14,0)="Completed","Hoàn thành thi công",
IF(VLOOKUP(B1094,'TCH (append)'!C:K,9,0)="Completed","Hoàn thành đấu thầu",
IF(VLOOKUP(B1094,'TCH (append)'!C:J,8,0)="Completed","Hoàn thành dự toán",
IF(VLOOKUP(B1094,'TCH (append)'!C:I,7,0)="Completed","Hoàn thành thiết kế",
"Chưa thiết kế")))),"Chưa có trong file PMO")</f>
        <v>Chưa có trong file PMO</v>
      </c>
      <c r="H1094" s="1" t="s">
        <v>2430</v>
      </c>
      <c r="I1094" s="1" t="s">
        <v>350</v>
      </c>
      <c r="J1094" s="1" t="s">
        <v>1319</v>
      </c>
      <c r="K1094" s="1" t="s">
        <v>1320</v>
      </c>
      <c r="L1094" s="2" t="str">
        <f>IF(
    F1094&lt;&gt;"Đã ký",
    "Chưa triển khai",
    IF(
        IFERROR(VLOOKUP(B1094,TCH[[Code budget]:[Ngày kết thúc thi công theo kế hoạch]],10,0),0)&gt;0,
        VLOOKUP(B1094,TCH[[Code budget]:[Ngày kết thúc thi công theo kế hoạch]],10,0),
        IFERROR(
            DATE(2026,VLOOKUP(B1094,'Plan 2026'!B:H,7,0),31),
            "Chưa triển khai"
        )
    )
)</f>
        <v>Chưa triển khai</v>
      </c>
      <c r="M1094" s="2" t="s">
        <v>6688</v>
      </c>
      <c r="N1094" s="2">
        <v>46296</v>
      </c>
      <c r="X1094" s="1" t="s">
        <v>2204</v>
      </c>
    </row>
    <row r="1095" spans="2:24" ht="11.25" hidden="1" customHeight="1" x14ac:dyDescent="0.25">
      <c r="B1095" s="1" t="s">
        <v>2431</v>
      </c>
      <c r="C1095" s="17" t="str">
        <f>IFERROR(LEFT(VLOOKUP(B1095,'For consider'!D:E,2,0),8),"Chưa có code")</f>
        <v>Chưa có code</v>
      </c>
      <c r="D1095" s="1" t="s">
        <v>348</v>
      </c>
      <c r="E1095" s="1" t="str">
        <f t="shared" si="1"/>
        <v>Chưa triển khai</v>
      </c>
      <c r="F1095" s="1" t="str">
        <f>IFERROR(VLOOKUP(B1095,'Plan 2026'!B:AC,28,0),"không có trong file network")</f>
        <v>Không có</v>
      </c>
      <c r="G1095" s="1" t="str">
        <f>IFERROR(IF(VLOOKUP(B1095,'TCH (append)'!C:P,14,0)="Completed","Hoàn thành thi công",
IF(VLOOKUP(B1095,'TCH (append)'!C:K,9,0)="Completed","Hoàn thành đấu thầu",
IF(VLOOKUP(B1095,'TCH (append)'!C:J,8,0)="Completed","Hoàn thành dự toán",
IF(VLOOKUP(B1095,'TCH (append)'!C:I,7,0)="Completed","Hoàn thành thiết kế",
"Chưa thiết kế")))),"Chưa có trong file PMO")</f>
        <v>Chưa có trong file PMO</v>
      </c>
      <c r="H1095" s="1" t="s">
        <v>2432</v>
      </c>
      <c r="I1095" s="1" t="s">
        <v>350</v>
      </c>
      <c r="J1095" s="1" t="s">
        <v>1319</v>
      </c>
      <c r="K1095" s="1" t="s">
        <v>1320</v>
      </c>
      <c r="L1095" s="2" t="str">
        <f>IF(
    F1095&lt;&gt;"Đã ký",
    "Chưa triển khai",
    IF(
        IFERROR(VLOOKUP(B1095,TCH[[Code budget]:[Ngày kết thúc thi công theo kế hoạch]],10,0),0)&gt;0,
        VLOOKUP(B1095,TCH[[Code budget]:[Ngày kết thúc thi công theo kế hoạch]],10,0),
        IFERROR(
            DATE(2026,VLOOKUP(B1095,'Plan 2026'!B:H,7,0),31),
            "Chưa triển khai"
        )
    )
)</f>
        <v>Chưa triển khai</v>
      </c>
      <c r="M1095" s="2" t="s">
        <v>6688</v>
      </c>
      <c r="N1095" s="2">
        <v>46327</v>
      </c>
      <c r="X1095" s="1" t="s">
        <v>2204</v>
      </c>
    </row>
    <row r="1096" spans="2:24" ht="11.25" hidden="1" customHeight="1" x14ac:dyDescent="0.25">
      <c r="B1096" s="1" t="s">
        <v>2433</v>
      </c>
      <c r="C1096" s="17" t="str">
        <f>IFERROR(LEFT(VLOOKUP(B1096,'For consider'!D:E,2,0),8),"Chưa có code")</f>
        <v>Chưa có code</v>
      </c>
      <c r="D1096" s="1" t="s">
        <v>348</v>
      </c>
      <c r="E1096" s="1" t="str">
        <f t="shared" si="1"/>
        <v>Chưa triển khai</v>
      </c>
      <c r="F1096" s="1" t="str">
        <f>IFERROR(VLOOKUP(B1096,'Plan 2026'!B:AC,28,0),"không có trong file network")</f>
        <v>Không có</v>
      </c>
      <c r="G1096" s="1" t="str">
        <f>IFERROR(IF(VLOOKUP(B1096,'TCH (append)'!C:P,14,0)="Completed","Hoàn thành thi công",
IF(VLOOKUP(B1096,'TCH (append)'!C:K,9,0)="Completed","Hoàn thành đấu thầu",
IF(VLOOKUP(B1096,'TCH (append)'!C:J,8,0)="Completed","Hoàn thành dự toán",
IF(VLOOKUP(B1096,'TCH (append)'!C:I,7,0)="Completed","Hoàn thành thiết kế",
"Chưa thiết kế")))),"Chưa có trong file PMO")</f>
        <v>Chưa có trong file PMO</v>
      </c>
      <c r="H1096" s="1" t="s">
        <v>2434</v>
      </c>
      <c r="I1096" s="1" t="s">
        <v>350</v>
      </c>
      <c r="J1096" s="1" t="s">
        <v>1319</v>
      </c>
      <c r="K1096" s="1" t="s">
        <v>1320</v>
      </c>
      <c r="L1096" s="2" t="str">
        <f>IF(
    F1096&lt;&gt;"Đã ký",
    "Chưa triển khai",
    IF(
        IFERROR(VLOOKUP(B1096,TCH[[Code budget]:[Ngày kết thúc thi công theo kế hoạch]],10,0),0)&gt;0,
        VLOOKUP(B1096,TCH[[Code budget]:[Ngày kết thúc thi công theo kế hoạch]],10,0),
        IFERROR(
            DATE(2026,VLOOKUP(B1096,'Plan 2026'!B:H,7,0),31),
            "Chưa triển khai"
        )
    )
)</f>
        <v>Chưa triển khai</v>
      </c>
      <c r="M1096" s="2" t="s">
        <v>6688</v>
      </c>
      <c r="N1096" s="2">
        <v>46357</v>
      </c>
      <c r="X1096" s="1" t="s">
        <v>2204</v>
      </c>
    </row>
    <row r="1097" spans="2:24" ht="11.25" hidden="1" customHeight="1" x14ac:dyDescent="0.25">
      <c r="B1097" s="1" t="s">
        <v>2435</v>
      </c>
      <c r="C1097" s="17" t="str">
        <f>IFERROR(LEFT(VLOOKUP(B1097,'For consider'!D:E,2,0),8),"Chưa có code")</f>
        <v>10CK5018</v>
      </c>
      <c r="D1097" s="1" t="s">
        <v>20</v>
      </c>
      <c r="E1097" s="1" t="str">
        <f t="shared" si="1"/>
        <v>Waiting for open</v>
      </c>
      <c r="F1097" s="1" t="str">
        <f>IFERROR(VLOOKUP(B1097,'Plan 2026'!B:AC,28,0),"không có trong file network")</f>
        <v>Đã ký</v>
      </c>
      <c r="G1097" s="1" t="str">
        <f>IFERROR(IF(VLOOKUP(B1097,'TCH (append)'!C:P,14,0)="Completed","Hoàn thành thi công",
IF(VLOOKUP(B1097,'TCH (append)'!C:K,9,0)="Completed","Hoàn thành đấu thầu",
IF(VLOOKUP(B1097,'TCH (append)'!C:J,8,0)="Completed","Hoàn thành dự toán",
IF(VLOOKUP(B1097,'TCH (append)'!C:I,7,0)="Completed","Hoàn thành thiết kế",
"Chưa thiết kế")))),"Chưa có trong file PMO")</f>
        <v>Hoàn thành đấu thầu</v>
      </c>
      <c r="H1097" s="1" t="s">
        <v>2436</v>
      </c>
      <c r="I1097" s="1" t="s">
        <v>2241</v>
      </c>
      <c r="J1097" s="1" t="s">
        <v>1319</v>
      </c>
      <c r="K1097" s="1" t="s">
        <v>1320</v>
      </c>
      <c r="L1097" s="2">
        <f>IF(
    F1097&lt;&gt;"Đã ký",
    "Chưa triển khai",
    IF(
        IFERROR(VLOOKUP(B1097,TCH[[Code budget]:[Ngày kết thúc thi công theo kế hoạch]],10,0),0)&gt;0,
        VLOOKUP(B1097,TCH[[Code budget]:[Ngày kết thúc thi công theo kế hoạch]],10,0),
        IFERROR(
            DATE(2026,VLOOKUP(B1097,'Plan 2026'!B:H,7,0),31),
            "Chưa triển khai"
        )
    )
)</f>
        <v>46120</v>
      </c>
      <c r="M1097" s="2" t="s">
        <v>6688</v>
      </c>
      <c r="N1097" s="2">
        <v>46204</v>
      </c>
      <c r="X1097" s="1" t="s">
        <v>2204</v>
      </c>
    </row>
    <row r="1098" spans="2:24" ht="11.25" hidden="1" customHeight="1" x14ac:dyDescent="0.25">
      <c r="B1098" s="1" t="s">
        <v>2437</v>
      </c>
      <c r="C1098" s="17" t="str">
        <f>IFERROR(LEFT(VLOOKUP(B1098,'For consider'!D:E,2,0),8),"Chưa có code")</f>
        <v>Chưa có code</v>
      </c>
      <c r="D1098" s="1" t="s">
        <v>348</v>
      </c>
      <c r="E1098" s="1" t="str">
        <f t="shared" si="1"/>
        <v>Lock mb chưa thi công</v>
      </c>
      <c r="F1098" s="1" t="str">
        <f>IFERROR(VLOOKUP(B1098,'Plan 2026'!B:AC,28,0),"không có trong file network")</f>
        <v>Đã ký</v>
      </c>
      <c r="G1098" s="1" t="str">
        <f>IFERROR(IF(VLOOKUP(B1098,'TCH (append)'!C:P,14,0)="Completed","Hoàn thành thi công",
IF(VLOOKUP(B1098,'TCH (append)'!C:K,9,0)="Completed","Hoàn thành đấu thầu",
IF(VLOOKUP(B1098,'TCH (append)'!C:J,8,0)="Completed","Hoàn thành dự toán",
IF(VLOOKUP(B1098,'TCH (append)'!C:I,7,0)="Completed","Hoàn thành thiết kế",
"Chưa thiết kế")))),"Chưa có trong file PMO")</f>
        <v>Chưa có trong file PMO</v>
      </c>
      <c r="H1098" s="1" t="s">
        <v>2438</v>
      </c>
      <c r="I1098" s="1" t="s">
        <v>350</v>
      </c>
      <c r="J1098" s="1" t="s">
        <v>1311</v>
      </c>
      <c r="K1098" s="1" t="s">
        <v>1312</v>
      </c>
      <c r="L1098" s="2">
        <f>IF(
    F1098&lt;&gt;"Đã ký",
    "Chưa triển khai",
    IF(
        IFERROR(VLOOKUP(B1098,TCH[[Code budget]:[Ngày kết thúc thi công theo kế hoạch]],10,0),0)&gt;0,
        VLOOKUP(B1098,TCH[[Code budget]:[Ngày kết thúc thi công theo kế hoạch]],10,0),
        IFERROR(
            DATE(2026,VLOOKUP(B1098,'Plan 2026'!B:H,7,0),31),
            "Chưa triển khai"
        )
    )
)</f>
        <v>46143</v>
      </c>
      <c r="M1098" s="2" t="s">
        <v>6688</v>
      </c>
      <c r="N1098" s="2">
        <v>46113</v>
      </c>
      <c r="X1098" s="1" t="s">
        <v>2204</v>
      </c>
    </row>
    <row r="1099" spans="2:24" ht="11.25" hidden="1" customHeight="1" x14ac:dyDescent="0.25">
      <c r="B1099" s="1" t="s">
        <v>2439</v>
      </c>
      <c r="C1099" s="17" t="str">
        <f>IFERROR(LEFT(VLOOKUP(B1099,'For consider'!D:E,2,0),8),"Chưa có code")</f>
        <v>Chưa có code</v>
      </c>
      <c r="D1099" s="1" t="s">
        <v>348</v>
      </c>
      <c r="E1099" s="1" t="str">
        <f t="shared" si="1"/>
        <v>Lock mb chưa thi công</v>
      </c>
      <c r="F1099" s="1" t="str">
        <f>IFERROR(VLOOKUP(B1099,'Plan 2026'!B:AC,28,0),"không có trong file network")</f>
        <v>Đã ký</v>
      </c>
      <c r="G1099" s="1" t="str">
        <f>IFERROR(IF(VLOOKUP(B1099,'TCH (append)'!C:P,14,0)="Completed","Hoàn thành thi công",
IF(VLOOKUP(B1099,'TCH (append)'!C:K,9,0)="Completed","Hoàn thành đấu thầu",
IF(VLOOKUP(B1099,'TCH (append)'!C:J,8,0)="Completed","Hoàn thành dự toán",
IF(VLOOKUP(B1099,'TCH (append)'!C:I,7,0)="Completed","Hoàn thành thiết kế",
"Chưa thiết kế")))),"Chưa có trong file PMO")</f>
        <v>Chưa có trong file PMO</v>
      </c>
      <c r="H1099" s="1" t="s">
        <v>2440</v>
      </c>
      <c r="I1099" s="1" t="s">
        <v>350</v>
      </c>
      <c r="J1099" s="1" t="s">
        <v>1311</v>
      </c>
      <c r="K1099" s="1" t="s">
        <v>1312</v>
      </c>
      <c r="L1099" s="2">
        <f>IF(
    F1099&lt;&gt;"Đã ký",
    "Chưa triển khai",
    IF(
        IFERROR(VLOOKUP(B1099,TCH[[Code budget]:[Ngày kết thúc thi công theo kế hoạch]],10,0),0)&gt;0,
        VLOOKUP(B1099,TCH[[Code budget]:[Ngày kết thúc thi công theo kế hoạch]],10,0),
        IFERROR(
            DATE(2026,VLOOKUP(B1099,'Plan 2026'!B:H,7,0),31),
            "Chưa triển khai"
        )
    )
)</f>
        <v>46053</v>
      </c>
      <c r="M1099" s="2" t="s">
        <v>6688</v>
      </c>
      <c r="N1099" s="2">
        <v>46023</v>
      </c>
      <c r="X1099" s="1" t="s">
        <v>2204</v>
      </c>
    </row>
    <row r="1100" spans="2:24" ht="11.25" hidden="1" customHeight="1" x14ac:dyDescent="0.25">
      <c r="B1100" s="1" t="s">
        <v>2441</v>
      </c>
      <c r="C1100" s="17" t="str">
        <f>IFERROR(LEFT(VLOOKUP(B1100,'For consider'!D:E,2,0),8),"Chưa có code")</f>
        <v>Chưa có code</v>
      </c>
      <c r="D1100" s="1" t="s">
        <v>20</v>
      </c>
      <c r="E1100" s="1" t="str">
        <f t="shared" si="1"/>
        <v>Chưa triển khai</v>
      </c>
      <c r="F1100" s="1" t="str">
        <f>IFERROR(VLOOKUP(B1100,'Plan 2026'!B:AC,28,0),"không có trong file network")</f>
        <v>không có trong file network</v>
      </c>
      <c r="G1100" s="1" t="str">
        <f>IFERROR(IF(VLOOKUP(B1100,'TCH (append)'!C:P,14,0)="Completed","Hoàn thành thi công",
IF(VLOOKUP(B1100,'TCH (append)'!C:K,9,0)="Completed","Hoàn thành đấu thầu",
IF(VLOOKUP(B1100,'TCH (append)'!C:J,8,0)="Completed","Hoàn thành dự toán",
IF(VLOOKUP(B1100,'TCH (append)'!C:I,7,0)="Completed","Hoàn thành thiết kế",
"Chưa thiết kế")))),"Chưa có trong file PMO")</f>
        <v>Chưa có trong file PMO</v>
      </c>
      <c r="H1100" s="1" t="s">
        <v>2442</v>
      </c>
      <c r="I1100" s="1" t="s">
        <v>23</v>
      </c>
      <c r="J1100" s="1" t="s">
        <v>1311</v>
      </c>
      <c r="K1100" s="1" t="s">
        <v>1312</v>
      </c>
      <c r="L1100" s="2" t="str">
        <f>IF(
    F1100&lt;&gt;"Đã ký",
    "Chưa triển khai",
    IF(
        IFERROR(VLOOKUP(B1100,TCH[[Code budget]:[Ngày kết thúc thi công theo kế hoạch]],10,0),0)&gt;0,
        VLOOKUP(B1100,TCH[[Code budget]:[Ngày kết thúc thi công theo kế hoạch]],10,0),
        IFERROR(
            DATE(2026,VLOOKUP(B1100,'Plan 2026'!B:H,7,0),31),
            "Chưa triển khai"
        )
    )
)</f>
        <v>Chưa triển khai</v>
      </c>
      <c r="M1100" s="2" t="s">
        <v>6688</v>
      </c>
      <c r="N1100" s="2">
        <v>46235</v>
      </c>
      <c r="X1100" s="1" t="s">
        <v>2204</v>
      </c>
    </row>
    <row r="1101" spans="2:24" ht="11.25" hidden="1" customHeight="1" x14ac:dyDescent="0.25">
      <c r="B1101" s="1" t="s">
        <v>2443</v>
      </c>
      <c r="C1101" s="17" t="str">
        <f>IFERROR(LEFT(VLOOKUP(B1101,'For consider'!D:E,2,0),8),"Chưa có code")</f>
        <v>Chưa có code</v>
      </c>
      <c r="D1101" s="1" t="s">
        <v>348</v>
      </c>
      <c r="E1101" s="1" t="str">
        <f t="shared" si="1"/>
        <v>Chưa triển khai</v>
      </c>
      <c r="F1101" s="1" t="str">
        <f>IFERROR(VLOOKUP(B1101,'Plan 2026'!B:AC,28,0),"không có trong file network")</f>
        <v>Không có</v>
      </c>
      <c r="G1101" s="1" t="str">
        <f>IFERROR(IF(VLOOKUP(B1101,'TCH (append)'!C:P,14,0)="Completed","Hoàn thành thi công",
IF(VLOOKUP(B1101,'TCH (append)'!C:K,9,0)="Completed","Hoàn thành đấu thầu",
IF(VLOOKUP(B1101,'TCH (append)'!C:J,8,0)="Completed","Hoàn thành dự toán",
IF(VLOOKUP(B1101,'TCH (append)'!C:I,7,0)="Completed","Hoàn thành thiết kế",
"Chưa thiết kế")))),"Chưa có trong file PMO")</f>
        <v>Chưa có trong file PMO</v>
      </c>
      <c r="H1101" s="1" t="s">
        <v>2444</v>
      </c>
      <c r="I1101" s="1" t="s">
        <v>350</v>
      </c>
      <c r="J1101" s="1" t="s">
        <v>2132</v>
      </c>
      <c r="K1101" s="1" t="s">
        <v>2133</v>
      </c>
      <c r="L1101" s="2" t="str">
        <f>IF(
    F1101&lt;&gt;"Đã ký",
    "Chưa triển khai",
    IF(
        IFERROR(VLOOKUP(B1101,TCH[[Code budget]:[Ngày kết thúc thi công theo kế hoạch]],10,0),0)&gt;0,
        VLOOKUP(B1101,TCH[[Code budget]:[Ngày kết thúc thi công theo kế hoạch]],10,0),
        IFERROR(
            DATE(2026,VLOOKUP(B1101,'Plan 2026'!B:H,7,0),31),
            "Chưa triển khai"
        )
    )
)</f>
        <v>Chưa triển khai</v>
      </c>
      <c r="M1101" s="2" t="s">
        <v>6688</v>
      </c>
      <c r="N1101" s="2">
        <v>46296</v>
      </c>
      <c r="X1101" s="1" t="s">
        <v>2204</v>
      </c>
    </row>
    <row r="1102" spans="2:24" ht="11.25" hidden="1" customHeight="1" x14ac:dyDescent="0.25">
      <c r="B1102" s="1" t="s">
        <v>2445</v>
      </c>
      <c r="C1102" s="17" t="str">
        <f>IFERROR(LEFT(VLOOKUP(B1102,'For consider'!D:E,2,0),8),"Chưa có code")</f>
        <v>Chưa có code</v>
      </c>
      <c r="D1102" s="1" t="s">
        <v>20</v>
      </c>
      <c r="E1102" s="1" t="str">
        <f t="shared" si="1"/>
        <v>Chưa triển khai</v>
      </c>
      <c r="F1102" s="1" t="str">
        <f>IFERROR(VLOOKUP(B1102,'Plan 2026'!B:AC,28,0),"không có trong file network")</f>
        <v>Không có</v>
      </c>
      <c r="G1102" s="1" t="str">
        <f>IFERROR(IF(VLOOKUP(B1102,'TCH (append)'!C:P,14,0)="Completed","Hoàn thành thi công",
IF(VLOOKUP(B1102,'TCH (append)'!C:K,9,0)="Completed","Hoàn thành đấu thầu",
IF(VLOOKUP(B1102,'TCH (append)'!C:J,8,0)="Completed","Hoàn thành dự toán",
IF(VLOOKUP(B1102,'TCH (append)'!C:I,7,0)="Completed","Hoàn thành thiết kế",
"Chưa thiết kế")))),"Chưa có trong file PMO")</f>
        <v>Chưa có trong file PMO</v>
      </c>
      <c r="H1102" s="1" t="s">
        <v>2446</v>
      </c>
      <c r="I1102" s="1" t="s">
        <v>2241</v>
      </c>
      <c r="J1102" s="1" t="s">
        <v>51</v>
      </c>
      <c r="K1102" s="1" t="s">
        <v>52</v>
      </c>
      <c r="L1102" s="2" t="str">
        <f>IF(
    F1102&lt;&gt;"Đã ký",
    "Chưa triển khai",
    IF(
        IFERROR(VLOOKUP(B1102,TCH[[Code budget]:[Ngày kết thúc thi công theo kế hoạch]],10,0),0)&gt;0,
        VLOOKUP(B1102,TCH[[Code budget]:[Ngày kết thúc thi công theo kế hoạch]],10,0),
        IFERROR(
            DATE(2026,VLOOKUP(B1102,'Plan 2026'!B:H,7,0),31),
            "Chưa triển khai"
        )
    )
)</f>
        <v>Chưa triển khai</v>
      </c>
      <c r="M1102" s="2" t="s">
        <v>6688</v>
      </c>
      <c r="N1102" s="2">
        <v>46357</v>
      </c>
      <c r="X1102" s="1" t="s">
        <v>2204</v>
      </c>
    </row>
    <row r="1103" spans="2:24" ht="11.25" hidden="1" customHeight="1" x14ac:dyDescent="0.25">
      <c r="B1103" s="1" t="s">
        <v>2447</v>
      </c>
      <c r="C1103" s="17" t="str">
        <f>IFERROR(LEFT(VLOOKUP(B1103,'For consider'!D:E,2,0),8),"Chưa có code")</f>
        <v>Chưa có code</v>
      </c>
      <c r="D1103" s="1" t="s">
        <v>348</v>
      </c>
      <c r="E1103" s="1" t="str">
        <f t="shared" si="1"/>
        <v>Chưa triển khai</v>
      </c>
      <c r="F1103" s="1" t="str">
        <f>IFERROR(VLOOKUP(B1103,'Plan 2026'!B:AC,28,0),"không có trong file network")</f>
        <v>Chưa có</v>
      </c>
      <c r="G1103" s="1" t="str">
        <f>IFERROR(IF(VLOOKUP(B1103,'TCH (append)'!C:P,14,0)="Completed","Hoàn thành thi công",
IF(VLOOKUP(B1103,'TCH (append)'!C:K,9,0)="Completed","Hoàn thành đấu thầu",
IF(VLOOKUP(B1103,'TCH (append)'!C:J,8,0)="Completed","Hoàn thành dự toán",
IF(VLOOKUP(B1103,'TCH (append)'!C:I,7,0)="Completed","Hoàn thành thiết kế",
"Chưa thiết kế")))),"Chưa có trong file PMO")</f>
        <v>Chưa có trong file PMO</v>
      </c>
      <c r="H1103" s="1" t="s">
        <v>2448</v>
      </c>
      <c r="I1103" s="1" t="s">
        <v>350</v>
      </c>
      <c r="J1103" s="1" t="s">
        <v>51</v>
      </c>
      <c r="K1103" s="1" t="s">
        <v>52</v>
      </c>
      <c r="L1103" s="2" t="str">
        <f>IF(
    F1103&lt;&gt;"Đã ký",
    "Chưa triển khai",
    IF(
        IFERROR(VLOOKUP(B1103,TCH[[Code budget]:[Ngày kết thúc thi công theo kế hoạch]],10,0),0)&gt;0,
        VLOOKUP(B1103,TCH[[Code budget]:[Ngày kết thúc thi công theo kế hoạch]],10,0),
        IFERROR(
            DATE(2026,VLOOKUP(B1103,'Plan 2026'!B:H,7,0),31),
            "Chưa triển khai"
        )
    )
)</f>
        <v>Chưa triển khai</v>
      </c>
      <c r="M1103" s="2" t="s">
        <v>6688</v>
      </c>
      <c r="N1103" s="2">
        <v>46143</v>
      </c>
      <c r="X1103" s="1" t="s">
        <v>2204</v>
      </c>
    </row>
    <row r="1104" spans="2:24" ht="11.25" hidden="1" customHeight="1" x14ac:dyDescent="0.25">
      <c r="B1104" s="1" t="s">
        <v>2449</v>
      </c>
      <c r="C1104" s="17" t="str">
        <f>IFERROR(LEFT(VLOOKUP(B1104,'For consider'!D:E,2,0),8),"Chưa có code")</f>
        <v>Chưa có code</v>
      </c>
      <c r="D1104" s="1" t="s">
        <v>348</v>
      </c>
      <c r="E1104" s="1" t="str">
        <f t="shared" si="1"/>
        <v>Chưa triển khai</v>
      </c>
      <c r="F1104" s="1" t="str">
        <f>IFERROR(VLOOKUP(B1104,'Plan 2026'!B:AC,28,0),"không có trong file network")</f>
        <v>Chưa có</v>
      </c>
      <c r="G1104" s="1" t="str">
        <f>IFERROR(IF(VLOOKUP(B1104,'TCH (append)'!C:P,14,0)="Completed","Hoàn thành thi công",
IF(VLOOKUP(B1104,'TCH (append)'!C:K,9,0)="Completed","Hoàn thành đấu thầu",
IF(VLOOKUP(B1104,'TCH (append)'!C:J,8,0)="Completed","Hoàn thành dự toán",
IF(VLOOKUP(B1104,'TCH (append)'!C:I,7,0)="Completed","Hoàn thành thiết kế",
"Chưa thiết kế")))),"Chưa có trong file PMO")</f>
        <v>Chưa có trong file PMO</v>
      </c>
      <c r="H1104" s="1" t="s">
        <v>2450</v>
      </c>
      <c r="I1104" s="1" t="s">
        <v>350</v>
      </c>
      <c r="J1104" s="1" t="s">
        <v>51</v>
      </c>
      <c r="K1104" s="1" t="s">
        <v>52</v>
      </c>
      <c r="L1104" s="2" t="str">
        <f>IF(
    F1104&lt;&gt;"Đã ký",
    "Chưa triển khai",
    IF(
        IFERROR(VLOOKUP(B1104,TCH[[Code budget]:[Ngày kết thúc thi công theo kế hoạch]],10,0),0)&gt;0,
        VLOOKUP(B1104,TCH[[Code budget]:[Ngày kết thúc thi công theo kế hoạch]],10,0),
        IFERROR(
            DATE(2026,VLOOKUP(B1104,'Plan 2026'!B:H,7,0),31),
            "Chưa triển khai"
        )
    )
)</f>
        <v>Chưa triển khai</v>
      </c>
      <c r="M1104" s="2" t="s">
        <v>6688</v>
      </c>
      <c r="N1104" s="2">
        <v>46082</v>
      </c>
      <c r="X1104" s="1" t="s">
        <v>2204</v>
      </c>
    </row>
    <row r="1105" spans="2:24" ht="11.25" hidden="1" customHeight="1" x14ac:dyDescent="0.25">
      <c r="B1105" s="1" t="s">
        <v>2451</v>
      </c>
      <c r="C1105" s="17" t="str">
        <f>IFERROR(LEFT(VLOOKUP(B1105,'For consider'!D:E,2,0),8),"Chưa có code")</f>
        <v>Chưa có code</v>
      </c>
      <c r="D1105" s="1" t="s">
        <v>20</v>
      </c>
      <c r="E1105" s="1" t="str">
        <f t="shared" si="1"/>
        <v>Chưa triển khai</v>
      </c>
      <c r="F1105" s="1" t="str">
        <f>IFERROR(VLOOKUP(B1105,'Plan 2026'!B:AC,28,0),"không có trong file network")</f>
        <v>Reject</v>
      </c>
      <c r="G1105" s="1" t="str">
        <f>IFERROR(IF(VLOOKUP(B1105,'TCH (append)'!C:P,14,0)="Completed","Hoàn thành thi công",
IF(VLOOKUP(B1105,'TCH (append)'!C:K,9,0)="Completed","Hoàn thành đấu thầu",
IF(VLOOKUP(B1105,'TCH (append)'!C:J,8,0)="Completed","Hoàn thành dự toán",
IF(VLOOKUP(B1105,'TCH (append)'!C:I,7,0)="Completed","Hoàn thành thiết kế",
"Chưa thiết kế")))),"Chưa có trong file PMO")</f>
        <v>Chưa có trong file PMO</v>
      </c>
      <c r="H1105" s="1" t="s">
        <v>2286</v>
      </c>
      <c r="I1105" s="1" t="s">
        <v>23</v>
      </c>
      <c r="J1105" s="1" t="s">
        <v>1771</v>
      </c>
      <c r="K1105" s="1" t="s">
        <v>1772</v>
      </c>
      <c r="L1105" s="2" t="str">
        <f>IF(
    F1105&lt;&gt;"Đã ký",
    "Chưa triển khai",
    IF(
        IFERROR(VLOOKUP(B1105,TCH[[Code budget]:[Ngày kết thúc thi công theo kế hoạch]],10,0),0)&gt;0,
        VLOOKUP(B1105,TCH[[Code budget]:[Ngày kết thúc thi công theo kế hoạch]],10,0),
        IFERROR(
            DATE(2026,VLOOKUP(B1105,'Plan 2026'!B:H,7,0),31),
            "Chưa triển khai"
        )
    )
)</f>
        <v>Chưa triển khai</v>
      </c>
      <c r="M1105" s="2" t="s">
        <v>6688</v>
      </c>
      <c r="N1105" s="2">
        <v>46327</v>
      </c>
      <c r="X1105" s="1" t="s">
        <v>2204</v>
      </c>
    </row>
    <row r="1106" spans="2:24" ht="11.25" hidden="1" customHeight="1" x14ac:dyDescent="0.25">
      <c r="B1106" s="1" t="s">
        <v>2452</v>
      </c>
      <c r="C1106" s="17" t="str">
        <f>IFERROR(LEFT(VLOOKUP(B1106,'For consider'!D:E,2,0),8),"Chưa có code")</f>
        <v>Chưa có code</v>
      </c>
      <c r="D1106" s="1" t="s">
        <v>348</v>
      </c>
      <c r="E1106" s="1" t="str">
        <f t="shared" si="1"/>
        <v>Waiting for open</v>
      </c>
      <c r="F1106" s="1" t="str">
        <f>IFERROR(VLOOKUP(B1106,'Plan 2026'!B:AC,28,0),"không có trong file network")</f>
        <v>Đã ký</v>
      </c>
      <c r="G1106" s="1" t="str">
        <f>IFERROR(IF(VLOOKUP(B1106,'TCH (append)'!C:P,14,0)="Completed","Hoàn thành thi công",
IF(VLOOKUP(B1106,'TCH (append)'!C:K,9,0)="Completed","Hoàn thành đấu thầu",
IF(VLOOKUP(B1106,'TCH (append)'!C:J,8,0)="Completed","Hoàn thành dự toán",
IF(VLOOKUP(B1106,'TCH (append)'!C:I,7,0)="Completed","Hoàn thành thiết kế",
"Chưa thiết kế")))),"Chưa có trong file PMO")</f>
        <v>Chưa thiết kế</v>
      </c>
      <c r="H1106" s="1" t="s">
        <v>2216</v>
      </c>
      <c r="I1106" s="1" t="s">
        <v>350</v>
      </c>
      <c r="J1106" s="1" t="s">
        <v>1771</v>
      </c>
      <c r="K1106" s="1" t="s">
        <v>1772</v>
      </c>
      <c r="L1106" s="2">
        <f>IF(
    F1106&lt;&gt;"Đã ký",
    "Chưa triển khai",
    IF(
        IFERROR(VLOOKUP(B1106,TCH[[Code budget]:[Ngày kết thúc thi công theo kế hoạch]],10,0),0)&gt;0,
        VLOOKUP(B1106,TCH[[Code budget]:[Ngày kết thúc thi công theo kế hoạch]],10,0),
        IFERROR(
            DATE(2026,VLOOKUP(B1106,'Plan 2026'!B:H,7,0),31),
            "Chưa triển khai"
        )
    )
)</f>
        <v>46163</v>
      </c>
      <c r="M1106" s="2" t="s">
        <v>6688</v>
      </c>
      <c r="N1106" s="2">
        <v>46266</v>
      </c>
      <c r="X1106" s="1" t="s">
        <v>2204</v>
      </c>
    </row>
    <row r="1107" spans="2:24" ht="11.25" hidden="1" customHeight="1" x14ac:dyDescent="0.25">
      <c r="B1107" s="1" t="s">
        <v>2453</v>
      </c>
      <c r="C1107" s="17" t="str">
        <f>IFERROR(LEFT(VLOOKUP(B1107,'For consider'!D:E,2,0),8),"Chưa có code")</f>
        <v>Chưa có code</v>
      </c>
      <c r="D1107" s="1" t="s">
        <v>348</v>
      </c>
      <c r="E1107" s="1" t="str">
        <f t="shared" si="1"/>
        <v>Chưa triển khai</v>
      </c>
      <c r="F1107" s="1" t="str">
        <f>IFERROR(VLOOKUP(B1107,'Plan 2026'!B:AC,28,0),"không có trong file network")</f>
        <v>Chưa có</v>
      </c>
      <c r="G1107" s="1" t="str">
        <f>IFERROR(IF(VLOOKUP(B1107,'TCH (append)'!C:P,14,0)="Completed","Hoàn thành thi công",
IF(VLOOKUP(B1107,'TCH (append)'!C:K,9,0)="Completed","Hoàn thành đấu thầu",
IF(VLOOKUP(B1107,'TCH (append)'!C:J,8,0)="Completed","Hoàn thành dự toán",
IF(VLOOKUP(B1107,'TCH (append)'!C:I,7,0)="Completed","Hoàn thành thiết kế",
"Chưa thiết kế")))),"Chưa có trong file PMO")</f>
        <v>Chưa có trong file PMO</v>
      </c>
      <c r="H1107" s="1" t="s">
        <v>2454</v>
      </c>
      <c r="I1107" s="1" t="s">
        <v>350</v>
      </c>
      <c r="J1107" s="1" t="s">
        <v>1771</v>
      </c>
      <c r="K1107" s="1" t="s">
        <v>1772</v>
      </c>
      <c r="L1107" s="2" t="str">
        <f>IF(
    F1107&lt;&gt;"Đã ký",
    "Chưa triển khai",
    IF(
        IFERROR(VLOOKUP(B1107,TCH[[Code budget]:[Ngày kết thúc thi công theo kế hoạch]],10,0),0)&gt;0,
        VLOOKUP(B1107,TCH[[Code budget]:[Ngày kết thúc thi công theo kế hoạch]],10,0),
        IFERROR(
            DATE(2026,VLOOKUP(B1107,'Plan 2026'!B:H,7,0),31),
            "Chưa triển khai"
        )
    )
)</f>
        <v>Chưa triển khai</v>
      </c>
      <c r="M1107" s="2" t="s">
        <v>6688</v>
      </c>
      <c r="N1107" s="2">
        <v>46235</v>
      </c>
      <c r="X1107" s="1" t="s">
        <v>2204</v>
      </c>
    </row>
    <row r="1108" spans="2:24" ht="11.25" hidden="1" customHeight="1" x14ac:dyDescent="0.25">
      <c r="B1108" s="1" t="s">
        <v>2455</v>
      </c>
      <c r="C1108" s="17" t="str">
        <f>IFERROR(LEFT(VLOOKUP(B1108,'For consider'!D:E,2,0),8),"Chưa có code")</f>
        <v>Chưa có code</v>
      </c>
      <c r="D1108" s="1" t="s">
        <v>348</v>
      </c>
      <c r="E1108" s="1" t="str">
        <f t="shared" ref="E1108:E1171" si="2">IF(AND(F1108="Đã ký",G1108&lt;&gt;"Chưa có trong file PMO"),"Waiting for open",IF(F1108="Đã ký","Lock mb chưa thi công","Chưa triển khai"))</f>
        <v>Chưa triển khai</v>
      </c>
      <c r="F1108" s="1" t="str">
        <f>IFERROR(VLOOKUP(B1108,'Plan 2026'!B:AC,28,0),"không có trong file network")</f>
        <v>Đang offer</v>
      </c>
      <c r="G1108" s="1" t="str">
        <f>IFERROR(IF(VLOOKUP(B1108,'TCH (append)'!C:P,14,0)="Completed","Hoàn thành thi công",
IF(VLOOKUP(B1108,'TCH (append)'!C:K,9,0)="Completed","Hoàn thành đấu thầu",
IF(VLOOKUP(B1108,'TCH (append)'!C:J,8,0)="Completed","Hoàn thành dự toán",
IF(VLOOKUP(B1108,'TCH (append)'!C:I,7,0)="Completed","Hoàn thành thiết kế",
"Chưa thiết kế")))),"Chưa có trong file PMO")</f>
        <v>Chưa thiết kế</v>
      </c>
      <c r="H1108" s="1" t="s">
        <v>2290</v>
      </c>
      <c r="I1108" s="1" t="s">
        <v>350</v>
      </c>
      <c r="J1108" s="1" t="s">
        <v>1771</v>
      </c>
      <c r="K1108" s="1" t="s">
        <v>1772</v>
      </c>
      <c r="L1108" s="2" t="str">
        <f>IF(
    F1108&lt;&gt;"Đã ký",
    "Chưa triển khai",
    IF(
        IFERROR(VLOOKUP(B1108,TCH[[Code budget]:[Ngày kết thúc thi công theo kế hoạch]],10,0),0)&gt;0,
        VLOOKUP(B1108,TCH[[Code budget]:[Ngày kết thúc thi công theo kế hoạch]],10,0),
        IFERROR(
            DATE(2026,VLOOKUP(B1108,'Plan 2026'!B:H,7,0),31),
            "Chưa triển khai"
        )
    )
)</f>
        <v>Chưa triển khai</v>
      </c>
      <c r="M1108" s="2" t="s">
        <v>6688</v>
      </c>
      <c r="N1108" s="2">
        <v>46296</v>
      </c>
      <c r="X1108" s="1" t="s">
        <v>2204</v>
      </c>
    </row>
    <row r="1109" spans="2:24" ht="11.25" hidden="1" customHeight="1" x14ac:dyDescent="0.25">
      <c r="B1109" s="1" t="s">
        <v>2456</v>
      </c>
      <c r="C1109" s="17" t="str">
        <f>IFERROR(LEFT(VLOOKUP(B1109,'For consider'!D:E,2,0),8),"Chưa có code")</f>
        <v>Chưa có code</v>
      </c>
      <c r="D1109" s="1" t="s">
        <v>348</v>
      </c>
      <c r="E1109" s="1" t="str">
        <f t="shared" si="2"/>
        <v>Chưa triển khai</v>
      </c>
      <c r="F1109" s="1" t="str">
        <f>IFERROR(VLOOKUP(B1109,'Plan 2026'!B:AC,28,0),"không có trong file network")</f>
        <v>Chưa có</v>
      </c>
      <c r="G1109" s="1" t="str">
        <f>IFERROR(IF(VLOOKUP(B1109,'TCH (append)'!C:P,14,0)="Completed","Hoàn thành thi công",
IF(VLOOKUP(B1109,'TCH (append)'!C:K,9,0)="Completed","Hoàn thành đấu thầu",
IF(VLOOKUP(B1109,'TCH (append)'!C:J,8,0)="Completed","Hoàn thành dự toán",
IF(VLOOKUP(B1109,'TCH (append)'!C:I,7,0)="Completed","Hoàn thành thiết kế",
"Chưa thiết kế")))),"Chưa có trong file PMO")</f>
        <v>Chưa thiết kế</v>
      </c>
      <c r="H1109" s="1" t="s">
        <v>2450</v>
      </c>
      <c r="I1109" s="1" t="s">
        <v>350</v>
      </c>
      <c r="J1109" s="1" t="s">
        <v>1771</v>
      </c>
      <c r="K1109" s="1" t="s">
        <v>1772</v>
      </c>
      <c r="L1109" s="2" t="str">
        <f>IF(
    F1109&lt;&gt;"Đã ký",
    "Chưa triển khai",
    IF(
        IFERROR(VLOOKUP(B1109,TCH[[Code budget]:[Ngày kết thúc thi công theo kế hoạch]],10,0),0)&gt;0,
        VLOOKUP(B1109,TCH[[Code budget]:[Ngày kết thúc thi công theo kế hoạch]],10,0),
        IFERROR(
            DATE(2026,VLOOKUP(B1109,'Plan 2026'!B:H,7,0),31),
            "Chưa triển khai"
        )
    )
)</f>
        <v>Chưa triển khai</v>
      </c>
      <c r="M1109" s="2" t="s">
        <v>6688</v>
      </c>
      <c r="N1109" s="2">
        <v>46113</v>
      </c>
      <c r="X1109" s="1" t="s">
        <v>2204</v>
      </c>
    </row>
    <row r="1110" spans="2:24" ht="11.25" hidden="1" customHeight="1" x14ac:dyDescent="0.25">
      <c r="B1110" s="1" t="s">
        <v>2457</v>
      </c>
      <c r="C1110" s="17" t="str">
        <f>IFERROR(LEFT(VLOOKUP(B1110,'For consider'!D:E,2,0),8),"Chưa có code")</f>
        <v>Chưa có code</v>
      </c>
      <c r="D1110" s="1" t="s">
        <v>20</v>
      </c>
      <c r="E1110" s="1" t="str">
        <f t="shared" si="2"/>
        <v>Chưa triển khai</v>
      </c>
      <c r="F1110" s="1" t="str">
        <f>IFERROR(VLOOKUP(B1110,'Plan 2026'!B:AC,28,0),"không có trong file network")</f>
        <v>Chưa có</v>
      </c>
      <c r="G1110" s="1" t="str">
        <f>IFERROR(IF(VLOOKUP(B1110,'TCH (append)'!C:P,14,0)="Completed","Hoàn thành thi công",
IF(VLOOKUP(B1110,'TCH (append)'!C:K,9,0)="Completed","Hoàn thành đấu thầu",
IF(VLOOKUP(B1110,'TCH (append)'!C:J,8,0)="Completed","Hoàn thành dự toán",
IF(VLOOKUP(B1110,'TCH (append)'!C:I,7,0)="Completed","Hoàn thành thiết kế",
"Chưa thiết kế")))),"Chưa có trong file PMO")</f>
        <v>Chưa có trong file PMO</v>
      </c>
      <c r="H1110" s="1" t="s">
        <v>2458</v>
      </c>
      <c r="I1110" s="1" t="s">
        <v>23</v>
      </c>
      <c r="J1110" s="1" t="s">
        <v>1771</v>
      </c>
      <c r="K1110" s="1" t="s">
        <v>1772</v>
      </c>
      <c r="L1110" s="2" t="str">
        <f>IF(
    F1110&lt;&gt;"Đã ký",
    "Chưa triển khai",
    IF(
        IFERROR(VLOOKUP(B1110,TCH[[Code budget]:[Ngày kết thúc thi công theo kế hoạch]],10,0),0)&gt;0,
        VLOOKUP(B1110,TCH[[Code budget]:[Ngày kết thúc thi công theo kế hoạch]],10,0),
        IFERROR(
            DATE(2026,VLOOKUP(B1110,'Plan 2026'!B:H,7,0),31),
            "Chưa triển khai"
        )
    )
)</f>
        <v>Chưa triển khai</v>
      </c>
      <c r="M1110" s="2" t="s">
        <v>6688</v>
      </c>
      <c r="N1110" s="2">
        <v>46204</v>
      </c>
      <c r="X1110" s="1" t="s">
        <v>2204</v>
      </c>
    </row>
    <row r="1111" spans="2:24" ht="11.25" hidden="1" customHeight="1" x14ac:dyDescent="0.25">
      <c r="B1111" s="1" t="s">
        <v>2459</v>
      </c>
      <c r="C1111" s="17" t="str">
        <f>IFERROR(LEFT(VLOOKUP(B1111,'For consider'!D:E,2,0),8),"Chưa có code")</f>
        <v>Chưa có code</v>
      </c>
      <c r="D1111" s="1" t="s">
        <v>20</v>
      </c>
      <c r="E1111" s="1" t="str">
        <f t="shared" si="2"/>
        <v>Chưa triển khai</v>
      </c>
      <c r="F1111" s="1" t="str">
        <f>IFERROR(VLOOKUP(B1111,'Plan 2026'!B:AC,28,0),"không có trong file network")</f>
        <v>Chưa có</v>
      </c>
      <c r="G1111" s="1" t="str">
        <f>IFERROR(IF(VLOOKUP(B1111,'TCH (append)'!C:P,14,0)="Completed","Hoàn thành thi công",
IF(VLOOKUP(B1111,'TCH (append)'!C:K,9,0)="Completed","Hoàn thành đấu thầu",
IF(VLOOKUP(B1111,'TCH (append)'!C:J,8,0)="Completed","Hoàn thành dự toán",
IF(VLOOKUP(B1111,'TCH (append)'!C:I,7,0)="Completed","Hoàn thành thiết kế",
"Chưa thiết kế")))),"Chưa có trong file PMO")</f>
        <v>Chưa thiết kế</v>
      </c>
      <c r="H1111" s="1" t="s">
        <v>2460</v>
      </c>
      <c r="I1111" s="1" t="s">
        <v>23</v>
      </c>
      <c r="J1111" s="1" t="s">
        <v>2044</v>
      </c>
      <c r="K1111" s="1" t="s">
        <v>2045</v>
      </c>
      <c r="L1111" s="2" t="str">
        <f>IF(
    F1111&lt;&gt;"Đã ký",
    "Chưa triển khai",
    IF(
        IFERROR(VLOOKUP(B1111,TCH[[Code budget]:[Ngày kết thúc thi công theo kế hoạch]],10,0),0)&gt;0,
        VLOOKUP(B1111,TCH[[Code budget]:[Ngày kết thúc thi công theo kế hoạch]],10,0),
        IFERROR(
            DATE(2026,VLOOKUP(B1111,'Plan 2026'!B:H,7,0),31),
            "Chưa triển khai"
        )
    )
)</f>
        <v>Chưa triển khai</v>
      </c>
      <c r="M1111" s="2" t="s">
        <v>6688</v>
      </c>
      <c r="N1111" s="2">
        <v>46082</v>
      </c>
      <c r="X1111" s="1" t="s">
        <v>2204</v>
      </c>
    </row>
    <row r="1112" spans="2:24" ht="11.25" hidden="1" customHeight="1" x14ac:dyDescent="0.25">
      <c r="B1112" s="1" t="s">
        <v>2461</v>
      </c>
      <c r="C1112" s="17" t="str">
        <f>IFERROR(LEFT(VLOOKUP(B1112,'For consider'!D:E,2,0),8),"Chưa có code")</f>
        <v>Chưa có code</v>
      </c>
      <c r="D1112" s="1" t="s">
        <v>348</v>
      </c>
      <c r="E1112" s="1" t="str">
        <f t="shared" si="2"/>
        <v>Chưa triển khai</v>
      </c>
      <c r="F1112" s="1" t="str">
        <f>IFERROR(VLOOKUP(B1112,'Plan 2026'!B:AC,28,0),"không có trong file network")</f>
        <v>Chưa có</v>
      </c>
      <c r="G1112" s="1" t="str">
        <f>IFERROR(IF(VLOOKUP(B1112,'TCH (append)'!C:P,14,0)="Completed","Hoàn thành thi công",
IF(VLOOKUP(B1112,'TCH (append)'!C:K,9,0)="Completed","Hoàn thành đấu thầu",
IF(VLOOKUP(B1112,'TCH (append)'!C:J,8,0)="Completed","Hoàn thành dự toán",
IF(VLOOKUP(B1112,'TCH (append)'!C:I,7,0)="Completed","Hoàn thành thiết kế",
"Chưa thiết kế")))),"Chưa có trong file PMO")</f>
        <v>Chưa có trong file PMO</v>
      </c>
      <c r="H1112" s="1" t="s">
        <v>2462</v>
      </c>
      <c r="I1112" s="1" t="s">
        <v>350</v>
      </c>
      <c r="J1112" s="1" t="s">
        <v>2044</v>
      </c>
      <c r="K1112" s="1" t="s">
        <v>2045</v>
      </c>
      <c r="L1112" s="2" t="str">
        <f>IF(
    F1112&lt;&gt;"Đã ký",
    "Chưa triển khai",
    IF(
        IFERROR(VLOOKUP(B1112,TCH[[Code budget]:[Ngày kết thúc thi công theo kế hoạch]],10,0),0)&gt;0,
        VLOOKUP(B1112,TCH[[Code budget]:[Ngày kết thúc thi công theo kế hoạch]],10,0),
        IFERROR(
            DATE(2026,VLOOKUP(B1112,'Plan 2026'!B:H,7,0),31),
            "Chưa triển khai"
        )
    )
)</f>
        <v>Chưa triển khai</v>
      </c>
      <c r="M1112" s="2" t="s">
        <v>6688</v>
      </c>
      <c r="N1112" s="2">
        <v>46235</v>
      </c>
      <c r="X1112" s="1" t="s">
        <v>2204</v>
      </c>
    </row>
    <row r="1113" spans="2:24" ht="11.25" hidden="1" customHeight="1" x14ac:dyDescent="0.25">
      <c r="B1113" s="1" t="s">
        <v>2463</v>
      </c>
      <c r="C1113" s="17" t="str">
        <f>IFERROR(LEFT(VLOOKUP(B1113,'For consider'!D:E,2,0),8),"Chưa có code")</f>
        <v>Chưa có code</v>
      </c>
      <c r="D1113" s="1" t="s">
        <v>348</v>
      </c>
      <c r="E1113" s="1" t="str">
        <f t="shared" si="2"/>
        <v>Chưa triển khai</v>
      </c>
      <c r="F1113" s="1" t="str">
        <f>IFERROR(VLOOKUP(B1113,'Plan 2026'!B:AC,28,0),"không có trong file network")</f>
        <v>Đang đàm phán</v>
      </c>
      <c r="G1113" s="1" t="str">
        <f>IFERROR(IF(VLOOKUP(B1113,'TCH (append)'!C:P,14,0)="Completed","Hoàn thành thi công",
IF(VLOOKUP(B1113,'TCH (append)'!C:K,9,0)="Completed","Hoàn thành đấu thầu",
IF(VLOOKUP(B1113,'TCH (append)'!C:J,8,0)="Completed","Hoàn thành dự toán",
IF(VLOOKUP(B1113,'TCH (append)'!C:I,7,0)="Completed","Hoàn thành thiết kế",
"Chưa thiết kế")))),"Chưa có trong file PMO")</f>
        <v>Chưa thiết kế</v>
      </c>
      <c r="H1113" s="1" t="s">
        <v>2290</v>
      </c>
      <c r="I1113" s="1" t="s">
        <v>350</v>
      </c>
      <c r="J1113" s="1" t="s">
        <v>2044</v>
      </c>
      <c r="K1113" s="1" t="s">
        <v>2045</v>
      </c>
      <c r="L1113" s="2" t="str">
        <f>IF(
    F1113&lt;&gt;"Đã ký",
    "Chưa triển khai",
    IF(
        IFERROR(VLOOKUP(B1113,TCH[[Code budget]:[Ngày kết thúc thi công theo kế hoạch]],10,0),0)&gt;0,
        VLOOKUP(B1113,TCH[[Code budget]:[Ngày kết thúc thi công theo kế hoạch]],10,0),
        IFERROR(
            DATE(2026,VLOOKUP(B1113,'Plan 2026'!B:H,7,0),31),
            "Chưa triển khai"
        )
    )
)</f>
        <v>Chưa triển khai</v>
      </c>
      <c r="M1113" s="2" t="s">
        <v>6688</v>
      </c>
      <c r="N1113" s="2">
        <v>46327</v>
      </c>
      <c r="X1113" s="1" t="s">
        <v>2204</v>
      </c>
    </row>
    <row r="1114" spans="2:24" ht="11.25" hidden="1" customHeight="1" x14ac:dyDescent="0.25">
      <c r="B1114" s="1" t="s">
        <v>2464</v>
      </c>
      <c r="C1114" s="17" t="str">
        <f>IFERROR(LEFT(VLOOKUP(B1114,'For consider'!D:E,2,0),8),"Chưa có code")</f>
        <v>Chưa có code</v>
      </c>
      <c r="D1114" s="1" t="s">
        <v>348</v>
      </c>
      <c r="E1114" s="1" t="str">
        <f t="shared" si="2"/>
        <v>Chưa triển khai</v>
      </c>
      <c r="F1114" s="1" t="str">
        <f>IFERROR(VLOOKUP(B1114,'Plan 2026'!B:AC,28,0),"không có trong file network")</f>
        <v>không có</v>
      </c>
      <c r="G1114" s="1" t="str">
        <f>IFERROR(IF(VLOOKUP(B1114,'TCH (append)'!C:P,14,0)="Completed","Hoàn thành thi công",
IF(VLOOKUP(B1114,'TCH (append)'!C:K,9,0)="Completed","Hoàn thành đấu thầu",
IF(VLOOKUP(B1114,'TCH (append)'!C:J,8,0)="Completed","Hoàn thành dự toán",
IF(VLOOKUP(B1114,'TCH (append)'!C:I,7,0)="Completed","Hoàn thành thiết kế",
"Chưa thiết kế")))),"Chưa có trong file PMO")</f>
        <v>Chưa có trong file PMO</v>
      </c>
      <c r="H1114" s="1" t="s">
        <v>2465</v>
      </c>
      <c r="I1114" s="1" t="s">
        <v>350</v>
      </c>
      <c r="J1114" s="1" t="s">
        <v>2044</v>
      </c>
      <c r="K1114" s="1" t="s">
        <v>2045</v>
      </c>
      <c r="L1114" s="2" t="str">
        <f>IF(
    F1114&lt;&gt;"Đã ký",
    "Chưa triển khai",
    IF(
        IFERROR(VLOOKUP(B1114,TCH[[Code budget]:[Ngày kết thúc thi công theo kế hoạch]],10,0),0)&gt;0,
        VLOOKUP(B1114,TCH[[Code budget]:[Ngày kết thúc thi công theo kế hoạch]],10,0),
        IFERROR(
            DATE(2026,VLOOKUP(B1114,'Plan 2026'!B:H,7,0),31),
            "Chưa triển khai"
        )
    )
)</f>
        <v>Chưa triển khai</v>
      </c>
      <c r="M1114" s="2" t="s">
        <v>6688</v>
      </c>
      <c r="N1114" s="2">
        <v>46327</v>
      </c>
      <c r="X1114" s="1" t="s">
        <v>2204</v>
      </c>
    </row>
    <row r="1115" spans="2:24" ht="11.25" hidden="1" customHeight="1" x14ac:dyDescent="0.25">
      <c r="B1115" s="1" t="s">
        <v>2466</v>
      </c>
      <c r="C1115" s="17" t="str">
        <f>IFERROR(LEFT(VLOOKUP(B1115,'For consider'!D:E,2,0),8),"Chưa có code")</f>
        <v>Chưa có code</v>
      </c>
      <c r="D1115" s="1" t="s">
        <v>20</v>
      </c>
      <c r="E1115" s="1" t="str">
        <f t="shared" si="2"/>
        <v>Chưa triển khai</v>
      </c>
      <c r="F1115" s="1" t="str">
        <f>IFERROR(VLOOKUP(B1115,'Plan 2026'!B:AC,28,0),"không có trong file network")</f>
        <v>không có trong file network</v>
      </c>
      <c r="G1115" s="1" t="str">
        <f>IFERROR(IF(VLOOKUP(B1115,'TCH (append)'!C:P,14,0)="Completed","Hoàn thành thi công",
IF(VLOOKUP(B1115,'TCH (append)'!C:K,9,0)="Completed","Hoàn thành đấu thầu",
IF(VLOOKUP(B1115,'TCH (append)'!C:J,8,0)="Completed","Hoàn thành dự toán",
IF(VLOOKUP(B1115,'TCH (append)'!C:I,7,0)="Completed","Hoàn thành thiết kế",
"Chưa thiết kế")))),"Chưa có trong file PMO")</f>
        <v>Chưa có trong file PMO</v>
      </c>
      <c r="H1115" s="1" t="s">
        <v>2467</v>
      </c>
      <c r="I1115" s="1" t="s">
        <v>23</v>
      </c>
      <c r="J1115" s="1" t="s">
        <v>1239</v>
      </c>
      <c r="K1115" s="1" t="s">
        <v>1240</v>
      </c>
      <c r="L1115" s="2" t="str">
        <f>IF(
    F1115&lt;&gt;"Đã ký",
    "Chưa triển khai",
    IF(
        IFERROR(VLOOKUP(B1115,TCH[[Code budget]:[Ngày kết thúc thi công theo kế hoạch]],10,0),0)&gt;0,
        VLOOKUP(B1115,TCH[[Code budget]:[Ngày kết thúc thi công theo kế hoạch]],10,0),
        IFERROR(
            DATE(2026,VLOOKUP(B1115,'Plan 2026'!B:H,7,0),31),
            "Chưa triển khai"
        )
    )
)</f>
        <v>Chưa triển khai</v>
      </c>
      <c r="M1115" s="2" t="s">
        <v>6688</v>
      </c>
      <c r="N1115" s="2">
        <v>46054</v>
      </c>
      <c r="X1115" s="1" t="s">
        <v>2204</v>
      </c>
    </row>
    <row r="1116" spans="2:24" ht="11.25" hidden="1" customHeight="1" x14ac:dyDescent="0.25">
      <c r="B1116" s="1" t="s">
        <v>2468</v>
      </c>
      <c r="C1116" s="17" t="str">
        <f>IFERROR(LEFT(VLOOKUP(B1116,'For consider'!D:E,2,0),8),"Chưa có code")</f>
        <v>Chưa có code</v>
      </c>
      <c r="D1116" s="1" t="s">
        <v>20</v>
      </c>
      <c r="E1116" s="1" t="str">
        <f t="shared" si="2"/>
        <v>Chưa triển khai</v>
      </c>
      <c r="F1116" s="1" t="str">
        <f>IFERROR(VLOOKUP(B1116,'Plan 2026'!B:AC,28,0),"không có trong file network")</f>
        <v>Đang đàm phán</v>
      </c>
      <c r="G1116" s="1" t="str">
        <f>IFERROR(IF(VLOOKUP(B1116,'TCH (append)'!C:P,14,0)="Completed","Hoàn thành thi công",
IF(VLOOKUP(B1116,'TCH (append)'!C:K,9,0)="Completed","Hoàn thành đấu thầu",
IF(VLOOKUP(B1116,'TCH (append)'!C:J,8,0)="Completed","Hoàn thành dự toán",
IF(VLOOKUP(B1116,'TCH (append)'!C:I,7,0)="Completed","Hoàn thành thiết kế",
"Chưa thiết kế")))),"Chưa có trong file PMO")</f>
        <v>Hoàn thành dự toán</v>
      </c>
      <c r="H1116" s="1" t="s">
        <v>2469</v>
      </c>
      <c r="I1116" s="1" t="s">
        <v>23</v>
      </c>
      <c r="J1116" s="1" t="s">
        <v>1788</v>
      </c>
      <c r="K1116" s="1" t="s">
        <v>1789</v>
      </c>
      <c r="L1116" s="2" t="str">
        <f>IF(
    F1116&lt;&gt;"Đã ký",
    "Chưa triển khai",
    IF(
        IFERROR(VLOOKUP(B1116,TCH[[Code budget]:[Ngày kết thúc thi công theo kế hoạch]],10,0),0)&gt;0,
        VLOOKUP(B1116,TCH[[Code budget]:[Ngày kết thúc thi công theo kế hoạch]],10,0),
        IFERROR(
            DATE(2026,VLOOKUP(B1116,'Plan 2026'!B:H,7,0),31),
            "Chưa triển khai"
        )
    )
)</f>
        <v>Chưa triển khai</v>
      </c>
      <c r="M1116" s="2" t="s">
        <v>6688</v>
      </c>
      <c r="N1116" s="2">
        <v>46023</v>
      </c>
      <c r="X1116" s="1" t="s">
        <v>2204</v>
      </c>
    </row>
    <row r="1117" spans="2:24" ht="11.25" hidden="1" customHeight="1" x14ac:dyDescent="0.25">
      <c r="B1117" s="1" t="s">
        <v>2470</v>
      </c>
      <c r="C1117" s="17" t="str">
        <f>IFERROR(LEFT(VLOOKUP(B1117,'For consider'!D:E,2,0),8),"Chưa có code")</f>
        <v>Chưa có code</v>
      </c>
      <c r="D1117" s="1" t="s">
        <v>20</v>
      </c>
      <c r="E1117" s="1" t="str">
        <f t="shared" si="2"/>
        <v>Chưa triển khai</v>
      </c>
      <c r="F1117" s="1" t="str">
        <f>IFERROR(VLOOKUP(B1117,'Plan 2026'!B:AC,28,0),"không có trong file network")</f>
        <v>Chưa có</v>
      </c>
      <c r="G1117" s="1" t="str">
        <f>IFERROR(IF(VLOOKUP(B1117,'TCH (append)'!C:P,14,0)="Completed","Hoàn thành thi công",
IF(VLOOKUP(B1117,'TCH (append)'!C:K,9,0)="Completed","Hoàn thành đấu thầu",
IF(VLOOKUP(B1117,'TCH (append)'!C:J,8,0)="Completed","Hoàn thành dự toán",
IF(VLOOKUP(B1117,'TCH (append)'!C:I,7,0)="Completed","Hoàn thành thiết kế",
"Chưa thiết kế")))),"Chưa có trong file PMO")</f>
        <v>Chưa có trong file PMO</v>
      </c>
      <c r="H1117" s="1" t="s">
        <v>2471</v>
      </c>
      <c r="I1117" s="1" t="s">
        <v>23</v>
      </c>
      <c r="J1117" s="1" t="s">
        <v>1788</v>
      </c>
      <c r="K1117" s="1" t="s">
        <v>1789</v>
      </c>
      <c r="L1117" s="2" t="str">
        <f>IF(
    F1117&lt;&gt;"Đã ký",
    "Chưa triển khai",
    IF(
        IFERROR(VLOOKUP(B1117,TCH[[Code budget]:[Ngày kết thúc thi công theo kế hoạch]],10,0),0)&gt;0,
        VLOOKUP(B1117,TCH[[Code budget]:[Ngày kết thúc thi công theo kế hoạch]],10,0),
        IFERROR(
            DATE(2026,VLOOKUP(B1117,'Plan 2026'!B:H,7,0),31),
            "Chưa triển khai"
        )
    )
)</f>
        <v>Chưa triển khai</v>
      </c>
      <c r="M1117" s="2" t="s">
        <v>6688</v>
      </c>
      <c r="N1117" s="2">
        <v>46113</v>
      </c>
      <c r="X1117" s="1" t="s">
        <v>2204</v>
      </c>
    </row>
    <row r="1118" spans="2:24" ht="11.25" hidden="1" customHeight="1" x14ac:dyDescent="0.25">
      <c r="B1118" s="1" t="s">
        <v>2472</v>
      </c>
      <c r="C1118" s="17" t="str">
        <f>IFERROR(LEFT(VLOOKUP(B1118,'For consider'!D:E,2,0),8),"Chưa có code")</f>
        <v>Chưa có code</v>
      </c>
      <c r="D1118" s="1" t="s">
        <v>20</v>
      </c>
      <c r="E1118" s="1" t="str">
        <f t="shared" si="2"/>
        <v>Chưa triển khai</v>
      </c>
      <c r="F1118" s="1" t="str">
        <f>IFERROR(VLOOKUP(B1118,'Plan 2026'!B:AC,28,0),"không có trong file network")</f>
        <v>Đang offer</v>
      </c>
      <c r="G1118" s="1" t="str">
        <f>IFERROR(IF(VLOOKUP(B1118,'TCH (append)'!C:P,14,0)="Completed","Hoàn thành thi công",
IF(VLOOKUP(B1118,'TCH (append)'!C:K,9,0)="Completed","Hoàn thành đấu thầu",
IF(VLOOKUP(B1118,'TCH (append)'!C:J,8,0)="Completed","Hoàn thành dự toán",
IF(VLOOKUP(B1118,'TCH (append)'!C:I,7,0)="Completed","Hoàn thành thiết kế",
"Chưa thiết kế")))),"Chưa có trong file PMO")</f>
        <v>Chưa có trong file PMO</v>
      </c>
      <c r="H1118" s="1" t="s">
        <v>2473</v>
      </c>
      <c r="I1118" s="1" t="s">
        <v>23</v>
      </c>
      <c r="J1118" s="1" t="s">
        <v>1788</v>
      </c>
      <c r="K1118" s="1" t="s">
        <v>1789</v>
      </c>
      <c r="L1118" s="2" t="str">
        <f>IF(
    F1118&lt;&gt;"Đã ký",
    "Chưa triển khai",
    IF(
        IFERROR(VLOOKUP(B1118,TCH[[Code budget]:[Ngày kết thúc thi công theo kế hoạch]],10,0),0)&gt;0,
        VLOOKUP(B1118,TCH[[Code budget]:[Ngày kết thúc thi công theo kế hoạch]],10,0),
        IFERROR(
            DATE(2026,VLOOKUP(B1118,'Plan 2026'!B:H,7,0),31),
            "Chưa triển khai"
        )
    )
)</f>
        <v>Chưa triển khai</v>
      </c>
      <c r="M1118" s="2" t="s">
        <v>6688</v>
      </c>
      <c r="N1118" s="2">
        <v>46143</v>
      </c>
      <c r="X1118" s="1" t="s">
        <v>2204</v>
      </c>
    </row>
    <row r="1119" spans="2:24" ht="11.25" hidden="1" customHeight="1" x14ac:dyDescent="0.25">
      <c r="B1119" s="1" t="s">
        <v>2474</v>
      </c>
      <c r="C1119" s="17" t="str">
        <f>IFERROR(LEFT(VLOOKUP(B1119,'For consider'!D:E,2,0),8),"Chưa có code")</f>
        <v>Chưa có code</v>
      </c>
      <c r="D1119" s="1" t="s">
        <v>20</v>
      </c>
      <c r="E1119" s="1" t="str">
        <f t="shared" si="2"/>
        <v>Chưa triển khai</v>
      </c>
      <c r="F1119" s="1" t="str">
        <f>IFERROR(VLOOKUP(B1119,'Plan 2026'!B:AC,28,0),"không có trong file network")</f>
        <v>Đang offer</v>
      </c>
      <c r="G1119" s="1" t="str">
        <f>IFERROR(IF(VLOOKUP(B1119,'TCH (append)'!C:P,14,0)="Completed","Hoàn thành thi công",
IF(VLOOKUP(B1119,'TCH (append)'!C:K,9,0)="Completed","Hoàn thành đấu thầu",
IF(VLOOKUP(B1119,'TCH (append)'!C:J,8,0)="Completed","Hoàn thành dự toán",
IF(VLOOKUP(B1119,'TCH (append)'!C:I,7,0)="Completed","Hoàn thành thiết kế",
"Chưa thiết kế")))),"Chưa có trong file PMO")</f>
        <v>Chưa có trong file PMO</v>
      </c>
      <c r="H1119" s="1" t="s">
        <v>2475</v>
      </c>
      <c r="I1119" s="1" t="s">
        <v>23</v>
      </c>
      <c r="J1119" s="1" t="s">
        <v>1788</v>
      </c>
      <c r="K1119" s="1" t="s">
        <v>1789</v>
      </c>
      <c r="L1119" s="2" t="str">
        <f>IF(
    F1119&lt;&gt;"Đã ký",
    "Chưa triển khai",
    IF(
        IFERROR(VLOOKUP(B1119,TCH[[Code budget]:[Ngày kết thúc thi công theo kế hoạch]],10,0),0)&gt;0,
        VLOOKUP(B1119,TCH[[Code budget]:[Ngày kết thúc thi công theo kế hoạch]],10,0),
        IFERROR(
            DATE(2026,VLOOKUP(B1119,'Plan 2026'!B:H,7,0),31),
            "Chưa triển khai"
        )
    )
)</f>
        <v>Chưa triển khai</v>
      </c>
      <c r="M1119" s="2" t="s">
        <v>6688</v>
      </c>
      <c r="N1119" s="2">
        <v>46143</v>
      </c>
      <c r="X1119" s="1" t="s">
        <v>2204</v>
      </c>
    </row>
    <row r="1120" spans="2:24" ht="11.25" hidden="1" customHeight="1" x14ac:dyDescent="0.25">
      <c r="B1120" s="1" t="s">
        <v>2476</v>
      </c>
      <c r="C1120" s="17" t="str">
        <f>IFERROR(LEFT(VLOOKUP(B1120,'For consider'!D:E,2,0),8),"Chưa có code")</f>
        <v>Chưa có code</v>
      </c>
      <c r="D1120" s="1" t="s">
        <v>20</v>
      </c>
      <c r="E1120" s="1" t="str">
        <f t="shared" si="2"/>
        <v>Chưa triển khai</v>
      </c>
      <c r="F1120" s="1" t="str">
        <f>IFERROR(VLOOKUP(B1120,'Plan 2026'!B:AC,28,0),"không có trong file network")</f>
        <v>Reject</v>
      </c>
      <c r="G1120" s="1" t="str">
        <f>IFERROR(IF(VLOOKUP(B1120,'TCH (append)'!C:P,14,0)="Completed","Hoàn thành thi công",
IF(VLOOKUP(B1120,'TCH (append)'!C:K,9,0)="Completed","Hoàn thành đấu thầu",
IF(VLOOKUP(B1120,'TCH (append)'!C:J,8,0)="Completed","Hoàn thành dự toán",
IF(VLOOKUP(B1120,'TCH (append)'!C:I,7,0)="Completed","Hoàn thành thiết kế",
"Chưa thiết kế")))),"Chưa có trong file PMO")</f>
        <v>Chưa có trong file PMO</v>
      </c>
      <c r="H1120" s="1" t="s">
        <v>2477</v>
      </c>
      <c r="I1120" s="1" t="s">
        <v>23</v>
      </c>
      <c r="J1120" s="1" t="s">
        <v>1788</v>
      </c>
      <c r="K1120" s="1" t="s">
        <v>1789</v>
      </c>
      <c r="L1120" s="2" t="str">
        <f>IF(
    F1120&lt;&gt;"Đã ký",
    "Chưa triển khai",
    IF(
        IFERROR(VLOOKUP(B1120,TCH[[Code budget]:[Ngày kết thúc thi công theo kế hoạch]],10,0),0)&gt;0,
        VLOOKUP(B1120,TCH[[Code budget]:[Ngày kết thúc thi công theo kế hoạch]],10,0),
        IFERROR(
            DATE(2026,VLOOKUP(B1120,'Plan 2026'!B:H,7,0),31),
            "Chưa triển khai"
        )
    )
)</f>
        <v>Chưa triển khai</v>
      </c>
      <c r="M1120" s="2" t="s">
        <v>6688</v>
      </c>
      <c r="N1120" s="2">
        <v>46143</v>
      </c>
      <c r="X1120" s="1" t="s">
        <v>2204</v>
      </c>
    </row>
    <row r="1121" spans="2:24" ht="11.25" hidden="1" customHeight="1" x14ac:dyDescent="0.25">
      <c r="B1121" s="1" t="s">
        <v>2478</v>
      </c>
      <c r="C1121" s="17" t="str">
        <f>IFERROR(LEFT(VLOOKUP(B1121,'For consider'!D:E,2,0),8),"Chưa có code")</f>
        <v>Chưa có code</v>
      </c>
      <c r="D1121" s="1" t="s">
        <v>348</v>
      </c>
      <c r="E1121" s="1" t="str">
        <f t="shared" si="2"/>
        <v>Chưa triển khai</v>
      </c>
      <c r="F1121" s="1" t="str">
        <f>IFERROR(VLOOKUP(B1121,'Plan 2026'!B:AC,28,0),"không có trong file network")</f>
        <v>Chưa có</v>
      </c>
      <c r="G1121" s="1" t="str">
        <f>IFERROR(IF(VLOOKUP(B1121,'TCH (append)'!C:P,14,0)="Completed","Hoàn thành thi công",
IF(VLOOKUP(B1121,'TCH (append)'!C:K,9,0)="Completed","Hoàn thành đấu thầu",
IF(VLOOKUP(B1121,'TCH (append)'!C:J,8,0)="Completed","Hoàn thành dự toán",
IF(VLOOKUP(B1121,'TCH (append)'!C:I,7,0)="Completed","Hoàn thành thiết kế",
"Chưa thiết kế")))),"Chưa có trong file PMO")</f>
        <v>Chưa có trong file PMO</v>
      </c>
      <c r="H1121" s="1" t="s">
        <v>2479</v>
      </c>
      <c r="I1121" s="1" t="s">
        <v>350</v>
      </c>
      <c r="J1121" s="1" t="s">
        <v>1788</v>
      </c>
      <c r="K1121" s="1" t="s">
        <v>1789</v>
      </c>
      <c r="L1121" s="2" t="str">
        <f>IF(
    F1121&lt;&gt;"Đã ký",
    "Chưa triển khai",
    IF(
        IFERROR(VLOOKUP(B1121,TCH[[Code budget]:[Ngày kết thúc thi công theo kế hoạch]],10,0),0)&gt;0,
        VLOOKUP(B1121,TCH[[Code budget]:[Ngày kết thúc thi công theo kế hoạch]],10,0),
        IFERROR(
            DATE(2026,VLOOKUP(B1121,'Plan 2026'!B:H,7,0),31),
            "Chưa triển khai"
        )
    )
)</f>
        <v>Chưa triển khai</v>
      </c>
      <c r="M1121" s="2" t="s">
        <v>6688</v>
      </c>
      <c r="N1121" s="2">
        <v>46174</v>
      </c>
      <c r="X1121" s="1" t="s">
        <v>2204</v>
      </c>
    </row>
    <row r="1122" spans="2:24" ht="11.25" hidden="1" customHeight="1" x14ac:dyDescent="0.25">
      <c r="B1122" s="1" t="s">
        <v>2480</v>
      </c>
      <c r="C1122" s="17" t="str">
        <f>IFERROR(LEFT(VLOOKUP(B1122,'For consider'!D:E,2,0),8),"Chưa có code")</f>
        <v>Chưa có code</v>
      </c>
      <c r="D1122" s="1" t="s">
        <v>348</v>
      </c>
      <c r="E1122" s="1" t="str">
        <f t="shared" si="2"/>
        <v>Chưa triển khai</v>
      </c>
      <c r="F1122" s="1" t="str">
        <f>IFERROR(VLOOKUP(B1122,'Plan 2026'!B:AC,28,0),"không có trong file network")</f>
        <v>Chưa có</v>
      </c>
      <c r="G1122" s="1" t="str">
        <f>IFERROR(IF(VLOOKUP(B1122,'TCH (append)'!C:P,14,0)="Completed","Hoàn thành thi công",
IF(VLOOKUP(B1122,'TCH (append)'!C:K,9,0)="Completed","Hoàn thành đấu thầu",
IF(VLOOKUP(B1122,'TCH (append)'!C:J,8,0)="Completed","Hoàn thành dự toán",
IF(VLOOKUP(B1122,'TCH (append)'!C:I,7,0)="Completed","Hoàn thành thiết kế",
"Chưa thiết kế")))),"Chưa có trong file PMO")</f>
        <v>Chưa có trong file PMO</v>
      </c>
      <c r="H1122" s="1" t="s">
        <v>2481</v>
      </c>
      <c r="I1122" s="1" t="s">
        <v>350</v>
      </c>
      <c r="J1122" s="1" t="s">
        <v>1788</v>
      </c>
      <c r="K1122" s="1" t="s">
        <v>1789</v>
      </c>
      <c r="L1122" s="2" t="str">
        <f>IF(
    F1122&lt;&gt;"Đã ký",
    "Chưa triển khai",
    IF(
        IFERROR(VLOOKUP(B1122,TCH[[Code budget]:[Ngày kết thúc thi công theo kế hoạch]],10,0),0)&gt;0,
        VLOOKUP(B1122,TCH[[Code budget]:[Ngày kết thúc thi công theo kế hoạch]],10,0),
        IFERROR(
            DATE(2026,VLOOKUP(B1122,'Plan 2026'!B:H,7,0),31),
            "Chưa triển khai"
        )
    )
)</f>
        <v>Chưa triển khai</v>
      </c>
      <c r="M1122" s="2" t="s">
        <v>6688</v>
      </c>
      <c r="N1122" s="2">
        <v>46174</v>
      </c>
      <c r="X1122" s="1" t="s">
        <v>2204</v>
      </c>
    </row>
    <row r="1123" spans="2:24" ht="11.25" hidden="1" customHeight="1" x14ac:dyDescent="0.25">
      <c r="B1123" s="1" t="s">
        <v>2482</v>
      </c>
      <c r="C1123" s="17" t="str">
        <f>IFERROR(LEFT(VLOOKUP(B1123,'For consider'!D:E,2,0),8),"Chưa có code")</f>
        <v>Chưa có code</v>
      </c>
      <c r="D1123" s="1" t="s">
        <v>348</v>
      </c>
      <c r="E1123" s="1" t="str">
        <f t="shared" si="2"/>
        <v>Chưa triển khai</v>
      </c>
      <c r="F1123" s="1" t="str">
        <f>IFERROR(VLOOKUP(B1123,'Plan 2026'!B:AC,28,0),"không có trong file network")</f>
        <v>không có trong file network</v>
      </c>
      <c r="G1123" s="1" t="str">
        <f>IFERROR(IF(VLOOKUP(B1123,'TCH (append)'!C:P,14,0)="Completed","Hoàn thành thi công",
IF(VLOOKUP(B1123,'TCH (append)'!C:K,9,0)="Completed","Hoàn thành đấu thầu",
IF(VLOOKUP(B1123,'TCH (append)'!C:J,8,0)="Completed","Hoàn thành dự toán",
IF(VLOOKUP(B1123,'TCH (append)'!C:I,7,0)="Completed","Hoàn thành thiết kế",
"Chưa thiết kế")))),"Chưa có trong file PMO")</f>
        <v>Chưa có trong file PMO</v>
      </c>
      <c r="H1123" s="1" t="s">
        <v>2483</v>
      </c>
      <c r="I1123" s="1" t="s">
        <v>350</v>
      </c>
      <c r="J1123" s="1" t="s">
        <v>1788</v>
      </c>
      <c r="K1123" s="1" t="s">
        <v>1789</v>
      </c>
      <c r="L1123" s="2" t="str">
        <f>IF(
    F1123&lt;&gt;"Đã ký",
    "Chưa triển khai",
    IF(
        IFERROR(VLOOKUP(B1123,TCH[[Code budget]:[Ngày kết thúc thi công theo kế hoạch]],10,0),0)&gt;0,
        VLOOKUP(B1123,TCH[[Code budget]:[Ngày kết thúc thi công theo kế hoạch]],10,0),
        IFERROR(
            DATE(2026,VLOOKUP(B1123,'Plan 2026'!B:H,7,0),31),
            "Chưa triển khai"
        )
    )
)</f>
        <v>Chưa triển khai</v>
      </c>
      <c r="M1123" s="2" t="s">
        <v>6688</v>
      </c>
      <c r="N1123" s="2">
        <v>46204</v>
      </c>
      <c r="X1123" s="1" t="s">
        <v>2204</v>
      </c>
    </row>
    <row r="1124" spans="2:24" ht="11.25" hidden="1" customHeight="1" x14ac:dyDescent="0.25">
      <c r="B1124" s="1" t="s">
        <v>2484</v>
      </c>
      <c r="C1124" s="17" t="str">
        <f>IFERROR(LEFT(VLOOKUP(B1124,'For consider'!D:E,2,0),8),"Chưa có code")</f>
        <v>Chưa có code</v>
      </c>
      <c r="D1124" s="1" t="s">
        <v>348</v>
      </c>
      <c r="E1124" s="1" t="str">
        <f t="shared" si="2"/>
        <v>Chưa triển khai</v>
      </c>
      <c r="F1124" s="1" t="str">
        <f>IFERROR(VLOOKUP(B1124,'Plan 2026'!B:AC,28,0),"không có trong file network")</f>
        <v>Chưa có</v>
      </c>
      <c r="G1124" s="1" t="str">
        <f>IFERROR(IF(VLOOKUP(B1124,'TCH (append)'!C:P,14,0)="Completed","Hoàn thành thi công",
IF(VLOOKUP(B1124,'TCH (append)'!C:K,9,0)="Completed","Hoàn thành đấu thầu",
IF(VLOOKUP(B1124,'TCH (append)'!C:J,8,0)="Completed","Hoàn thành dự toán",
IF(VLOOKUP(B1124,'TCH (append)'!C:I,7,0)="Completed","Hoàn thành thiết kế",
"Chưa thiết kế")))),"Chưa có trong file PMO")</f>
        <v>Chưa có trong file PMO</v>
      </c>
      <c r="H1124" s="1" t="s">
        <v>2485</v>
      </c>
      <c r="I1124" s="1" t="s">
        <v>350</v>
      </c>
      <c r="J1124" s="1" t="s">
        <v>1788</v>
      </c>
      <c r="K1124" s="1" t="s">
        <v>1789</v>
      </c>
      <c r="L1124" s="2" t="str">
        <f>IF(
    F1124&lt;&gt;"Đã ký",
    "Chưa triển khai",
    IF(
        IFERROR(VLOOKUP(B1124,TCH[[Code budget]:[Ngày kết thúc thi công theo kế hoạch]],10,0),0)&gt;0,
        VLOOKUP(B1124,TCH[[Code budget]:[Ngày kết thúc thi công theo kế hoạch]],10,0),
        IFERROR(
            DATE(2026,VLOOKUP(B1124,'Plan 2026'!B:H,7,0),31),
            "Chưa triển khai"
        )
    )
)</f>
        <v>Chưa triển khai</v>
      </c>
      <c r="M1124" s="2" t="s">
        <v>6688</v>
      </c>
      <c r="N1124" s="2">
        <v>46113</v>
      </c>
      <c r="X1124" s="1" t="s">
        <v>2204</v>
      </c>
    </row>
    <row r="1125" spans="2:24" ht="11.25" hidden="1" customHeight="1" x14ac:dyDescent="0.25">
      <c r="B1125" s="1" t="s">
        <v>2486</v>
      </c>
      <c r="C1125" s="17" t="str">
        <f>IFERROR(LEFT(VLOOKUP(B1125,'For consider'!D:E,2,0),8),"Chưa có code")</f>
        <v>Chưa có code</v>
      </c>
      <c r="D1125" s="1" t="s">
        <v>348</v>
      </c>
      <c r="E1125" s="1" t="str">
        <f t="shared" si="2"/>
        <v>Chưa triển khai</v>
      </c>
      <c r="F1125" s="1" t="str">
        <f>IFERROR(VLOOKUP(B1125,'Plan 2026'!B:AC,28,0),"không có trong file network")</f>
        <v>Chưa có</v>
      </c>
      <c r="G1125" s="1" t="str">
        <f>IFERROR(IF(VLOOKUP(B1125,'TCH (append)'!C:P,14,0)="Completed","Hoàn thành thi công",
IF(VLOOKUP(B1125,'TCH (append)'!C:K,9,0)="Completed","Hoàn thành đấu thầu",
IF(VLOOKUP(B1125,'TCH (append)'!C:J,8,0)="Completed","Hoàn thành dự toán",
IF(VLOOKUP(B1125,'TCH (append)'!C:I,7,0)="Completed","Hoàn thành thiết kế",
"Chưa thiết kế")))),"Chưa có trong file PMO")</f>
        <v>Chưa có trong file PMO</v>
      </c>
      <c r="H1125" s="1" t="s">
        <v>2487</v>
      </c>
      <c r="I1125" s="1" t="s">
        <v>350</v>
      </c>
      <c r="J1125" s="1" t="s">
        <v>1788</v>
      </c>
      <c r="K1125" s="1" t="s">
        <v>1789</v>
      </c>
      <c r="L1125" s="2" t="str">
        <f>IF(
    F1125&lt;&gt;"Đã ký",
    "Chưa triển khai",
    IF(
        IFERROR(VLOOKUP(B1125,TCH[[Code budget]:[Ngày kết thúc thi công theo kế hoạch]],10,0),0)&gt;0,
        VLOOKUP(B1125,TCH[[Code budget]:[Ngày kết thúc thi công theo kế hoạch]],10,0),
        IFERROR(
            DATE(2026,VLOOKUP(B1125,'Plan 2026'!B:H,7,0),31),
            "Chưa triển khai"
        )
    )
)</f>
        <v>Chưa triển khai</v>
      </c>
      <c r="M1125" s="2" t="s">
        <v>6688</v>
      </c>
      <c r="N1125" s="2">
        <v>46113</v>
      </c>
      <c r="X1125" s="1" t="s">
        <v>2204</v>
      </c>
    </row>
    <row r="1126" spans="2:24" ht="11.25" hidden="1" customHeight="1" x14ac:dyDescent="0.25">
      <c r="B1126" s="1" t="s">
        <v>2488</v>
      </c>
      <c r="C1126" s="17" t="str">
        <f>IFERROR(LEFT(VLOOKUP(B1126,'For consider'!D:E,2,0),8),"Chưa có code")</f>
        <v>Chưa có code</v>
      </c>
      <c r="D1126" s="1" t="s">
        <v>348</v>
      </c>
      <c r="E1126" s="1" t="str">
        <f t="shared" si="2"/>
        <v>Chưa triển khai</v>
      </c>
      <c r="F1126" s="1" t="str">
        <f>IFERROR(VLOOKUP(B1126,'Plan 2026'!B:AC,28,0),"không có trong file network")</f>
        <v>Chưa có</v>
      </c>
      <c r="G1126" s="1" t="str">
        <f>IFERROR(IF(VLOOKUP(B1126,'TCH (append)'!C:P,14,0)="Completed","Hoàn thành thi công",
IF(VLOOKUP(B1126,'TCH (append)'!C:K,9,0)="Completed","Hoàn thành đấu thầu",
IF(VLOOKUP(B1126,'TCH (append)'!C:J,8,0)="Completed","Hoàn thành dự toán",
IF(VLOOKUP(B1126,'TCH (append)'!C:I,7,0)="Completed","Hoàn thành thiết kế",
"Chưa thiết kế")))),"Chưa có trong file PMO")</f>
        <v>Chưa có trong file PMO</v>
      </c>
      <c r="H1126" s="1" t="s">
        <v>2489</v>
      </c>
      <c r="I1126" s="1" t="s">
        <v>350</v>
      </c>
      <c r="J1126" s="1" t="s">
        <v>1788</v>
      </c>
      <c r="K1126" s="1" t="s">
        <v>1789</v>
      </c>
      <c r="L1126" s="2" t="str">
        <f>IF(
    F1126&lt;&gt;"Đã ký",
    "Chưa triển khai",
    IF(
        IFERROR(VLOOKUP(B1126,TCH[[Code budget]:[Ngày kết thúc thi công theo kế hoạch]],10,0),0)&gt;0,
        VLOOKUP(B1126,TCH[[Code budget]:[Ngày kết thúc thi công theo kế hoạch]],10,0),
        IFERROR(
            DATE(2026,VLOOKUP(B1126,'Plan 2026'!B:H,7,0),31),
            "Chưa triển khai"
        )
    )
)</f>
        <v>Chưa triển khai</v>
      </c>
      <c r="M1126" s="2" t="s">
        <v>6688</v>
      </c>
      <c r="N1126" s="2">
        <v>46143</v>
      </c>
      <c r="X1126" s="1" t="s">
        <v>2204</v>
      </c>
    </row>
    <row r="1127" spans="2:24" ht="11.25" hidden="1" customHeight="1" x14ac:dyDescent="0.25">
      <c r="B1127" s="1" t="s">
        <v>2490</v>
      </c>
      <c r="C1127" s="17" t="str">
        <f>IFERROR(LEFT(VLOOKUP(B1127,'For consider'!D:E,2,0),8),"Chưa có code")</f>
        <v>Chưa có code</v>
      </c>
      <c r="D1127" s="1" t="s">
        <v>348</v>
      </c>
      <c r="E1127" s="1" t="str">
        <f t="shared" si="2"/>
        <v>Chưa triển khai</v>
      </c>
      <c r="F1127" s="1" t="str">
        <f>IFERROR(VLOOKUP(B1127,'Plan 2026'!B:AC,28,0),"không có trong file network")</f>
        <v>Chưa có</v>
      </c>
      <c r="G1127" s="1" t="str">
        <f>IFERROR(IF(VLOOKUP(B1127,'TCH (append)'!C:P,14,0)="Completed","Hoàn thành thi công",
IF(VLOOKUP(B1127,'TCH (append)'!C:K,9,0)="Completed","Hoàn thành đấu thầu",
IF(VLOOKUP(B1127,'TCH (append)'!C:J,8,0)="Completed","Hoàn thành dự toán",
IF(VLOOKUP(B1127,'TCH (append)'!C:I,7,0)="Completed","Hoàn thành thiết kế",
"Chưa thiết kế")))),"Chưa có trong file PMO")</f>
        <v>Chưa có trong file PMO</v>
      </c>
      <c r="H1127" s="1" t="s">
        <v>2491</v>
      </c>
      <c r="I1127" s="1" t="s">
        <v>350</v>
      </c>
      <c r="J1127" s="1" t="s">
        <v>1788</v>
      </c>
      <c r="K1127" s="1" t="s">
        <v>1789</v>
      </c>
      <c r="L1127" s="2" t="str">
        <f>IF(
    F1127&lt;&gt;"Đã ký",
    "Chưa triển khai",
    IF(
        IFERROR(VLOOKUP(B1127,TCH[[Code budget]:[Ngày kết thúc thi công theo kế hoạch]],10,0),0)&gt;0,
        VLOOKUP(B1127,TCH[[Code budget]:[Ngày kết thúc thi công theo kế hoạch]],10,0),
        IFERROR(
            DATE(2026,VLOOKUP(B1127,'Plan 2026'!B:H,7,0),31),
            "Chưa triển khai"
        )
    )
)</f>
        <v>Chưa triển khai</v>
      </c>
      <c r="M1127" s="2" t="s">
        <v>6688</v>
      </c>
      <c r="N1127" s="2">
        <v>46143</v>
      </c>
      <c r="X1127" s="1" t="s">
        <v>2204</v>
      </c>
    </row>
    <row r="1128" spans="2:24" ht="11.25" hidden="1" customHeight="1" x14ac:dyDescent="0.25">
      <c r="B1128" s="1" t="s">
        <v>2492</v>
      </c>
      <c r="C1128" s="17" t="str">
        <f>IFERROR(LEFT(VLOOKUP(B1128,'For consider'!D:E,2,0),8),"Chưa có code")</f>
        <v>Chưa có code</v>
      </c>
      <c r="D1128" s="1" t="s">
        <v>348</v>
      </c>
      <c r="E1128" s="1" t="str">
        <f t="shared" si="2"/>
        <v>Chưa triển khai</v>
      </c>
      <c r="F1128" s="1" t="str">
        <f>IFERROR(VLOOKUP(B1128,'Plan 2026'!B:AC,28,0),"không có trong file network")</f>
        <v>Chưa có</v>
      </c>
      <c r="G1128" s="1" t="str">
        <f>IFERROR(IF(VLOOKUP(B1128,'TCH (append)'!C:P,14,0)="Completed","Hoàn thành thi công",
IF(VLOOKUP(B1128,'TCH (append)'!C:K,9,0)="Completed","Hoàn thành đấu thầu",
IF(VLOOKUP(B1128,'TCH (append)'!C:J,8,0)="Completed","Hoàn thành dự toán",
IF(VLOOKUP(B1128,'TCH (append)'!C:I,7,0)="Completed","Hoàn thành thiết kế",
"Chưa thiết kế")))),"Chưa có trong file PMO")</f>
        <v>Chưa có trong file PMO</v>
      </c>
      <c r="H1128" s="1" t="s">
        <v>2493</v>
      </c>
      <c r="I1128" s="1" t="s">
        <v>350</v>
      </c>
      <c r="J1128" s="1" t="s">
        <v>1788</v>
      </c>
      <c r="K1128" s="1" t="s">
        <v>1789</v>
      </c>
      <c r="L1128" s="2" t="str">
        <f>IF(
    F1128&lt;&gt;"Đã ký",
    "Chưa triển khai",
    IF(
        IFERROR(VLOOKUP(B1128,TCH[[Code budget]:[Ngày kết thúc thi công theo kế hoạch]],10,0),0)&gt;0,
        VLOOKUP(B1128,TCH[[Code budget]:[Ngày kết thúc thi công theo kế hoạch]],10,0),
        IFERROR(
            DATE(2026,VLOOKUP(B1128,'Plan 2026'!B:H,7,0),31),
            "Chưa triển khai"
        )
    )
)</f>
        <v>Chưa triển khai</v>
      </c>
      <c r="M1128" s="2" t="s">
        <v>6688</v>
      </c>
      <c r="N1128" s="2">
        <v>46143</v>
      </c>
      <c r="X1128" s="1" t="s">
        <v>2204</v>
      </c>
    </row>
    <row r="1129" spans="2:24" ht="11.25" hidden="1" customHeight="1" x14ac:dyDescent="0.25">
      <c r="B1129" s="1" t="s">
        <v>2494</v>
      </c>
      <c r="C1129" s="17" t="str">
        <f>IFERROR(LEFT(VLOOKUP(B1129,'For consider'!D:E,2,0),8),"Chưa có code")</f>
        <v>Chưa có code</v>
      </c>
      <c r="D1129" s="1" t="s">
        <v>348</v>
      </c>
      <c r="E1129" s="1" t="str">
        <f t="shared" si="2"/>
        <v>Chưa triển khai</v>
      </c>
      <c r="F1129" s="1" t="str">
        <f>IFERROR(VLOOKUP(B1129,'Plan 2026'!B:AC,28,0),"không có trong file network")</f>
        <v>không có trong file network</v>
      </c>
      <c r="G1129" s="1" t="str">
        <f>IFERROR(IF(VLOOKUP(B1129,'TCH (append)'!C:P,14,0)="Completed","Hoàn thành thi công",
IF(VLOOKUP(B1129,'TCH (append)'!C:K,9,0)="Completed","Hoàn thành đấu thầu",
IF(VLOOKUP(B1129,'TCH (append)'!C:J,8,0)="Completed","Hoàn thành dự toán",
IF(VLOOKUP(B1129,'TCH (append)'!C:I,7,0)="Completed","Hoàn thành thiết kế",
"Chưa thiết kế")))),"Chưa có trong file PMO")</f>
        <v>Chưa có trong file PMO</v>
      </c>
      <c r="H1129" s="1" t="s">
        <v>2495</v>
      </c>
      <c r="I1129" s="1" t="s">
        <v>350</v>
      </c>
      <c r="J1129" s="1" t="s">
        <v>1788</v>
      </c>
      <c r="K1129" s="1" t="s">
        <v>1789</v>
      </c>
      <c r="L1129" s="2" t="str">
        <f>IF(
    F1129&lt;&gt;"Đã ký",
    "Chưa triển khai",
    IF(
        IFERROR(VLOOKUP(B1129,TCH[[Code budget]:[Ngày kết thúc thi công theo kế hoạch]],10,0),0)&gt;0,
        VLOOKUP(B1129,TCH[[Code budget]:[Ngày kết thúc thi công theo kế hoạch]],10,0),
        IFERROR(
            DATE(2026,VLOOKUP(B1129,'Plan 2026'!B:H,7,0),31),
            "Chưa triển khai"
        )
    )
)</f>
        <v>Chưa triển khai</v>
      </c>
      <c r="M1129" s="2" t="s">
        <v>6688</v>
      </c>
      <c r="N1129" s="2">
        <v>46174</v>
      </c>
      <c r="X1129" s="1" t="s">
        <v>2204</v>
      </c>
    </row>
    <row r="1130" spans="2:24" ht="11.25" hidden="1" customHeight="1" x14ac:dyDescent="0.25">
      <c r="B1130" s="1" t="s">
        <v>2496</v>
      </c>
      <c r="C1130" s="17" t="str">
        <f>IFERROR(LEFT(VLOOKUP(B1130,'For consider'!D:E,2,0),8),"Chưa có code")</f>
        <v>Chưa có code</v>
      </c>
      <c r="D1130" s="1" t="s">
        <v>348</v>
      </c>
      <c r="E1130" s="1" t="str">
        <f t="shared" si="2"/>
        <v>Chưa triển khai</v>
      </c>
      <c r="F1130" s="1" t="str">
        <f>IFERROR(VLOOKUP(B1130,'Plan 2026'!B:AC,28,0),"không có trong file network")</f>
        <v>Hủy bỏ</v>
      </c>
      <c r="G1130" s="1" t="str">
        <f>IFERROR(IF(VLOOKUP(B1130,'TCH (append)'!C:P,14,0)="Completed","Hoàn thành thi công",
IF(VLOOKUP(B1130,'TCH (append)'!C:K,9,0)="Completed","Hoàn thành đấu thầu",
IF(VLOOKUP(B1130,'TCH (append)'!C:J,8,0)="Completed","Hoàn thành dự toán",
IF(VLOOKUP(B1130,'TCH (append)'!C:I,7,0)="Completed","Hoàn thành thiết kế",
"Chưa thiết kế")))),"Chưa có trong file PMO")</f>
        <v>Chưa có trong file PMO</v>
      </c>
      <c r="H1130" s="1" t="s">
        <v>2497</v>
      </c>
      <c r="I1130" s="1" t="s">
        <v>350</v>
      </c>
      <c r="J1130" s="1" t="s">
        <v>1788</v>
      </c>
      <c r="K1130" s="1" t="s">
        <v>1789</v>
      </c>
      <c r="L1130" s="2" t="str">
        <f>IF(
    F1130&lt;&gt;"Đã ký",
    "Chưa triển khai",
    IF(
        IFERROR(VLOOKUP(B1130,TCH[[Code budget]:[Ngày kết thúc thi công theo kế hoạch]],10,0),0)&gt;0,
        VLOOKUP(B1130,TCH[[Code budget]:[Ngày kết thúc thi công theo kế hoạch]],10,0),
        IFERROR(
            DATE(2026,VLOOKUP(B1130,'Plan 2026'!B:H,7,0),31),
            "Chưa triển khai"
        )
    )
)</f>
        <v>Chưa triển khai</v>
      </c>
      <c r="M1130" s="2" t="s">
        <v>6688</v>
      </c>
      <c r="N1130" s="2">
        <v>46174</v>
      </c>
      <c r="X1130" s="1" t="s">
        <v>2204</v>
      </c>
    </row>
    <row r="1131" spans="2:24" ht="11.25" hidden="1" customHeight="1" x14ac:dyDescent="0.25">
      <c r="B1131" s="1" t="s">
        <v>2498</v>
      </c>
      <c r="C1131" s="17" t="str">
        <f>IFERROR(LEFT(VLOOKUP(B1131,'For consider'!D:E,2,0),8),"Chưa có code")</f>
        <v>Chưa có code</v>
      </c>
      <c r="D1131" s="1" t="s">
        <v>20</v>
      </c>
      <c r="E1131" s="1" t="str">
        <f t="shared" si="2"/>
        <v>Chưa triển khai</v>
      </c>
      <c r="F1131" s="1" t="str">
        <f>IFERROR(VLOOKUP(B1131,'Plan 2026'!B:AC,28,0),"không có trong file network")</f>
        <v>Hủy bỏ</v>
      </c>
      <c r="G1131" s="1" t="str">
        <f>IFERROR(IF(VLOOKUP(B1131,'TCH (append)'!C:P,14,0)="Completed","Hoàn thành thi công",
IF(VLOOKUP(B1131,'TCH (append)'!C:K,9,0)="Completed","Hoàn thành đấu thầu",
IF(VLOOKUP(B1131,'TCH (append)'!C:J,8,0)="Completed","Hoàn thành dự toán",
IF(VLOOKUP(B1131,'TCH (append)'!C:I,7,0)="Completed","Hoàn thành thiết kế",
"Chưa thiết kế")))),"Chưa có trong file PMO")</f>
        <v>Chưa có trong file PMO</v>
      </c>
      <c r="H1131" s="1" t="s">
        <v>2499</v>
      </c>
      <c r="I1131" s="1" t="s">
        <v>23</v>
      </c>
      <c r="J1131" s="1" t="s">
        <v>1788</v>
      </c>
      <c r="K1131" s="1" t="s">
        <v>1789</v>
      </c>
      <c r="L1131" s="2" t="str">
        <f>IF(
    F1131&lt;&gt;"Đã ký",
    "Chưa triển khai",
    IF(
        IFERROR(VLOOKUP(B1131,TCH[[Code budget]:[Ngày kết thúc thi công theo kế hoạch]],10,0),0)&gt;0,
        VLOOKUP(B1131,TCH[[Code budget]:[Ngày kết thúc thi công theo kế hoạch]],10,0),
        IFERROR(
            DATE(2026,VLOOKUP(B1131,'Plan 2026'!B:H,7,0),31),
            "Chưa triển khai"
        )
    )
)</f>
        <v>Chưa triển khai</v>
      </c>
      <c r="M1131" s="2" t="s">
        <v>6688</v>
      </c>
      <c r="N1131" s="2">
        <v>46204</v>
      </c>
      <c r="X1131" s="1" t="s">
        <v>2204</v>
      </c>
    </row>
    <row r="1132" spans="2:24" ht="11.25" hidden="1" customHeight="1" x14ac:dyDescent="0.25">
      <c r="B1132" s="1" t="s">
        <v>2500</v>
      </c>
      <c r="C1132" s="17" t="str">
        <f>IFERROR(LEFT(VLOOKUP(B1132,'For consider'!D:E,2,0),8),"Chưa có code")</f>
        <v>Chưa có code</v>
      </c>
      <c r="D1132" s="1" t="s">
        <v>20</v>
      </c>
      <c r="E1132" s="1" t="str">
        <f t="shared" si="2"/>
        <v>Chưa triển khai</v>
      </c>
      <c r="F1132" s="1" t="str">
        <f>IFERROR(VLOOKUP(B1132,'Plan 2026'!B:AC,28,0),"không có trong file network")</f>
        <v>Chưa có</v>
      </c>
      <c r="G1132" s="1" t="str">
        <f>IFERROR(IF(VLOOKUP(B1132,'TCH (append)'!C:P,14,0)="Completed","Hoàn thành thi công",
IF(VLOOKUP(B1132,'TCH (append)'!C:K,9,0)="Completed","Hoàn thành đấu thầu",
IF(VLOOKUP(B1132,'TCH (append)'!C:J,8,0)="Completed","Hoàn thành dự toán",
IF(VLOOKUP(B1132,'TCH (append)'!C:I,7,0)="Completed","Hoàn thành thiết kế",
"Chưa thiết kế")))),"Chưa có trong file PMO")</f>
        <v>Chưa có trong file PMO</v>
      </c>
      <c r="H1132" s="1" t="s">
        <v>2501</v>
      </c>
      <c r="I1132" s="1" t="s">
        <v>23</v>
      </c>
      <c r="J1132" s="1" t="s">
        <v>1788</v>
      </c>
      <c r="K1132" s="1" t="s">
        <v>1789</v>
      </c>
      <c r="L1132" s="2" t="str">
        <f>IF(
    F1132&lt;&gt;"Đã ký",
    "Chưa triển khai",
    IF(
        IFERROR(VLOOKUP(B1132,TCH[[Code budget]:[Ngày kết thúc thi công theo kế hoạch]],10,0),0)&gt;0,
        VLOOKUP(B1132,TCH[[Code budget]:[Ngày kết thúc thi công theo kế hoạch]],10,0),
        IFERROR(
            DATE(2026,VLOOKUP(B1132,'Plan 2026'!B:H,7,0),31),
            "Chưa triển khai"
        )
    )
)</f>
        <v>Chưa triển khai</v>
      </c>
      <c r="M1132" s="2" t="s">
        <v>6688</v>
      </c>
      <c r="N1132" s="2">
        <v>46113</v>
      </c>
      <c r="X1132" s="1" t="s">
        <v>2204</v>
      </c>
    </row>
    <row r="1133" spans="2:24" ht="11.25" hidden="1" customHeight="1" x14ac:dyDescent="0.25">
      <c r="B1133" s="1" t="s">
        <v>2502</v>
      </c>
      <c r="C1133" s="17" t="str">
        <f>IFERROR(LEFT(VLOOKUP(B1133,'For consider'!D:E,2,0),8),"Chưa có code")</f>
        <v>Chưa có code</v>
      </c>
      <c r="D1133" s="1" t="s">
        <v>348</v>
      </c>
      <c r="E1133" s="1" t="str">
        <f t="shared" si="2"/>
        <v>Chưa triển khai</v>
      </c>
      <c r="F1133" s="1" t="str">
        <f>IFERROR(VLOOKUP(B1133,'Plan 2026'!B:AC,28,0),"không có trong file network")</f>
        <v>Chưa có</v>
      </c>
      <c r="G1133" s="1" t="str">
        <f>IFERROR(IF(VLOOKUP(B1133,'TCH (append)'!C:P,14,0)="Completed","Hoàn thành thi công",
IF(VLOOKUP(B1133,'TCH (append)'!C:K,9,0)="Completed","Hoàn thành đấu thầu",
IF(VLOOKUP(B1133,'TCH (append)'!C:J,8,0)="Completed","Hoàn thành dự toán",
IF(VLOOKUP(B1133,'TCH (append)'!C:I,7,0)="Completed","Hoàn thành thiết kế",
"Chưa thiết kế")))),"Chưa có trong file PMO")</f>
        <v>Chưa có trong file PMO</v>
      </c>
      <c r="H1133" s="1" t="s">
        <v>2503</v>
      </c>
      <c r="I1133" s="1" t="s">
        <v>350</v>
      </c>
      <c r="J1133" s="1" t="s">
        <v>1788</v>
      </c>
      <c r="K1133" s="1" t="s">
        <v>1789</v>
      </c>
      <c r="L1133" s="2" t="str">
        <f>IF(
    F1133&lt;&gt;"Đã ký",
    "Chưa triển khai",
    IF(
        IFERROR(VLOOKUP(B1133,TCH[[Code budget]:[Ngày kết thúc thi công theo kế hoạch]],10,0),0)&gt;0,
        VLOOKUP(B1133,TCH[[Code budget]:[Ngày kết thúc thi công theo kế hoạch]],10,0),
        IFERROR(
            DATE(2026,VLOOKUP(B1133,'Plan 2026'!B:H,7,0),31),
            "Chưa triển khai"
        )
    )
)</f>
        <v>Chưa triển khai</v>
      </c>
      <c r="M1133" s="2" t="s">
        <v>6688</v>
      </c>
      <c r="N1133" s="2">
        <v>46296</v>
      </c>
      <c r="X1133" s="1" t="s">
        <v>2204</v>
      </c>
    </row>
    <row r="1134" spans="2:24" ht="11.25" hidden="1" customHeight="1" x14ac:dyDescent="0.25">
      <c r="B1134" s="1" t="s">
        <v>2504</v>
      </c>
      <c r="C1134" s="17" t="str">
        <f>IFERROR(LEFT(VLOOKUP(B1134,'For consider'!D:E,2,0),8),"Chưa có code")</f>
        <v>Chưa có code</v>
      </c>
      <c r="D1134" s="1" t="s">
        <v>348</v>
      </c>
      <c r="E1134" s="1" t="str">
        <f t="shared" si="2"/>
        <v>Chưa triển khai</v>
      </c>
      <c r="F1134" s="1" t="str">
        <f>IFERROR(VLOOKUP(B1134,'Plan 2026'!B:AC,28,0),"không có trong file network")</f>
        <v>Chưa có</v>
      </c>
      <c r="G1134" s="1" t="str">
        <f>IFERROR(IF(VLOOKUP(B1134,'TCH (append)'!C:P,14,0)="Completed","Hoàn thành thi công",
IF(VLOOKUP(B1134,'TCH (append)'!C:K,9,0)="Completed","Hoàn thành đấu thầu",
IF(VLOOKUP(B1134,'TCH (append)'!C:J,8,0)="Completed","Hoàn thành dự toán",
IF(VLOOKUP(B1134,'TCH (append)'!C:I,7,0)="Completed","Hoàn thành thiết kế",
"Chưa thiết kế")))),"Chưa có trong file PMO")</f>
        <v>Chưa có trong file PMO</v>
      </c>
      <c r="H1134" s="1" t="s">
        <v>2505</v>
      </c>
      <c r="I1134" s="1" t="s">
        <v>350</v>
      </c>
      <c r="J1134" s="1" t="s">
        <v>1788</v>
      </c>
      <c r="K1134" s="1" t="s">
        <v>1789</v>
      </c>
      <c r="L1134" s="2" t="str">
        <f>IF(
    F1134&lt;&gt;"Đã ký",
    "Chưa triển khai",
    IF(
        IFERROR(VLOOKUP(B1134,TCH[[Code budget]:[Ngày kết thúc thi công theo kế hoạch]],10,0),0)&gt;0,
        VLOOKUP(B1134,TCH[[Code budget]:[Ngày kết thúc thi công theo kế hoạch]],10,0),
        IFERROR(
            DATE(2026,VLOOKUP(B1134,'Plan 2026'!B:H,7,0),31),
            "Chưa triển khai"
        )
    )
)</f>
        <v>Chưa triển khai</v>
      </c>
      <c r="M1134" s="2" t="s">
        <v>6688</v>
      </c>
      <c r="N1134" s="2">
        <v>46174</v>
      </c>
      <c r="X1134" s="1" t="s">
        <v>2204</v>
      </c>
    </row>
    <row r="1135" spans="2:24" ht="11.25" hidden="1" customHeight="1" x14ac:dyDescent="0.25">
      <c r="B1135" s="1" t="s">
        <v>2506</v>
      </c>
      <c r="C1135" s="17" t="str">
        <f>IFERROR(LEFT(VLOOKUP(B1135,'For consider'!D:E,2,0),8),"Chưa có code")</f>
        <v>Chưa có code</v>
      </c>
      <c r="D1135" s="1" t="s">
        <v>348</v>
      </c>
      <c r="E1135" s="1" t="str">
        <f t="shared" si="2"/>
        <v>Chưa triển khai</v>
      </c>
      <c r="F1135" s="1" t="str">
        <f>IFERROR(VLOOKUP(B1135,'Plan 2026'!B:AC,28,0),"không có trong file network")</f>
        <v>Chưa có</v>
      </c>
      <c r="G1135" s="1" t="str">
        <f>IFERROR(IF(VLOOKUP(B1135,'TCH (append)'!C:P,14,0)="Completed","Hoàn thành thi công",
IF(VLOOKUP(B1135,'TCH (append)'!C:K,9,0)="Completed","Hoàn thành đấu thầu",
IF(VLOOKUP(B1135,'TCH (append)'!C:J,8,0)="Completed","Hoàn thành dự toán",
IF(VLOOKUP(B1135,'TCH (append)'!C:I,7,0)="Completed","Hoàn thành thiết kế",
"Chưa thiết kế")))),"Chưa có trong file PMO")</f>
        <v>Chưa có trong file PMO</v>
      </c>
      <c r="H1135" s="1" t="s">
        <v>2507</v>
      </c>
      <c r="I1135" s="1" t="s">
        <v>350</v>
      </c>
      <c r="J1135" s="1" t="s">
        <v>1788</v>
      </c>
      <c r="K1135" s="1" t="s">
        <v>1789</v>
      </c>
      <c r="L1135" s="2" t="str">
        <f>IF(
    F1135&lt;&gt;"Đã ký",
    "Chưa triển khai",
    IF(
        IFERROR(VLOOKUP(B1135,TCH[[Code budget]:[Ngày kết thúc thi công theo kế hoạch]],10,0),0)&gt;0,
        VLOOKUP(B1135,TCH[[Code budget]:[Ngày kết thúc thi công theo kế hoạch]],10,0),
        IFERROR(
            DATE(2026,VLOOKUP(B1135,'Plan 2026'!B:H,7,0),31),
            "Chưa triển khai"
        )
    )
)</f>
        <v>Chưa triển khai</v>
      </c>
      <c r="M1135" s="2" t="s">
        <v>6688</v>
      </c>
      <c r="N1135" s="2">
        <v>46327</v>
      </c>
      <c r="X1135" s="1" t="s">
        <v>2204</v>
      </c>
    </row>
    <row r="1136" spans="2:24" ht="11.25" hidden="1" customHeight="1" x14ac:dyDescent="0.25">
      <c r="B1136" s="1" t="s">
        <v>2508</v>
      </c>
      <c r="C1136" s="17" t="str">
        <f>IFERROR(LEFT(VLOOKUP(B1136,'For consider'!D:E,2,0),8),"Chưa có code")</f>
        <v>Chưa có code</v>
      </c>
      <c r="D1136" s="1" t="s">
        <v>348</v>
      </c>
      <c r="E1136" s="1" t="str">
        <f t="shared" si="2"/>
        <v>Chưa triển khai</v>
      </c>
      <c r="F1136" s="1" t="str">
        <f>IFERROR(VLOOKUP(B1136,'Plan 2026'!B:AC,28,0),"không có trong file network")</f>
        <v>Chưa có</v>
      </c>
      <c r="G1136" s="1" t="str">
        <f>IFERROR(IF(VLOOKUP(B1136,'TCH (append)'!C:P,14,0)="Completed","Hoàn thành thi công",
IF(VLOOKUP(B1136,'TCH (append)'!C:K,9,0)="Completed","Hoàn thành đấu thầu",
IF(VLOOKUP(B1136,'TCH (append)'!C:J,8,0)="Completed","Hoàn thành dự toán",
IF(VLOOKUP(B1136,'TCH (append)'!C:I,7,0)="Completed","Hoàn thành thiết kế",
"Chưa thiết kế")))),"Chưa có trong file PMO")</f>
        <v>Chưa có trong file PMO</v>
      </c>
      <c r="H1136" s="1" t="s">
        <v>2509</v>
      </c>
      <c r="I1136" s="1" t="s">
        <v>350</v>
      </c>
      <c r="J1136" s="1" t="s">
        <v>1788</v>
      </c>
      <c r="K1136" s="1" t="s">
        <v>1789</v>
      </c>
      <c r="L1136" s="2" t="str">
        <f>IF(
    F1136&lt;&gt;"Đã ký",
    "Chưa triển khai",
    IF(
        IFERROR(VLOOKUP(B1136,TCH[[Code budget]:[Ngày kết thúc thi công theo kế hoạch]],10,0),0)&gt;0,
        VLOOKUP(B1136,TCH[[Code budget]:[Ngày kết thúc thi công theo kế hoạch]],10,0),
        IFERROR(
            DATE(2026,VLOOKUP(B1136,'Plan 2026'!B:H,7,0),31),
            "Chưa triển khai"
        )
    )
)</f>
        <v>Chưa triển khai</v>
      </c>
      <c r="M1136" s="2" t="s">
        <v>6688</v>
      </c>
      <c r="N1136" s="2">
        <v>46357</v>
      </c>
      <c r="X1136" s="1" t="s">
        <v>2204</v>
      </c>
    </row>
    <row r="1137" spans="2:24" ht="11.25" hidden="1" customHeight="1" x14ac:dyDescent="0.25">
      <c r="B1137" s="1" t="s">
        <v>2510</v>
      </c>
      <c r="C1137" s="17" t="str">
        <f>IFERROR(LEFT(VLOOKUP(B1137,'For consider'!D:E,2,0),8),"Chưa có code")</f>
        <v>Chưa có code</v>
      </c>
      <c r="D1137" s="1" t="s">
        <v>348</v>
      </c>
      <c r="E1137" s="1" t="str">
        <f t="shared" si="2"/>
        <v>Chưa triển khai</v>
      </c>
      <c r="F1137" s="1" t="str">
        <f>IFERROR(VLOOKUP(B1137,'Plan 2026'!B:AC,28,0),"không có trong file network")</f>
        <v>Chưa có</v>
      </c>
      <c r="G1137" s="1" t="str">
        <f>IFERROR(IF(VLOOKUP(B1137,'TCH (append)'!C:P,14,0)="Completed","Hoàn thành thi công",
IF(VLOOKUP(B1137,'TCH (append)'!C:K,9,0)="Completed","Hoàn thành đấu thầu",
IF(VLOOKUP(B1137,'TCH (append)'!C:J,8,0)="Completed","Hoàn thành dự toán",
IF(VLOOKUP(B1137,'TCH (append)'!C:I,7,0)="Completed","Hoàn thành thiết kế",
"Chưa thiết kế")))),"Chưa có trong file PMO")</f>
        <v>Chưa có trong file PMO</v>
      </c>
      <c r="H1137" s="1" t="s">
        <v>2511</v>
      </c>
      <c r="I1137" s="1" t="s">
        <v>350</v>
      </c>
      <c r="J1137" s="1" t="s">
        <v>1788</v>
      </c>
      <c r="K1137" s="1" t="s">
        <v>1789</v>
      </c>
      <c r="L1137" s="2" t="str">
        <f>IF(
    F1137&lt;&gt;"Đã ký",
    "Chưa triển khai",
    IF(
        IFERROR(VLOOKUP(B1137,TCH[[Code budget]:[Ngày kết thúc thi công theo kế hoạch]],10,0),0)&gt;0,
        VLOOKUP(B1137,TCH[[Code budget]:[Ngày kết thúc thi công theo kế hoạch]],10,0),
        IFERROR(
            DATE(2026,VLOOKUP(B1137,'Plan 2026'!B:H,7,0),31),
            "Chưa triển khai"
        )
    )
)</f>
        <v>Chưa triển khai</v>
      </c>
      <c r="M1137" s="2" t="s">
        <v>6688</v>
      </c>
      <c r="N1137" s="2">
        <v>46113</v>
      </c>
      <c r="X1137" s="1" t="s">
        <v>2204</v>
      </c>
    </row>
    <row r="1138" spans="2:24" ht="11.25" hidden="1" customHeight="1" x14ac:dyDescent="0.25">
      <c r="B1138" s="1" t="s">
        <v>2512</v>
      </c>
      <c r="C1138" s="17" t="str">
        <f>IFERROR(LEFT(VLOOKUP(B1138,'For consider'!D:E,2,0),8),"Chưa có code")</f>
        <v>Chưa có code</v>
      </c>
      <c r="D1138" s="1" t="s">
        <v>348</v>
      </c>
      <c r="E1138" s="1" t="str">
        <f t="shared" si="2"/>
        <v>Chưa triển khai</v>
      </c>
      <c r="F1138" s="1" t="str">
        <f>IFERROR(VLOOKUP(B1138,'Plan 2026'!B:AC,28,0),"không có trong file network")</f>
        <v>Chưa có</v>
      </c>
      <c r="G1138" s="1" t="str">
        <f>IFERROR(IF(VLOOKUP(B1138,'TCH (append)'!C:P,14,0)="Completed","Hoàn thành thi công",
IF(VLOOKUP(B1138,'TCH (append)'!C:K,9,0)="Completed","Hoàn thành đấu thầu",
IF(VLOOKUP(B1138,'TCH (append)'!C:J,8,0)="Completed","Hoàn thành dự toán",
IF(VLOOKUP(B1138,'TCH (append)'!C:I,7,0)="Completed","Hoàn thành thiết kế",
"Chưa thiết kế")))),"Chưa có trong file PMO")</f>
        <v>Chưa có trong file PMO</v>
      </c>
      <c r="H1138" s="1" t="s">
        <v>2513</v>
      </c>
      <c r="I1138" s="1" t="s">
        <v>350</v>
      </c>
      <c r="J1138" s="1" t="s">
        <v>1788</v>
      </c>
      <c r="K1138" s="1" t="s">
        <v>1789</v>
      </c>
      <c r="L1138" s="2" t="str">
        <f>IF(
    F1138&lt;&gt;"Đã ký",
    "Chưa triển khai",
    IF(
        IFERROR(VLOOKUP(B1138,TCH[[Code budget]:[Ngày kết thúc thi công theo kế hoạch]],10,0),0)&gt;0,
        VLOOKUP(B1138,TCH[[Code budget]:[Ngày kết thúc thi công theo kế hoạch]],10,0),
        IFERROR(
            DATE(2026,VLOOKUP(B1138,'Plan 2026'!B:H,7,0),31),
            "Chưa triển khai"
        )
    )
)</f>
        <v>Chưa triển khai</v>
      </c>
      <c r="M1138" s="2" t="s">
        <v>6688</v>
      </c>
      <c r="N1138" s="2">
        <v>46113</v>
      </c>
      <c r="X1138" s="1" t="s">
        <v>2204</v>
      </c>
    </row>
    <row r="1139" spans="2:24" ht="11.25" hidden="1" customHeight="1" x14ac:dyDescent="0.25">
      <c r="B1139" s="1" t="s">
        <v>2514</v>
      </c>
      <c r="C1139" s="17" t="str">
        <f>IFERROR(LEFT(VLOOKUP(B1139,'For consider'!D:E,2,0),8),"Chưa có code")</f>
        <v>Chưa có code</v>
      </c>
      <c r="D1139" s="1" t="s">
        <v>348</v>
      </c>
      <c r="E1139" s="1" t="str">
        <f t="shared" si="2"/>
        <v>Chưa triển khai</v>
      </c>
      <c r="F1139" s="1" t="str">
        <f>IFERROR(VLOOKUP(B1139,'Plan 2026'!B:AC,28,0),"không có trong file network")</f>
        <v>Chưa có</v>
      </c>
      <c r="G1139" s="1" t="str">
        <f>IFERROR(IF(VLOOKUP(B1139,'TCH (append)'!C:P,14,0)="Completed","Hoàn thành thi công",
IF(VLOOKUP(B1139,'TCH (append)'!C:K,9,0)="Completed","Hoàn thành đấu thầu",
IF(VLOOKUP(B1139,'TCH (append)'!C:J,8,0)="Completed","Hoàn thành dự toán",
IF(VLOOKUP(B1139,'TCH (append)'!C:I,7,0)="Completed","Hoàn thành thiết kế",
"Chưa thiết kế")))),"Chưa có trong file PMO")</f>
        <v>Chưa có trong file PMO</v>
      </c>
      <c r="H1139" s="1" t="s">
        <v>2515</v>
      </c>
      <c r="I1139" s="1" t="s">
        <v>350</v>
      </c>
      <c r="J1139" s="1" t="s">
        <v>1788</v>
      </c>
      <c r="K1139" s="1" t="s">
        <v>1789</v>
      </c>
      <c r="L1139" s="2" t="str">
        <f>IF(
    F1139&lt;&gt;"Đã ký",
    "Chưa triển khai",
    IF(
        IFERROR(VLOOKUP(B1139,TCH[[Code budget]:[Ngày kết thúc thi công theo kế hoạch]],10,0),0)&gt;0,
        VLOOKUP(B1139,TCH[[Code budget]:[Ngày kết thúc thi công theo kế hoạch]],10,0),
        IFERROR(
            DATE(2026,VLOOKUP(B1139,'Plan 2026'!B:H,7,0),31),
            "Chưa triển khai"
        )
    )
)</f>
        <v>Chưa triển khai</v>
      </c>
      <c r="M1139" s="2" t="s">
        <v>6688</v>
      </c>
      <c r="N1139" s="2">
        <v>46357</v>
      </c>
      <c r="X1139" s="1" t="s">
        <v>2204</v>
      </c>
    </row>
    <row r="1140" spans="2:24" ht="11.25" hidden="1" customHeight="1" x14ac:dyDescent="0.25">
      <c r="B1140" s="1" t="s">
        <v>2516</v>
      </c>
      <c r="C1140" s="17" t="str">
        <f>IFERROR(LEFT(VLOOKUP(B1140,'For consider'!D:E,2,0),8),"Chưa có code")</f>
        <v>Chưa có code</v>
      </c>
      <c r="D1140" s="1" t="s">
        <v>20</v>
      </c>
      <c r="E1140" s="1" t="str">
        <f t="shared" si="2"/>
        <v>Chưa triển khai</v>
      </c>
      <c r="F1140" s="1" t="str">
        <f>IFERROR(VLOOKUP(B1140,'Plan 2026'!B:AC,28,0),"không có trong file network")</f>
        <v>không có trong file network</v>
      </c>
      <c r="G1140" s="1" t="str">
        <f>IFERROR(IF(VLOOKUP(B1140,'TCH (append)'!C:P,14,0)="Completed","Hoàn thành thi công",
IF(VLOOKUP(B1140,'TCH (append)'!C:K,9,0)="Completed","Hoàn thành đấu thầu",
IF(VLOOKUP(B1140,'TCH (append)'!C:J,8,0)="Completed","Hoàn thành dự toán",
IF(VLOOKUP(B1140,'TCH (append)'!C:I,7,0)="Completed","Hoàn thành thiết kế",
"Chưa thiết kế")))),"Chưa có trong file PMO")</f>
        <v>Chưa có trong file PMO</v>
      </c>
      <c r="H1140" s="1" t="s">
        <v>2517</v>
      </c>
      <c r="I1140" s="1" t="s">
        <v>23</v>
      </c>
      <c r="J1140" s="1" t="s">
        <v>1788</v>
      </c>
      <c r="K1140" s="1" t="s">
        <v>1789</v>
      </c>
      <c r="L1140" s="2" t="str">
        <f>IF(
    F1140&lt;&gt;"Đã ký",
    "Chưa triển khai",
    IF(
        IFERROR(VLOOKUP(B1140,TCH[[Code budget]:[Ngày kết thúc thi công theo kế hoạch]],10,0),0)&gt;0,
        VLOOKUP(B1140,TCH[[Code budget]:[Ngày kết thúc thi công theo kế hoạch]],10,0),
        IFERROR(
            DATE(2026,VLOOKUP(B1140,'Plan 2026'!B:H,7,0),31),
            "Chưa triển khai"
        )
    )
)</f>
        <v>Chưa triển khai</v>
      </c>
      <c r="M1140" s="2" t="s">
        <v>6688</v>
      </c>
      <c r="N1140" s="2">
        <v>46174</v>
      </c>
      <c r="X1140" s="1" t="s">
        <v>2204</v>
      </c>
    </row>
    <row r="1141" spans="2:24" ht="11.25" hidden="1" customHeight="1" x14ac:dyDescent="0.25">
      <c r="B1141" s="1" t="s">
        <v>2518</v>
      </c>
      <c r="C1141" s="17" t="str">
        <f>IFERROR(LEFT(VLOOKUP(B1141,'For consider'!D:E,2,0),8),"Chưa có code")</f>
        <v>Chưa có code</v>
      </c>
      <c r="D1141" s="1" t="s">
        <v>20</v>
      </c>
      <c r="E1141" s="1" t="str">
        <f t="shared" si="2"/>
        <v>Chưa triển khai</v>
      </c>
      <c r="F1141" s="1" t="str">
        <f>IFERROR(VLOOKUP(B1141,'Plan 2026'!B:AC,28,0),"không có trong file network")</f>
        <v>Chưa có</v>
      </c>
      <c r="G1141" s="1" t="str">
        <f>IFERROR(IF(VLOOKUP(B1141,'TCH (append)'!C:P,14,0)="Completed","Hoàn thành thi công",
IF(VLOOKUP(B1141,'TCH (append)'!C:K,9,0)="Completed","Hoàn thành đấu thầu",
IF(VLOOKUP(B1141,'TCH (append)'!C:J,8,0)="Completed","Hoàn thành dự toán",
IF(VLOOKUP(B1141,'TCH (append)'!C:I,7,0)="Completed","Hoàn thành thiết kế",
"Chưa thiết kế")))),"Chưa có trong file PMO")</f>
        <v>Chưa có trong file PMO</v>
      </c>
      <c r="H1141" s="1" t="s">
        <v>2519</v>
      </c>
      <c r="I1141" s="1" t="s">
        <v>23</v>
      </c>
      <c r="J1141" s="1" t="s">
        <v>1788</v>
      </c>
      <c r="K1141" s="1" t="s">
        <v>1789</v>
      </c>
      <c r="L1141" s="2" t="str">
        <f>IF(
    F1141&lt;&gt;"Đã ký",
    "Chưa triển khai",
    IF(
        IFERROR(VLOOKUP(B1141,TCH[[Code budget]:[Ngày kết thúc thi công theo kế hoạch]],10,0),0)&gt;0,
        VLOOKUP(B1141,TCH[[Code budget]:[Ngày kết thúc thi công theo kế hoạch]],10,0),
        IFERROR(
            DATE(2026,VLOOKUP(B1141,'Plan 2026'!B:H,7,0),31),
            "Chưa triển khai"
        )
    )
)</f>
        <v>Chưa triển khai</v>
      </c>
      <c r="M1141" s="2" t="s">
        <v>6688</v>
      </c>
      <c r="N1141" s="2">
        <v>46174</v>
      </c>
      <c r="X1141" s="1" t="s">
        <v>2204</v>
      </c>
    </row>
    <row r="1142" spans="2:24" ht="11.25" hidden="1" customHeight="1" x14ac:dyDescent="0.25">
      <c r="B1142" s="1" t="s">
        <v>2520</v>
      </c>
      <c r="C1142" s="17" t="str">
        <f>IFERROR(LEFT(VLOOKUP(B1142,'For consider'!D:E,2,0),8),"Chưa có code")</f>
        <v>Chưa có code</v>
      </c>
      <c r="D1142" s="1" t="s">
        <v>20</v>
      </c>
      <c r="E1142" s="1" t="str">
        <f t="shared" si="2"/>
        <v>Chưa triển khai</v>
      </c>
      <c r="F1142" s="1" t="str">
        <f>IFERROR(VLOOKUP(B1142,'Plan 2026'!B:AC,28,0),"không có trong file network")</f>
        <v>Đang offer</v>
      </c>
      <c r="G1142" s="1" t="str">
        <f>IFERROR(IF(VLOOKUP(B1142,'TCH (append)'!C:P,14,0)="Completed","Hoàn thành thi công",
IF(VLOOKUP(B1142,'TCH (append)'!C:K,9,0)="Completed","Hoàn thành đấu thầu",
IF(VLOOKUP(B1142,'TCH (append)'!C:J,8,0)="Completed","Hoàn thành dự toán",
IF(VLOOKUP(B1142,'TCH (append)'!C:I,7,0)="Completed","Hoàn thành thiết kế",
"Chưa thiết kế")))),"Chưa có trong file PMO")</f>
        <v>Chưa có trong file PMO</v>
      </c>
      <c r="H1142" s="1" t="s">
        <v>2521</v>
      </c>
      <c r="I1142" s="1" t="s">
        <v>23</v>
      </c>
      <c r="J1142" s="1" t="s">
        <v>1788</v>
      </c>
      <c r="K1142" s="1" t="s">
        <v>1789</v>
      </c>
      <c r="L1142" s="2" t="str">
        <f>IF(
    F1142&lt;&gt;"Đã ký",
    "Chưa triển khai",
    IF(
        IFERROR(VLOOKUP(B1142,TCH[[Code budget]:[Ngày kết thúc thi công theo kế hoạch]],10,0),0)&gt;0,
        VLOOKUP(B1142,TCH[[Code budget]:[Ngày kết thúc thi công theo kế hoạch]],10,0),
        IFERROR(
            DATE(2026,VLOOKUP(B1142,'Plan 2026'!B:H,7,0),31),
            "Chưa triển khai"
        )
    )
)</f>
        <v>Chưa triển khai</v>
      </c>
      <c r="M1142" s="2" t="s">
        <v>6688</v>
      </c>
      <c r="N1142" s="2">
        <v>46174</v>
      </c>
      <c r="X1142" s="1" t="s">
        <v>2204</v>
      </c>
    </row>
    <row r="1143" spans="2:24" ht="11.25" hidden="1" customHeight="1" x14ac:dyDescent="0.25">
      <c r="B1143" s="1" t="s">
        <v>2522</v>
      </c>
      <c r="C1143" s="17" t="str">
        <f>IFERROR(LEFT(VLOOKUP(B1143,'For consider'!D:E,2,0),8),"Chưa có code")</f>
        <v>Chưa có code</v>
      </c>
      <c r="D1143" s="1" t="s">
        <v>20</v>
      </c>
      <c r="E1143" s="1" t="str">
        <f t="shared" si="2"/>
        <v>Chưa triển khai</v>
      </c>
      <c r="F1143" s="1" t="str">
        <f>IFERROR(VLOOKUP(B1143,'Plan 2026'!B:AC,28,0),"không có trong file network")</f>
        <v>Chưa có</v>
      </c>
      <c r="G1143" s="1" t="str">
        <f>IFERROR(IF(VLOOKUP(B1143,'TCH (append)'!C:P,14,0)="Completed","Hoàn thành thi công",
IF(VLOOKUP(B1143,'TCH (append)'!C:K,9,0)="Completed","Hoàn thành đấu thầu",
IF(VLOOKUP(B1143,'TCH (append)'!C:J,8,0)="Completed","Hoàn thành dự toán",
IF(VLOOKUP(B1143,'TCH (append)'!C:I,7,0)="Completed","Hoàn thành thiết kế",
"Chưa thiết kế")))),"Chưa có trong file PMO")</f>
        <v>Chưa có trong file PMO</v>
      </c>
      <c r="H1143" s="1" t="s">
        <v>2523</v>
      </c>
      <c r="I1143" s="1" t="s">
        <v>23</v>
      </c>
      <c r="J1143" s="1" t="s">
        <v>1788</v>
      </c>
      <c r="K1143" s="1" t="s">
        <v>1789</v>
      </c>
      <c r="L1143" s="2" t="str">
        <f>IF(
    F1143&lt;&gt;"Đã ký",
    "Chưa triển khai",
    IF(
        IFERROR(VLOOKUP(B1143,TCH[[Code budget]:[Ngày kết thúc thi công theo kế hoạch]],10,0),0)&gt;0,
        VLOOKUP(B1143,TCH[[Code budget]:[Ngày kết thúc thi công theo kế hoạch]],10,0),
        IFERROR(
            DATE(2026,VLOOKUP(B1143,'Plan 2026'!B:H,7,0),31),
            "Chưa triển khai"
        )
    )
)</f>
        <v>Chưa triển khai</v>
      </c>
      <c r="M1143" s="2" t="s">
        <v>6688</v>
      </c>
      <c r="N1143" s="2">
        <v>46204</v>
      </c>
      <c r="X1143" s="1" t="s">
        <v>2204</v>
      </c>
    </row>
    <row r="1144" spans="2:24" ht="11.25" hidden="1" customHeight="1" x14ac:dyDescent="0.25">
      <c r="B1144" s="1" t="s">
        <v>2524</v>
      </c>
      <c r="C1144" s="17" t="str">
        <f>IFERROR(LEFT(VLOOKUP(B1144,'For consider'!D:E,2,0),8),"Chưa có code")</f>
        <v>Chưa có code</v>
      </c>
      <c r="D1144" s="1" t="s">
        <v>20</v>
      </c>
      <c r="E1144" s="1" t="str">
        <f t="shared" si="2"/>
        <v>Chưa triển khai</v>
      </c>
      <c r="F1144" s="1" t="str">
        <f>IFERROR(VLOOKUP(B1144,'Plan 2026'!B:AC,28,0),"không có trong file network")</f>
        <v>Chưa có</v>
      </c>
      <c r="G1144" s="1" t="str">
        <f>IFERROR(IF(VLOOKUP(B1144,'TCH (append)'!C:P,14,0)="Completed","Hoàn thành thi công",
IF(VLOOKUP(B1144,'TCH (append)'!C:K,9,0)="Completed","Hoàn thành đấu thầu",
IF(VLOOKUP(B1144,'TCH (append)'!C:J,8,0)="Completed","Hoàn thành dự toán",
IF(VLOOKUP(B1144,'TCH (append)'!C:I,7,0)="Completed","Hoàn thành thiết kế",
"Chưa thiết kế")))),"Chưa có trong file PMO")</f>
        <v>Chưa có trong file PMO</v>
      </c>
      <c r="H1144" s="1" t="s">
        <v>2525</v>
      </c>
      <c r="I1144" s="1" t="s">
        <v>23</v>
      </c>
      <c r="J1144" s="1" t="s">
        <v>1788</v>
      </c>
      <c r="K1144" s="1" t="s">
        <v>1789</v>
      </c>
      <c r="L1144" s="2" t="str">
        <f>IF(
    F1144&lt;&gt;"Đã ký",
    "Chưa triển khai",
    IF(
        IFERROR(VLOOKUP(B1144,TCH[[Code budget]:[Ngày kết thúc thi công theo kế hoạch]],10,0),0)&gt;0,
        VLOOKUP(B1144,TCH[[Code budget]:[Ngày kết thúc thi công theo kế hoạch]],10,0),
        IFERROR(
            DATE(2026,VLOOKUP(B1144,'Plan 2026'!B:H,7,0),31),
            "Chưa triển khai"
        )
    )
)</f>
        <v>Chưa triển khai</v>
      </c>
      <c r="M1144" s="2" t="s">
        <v>6688</v>
      </c>
      <c r="N1144" s="2">
        <v>46143</v>
      </c>
      <c r="X1144" s="1" t="s">
        <v>2204</v>
      </c>
    </row>
    <row r="1145" spans="2:24" ht="11.25" hidden="1" customHeight="1" x14ac:dyDescent="0.25">
      <c r="B1145" s="1" t="s">
        <v>2526</v>
      </c>
      <c r="C1145" s="17" t="str">
        <f>IFERROR(LEFT(VLOOKUP(B1145,'For consider'!D:E,2,0),8),"Chưa có code")</f>
        <v>Chưa có code</v>
      </c>
      <c r="D1145" s="1" t="s">
        <v>20</v>
      </c>
      <c r="E1145" s="1" t="str">
        <f t="shared" si="2"/>
        <v>Chưa triển khai</v>
      </c>
      <c r="F1145" s="1" t="str">
        <f>IFERROR(VLOOKUP(B1145,'Plan 2026'!B:AC,28,0),"không có trong file network")</f>
        <v>Đang offer</v>
      </c>
      <c r="G1145" s="1" t="str">
        <f>IFERROR(IF(VLOOKUP(B1145,'TCH (append)'!C:P,14,0)="Completed","Hoàn thành thi công",
IF(VLOOKUP(B1145,'TCH (append)'!C:K,9,0)="Completed","Hoàn thành đấu thầu",
IF(VLOOKUP(B1145,'TCH (append)'!C:J,8,0)="Completed","Hoàn thành dự toán",
IF(VLOOKUP(B1145,'TCH (append)'!C:I,7,0)="Completed","Hoàn thành thiết kế",
"Chưa thiết kế")))),"Chưa có trong file PMO")</f>
        <v>Chưa có trong file PMO</v>
      </c>
      <c r="H1145" s="1" t="s">
        <v>2527</v>
      </c>
      <c r="I1145" s="1" t="s">
        <v>23</v>
      </c>
      <c r="J1145" s="1" t="s">
        <v>1788</v>
      </c>
      <c r="K1145" s="1" t="s">
        <v>1789</v>
      </c>
      <c r="L1145" s="2" t="str">
        <f>IF(
    F1145&lt;&gt;"Đã ký",
    "Chưa triển khai",
    IF(
        IFERROR(VLOOKUP(B1145,TCH[[Code budget]:[Ngày kết thúc thi công theo kế hoạch]],10,0),0)&gt;0,
        VLOOKUP(B1145,TCH[[Code budget]:[Ngày kết thúc thi công theo kế hoạch]],10,0),
        IFERROR(
            DATE(2026,VLOOKUP(B1145,'Plan 2026'!B:H,7,0),31),
            "Chưa triển khai"
        )
    )
)</f>
        <v>Chưa triển khai</v>
      </c>
      <c r="M1145" s="2" t="s">
        <v>6688</v>
      </c>
      <c r="N1145" s="2">
        <v>46296</v>
      </c>
      <c r="X1145" s="1" t="s">
        <v>2204</v>
      </c>
    </row>
    <row r="1146" spans="2:24" ht="11.25" hidden="1" customHeight="1" x14ac:dyDescent="0.25">
      <c r="B1146" s="1" t="s">
        <v>2528</v>
      </c>
      <c r="C1146" s="17" t="str">
        <f>IFERROR(LEFT(VLOOKUP(B1146,'For consider'!D:E,2,0),8),"Chưa có code")</f>
        <v>Chưa có code</v>
      </c>
      <c r="D1146" s="1" t="s">
        <v>20</v>
      </c>
      <c r="E1146" s="1" t="str">
        <f t="shared" si="2"/>
        <v>Chưa triển khai</v>
      </c>
      <c r="F1146" s="1" t="str">
        <f>IFERROR(VLOOKUP(B1146,'Plan 2026'!B:AC,28,0),"không có trong file network")</f>
        <v>không có trong file network</v>
      </c>
      <c r="G1146" s="1" t="str">
        <f>IFERROR(IF(VLOOKUP(B1146,'TCH (append)'!C:P,14,0)="Completed","Hoàn thành thi công",
IF(VLOOKUP(B1146,'TCH (append)'!C:K,9,0)="Completed","Hoàn thành đấu thầu",
IF(VLOOKUP(B1146,'TCH (append)'!C:J,8,0)="Completed","Hoàn thành dự toán",
IF(VLOOKUP(B1146,'TCH (append)'!C:I,7,0)="Completed","Hoàn thành thiết kế",
"Chưa thiết kế")))),"Chưa có trong file PMO")</f>
        <v>Chưa có trong file PMO</v>
      </c>
      <c r="H1146" s="1" t="s">
        <v>2529</v>
      </c>
      <c r="I1146" s="1" t="s">
        <v>23</v>
      </c>
      <c r="J1146" s="1" t="s">
        <v>1788</v>
      </c>
      <c r="K1146" s="1" t="s">
        <v>1789</v>
      </c>
      <c r="L1146" s="2" t="str">
        <f>IF(
    F1146&lt;&gt;"Đã ký",
    "Chưa triển khai",
    IF(
        IFERROR(VLOOKUP(B1146,TCH[[Code budget]:[Ngày kết thúc thi công theo kế hoạch]],10,0),0)&gt;0,
        VLOOKUP(B1146,TCH[[Code budget]:[Ngày kết thúc thi công theo kế hoạch]],10,0),
        IFERROR(
            DATE(2026,VLOOKUP(B1146,'Plan 2026'!B:H,7,0),31),
            "Chưa triển khai"
        )
    )
)</f>
        <v>Chưa triển khai</v>
      </c>
      <c r="M1146" s="2" t="s">
        <v>6688</v>
      </c>
      <c r="N1146" s="2">
        <v>46113</v>
      </c>
      <c r="X1146" s="1" t="s">
        <v>2204</v>
      </c>
    </row>
    <row r="1147" spans="2:24" ht="11.25" hidden="1" customHeight="1" x14ac:dyDescent="0.25">
      <c r="B1147" s="1" t="s">
        <v>2530</v>
      </c>
      <c r="C1147" s="17" t="str">
        <f>IFERROR(LEFT(VLOOKUP(B1147,'For consider'!D:E,2,0),8),"Chưa có code")</f>
        <v>Chưa có code</v>
      </c>
      <c r="D1147" s="1" t="s">
        <v>348</v>
      </c>
      <c r="E1147" s="1" t="str">
        <f t="shared" si="2"/>
        <v>Chưa triển khai</v>
      </c>
      <c r="F1147" s="1" t="str">
        <f>IFERROR(VLOOKUP(B1147,'Plan 2026'!B:AC,28,0),"không có trong file network")</f>
        <v>Chưa có</v>
      </c>
      <c r="G1147" s="1" t="str">
        <f>IFERROR(IF(VLOOKUP(B1147,'TCH (append)'!C:P,14,0)="Completed","Hoàn thành thi công",
IF(VLOOKUP(B1147,'TCH (append)'!C:K,9,0)="Completed","Hoàn thành đấu thầu",
IF(VLOOKUP(B1147,'TCH (append)'!C:J,8,0)="Completed","Hoàn thành dự toán",
IF(VLOOKUP(B1147,'TCH (append)'!C:I,7,0)="Completed","Hoàn thành thiết kế",
"Chưa thiết kế")))),"Chưa có trong file PMO")</f>
        <v>Chưa có trong file PMO</v>
      </c>
      <c r="H1147" s="1" t="s">
        <v>2531</v>
      </c>
      <c r="I1147" s="1" t="s">
        <v>350</v>
      </c>
      <c r="J1147" s="1" t="s">
        <v>1788</v>
      </c>
      <c r="K1147" s="1" t="s">
        <v>1789</v>
      </c>
      <c r="L1147" s="2" t="str">
        <f>IF(
    F1147&lt;&gt;"Đã ký",
    "Chưa triển khai",
    IF(
        IFERROR(VLOOKUP(B1147,TCH[[Code budget]:[Ngày kết thúc thi công theo kế hoạch]],10,0),0)&gt;0,
        VLOOKUP(B1147,TCH[[Code budget]:[Ngày kết thúc thi công theo kế hoạch]],10,0),
        IFERROR(
            DATE(2026,VLOOKUP(B1147,'Plan 2026'!B:H,7,0),31),
            "Chưa triển khai"
        )
    )
)</f>
        <v>Chưa triển khai</v>
      </c>
      <c r="M1147" s="2" t="s">
        <v>6688</v>
      </c>
      <c r="N1147" s="2">
        <v>46296</v>
      </c>
      <c r="X1147" s="1" t="s">
        <v>2204</v>
      </c>
    </row>
    <row r="1148" spans="2:24" ht="11.25" hidden="1" customHeight="1" x14ac:dyDescent="0.25">
      <c r="B1148" s="1" t="s">
        <v>2532</v>
      </c>
      <c r="C1148" s="17" t="str">
        <f>IFERROR(LEFT(VLOOKUP(B1148,'For consider'!D:E,2,0),8),"Chưa có code")</f>
        <v>Chưa có code</v>
      </c>
      <c r="D1148" s="1" t="s">
        <v>348</v>
      </c>
      <c r="E1148" s="1" t="str">
        <f t="shared" si="2"/>
        <v>Chưa triển khai</v>
      </c>
      <c r="F1148" s="1" t="str">
        <f>IFERROR(VLOOKUP(B1148,'Plan 2026'!B:AC,28,0),"không có trong file network")</f>
        <v>không có trong file network</v>
      </c>
      <c r="G1148" s="1" t="str">
        <f>IFERROR(IF(VLOOKUP(B1148,'TCH (append)'!C:P,14,0)="Completed","Hoàn thành thi công",
IF(VLOOKUP(B1148,'TCH (append)'!C:K,9,0)="Completed","Hoàn thành đấu thầu",
IF(VLOOKUP(B1148,'TCH (append)'!C:J,8,0)="Completed","Hoàn thành dự toán",
IF(VLOOKUP(B1148,'TCH (append)'!C:I,7,0)="Completed","Hoàn thành thiết kế",
"Chưa thiết kế")))),"Chưa có trong file PMO")</f>
        <v>Chưa có trong file PMO</v>
      </c>
      <c r="H1148" s="1" t="s">
        <v>2489</v>
      </c>
      <c r="I1148" s="1" t="s">
        <v>350</v>
      </c>
      <c r="J1148" s="1" t="s">
        <v>1788</v>
      </c>
      <c r="K1148" s="1" t="s">
        <v>1789</v>
      </c>
      <c r="L1148" s="2" t="str">
        <f>IF(
    F1148&lt;&gt;"Đã ký",
    "Chưa triển khai",
    IF(
        IFERROR(VLOOKUP(B1148,TCH[[Code budget]:[Ngày kết thúc thi công theo kế hoạch]],10,0),0)&gt;0,
        VLOOKUP(B1148,TCH[[Code budget]:[Ngày kết thúc thi công theo kế hoạch]],10,0),
        IFERROR(
            DATE(2026,VLOOKUP(B1148,'Plan 2026'!B:H,7,0),31),
            "Chưa triển khai"
        )
    )
)</f>
        <v>Chưa triển khai</v>
      </c>
      <c r="M1148" s="2" t="s">
        <v>6688</v>
      </c>
      <c r="N1148" s="2">
        <v>46113</v>
      </c>
      <c r="X1148" s="1" t="s">
        <v>2204</v>
      </c>
    </row>
    <row r="1149" spans="2:24" ht="11.25" hidden="1" customHeight="1" x14ac:dyDescent="0.25">
      <c r="B1149" s="1" t="s">
        <v>2533</v>
      </c>
      <c r="C1149" s="17" t="str">
        <f>IFERROR(LEFT(VLOOKUP(B1149,'For consider'!D:E,2,0),8),"Chưa có code")</f>
        <v>Chưa có code</v>
      </c>
      <c r="D1149" s="1" t="s">
        <v>348</v>
      </c>
      <c r="E1149" s="1" t="str">
        <f t="shared" si="2"/>
        <v>Chưa triển khai</v>
      </c>
      <c r="F1149" s="1" t="str">
        <f>IFERROR(VLOOKUP(B1149,'Plan 2026'!B:AC,28,0),"không có trong file network")</f>
        <v>Reject</v>
      </c>
      <c r="G1149" s="1" t="str">
        <f>IFERROR(IF(VLOOKUP(B1149,'TCH (append)'!C:P,14,0)="Completed","Hoàn thành thi công",
IF(VLOOKUP(B1149,'TCH (append)'!C:K,9,0)="Completed","Hoàn thành đấu thầu",
IF(VLOOKUP(B1149,'TCH (append)'!C:J,8,0)="Completed","Hoàn thành dự toán",
IF(VLOOKUP(B1149,'TCH (append)'!C:I,7,0)="Completed","Hoàn thành thiết kế",
"Chưa thiết kế")))),"Chưa có trong file PMO")</f>
        <v>Chưa có trong file PMO</v>
      </c>
      <c r="H1149" s="1" t="s">
        <v>2534</v>
      </c>
      <c r="I1149" s="1" t="s">
        <v>350</v>
      </c>
      <c r="J1149" s="1" t="s">
        <v>1788</v>
      </c>
      <c r="K1149" s="1" t="s">
        <v>1789</v>
      </c>
      <c r="L1149" s="2" t="str">
        <f>IF(
    F1149&lt;&gt;"Đã ký",
    "Chưa triển khai",
    IF(
        IFERROR(VLOOKUP(B1149,TCH[[Code budget]:[Ngày kết thúc thi công theo kế hoạch]],10,0),0)&gt;0,
        VLOOKUP(B1149,TCH[[Code budget]:[Ngày kết thúc thi công theo kế hoạch]],10,0),
        IFERROR(
            DATE(2026,VLOOKUP(B1149,'Plan 2026'!B:H,7,0),31),
            "Chưa triển khai"
        )
    )
)</f>
        <v>Chưa triển khai</v>
      </c>
      <c r="M1149" s="2" t="s">
        <v>6688</v>
      </c>
      <c r="N1149" s="2">
        <v>46113</v>
      </c>
      <c r="X1149" s="1" t="s">
        <v>2204</v>
      </c>
    </row>
    <row r="1150" spans="2:24" ht="11.25" hidden="1" customHeight="1" x14ac:dyDescent="0.25">
      <c r="B1150" s="1" t="s">
        <v>2535</v>
      </c>
      <c r="C1150" s="17" t="str">
        <f>IFERROR(LEFT(VLOOKUP(B1150,'For consider'!D:E,2,0),8),"Chưa có code")</f>
        <v>Chưa có code</v>
      </c>
      <c r="D1150" s="1" t="s">
        <v>348</v>
      </c>
      <c r="E1150" s="1" t="str">
        <f t="shared" si="2"/>
        <v>Chưa triển khai</v>
      </c>
      <c r="F1150" s="1" t="str">
        <f>IFERROR(VLOOKUP(B1150,'Plan 2026'!B:AC,28,0),"không có trong file network")</f>
        <v>Chưa có</v>
      </c>
      <c r="G1150" s="1" t="str">
        <f>IFERROR(IF(VLOOKUP(B1150,'TCH (append)'!C:P,14,0)="Completed","Hoàn thành thi công",
IF(VLOOKUP(B1150,'TCH (append)'!C:K,9,0)="Completed","Hoàn thành đấu thầu",
IF(VLOOKUP(B1150,'TCH (append)'!C:J,8,0)="Completed","Hoàn thành dự toán",
IF(VLOOKUP(B1150,'TCH (append)'!C:I,7,0)="Completed","Hoàn thành thiết kế",
"Chưa thiết kế")))),"Chưa có trong file PMO")</f>
        <v>Chưa có trong file PMO</v>
      </c>
      <c r="H1150" s="1" t="s">
        <v>2536</v>
      </c>
      <c r="I1150" s="1" t="s">
        <v>350</v>
      </c>
      <c r="J1150" s="1" t="s">
        <v>1788</v>
      </c>
      <c r="K1150" s="1" t="s">
        <v>1789</v>
      </c>
      <c r="L1150" s="2" t="str">
        <f>IF(
    F1150&lt;&gt;"Đã ký",
    "Chưa triển khai",
    IF(
        IFERROR(VLOOKUP(B1150,TCH[[Code budget]:[Ngày kết thúc thi công theo kế hoạch]],10,0),0)&gt;0,
        VLOOKUP(B1150,TCH[[Code budget]:[Ngày kết thúc thi công theo kế hoạch]],10,0),
        IFERROR(
            DATE(2026,VLOOKUP(B1150,'Plan 2026'!B:H,7,0),31),
            "Chưa triển khai"
        )
    )
)</f>
        <v>Chưa triển khai</v>
      </c>
      <c r="M1150" s="2" t="s">
        <v>6688</v>
      </c>
      <c r="N1150" s="2">
        <v>46143</v>
      </c>
      <c r="X1150" s="1" t="s">
        <v>2204</v>
      </c>
    </row>
    <row r="1151" spans="2:24" ht="11.25" hidden="1" customHeight="1" x14ac:dyDescent="0.25">
      <c r="B1151" s="1" t="s">
        <v>2537</v>
      </c>
      <c r="C1151" s="17" t="str">
        <f>IFERROR(LEFT(VLOOKUP(B1151,'For consider'!D:E,2,0),8),"Chưa có code")</f>
        <v>Chưa có code</v>
      </c>
      <c r="D1151" s="1" t="s">
        <v>348</v>
      </c>
      <c r="E1151" s="1" t="str">
        <f t="shared" si="2"/>
        <v>Chưa triển khai</v>
      </c>
      <c r="F1151" s="1" t="str">
        <f>IFERROR(VLOOKUP(B1151,'Plan 2026'!B:AC,28,0),"không có trong file network")</f>
        <v>Chưa có</v>
      </c>
      <c r="G1151" s="1" t="str">
        <f>IFERROR(IF(VLOOKUP(B1151,'TCH (append)'!C:P,14,0)="Completed","Hoàn thành thi công",
IF(VLOOKUP(B1151,'TCH (append)'!C:K,9,0)="Completed","Hoàn thành đấu thầu",
IF(VLOOKUP(B1151,'TCH (append)'!C:J,8,0)="Completed","Hoàn thành dự toán",
IF(VLOOKUP(B1151,'TCH (append)'!C:I,7,0)="Completed","Hoàn thành thiết kế",
"Chưa thiết kế")))),"Chưa có trong file PMO")</f>
        <v>Chưa có trong file PMO</v>
      </c>
      <c r="H1151" s="1" t="s">
        <v>2538</v>
      </c>
      <c r="I1151" s="1" t="s">
        <v>350</v>
      </c>
      <c r="J1151" s="1" t="s">
        <v>1788</v>
      </c>
      <c r="K1151" s="1" t="s">
        <v>1789</v>
      </c>
      <c r="L1151" s="2" t="str">
        <f>IF(
    F1151&lt;&gt;"Đã ký",
    "Chưa triển khai",
    IF(
        IFERROR(VLOOKUP(B1151,TCH[[Code budget]:[Ngày kết thúc thi công theo kế hoạch]],10,0),0)&gt;0,
        VLOOKUP(B1151,TCH[[Code budget]:[Ngày kết thúc thi công theo kế hoạch]],10,0),
        IFERROR(
            DATE(2026,VLOOKUP(B1151,'Plan 2026'!B:H,7,0),31),
            "Chưa triển khai"
        )
    )
)</f>
        <v>Chưa triển khai</v>
      </c>
      <c r="M1151" s="2" t="s">
        <v>6688</v>
      </c>
      <c r="N1151" s="2">
        <v>46174</v>
      </c>
      <c r="X1151" s="1" t="s">
        <v>2204</v>
      </c>
    </row>
    <row r="1152" spans="2:24" ht="11.25" hidden="1" customHeight="1" x14ac:dyDescent="0.25">
      <c r="B1152" s="1" t="s">
        <v>2539</v>
      </c>
      <c r="C1152" s="17" t="str">
        <f>IFERROR(LEFT(VLOOKUP(B1152,'For consider'!D:E,2,0),8),"Chưa có code")</f>
        <v>Chưa có code</v>
      </c>
      <c r="D1152" s="1" t="s">
        <v>348</v>
      </c>
      <c r="E1152" s="1" t="str">
        <f t="shared" si="2"/>
        <v>Chưa triển khai</v>
      </c>
      <c r="F1152" s="1" t="str">
        <f>IFERROR(VLOOKUP(B1152,'Plan 2026'!B:AC,28,0),"không có trong file network")</f>
        <v>Chưa có</v>
      </c>
      <c r="G1152" s="1" t="str">
        <f>IFERROR(IF(VLOOKUP(B1152,'TCH (append)'!C:P,14,0)="Completed","Hoàn thành thi công",
IF(VLOOKUP(B1152,'TCH (append)'!C:K,9,0)="Completed","Hoàn thành đấu thầu",
IF(VLOOKUP(B1152,'TCH (append)'!C:J,8,0)="Completed","Hoàn thành dự toán",
IF(VLOOKUP(B1152,'TCH (append)'!C:I,7,0)="Completed","Hoàn thành thiết kế",
"Chưa thiết kế")))),"Chưa có trong file PMO")</f>
        <v>Chưa có trong file PMO</v>
      </c>
      <c r="H1152" s="1" t="s">
        <v>2540</v>
      </c>
      <c r="I1152" s="1" t="s">
        <v>350</v>
      </c>
      <c r="J1152" s="1" t="s">
        <v>1788</v>
      </c>
      <c r="K1152" s="1" t="s">
        <v>1789</v>
      </c>
      <c r="L1152" s="2" t="str">
        <f>IF(
    F1152&lt;&gt;"Đã ký",
    "Chưa triển khai",
    IF(
        IFERROR(VLOOKUP(B1152,TCH[[Code budget]:[Ngày kết thúc thi công theo kế hoạch]],10,0),0)&gt;0,
        VLOOKUP(B1152,TCH[[Code budget]:[Ngày kết thúc thi công theo kế hoạch]],10,0),
        IFERROR(
            DATE(2026,VLOOKUP(B1152,'Plan 2026'!B:H,7,0),31),
            "Chưa triển khai"
        )
    )
)</f>
        <v>Chưa triển khai</v>
      </c>
      <c r="M1152" s="2" t="s">
        <v>6688</v>
      </c>
      <c r="N1152" s="2">
        <v>46113</v>
      </c>
      <c r="X1152" s="1" t="s">
        <v>2204</v>
      </c>
    </row>
    <row r="1153" spans="2:24" ht="11.25" hidden="1" customHeight="1" x14ac:dyDescent="0.25">
      <c r="B1153" s="1" t="s">
        <v>2541</v>
      </c>
      <c r="C1153" s="17" t="str">
        <f>IFERROR(LEFT(VLOOKUP(B1153,'For consider'!D:E,2,0),8),"Chưa có code")</f>
        <v>Chưa có code</v>
      </c>
      <c r="D1153" s="1" t="s">
        <v>348</v>
      </c>
      <c r="E1153" s="1" t="str">
        <f t="shared" si="2"/>
        <v>Chưa triển khai</v>
      </c>
      <c r="F1153" s="1" t="str">
        <f>IFERROR(VLOOKUP(B1153,'Plan 2026'!B:AC,28,0),"không có trong file network")</f>
        <v>Chưa có</v>
      </c>
      <c r="G1153" s="1" t="str">
        <f>IFERROR(IF(VLOOKUP(B1153,'TCH (append)'!C:P,14,0)="Completed","Hoàn thành thi công",
IF(VLOOKUP(B1153,'TCH (append)'!C:K,9,0)="Completed","Hoàn thành đấu thầu",
IF(VLOOKUP(B1153,'TCH (append)'!C:J,8,0)="Completed","Hoàn thành dự toán",
IF(VLOOKUP(B1153,'TCH (append)'!C:I,7,0)="Completed","Hoàn thành thiết kế",
"Chưa thiết kế")))),"Chưa có trong file PMO")</f>
        <v>Chưa có trong file PMO</v>
      </c>
      <c r="H1153" s="1" t="s">
        <v>2542</v>
      </c>
      <c r="I1153" s="1" t="s">
        <v>350</v>
      </c>
      <c r="J1153" s="1" t="s">
        <v>1788</v>
      </c>
      <c r="K1153" s="1" t="s">
        <v>1789</v>
      </c>
      <c r="L1153" s="2" t="str">
        <f>IF(
    F1153&lt;&gt;"Đã ký",
    "Chưa triển khai",
    IF(
        IFERROR(VLOOKUP(B1153,TCH[[Code budget]:[Ngày kết thúc thi công theo kế hoạch]],10,0),0)&gt;0,
        VLOOKUP(B1153,TCH[[Code budget]:[Ngày kết thúc thi công theo kế hoạch]],10,0),
        IFERROR(
            DATE(2026,VLOOKUP(B1153,'Plan 2026'!B:H,7,0),31),
            "Chưa triển khai"
        )
    )
)</f>
        <v>Chưa triển khai</v>
      </c>
      <c r="M1153" s="2" t="s">
        <v>6688</v>
      </c>
      <c r="N1153" s="2">
        <v>46113</v>
      </c>
      <c r="X1153" s="1" t="s">
        <v>2204</v>
      </c>
    </row>
    <row r="1154" spans="2:24" ht="11.25" hidden="1" customHeight="1" x14ac:dyDescent="0.25">
      <c r="B1154" s="1" t="s">
        <v>2543</v>
      </c>
      <c r="C1154" s="17" t="str">
        <f>IFERROR(LEFT(VLOOKUP(B1154,'For consider'!D:E,2,0),8),"Chưa có code")</f>
        <v>Chưa có code</v>
      </c>
      <c r="D1154" s="1" t="s">
        <v>348</v>
      </c>
      <c r="E1154" s="1" t="str">
        <f t="shared" si="2"/>
        <v>Chưa triển khai</v>
      </c>
      <c r="F1154" s="1" t="str">
        <f>IFERROR(VLOOKUP(B1154,'Plan 2026'!B:AC,28,0),"không có trong file network")</f>
        <v>Chưa có</v>
      </c>
      <c r="G1154" s="1" t="str">
        <f>IFERROR(IF(VLOOKUP(B1154,'TCH (append)'!C:P,14,0)="Completed","Hoàn thành thi công",
IF(VLOOKUP(B1154,'TCH (append)'!C:K,9,0)="Completed","Hoàn thành đấu thầu",
IF(VLOOKUP(B1154,'TCH (append)'!C:J,8,0)="Completed","Hoàn thành dự toán",
IF(VLOOKUP(B1154,'TCH (append)'!C:I,7,0)="Completed","Hoàn thành thiết kế",
"Chưa thiết kế")))),"Chưa có trong file PMO")</f>
        <v>Chưa có trong file PMO</v>
      </c>
      <c r="H1154" s="1" t="s">
        <v>2544</v>
      </c>
      <c r="I1154" s="1" t="s">
        <v>350</v>
      </c>
      <c r="J1154" s="1" t="s">
        <v>1788</v>
      </c>
      <c r="K1154" s="1" t="s">
        <v>1789</v>
      </c>
      <c r="L1154" s="2" t="str">
        <f>IF(
    F1154&lt;&gt;"Đã ký",
    "Chưa triển khai",
    IF(
        IFERROR(VLOOKUP(B1154,TCH[[Code budget]:[Ngày kết thúc thi công theo kế hoạch]],10,0),0)&gt;0,
        VLOOKUP(B1154,TCH[[Code budget]:[Ngày kết thúc thi công theo kế hoạch]],10,0),
        IFERROR(
            DATE(2026,VLOOKUP(B1154,'Plan 2026'!B:H,7,0),31),
            "Chưa triển khai"
        )
    )
)</f>
        <v>Chưa triển khai</v>
      </c>
      <c r="M1154" s="2" t="s">
        <v>6688</v>
      </c>
      <c r="N1154" s="2">
        <v>46143</v>
      </c>
      <c r="X1154" s="1" t="s">
        <v>2204</v>
      </c>
    </row>
    <row r="1155" spans="2:24" ht="11.25" hidden="1" customHeight="1" x14ac:dyDescent="0.25">
      <c r="B1155" s="1" t="s">
        <v>2545</v>
      </c>
      <c r="C1155" s="17" t="str">
        <f>IFERROR(LEFT(VLOOKUP(B1155,'For consider'!D:E,2,0),8),"Chưa có code")</f>
        <v>Chưa có code</v>
      </c>
      <c r="D1155" s="1" t="s">
        <v>348</v>
      </c>
      <c r="E1155" s="1" t="str">
        <f t="shared" si="2"/>
        <v>Chưa triển khai</v>
      </c>
      <c r="F1155" s="1" t="str">
        <f>IFERROR(VLOOKUP(B1155,'Plan 2026'!B:AC,28,0),"không có trong file network")</f>
        <v>Chưa có</v>
      </c>
      <c r="G1155" s="1" t="str">
        <f>IFERROR(IF(VLOOKUP(B1155,'TCH (append)'!C:P,14,0)="Completed","Hoàn thành thi công",
IF(VLOOKUP(B1155,'TCH (append)'!C:K,9,0)="Completed","Hoàn thành đấu thầu",
IF(VLOOKUP(B1155,'TCH (append)'!C:J,8,0)="Completed","Hoàn thành dự toán",
IF(VLOOKUP(B1155,'TCH (append)'!C:I,7,0)="Completed","Hoàn thành thiết kế",
"Chưa thiết kế")))),"Chưa có trong file PMO")</f>
        <v>Chưa có trong file PMO</v>
      </c>
      <c r="H1155" s="1" t="s">
        <v>2546</v>
      </c>
      <c r="I1155" s="1" t="s">
        <v>350</v>
      </c>
      <c r="J1155" s="1" t="s">
        <v>1788</v>
      </c>
      <c r="K1155" s="1" t="s">
        <v>1789</v>
      </c>
      <c r="L1155" s="2" t="str">
        <f>IF(
    F1155&lt;&gt;"Đã ký",
    "Chưa triển khai",
    IF(
        IFERROR(VLOOKUP(B1155,TCH[[Code budget]:[Ngày kết thúc thi công theo kế hoạch]],10,0),0)&gt;0,
        VLOOKUP(B1155,TCH[[Code budget]:[Ngày kết thúc thi công theo kế hoạch]],10,0),
        IFERROR(
            DATE(2026,VLOOKUP(B1155,'Plan 2026'!B:H,7,0),31),
            "Chưa triển khai"
        )
    )
)</f>
        <v>Chưa triển khai</v>
      </c>
      <c r="M1155" s="2" t="s">
        <v>6688</v>
      </c>
      <c r="N1155" s="2">
        <v>46143</v>
      </c>
      <c r="X1155" s="1" t="s">
        <v>2204</v>
      </c>
    </row>
    <row r="1156" spans="2:24" ht="11.25" hidden="1" customHeight="1" x14ac:dyDescent="0.25">
      <c r="B1156" s="1" t="s">
        <v>2547</v>
      </c>
      <c r="C1156" s="17" t="str">
        <f>IFERROR(LEFT(VLOOKUP(B1156,'For consider'!D:E,2,0),8),"Chưa có code")</f>
        <v>Chưa có code</v>
      </c>
      <c r="D1156" s="1" t="s">
        <v>20</v>
      </c>
      <c r="E1156" s="1" t="str">
        <f t="shared" si="2"/>
        <v>Chưa triển khai</v>
      </c>
      <c r="F1156" s="1" t="str">
        <f>IFERROR(VLOOKUP(B1156,'Plan 2026'!B:AC,28,0),"không có trong file network")</f>
        <v>Chưa có</v>
      </c>
      <c r="G1156" s="1" t="str">
        <f>IFERROR(IF(VLOOKUP(B1156,'TCH (append)'!C:P,14,0)="Completed","Hoàn thành thi công",
IF(VLOOKUP(B1156,'TCH (append)'!C:K,9,0)="Completed","Hoàn thành đấu thầu",
IF(VLOOKUP(B1156,'TCH (append)'!C:J,8,0)="Completed","Hoàn thành dự toán",
IF(VLOOKUP(B1156,'TCH (append)'!C:I,7,0)="Completed","Hoàn thành thiết kế",
"Chưa thiết kế")))),"Chưa có trong file PMO")</f>
        <v>Chưa có trong file PMO</v>
      </c>
      <c r="H1156" s="1" t="s">
        <v>2548</v>
      </c>
      <c r="I1156" s="1" t="s">
        <v>23</v>
      </c>
      <c r="J1156" s="1" t="s">
        <v>1788</v>
      </c>
      <c r="K1156" s="1" t="s">
        <v>1789</v>
      </c>
      <c r="L1156" s="2" t="str">
        <f>IF(
    F1156&lt;&gt;"Đã ký",
    "Chưa triển khai",
    IF(
        IFERROR(VLOOKUP(B1156,TCH[[Code budget]:[Ngày kết thúc thi công theo kế hoạch]],10,0),0)&gt;0,
        VLOOKUP(B1156,TCH[[Code budget]:[Ngày kết thúc thi công theo kế hoạch]],10,0),
        IFERROR(
            DATE(2026,VLOOKUP(B1156,'Plan 2026'!B:H,7,0),31),
            "Chưa triển khai"
        )
    )
)</f>
        <v>Chưa triển khai</v>
      </c>
      <c r="M1156" s="2" t="s">
        <v>6688</v>
      </c>
      <c r="N1156" s="2">
        <v>46174</v>
      </c>
      <c r="X1156" s="1" t="s">
        <v>2204</v>
      </c>
    </row>
    <row r="1157" spans="2:24" ht="11.25" hidden="1" customHeight="1" x14ac:dyDescent="0.25">
      <c r="B1157" s="1" t="s">
        <v>2549</v>
      </c>
      <c r="C1157" s="17" t="str">
        <f>IFERROR(LEFT(VLOOKUP(B1157,'For consider'!D:E,2,0),8),"Chưa có code")</f>
        <v>Chưa có code</v>
      </c>
      <c r="D1157" s="1" t="s">
        <v>20</v>
      </c>
      <c r="E1157" s="1" t="str">
        <f t="shared" si="2"/>
        <v>Chưa triển khai</v>
      </c>
      <c r="F1157" s="1" t="str">
        <f>IFERROR(VLOOKUP(B1157,'Plan 2026'!B:AC,28,0),"không có trong file network")</f>
        <v>Chưa có</v>
      </c>
      <c r="G1157" s="1" t="str">
        <f>IFERROR(IF(VLOOKUP(B1157,'TCH (append)'!C:P,14,0)="Completed","Hoàn thành thi công",
IF(VLOOKUP(B1157,'TCH (append)'!C:K,9,0)="Completed","Hoàn thành đấu thầu",
IF(VLOOKUP(B1157,'TCH (append)'!C:J,8,0)="Completed","Hoàn thành dự toán",
IF(VLOOKUP(B1157,'TCH (append)'!C:I,7,0)="Completed","Hoàn thành thiết kế",
"Chưa thiết kế")))),"Chưa có trong file PMO")</f>
        <v>Chưa có trong file PMO</v>
      </c>
      <c r="H1157" s="1" t="s">
        <v>2550</v>
      </c>
      <c r="I1157" s="1" t="s">
        <v>23</v>
      </c>
      <c r="J1157" s="1" t="s">
        <v>1788</v>
      </c>
      <c r="K1157" s="1" t="s">
        <v>1789</v>
      </c>
      <c r="L1157" s="2" t="str">
        <f>IF(
    F1157&lt;&gt;"Đã ký",
    "Chưa triển khai",
    IF(
        IFERROR(VLOOKUP(B1157,TCH[[Code budget]:[Ngày kết thúc thi công theo kế hoạch]],10,0),0)&gt;0,
        VLOOKUP(B1157,TCH[[Code budget]:[Ngày kết thúc thi công theo kế hoạch]],10,0),
        IFERROR(
            DATE(2026,VLOOKUP(B1157,'Plan 2026'!B:H,7,0),31),
            "Chưa triển khai"
        )
    )
)</f>
        <v>Chưa triển khai</v>
      </c>
      <c r="M1157" s="2" t="s">
        <v>6688</v>
      </c>
      <c r="N1157" s="2">
        <v>46204</v>
      </c>
      <c r="X1157" s="1" t="s">
        <v>2204</v>
      </c>
    </row>
    <row r="1158" spans="2:24" ht="11.25" hidden="1" customHeight="1" x14ac:dyDescent="0.25">
      <c r="B1158" s="1" t="s">
        <v>2551</v>
      </c>
      <c r="C1158" s="17" t="str">
        <f>IFERROR(LEFT(VLOOKUP(B1158,'For consider'!D:E,2,0),8),"Chưa có code")</f>
        <v>Chưa có code</v>
      </c>
      <c r="D1158" s="1" t="s">
        <v>20</v>
      </c>
      <c r="E1158" s="1" t="str">
        <f t="shared" si="2"/>
        <v>Chưa triển khai</v>
      </c>
      <c r="F1158" s="1" t="str">
        <f>IFERROR(VLOOKUP(B1158,'Plan 2026'!B:AC,28,0),"không có trong file network")</f>
        <v>Reject</v>
      </c>
      <c r="G1158" s="1" t="str">
        <f>IFERROR(IF(VLOOKUP(B1158,'TCH (append)'!C:P,14,0)="Completed","Hoàn thành thi công",
IF(VLOOKUP(B1158,'TCH (append)'!C:K,9,0)="Completed","Hoàn thành đấu thầu",
IF(VLOOKUP(B1158,'TCH (append)'!C:J,8,0)="Completed","Hoàn thành dự toán",
IF(VLOOKUP(B1158,'TCH (append)'!C:I,7,0)="Completed","Hoàn thành thiết kế",
"Chưa thiết kế")))),"Chưa có trong file PMO")</f>
        <v>Chưa có trong file PMO</v>
      </c>
      <c r="H1158" s="1" t="s">
        <v>2552</v>
      </c>
      <c r="I1158" s="1" t="s">
        <v>23</v>
      </c>
      <c r="J1158" s="1" t="s">
        <v>1788</v>
      </c>
      <c r="K1158" s="1" t="s">
        <v>1789</v>
      </c>
      <c r="L1158" s="2" t="str">
        <f>IF(
    F1158&lt;&gt;"Đã ký",
    "Chưa triển khai",
    IF(
        IFERROR(VLOOKUP(B1158,TCH[[Code budget]:[Ngày kết thúc thi công theo kế hoạch]],10,0),0)&gt;0,
        VLOOKUP(B1158,TCH[[Code budget]:[Ngày kết thúc thi công theo kế hoạch]],10,0),
        IFERROR(
            DATE(2026,VLOOKUP(B1158,'Plan 2026'!B:H,7,0),31),
            "Chưa triển khai"
        )
    )
)</f>
        <v>Chưa triển khai</v>
      </c>
      <c r="M1158" s="2" t="s">
        <v>6688</v>
      </c>
      <c r="N1158" s="2">
        <v>46327</v>
      </c>
      <c r="X1158" s="1" t="s">
        <v>2204</v>
      </c>
    </row>
    <row r="1159" spans="2:24" ht="11.25" hidden="1" customHeight="1" x14ac:dyDescent="0.25">
      <c r="B1159" s="1" t="s">
        <v>2553</v>
      </c>
      <c r="C1159" s="17" t="str">
        <f>IFERROR(LEFT(VLOOKUP(B1159,'For consider'!D:E,2,0),8),"Chưa có code")</f>
        <v>Chưa có code</v>
      </c>
      <c r="D1159" s="1" t="s">
        <v>348</v>
      </c>
      <c r="E1159" s="1" t="str">
        <f t="shared" si="2"/>
        <v>Chưa triển khai</v>
      </c>
      <c r="F1159" s="1" t="str">
        <f>IFERROR(VLOOKUP(B1159,'Plan 2026'!B:AC,28,0),"không có trong file network")</f>
        <v>Chưa có</v>
      </c>
      <c r="G1159" s="1" t="str">
        <f>IFERROR(IF(VLOOKUP(B1159,'TCH (append)'!C:P,14,0)="Completed","Hoàn thành thi công",
IF(VLOOKUP(B1159,'TCH (append)'!C:K,9,0)="Completed","Hoàn thành đấu thầu",
IF(VLOOKUP(B1159,'TCH (append)'!C:J,8,0)="Completed","Hoàn thành dự toán",
IF(VLOOKUP(B1159,'TCH (append)'!C:I,7,0)="Completed","Hoàn thành thiết kế",
"Chưa thiết kế")))),"Chưa có trong file PMO")</f>
        <v>Chưa có trong file PMO</v>
      </c>
      <c r="H1159" s="1" t="s">
        <v>2554</v>
      </c>
      <c r="I1159" s="1" t="s">
        <v>350</v>
      </c>
      <c r="J1159" s="1" t="s">
        <v>1788</v>
      </c>
      <c r="K1159" s="1" t="s">
        <v>1789</v>
      </c>
      <c r="L1159" s="2" t="str">
        <f>IF(
    F1159&lt;&gt;"Đã ký",
    "Chưa triển khai",
    IF(
        IFERROR(VLOOKUP(B1159,TCH[[Code budget]:[Ngày kết thúc thi công theo kế hoạch]],10,0),0)&gt;0,
        VLOOKUP(B1159,TCH[[Code budget]:[Ngày kết thúc thi công theo kế hoạch]],10,0),
        IFERROR(
            DATE(2026,VLOOKUP(B1159,'Plan 2026'!B:H,7,0),31),
            "Chưa triển khai"
        )
    )
)</f>
        <v>Chưa triển khai</v>
      </c>
      <c r="M1159" s="2" t="s">
        <v>6688</v>
      </c>
      <c r="N1159" s="2">
        <v>46174</v>
      </c>
      <c r="X1159" s="1" t="s">
        <v>2204</v>
      </c>
    </row>
    <row r="1160" spans="2:24" ht="11.25" hidden="1" customHeight="1" x14ac:dyDescent="0.25">
      <c r="B1160" s="1" t="s">
        <v>2555</v>
      </c>
      <c r="C1160" s="17" t="str">
        <f>IFERROR(LEFT(VLOOKUP(B1160,'For consider'!D:E,2,0),8),"Chưa có code")</f>
        <v>Chưa có code</v>
      </c>
      <c r="D1160" s="1" t="s">
        <v>348</v>
      </c>
      <c r="E1160" s="1" t="str">
        <f t="shared" si="2"/>
        <v>Chưa triển khai</v>
      </c>
      <c r="F1160" s="1" t="str">
        <f>IFERROR(VLOOKUP(B1160,'Plan 2026'!B:AC,28,0),"không có trong file network")</f>
        <v>Đang offer</v>
      </c>
      <c r="G1160" s="1" t="str">
        <f>IFERROR(IF(VLOOKUP(B1160,'TCH (append)'!C:P,14,0)="Completed","Hoàn thành thi công",
IF(VLOOKUP(B1160,'TCH (append)'!C:K,9,0)="Completed","Hoàn thành đấu thầu",
IF(VLOOKUP(B1160,'TCH (append)'!C:J,8,0)="Completed","Hoàn thành dự toán",
IF(VLOOKUP(B1160,'TCH (append)'!C:I,7,0)="Completed","Hoàn thành thiết kế",
"Chưa thiết kế")))),"Chưa có trong file PMO")</f>
        <v>Chưa có trong file PMO</v>
      </c>
      <c r="H1160" s="1" t="s">
        <v>2556</v>
      </c>
      <c r="I1160" s="1" t="s">
        <v>350</v>
      </c>
      <c r="J1160" s="1" t="s">
        <v>1788</v>
      </c>
      <c r="K1160" s="1" t="s">
        <v>1789</v>
      </c>
      <c r="L1160" s="2" t="str">
        <f>IF(
    F1160&lt;&gt;"Đã ký",
    "Chưa triển khai",
    IF(
        IFERROR(VLOOKUP(B1160,TCH[[Code budget]:[Ngày kết thúc thi công theo kế hoạch]],10,0),0)&gt;0,
        VLOOKUP(B1160,TCH[[Code budget]:[Ngày kết thúc thi công theo kế hoạch]],10,0),
        IFERROR(
            DATE(2026,VLOOKUP(B1160,'Plan 2026'!B:H,7,0),31),
            "Chưa triển khai"
        )
    )
)</f>
        <v>Chưa triển khai</v>
      </c>
      <c r="M1160" s="2" t="s">
        <v>6688</v>
      </c>
      <c r="N1160" s="2">
        <v>46174</v>
      </c>
      <c r="X1160" s="1" t="s">
        <v>2204</v>
      </c>
    </row>
    <row r="1161" spans="2:24" ht="11.25" hidden="1" customHeight="1" x14ac:dyDescent="0.25">
      <c r="B1161" s="1" t="s">
        <v>2557</v>
      </c>
      <c r="C1161" s="17" t="str">
        <f>IFERROR(LEFT(VLOOKUP(B1161,'For consider'!D:E,2,0),8),"Chưa có code")</f>
        <v>Chưa có code</v>
      </c>
      <c r="D1161" s="1" t="s">
        <v>348</v>
      </c>
      <c r="E1161" s="1" t="str">
        <f t="shared" si="2"/>
        <v>Chưa triển khai</v>
      </c>
      <c r="F1161" s="1" t="str">
        <f>IFERROR(VLOOKUP(B1161,'Plan 2026'!B:AC,28,0),"không có trong file network")</f>
        <v>Chưa có</v>
      </c>
      <c r="G1161" s="1" t="str">
        <f>IFERROR(IF(VLOOKUP(B1161,'TCH (append)'!C:P,14,0)="Completed","Hoàn thành thi công",
IF(VLOOKUP(B1161,'TCH (append)'!C:K,9,0)="Completed","Hoàn thành đấu thầu",
IF(VLOOKUP(B1161,'TCH (append)'!C:J,8,0)="Completed","Hoàn thành dự toán",
IF(VLOOKUP(B1161,'TCH (append)'!C:I,7,0)="Completed","Hoàn thành thiết kế",
"Chưa thiết kế")))),"Chưa có trong file PMO")</f>
        <v>Chưa có trong file PMO</v>
      </c>
      <c r="H1161" s="1" t="s">
        <v>2558</v>
      </c>
      <c r="I1161" s="1" t="s">
        <v>350</v>
      </c>
      <c r="J1161" s="1" t="s">
        <v>1788</v>
      </c>
      <c r="K1161" s="1" t="s">
        <v>1789</v>
      </c>
      <c r="L1161" s="2" t="str">
        <f>IF(
    F1161&lt;&gt;"Đã ký",
    "Chưa triển khai",
    IF(
        IFERROR(VLOOKUP(B1161,TCH[[Code budget]:[Ngày kết thúc thi công theo kế hoạch]],10,0),0)&gt;0,
        VLOOKUP(B1161,TCH[[Code budget]:[Ngày kết thúc thi công theo kế hoạch]],10,0),
        IFERROR(
            DATE(2026,VLOOKUP(B1161,'Plan 2026'!B:H,7,0),31),
            "Chưa triển khai"
        )
    )
)</f>
        <v>Chưa triển khai</v>
      </c>
      <c r="M1161" s="2" t="s">
        <v>6688</v>
      </c>
      <c r="N1161" s="2">
        <v>46357</v>
      </c>
      <c r="X1161" s="1" t="s">
        <v>2204</v>
      </c>
    </row>
    <row r="1162" spans="2:24" ht="11.25" hidden="1" customHeight="1" x14ac:dyDescent="0.25">
      <c r="B1162" s="1" t="s">
        <v>2559</v>
      </c>
      <c r="C1162" s="17" t="str">
        <f>IFERROR(LEFT(VLOOKUP(B1162,'For consider'!D:E,2,0),8),"Chưa có code")</f>
        <v>Chưa có code</v>
      </c>
      <c r="D1162" s="1" t="s">
        <v>348</v>
      </c>
      <c r="E1162" s="1" t="str">
        <f t="shared" si="2"/>
        <v>Chưa triển khai</v>
      </c>
      <c r="F1162" s="1" t="str">
        <f>IFERROR(VLOOKUP(B1162,'Plan 2026'!B:AC,28,0),"không có trong file network")</f>
        <v>Chưa có</v>
      </c>
      <c r="G1162" s="1" t="str">
        <f>IFERROR(IF(VLOOKUP(B1162,'TCH (append)'!C:P,14,0)="Completed","Hoàn thành thi công",
IF(VLOOKUP(B1162,'TCH (append)'!C:K,9,0)="Completed","Hoàn thành đấu thầu",
IF(VLOOKUP(B1162,'TCH (append)'!C:J,8,0)="Completed","Hoàn thành dự toán",
IF(VLOOKUP(B1162,'TCH (append)'!C:I,7,0)="Completed","Hoàn thành thiết kế",
"Chưa thiết kế")))),"Chưa có trong file PMO")</f>
        <v>Chưa có trong file PMO</v>
      </c>
      <c r="H1162" s="1" t="s">
        <v>2560</v>
      </c>
      <c r="I1162" s="1" t="s">
        <v>350</v>
      </c>
      <c r="J1162" s="1" t="s">
        <v>1788</v>
      </c>
      <c r="K1162" s="1" t="s">
        <v>1789</v>
      </c>
      <c r="L1162" s="2" t="str">
        <f>IF(
    F1162&lt;&gt;"Đã ký",
    "Chưa triển khai",
    IF(
        IFERROR(VLOOKUP(B1162,TCH[[Code budget]:[Ngày kết thúc thi công theo kế hoạch]],10,0),0)&gt;0,
        VLOOKUP(B1162,TCH[[Code budget]:[Ngày kết thúc thi công theo kế hoạch]],10,0),
        IFERROR(
            DATE(2026,VLOOKUP(B1162,'Plan 2026'!B:H,7,0),31),
            "Chưa triển khai"
        )
    )
)</f>
        <v>Chưa triển khai</v>
      </c>
      <c r="M1162" s="2" t="s">
        <v>6688</v>
      </c>
      <c r="N1162" s="2">
        <v>46296</v>
      </c>
      <c r="X1162" s="1" t="s">
        <v>2204</v>
      </c>
    </row>
    <row r="1163" spans="2:24" ht="11.25" hidden="1" customHeight="1" x14ac:dyDescent="0.25">
      <c r="B1163" s="1" t="s">
        <v>2561</v>
      </c>
      <c r="C1163" s="17" t="str">
        <f>IFERROR(LEFT(VLOOKUP(B1163,'For consider'!D:E,2,0),8),"Chưa có code")</f>
        <v>Chưa có code</v>
      </c>
      <c r="D1163" s="1" t="s">
        <v>20</v>
      </c>
      <c r="E1163" s="1" t="str">
        <f t="shared" si="2"/>
        <v>Chưa triển khai</v>
      </c>
      <c r="F1163" s="1" t="str">
        <f>IFERROR(VLOOKUP(B1163,'Plan 2026'!B:AC,28,0),"không có trong file network")</f>
        <v>Chưa có</v>
      </c>
      <c r="G1163" s="1" t="str">
        <f>IFERROR(IF(VLOOKUP(B1163,'TCH (append)'!C:P,14,0)="Completed","Hoàn thành thi công",
IF(VLOOKUP(B1163,'TCH (append)'!C:K,9,0)="Completed","Hoàn thành đấu thầu",
IF(VLOOKUP(B1163,'TCH (append)'!C:J,8,0)="Completed","Hoàn thành dự toán",
IF(VLOOKUP(B1163,'TCH (append)'!C:I,7,0)="Completed","Hoàn thành thiết kế",
"Chưa thiết kế")))),"Chưa có trong file PMO")</f>
        <v>Chưa có trong file PMO</v>
      </c>
      <c r="H1163" s="1" t="s">
        <v>2562</v>
      </c>
      <c r="I1163" s="1" t="s">
        <v>23</v>
      </c>
      <c r="J1163" s="1" t="s">
        <v>1788</v>
      </c>
      <c r="K1163" s="1" t="s">
        <v>1789</v>
      </c>
      <c r="L1163" s="2" t="str">
        <f>IF(
    F1163&lt;&gt;"Đã ký",
    "Chưa triển khai",
    IF(
        IFERROR(VLOOKUP(B1163,TCH[[Code budget]:[Ngày kết thúc thi công theo kế hoạch]],10,0),0)&gt;0,
        VLOOKUP(B1163,TCH[[Code budget]:[Ngày kết thúc thi công theo kế hoạch]],10,0),
        IFERROR(
            DATE(2026,VLOOKUP(B1163,'Plan 2026'!B:H,7,0),31),
            "Chưa triển khai"
        )
    )
)</f>
        <v>Chưa triển khai</v>
      </c>
      <c r="M1163" s="2" t="s">
        <v>6688</v>
      </c>
      <c r="N1163" s="2">
        <v>46113</v>
      </c>
      <c r="X1163" s="1" t="s">
        <v>2204</v>
      </c>
    </row>
    <row r="1164" spans="2:24" ht="11.25" hidden="1" customHeight="1" x14ac:dyDescent="0.25">
      <c r="B1164" s="1" t="s">
        <v>2563</v>
      </c>
      <c r="C1164" s="17" t="str">
        <f>IFERROR(LEFT(VLOOKUP(B1164,'For consider'!D:E,2,0),8),"Chưa có code")</f>
        <v>Chưa có code</v>
      </c>
      <c r="D1164" s="1" t="s">
        <v>20</v>
      </c>
      <c r="E1164" s="1" t="str">
        <f t="shared" si="2"/>
        <v>Chưa triển khai</v>
      </c>
      <c r="F1164" s="1" t="str">
        <f>IFERROR(VLOOKUP(B1164,'Plan 2026'!B:AC,28,0),"không có trong file network")</f>
        <v>Reject</v>
      </c>
      <c r="G1164" s="1" t="str">
        <f>IFERROR(IF(VLOOKUP(B1164,'TCH (append)'!C:P,14,0)="Completed","Hoàn thành thi công",
IF(VLOOKUP(B1164,'TCH (append)'!C:K,9,0)="Completed","Hoàn thành đấu thầu",
IF(VLOOKUP(B1164,'TCH (append)'!C:J,8,0)="Completed","Hoàn thành dự toán",
IF(VLOOKUP(B1164,'TCH (append)'!C:I,7,0)="Completed","Hoàn thành thiết kế",
"Chưa thiết kế")))),"Chưa có trong file PMO")</f>
        <v>Chưa có trong file PMO</v>
      </c>
      <c r="H1164" s="1" t="s">
        <v>2564</v>
      </c>
      <c r="I1164" s="1" t="s">
        <v>23</v>
      </c>
      <c r="J1164" s="1" t="s">
        <v>1788</v>
      </c>
      <c r="K1164" s="1" t="s">
        <v>1789</v>
      </c>
      <c r="L1164" s="2" t="str">
        <f>IF(
    F1164&lt;&gt;"Đã ký",
    "Chưa triển khai",
    IF(
        IFERROR(VLOOKUP(B1164,TCH[[Code budget]:[Ngày kết thúc thi công theo kế hoạch]],10,0),0)&gt;0,
        VLOOKUP(B1164,TCH[[Code budget]:[Ngày kết thúc thi công theo kế hoạch]],10,0),
        IFERROR(
            DATE(2026,VLOOKUP(B1164,'Plan 2026'!B:H,7,0),31),
            "Chưa triển khai"
        )
    )
)</f>
        <v>Chưa triển khai</v>
      </c>
      <c r="M1164" s="2" t="s">
        <v>6688</v>
      </c>
      <c r="N1164" s="2">
        <v>46174</v>
      </c>
      <c r="X1164" s="1" t="s">
        <v>2204</v>
      </c>
    </row>
    <row r="1165" spans="2:24" ht="11.25" hidden="1" customHeight="1" x14ac:dyDescent="0.25">
      <c r="B1165" s="1" t="s">
        <v>2565</v>
      </c>
      <c r="C1165" s="17" t="str">
        <f>IFERROR(LEFT(VLOOKUP(B1165,'For consider'!D:E,2,0),8),"Chưa có code")</f>
        <v>Chưa có code</v>
      </c>
      <c r="D1165" s="1" t="s">
        <v>20</v>
      </c>
      <c r="E1165" s="1" t="str">
        <f t="shared" si="2"/>
        <v>Chưa triển khai</v>
      </c>
      <c r="F1165" s="1" t="str">
        <f>IFERROR(VLOOKUP(B1165,'Plan 2026'!B:AC,28,0),"không có trong file network")</f>
        <v>Chưa có</v>
      </c>
      <c r="G1165" s="1" t="str">
        <f>IFERROR(IF(VLOOKUP(B1165,'TCH (append)'!C:P,14,0)="Completed","Hoàn thành thi công",
IF(VLOOKUP(B1165,'TCH (append)'!C:K,9,0)="Completed","Hoàn thành đấu thầu",
IF(VLOOKUP(B1165,'TCH (append)'!C:J,8,0)="Completed","Hoàn thành dự toán",
IF(VLOOKUP(B1165,'TCH (append)'!C:I,7,0)="Completed","Hoàn thành thiết kế",
"Chưa thiết kế")))),"Chưa có trong file PMO")</f>
        <v>Chưa có trong file PMO</v>
      </c>
      <c r="H1165" s="1" t="s">
        <v>2566</v>
      </c>
      <c r="I1165" s="1" t="s">
        <v>23</v>
      </c>
      <c r="J1165" s="1" t="s">
        <v>1788</v>
      </c>
      <c r="K1165" s="1" t="s">
        <v>1789</v>
      </c>
      <c r="L1165" s="2" t="str">
        <f>IF(
    F1165&lt;&gt;"Đã ký",
    "Chưa triển khai",
    IF(
        IFERROR(VLOOKUP(B1165,TCH[[Code budget]:[Ngày kết thúc thi công theo kế hoạch]],10,0),0)&gt;0,
        VLOOKUP(B1165,TCH[[Code budget]:[Ngày kết thúc thi công theo kế hoạch]],10,0),
        IFERROR(
            DATE(2026,VLOOKUP(B1165,'Plan 2026'!B:H,7,0),31),
            "Chưa triển khai"
        )
    )
)</f>
        <v>Chưa triển khai</v>
      </c>
      <c r="M1165" s="2" t="s">
        <v>6688</v>
      </c>
      <c r="N1165" s="2">
        <v>46174</v>
      </c>
      <c r="X1165" s="1" t="s">
        <v>2204</v>
      </c>
    </row>
    <row r="1166" spans="2:24" ht="11.25" hidden="1" customHeight="1" x14ac:dyDescent="0.25">
      <c r="B1166" s="1" t="s">
        <v>2567</v>
      </c>
      <c r="C1166" s="17" t="str">
        <f>IFERROR(LEFT(VLOOKUP(B1166,'For consider'!D:E,2,0),8),"Chưa có code")</f>
        <v>Chưa có code</v>
      </c>
      <c r="D1166" s="1" t="s">
        <v>20</v>
      </c>
      <c r="E1166" s="1" t="str">
        <f t="shared" si="2"/>
        <v>Chưa triển khai</v>
      </c>
      <c r="F1166" s="1" t="str">
        <f>IFERROR(VLOOKUP(B1166,'Plan 2026'!B:AC,28,0),"không có trong file network")</f>
        <v>Đang offer</v>
      </c>
      <c r="G1166" s="1" t="str">
        <f>IFERROR(IF(VLOOKUP(B1166,'TCH (append)'!C:P,14,0)="Completed","Hoàn thành thi công",
IF(VLOOKUP(B1166,'TCH (append)'!C:K,9,0)="Completed","Hoàn thành đấu thầu",
IF(VLOOKUP(B1166,'TCH (append)'!C:J,8,0)="Completed","Hoàn thành dự toán",
IF(VLOOKUP(B1166,'TCH (append)'!C:I,7,0)="Completed","Hoàn thành thiết kế",
"Chưa thiết kế")))),"Chưa có trong file PMO")</f>
        <v>Chưa có trong file PMO</v>
      </c>
      <c r="H1166" s="1" t="s">
        <v>2568</v>
      </c>
      <c r="I1166" s="1" t="s">
        <v>23</v>
      </c>
      <c r="J1166" s="1" t="s">
        <v>1788</v>
      </c>
      <c r="K1166" s="1" t="s">
        <v>1789</v>
      </c>
      <c r="L1166" s="2" t="str">
        <f>IF(
    F1166&lt;&gt;"Đã ký",
    "Chưa triển khai",
    IF(
        IFERROR(VLOOKUP(B1166,TCH[[Code budget]:[Ngày kết thúc thi công theo kế hoạch]],10,0),0)&gt;0,
        VLOOKUP(B1166,TCH[[Code budget]:[Ngày kết thúc thi công theo kế hoạch]],10,0),
        IFERROR(
            DATE(2026,VLOOKUP(B1166,'Plan 2026'!B:H,7,0),31),
            "Chưa triển khai"
        )
    )
)</f>
        <v>Chưa triển khai</v>
      </c>
      <c r="M1166" s="2" t="s">
        <v>6688</v>
      </c>
      <c r="N1166" s="2">
        <v>46113</v>
      </c>
      <c r="X1166" s="1" t="s">
        <v>2204</v>
      </c>
    </row>
    <row r="1167" spans="2:24" ht="11.25" hidden="1" customHeight="1" x14ac:dyDescent="0.25">
      <c r="B1167" s="1" t="s">
        <v>2569</v>
      </c>
      <c r="C1167" s="17" t="str">
        <f>IFERROR(LEFT(VLOOKUP(B1167,'For consider'!D:E,2,0),8),"Chưa có code")</f>
        <v>Chưa có code</v>
      </c>
      <c r="D1167" s="1" t="s">
        <v>20</v>
      </c>
      <c r="E1167" s="1" t="str">
        <f t="shared" si="2"/>
        <v>Chưa triển khai</v>
      </c>
      <c r="F1167" s="1" t="str">
        <f>IFERROR(VLOOKUP(B1167,'Plan 2026'!B:AC,28,0),"không có trong file network")</f>
        <v>Chưa có</v>
      </c>
      <c r="G1167" s="1" t="str">
        <f>IFERROR(IF(VLOOKUP(B1167,'TCH (append)'!C:P,14,0)="Completed","Hoàn thành thi công",
IF(VLOOKUP(B1167,'TCH (append)'!C:K,9,0)="Completed","Hoàn thành đấu thầu",
IF(VLOOKUP(B1167,'TCH (append)'!C:J,8,0)="Completed","Hoàn thành dự toán",
IF(VLOOKUP(B1167,'TCH (append)'!C:I,7,0)="Completed","Hoàn thành thiết kế",
"Chưa thiết kế")))),"Chưa có trong file PMO")</f>
        <v>Chưa có trong file PMO</v>
      </c>
      <c r="H1167" s="1" t="s">
        <v>2570</v>
      </c>
      <c r="I1167" s="1" t="s">
        <v>23</v>
      </c>
      <c r="J1167" s="1" t="s">
        <v>1788</v>
      </c>
      <c r="K1167" s="1" t="s">
        <v>1789</v>
      </c>
      <c r="L1167" s="2" t="str">
        <f>IF(
    F1167&lt;&gt;"Đã ký",
    "Chưa triển khai",
    IF(
        IFERROR(VLOOKUP(B1167,TCH[[Code budget]:[Ngày kết thúc thi công theo kế hoạch]],10,0),0)&gt;0,
        VLOOKUP(B1167,TCH[[Code budget]:[Ngày kết thúc thi công theo kế hoạch]],10,0),
        IFERROR(
            DATE(2026,VLOOKUP(B1167,'Plan 2026'!B:H,7,0),31),
            "Chưa triển khai"
        )
    )
)</f>
        <v>Chưa triển khai</v>
      </c>
      <c r="M1167" s="2" t="s">
        <v>6688</v>
      </c>
      <c r="N1167" s="2">
        <v>46296</v>
      </c>
      <c r="X1167" s="1" t="s">
        <v>2204</v>
      </c>
    </row>
    <row r="1168" spans="2:24" ht="11.25" hidden="1" customHeight="1" x14ac:dyDescent="0.25">
      <c r="B1168" s="1" t="s">
        <v>2571</v>
      </c>
      <c r="C1168" s="17" t="str">
        <f>IFERROR(LEFT(VLOOKUP(B1168,'For consider'!D:E,2,0),8),"Chưa có code")</f>
        <v>Chưa có code</v>
      </c>
      <c r="D1168" s="1" t="s">
        <v>348</v>
      </c>
      <c r="E1168" s="1" t="str">
        <f t="shared" si="2"/>
        <v>Chưa triển khai</v>
      </c>
      <c r="F1168" s="1" t="str">
        <f>IFERROR(VLOOKUP(B1168,'Plan 2026'!B:AC,28,0),"không có trong file network")</f>
        <v>Chưa có</v>
      </c>
      <c r="G1168" s="1" t="str">
        <f>IFERROR(IF(VLOOKUP(B1168,'TCH (append)'!C:P,14,0)="Completed","Hoàn thành thi công",
IF(VLOOKUP(B1168,'TCH (append)'!C:K,9,0)="Completed","Hoàn thành đấu thầu",
IF(VLOOKUP(B1168,'TCH (append)'!C:J,8,0)="Completed","Hoàn thành dự toán",
IF(VLOOKUP(B1168,'TCH (append)'!C:I,7,0)="Completed","Hoàn thành thiết kế",
"Chưa thiết kế")))),"Chưa có trong file PMO")</f>
        <v>Chưa có trong file PMO</v>
      </c>
      <c r="H1168" s="1" t="s">
        <v>2572</v>
      </c>
      <c r="I1168" s="1" t="s">
        <v>350</v>
      </c>
      <c r="J1168" s="1" t="s">
        <v>1788</v>
      </c>
      <c r="K1168" s="1" t="s">
        <v>1789</v>
      </c>
      <c r="L1168" s="2" t="str">
        <f>IF(
    F1168&lt;&gt;"Đã ký",
    "Chưa triển khai",
    IF(
        IFERROR(VLOOKUP(B1168,TCH[[Code budget]:[Ngày kết thúc thi công theo kế hoạch]],10,0),0)&gt;0,
        VLOOKUP(B1168,TCH[[Code budget]:[Ngày kết thúc thi công theo kế hoạch]],10,0),
        IFERROR(
            DATE(2026,VLOOKUP(B1168,'Plan 2026'!B:H,7,0),31),
            "Chưa triển khai"
        )
    )
)</f>
        <v>Chưa triển khai</v>
      </c>
      <c r="M1168" s="2" t="s">
        <v>6688</v>
      </c>
      <c r="N1168" s="2">
        <v>46204</v>
      </c>
      <c r="X1168" s="1" t="s">
        <v>2204</v>
      </c>
    </row>
    <row r="1169" spans="2:24" ht="11.25" hidden="1" customHeight="1" x14ac:dyDescent="0.25">
      <c r="B1169" s="1" t="s">
        <v>2573</v>
      </c>
      <c r="C1169" s="17" t="str">
        <f>IFERROR(LEFT(VLOOKUP(B1169,'For consider'!D:E,2,0),8),"Chưa có code")</f>
        <v>Chưa có code</v>
      </c>
      <c r="D1169" s="1" t="s">
        <v>348</v>
      </c>
      <c r="E1169" s="1" t="str">
        <f t="shared" si="2"/>
        <v>Chưa triển khai</v>
      </c>
      <c r="F1169" s="1" t="str">
        <f>IFERROR(VLOOKUP(B1169,'Plan 2026'!B:AC,28,0),"không có trong file network")</f>
        <v>Chưa có</v>
      </c>
      <c r="G1169" s="1" t="str">
        <f>IFERROR(IF(VLOOKUP(B1169,'TCH (append)'!C:P,14,0)="Completed","Hoàn thành thi công",
IF(VLOOKUP(B1169,'TCH (append)'!C:K,9,0)="Completed","Hoàn thành đấu thầu",
IF(VLOOKUP(B1169,'TCH (append)'!C:J,8,0)="Completed","Hoàn thành dự toán",
IF(VLOOKUP(B1169,'TCH (append)'!C:I,7,0)="Completed","Hoàn thành thiết kế",
"Chưa thiết kế")))),"Chưa có trong file PMO")</f>
        <v>Chưa có trong file PMO</v>
      </c>
      <c r="H1169" s="1" t="s">
        <v>2574</v>
      </c>
      <c r="I1169" s="1" t="s">
        <v>350</v>
      </c>
      <c r="J1169" s="1" t="s">
        <v>1788</v>
      </c>
      <c r="K1169" s="1" t="s">
        <v>1789</v>
      </c>
      <c r="L1169" s="2" t="str">
        <f>IF(
    F1169&lt;&gt;"Đã ký",
    "Chưa triển khai",
    IF(
        IFERROR(VLOOKUP(B1169,TCH[[Code budget]:[Ngày kết thúc thi công theo kế hoạch]],10,0),0)&gt;0,
        VLOOKUP(B1169,TCH[[Code budget]:[Ngày kết thúc thi công theo kế hoạch]],10,0),
        IFERROR(
            DATE(2026,VLOOKUP(B1169,'Plan 2026'!B:H,7,0),31),
            "Chưa triển khai"
        )
    )
)</f>
        <v>Chưa triển khai</v>
      </c>
      <c r="M1169" s="2" t="s">
        <v>6688</v>
      </c>
      <c r="N1169" s="2">
        <v>46235</v>
      </c>
      <c r="X1169" s="1" t="s">
        <v>2204</v>
      </c>
    </row>
    <row r="1170" spans="2:24" ht="11.25" hidden="1" customHeight="1" x14ac:dyDescent="0.25">
      <c r="B1170" s="1" t="s">
        <v>2575</v>
      </c>
      <c r="C1170" s="17" t="str">
        <f>IFERROR(LEFT(VLOOKUP(B1170,'For consider'!D:E,2,0),8),"Chưa có code")</f>
        <v>Chưa có code</v>
      </c>
      <c r="D1170" s="1" t="s">
        <v>20</v>
      </c>
      <c r="E1170" s="1" t="str">
        <f t="shared" si="2"/>
        <v>Chưa triển khai</v>
      </c>
      <c r="F1170" s="1" t="str">
        <f>IFERROR(VLOOKUP(B1170,'Plan 2026'!B:AC,28,0),"không có trong file network")</f>
        <v>Chưa có</v>
      </c>
      <c r="G1170" s="1" t="str">
        <f>IFERROR(IF(VLOOKUP(B1170,'TCH (append)'!C:P,14,0)="Completed","Hoàn thành thi công",
IF(VLOOKUP(B1170,'TCH (append)'!C:K,9,0)="Completed","Hoàn thành đấu thầu",
IF(VLOOKUP(B1170,'TCH (append)'!C:J,8,0)="Completed","Hoàn thành dự toán",
IF(VLOOKUP(B1170,'TCH (append)'!C:I,7,0)="Completed","Hoàn thành thiết kế",
"Chưa thiết kế")))),"Chưa có trong file PMO")</f>
        <v>Chưa có trong file PMO</v>
      </c>
      <c r="H1170" s="1" t="s">
        <v>2576</v>
      </c>
      <c r="I1170" s="1" t="s">
        <v>23</v>
      </c>
      <c r="J1170" s="1" t="s">
        <v>1788</v>
      </c>
      <c r="K1170" s="1" t="s">
        <v>1789</v>
      </c>
      <c r="L1170" s="2" t="str">
        <f>IF(
    F1170&lt;&gt;"Đã ký",
    "Chưa triển khai",
    IF(
        IFERROR(VLOOKUP(B1170,TCH[[Code budget]:[Ngày kết thúc thi công theo kế hoạch]],10,0),0)&gt;0,
        VLOOKUP(B1170,TCH[[Code budget]:[Ngày kết thúc thi công theo kế hoạch]],10,0),
        IFERROR(
            DATE(2026,VLOOKUP(B1170,'Plan 2026'!B:H,7,0),31),
            "Chưa triển khai"
        )
    )
)</f>
        <v>Chưa triển khai</v>
      </c>
      <c r="M1170" s="2" t="s">
        <v>6688</v>
      </c>
      <c r="N1170" s="2">
        <v>46296</v>
      </c>
      <c r="X1170" s="1" t="s">
        <v>2204</v>
      </c>
    </row>
    <row r="1171" spans="2:24" ht="11.25" hidden="1" customHeight="1" x14ac:dyDescent="0.25">
      <c r="B1171" s="1" t="s">
        <v>2577</v>
      </c>
      <c r="C1171" s="17" t="str">
        <f>IFERROR(LEFT(VLOOKUP(B1171,'For consider'!D:E,2,0),8),"Chưa có code")</f>
        <v>Chưa có code</v>
      </c>
      <c r="D1171" s="1" t="s">
        <v>348</v>
      </c>
      <c r="E1171" s="1" t="str">
        <f t="shared" si="2"/>
        <v>Chưa triển khai</v>
      </c>
      <c r="F1171" s="1" t="str">
        <f>IFERROR(VLOOKUP(B1171,'Plan 2026'!B:AC,28,0),"không có trong file network")</f>
        <v>Chưa có</v>
      </c>
      <c r="G1171" s="1" t="str">
        <f>IFERROR(IF(VLOOKUP(B1171,'TCH (append)'!C:P,14,0)="Completed","Hoàn thành thi công",
IF(VLOOKUP(B1171,'TCH (append)'!C:K,9,0)="Completed","Hoàn thành đấu thầu",
IF(VLOOKUP(B1171,'TCH (append)'!C:J,8,0)="Completed","Hoàn thành dự toán",
IF(VLOOKUP(B1171,'TCH (append)'!C:I,7,0)="Completed","Hoàn thành thiết kế",
"Chưa thiết kế")))),"Chưa có trong file PMO")</f>
        <v>Chưa có trong file PMO</v>
      </c>
      <c r="H1171" s="1" t="s">
        <v>2578</v>
      </c>
      <c r="I1171" s="1" t="s">
        <v>350</v>
      </c>
      <c r="J1171" s="1" t="s">
        <v>1788</v>
      </c>
      <c r="K1171" s="1" t="s">
        <v>1789</v>
      </c>
      <c r="L1171" s="2" t="str">
        <f>IF(
    F1171&lt;&gt;"Đã ký",
    "Chưa triển khai",
    IF(
        IFERROR(VLOOKUP(B1171,TCH[[Code budget]:[Ngày kết thúc thi công theo kế hoạch]],10,0),0)&gt;0,
        VLOOKUP(B1171,TCH[[Code budget]:[Ngày kết thúc thi công theo kế hoạch]],10,0),
        IFERROR(
            DATE(2026,VLOOKUP(B1171,'Plan 2026'!B:H,7,0),31),
            "Chưa triển khai"
        )
    )
)</f>
        <v>Chưa triển khai</v>
      </c>
      <c r="M1171" s="2" t="s">
        <v>6688</v>
      </c>
      <c r="N1171" s="2">
        <v>46327</v>
      </c>
      <c r="X1171" s="1" t="s">
        <v>2204</v>
      </c>
    </row>
    <row r="1172" spans="2:24" ht="11.25" hidden="1" customHeight="1" x14ac:dyDescent="0.25">
      <c r="B1172" s="1" t="s">
        <v>2579</v>
      </c>
      <c r="C1172" s="17" t="str">
        <f>IFERROR(LEFT(VLOOKUP(B1172,'For consider'!D:E,2,0),8),"Chưa có code")</f>
        <v>Chưa có code</v>
      </c>
      <c r="D1172" s="1" t="s">
        <v>20</v>
      </c>
      <c r="E1172" s="1" t="str">
        <f t="shared" ref="E1172:E1230" si="3">IF(AND(F1172="Đã ký",G1172&lt;&gt;"Chưa có trong file PMO"),"Waiting for open",IF(F1172="Đã ký","Lock mb chưa thi công","Chưa triển khai"))</f>
        <v>Chưa triển khai</v>
      </c>
      <c r="F1172" s="1" t="str">
        <f>IFERROR(VLOOKUP(B1172,'Plan 2026'!B:AC,28,0),"không có trong file network")</f>
        <v>Chưa có</v>
      </c>
      <c r="G1172" s="1" t="str">
        <f>IFERROR(IF(VLOOKUP(B1172,'TCH (append)'!C:P,14,0)="Completed","Hoàn thành thi công",
IF(VLOOKUP(B1172,'TCH (append)'!C:K,9,0)="Completed","Hoàn thành đấu thầu",
IF(VLOOKUP(B1172,'TCH (append)'!C:J,8,0)="Completed","Hoàn thành dự toán",
IF(VLOOKUP(B1172,'TCH (append)'!C:I,7,0)="Completed","Hoàn thành thiết kế",
"Chưa thiết kế")))),"Chưa có trong file PMO")</f>
        <v>Chưa có trong file PMO</v>
      </c>
      <c r="H1172" s="1" t="s">
        <v>2580</v>
      </c>
      <c r="I1172" s="1" t="s">
        <v>23</v>
      </c>
      <c r="J1172" s="1" t="s">
        <v>1788</v>
      </c>
      <c r="K1172" s="1" t="s">
        <v>1789</v>
      </c>
      <c r="L1172" s="2" t="str">
        <f>IF(
    F1172&lt;&gt;"Đã ký",
    "Chưa triển khai",
    IF(
        IFERROR(VLOOKUP(B1172,TCH[[Code budget]:[Ngày kết thúc thi công theo kế hoạch]],10,0),0)&gt;0,
        VLOOKUP(B1172,TCH[[Code budget]:[Ngày kết thúc thi công theo kế hoạch]],10,0),
        IFERROR(
            DATE(2026,VLOOKUP(B1172,'Plan 2026'!B:H,7,0),31),
            "Chưa triển khai"
        )
    )
)</f>
        <v>Chưa triển khai</v>
      </c>
      <c r="M1172" s="2" t="s">
        <v>6688</v>
      </c>
      <c r="N1172" s="2">
        <v>46174</v>
      </c>
      <c r="X1172" s="1" t="s">
        <v>2204</v>
      </c>
    </row>
    <row r="1173" spans="2:24" ht="11.25" hidden="1" customHeight="1" x14ac:dyDescent="0.25">
      <c r="B1173" s="1" t="s">
        <v>2581</v>
      </c>
      <c r="C1173" s="17" t="str">
        <f>IFERROR(LEFT(VLOOKUP(B1173,'For consider'!D:E,2,0),8),"Chưa có code")</f>
        <v>Chưa có code</v>
      </c>
      <c r="D1173" s="1" t="s">
        <v>348</v>
      </c>
      <c r="E1173" s="1" t="str">
        <f t="shared" si="3"/>
        <v>Chưa triển khai</v>
      </c>
      <c r="F1173" s="1" t="str">
        <f>IFERROR(VLOOKUP(B1173,'Plan 2026'!B:AC,28,0),"không có trong file network")</f>
        <v>Chưa có</v>
      </c>
      <c r="G1173" s="1" t="str">
        <f>IFERROR(IF(VLOOKUP(B1173,'TCH (append)'!C:P,14,0)="Completed","Hoàn thành thi công",
IF(VLOOKUP(B1173,'TCH (append)'!C:K,9,0)="Completed","Hoàn thành đấu thầu",
IF(VLOOKUP(B1173,'TCH (append)'!C:J,8,0)="Completed","Hoàn thành dự toán",
IF(VLOOKUP(B1173,'TCH (append)'!C:I,7,0)="Completed","Hoàn thành thiết kế",
"Chưa thiết kế")))),"Chưa có trong file PMO")</f>
        <v>Chưa có trong file PMO</v>
      </c>
      <c r="H1173" s="1" t="s">
        <v>2582</v>
      </c>
      <c r="I1173" s="1" t="s">
        <v>350</v>
      </c>
      <c r="J1173" s="1" t="s">
        <v>1788</v>
      </c>
      <c r="K1173" s="1" t="s">
        <v>1789</v>
      </c>
      <c r="L1173" s="2" t="str">
        <f>IF(
    F1173&lt;&gt;"Đã ký",
    "Chưa triển khai",
    IF(
        IFERROR(VLOOKUP(B1173,TCH[[Code budget]:[Ngày kết thúc thi công theo kế hoạch]],10,0),0)&gt;0,
        VLOOKUP(B1173,TCH[[Code budget]:[Ngày kết thúc thi công theo kế hoạch]],10,0),
        IFERROR(
            DATE(2026,VLOOKUP(B1173,'Plan 2026'!B:H,7,0),31),
            "Chưa triển khai"
        )
    )
)</f>
        <v>Chưa triển khai</v>
      </c>
      <c r="M1173" s="2" t="s">
        <v>6688</v>
      </c>
      <c r="N1173" s="2">
        <v>46235</v>
      </c>
      <c r="X1173" s="1" t="s">
        <v>2204</v>
      </c>
    </row>
    <row r="1174" spans="2:24" ht="11.25" hidden="1" customHeight="1" x14ac:dyDescent="0.25">
      <c r="B1174" s="1" t="s">
        <v>2583</v>
      </c>
      <c r="C1174" s="17" t="str">
        <f>IFERROR(LEFT(VLOOKUP(B1174,'For consider'!D:E,2,0),8),"Chưa có code")</f>
        <v>Chưa có code</v>
      </c>
      <c r="D1174" s="1" t="s">
        <v>348</v>
      </c>
      <c r="E1174" s="1" t="str">
        <f t="shared" si="3"/>
        <v>Chưa triển khai</v>
      </c>
      <c r="F1174" s="1" t="str">
        <f>IFERROR(VLOOKUP(B1174,'Plan 2026'!B:AC,28,0),"không có trong file network")</f>
        <v>Chưa có</v>
      </c>
      <c r="G1174" s="1" t="str">
        <f>IFERROR(IF(VLOOKUP(B1174,'TCH (append)'!C:P,14,0)="Completed","Hoàn thành thi công",
IF(VLOOKUP(B1174,'TCH (append)'!C:K,9,0)="Completed","Hoàn thành đấu thầu",
IF(VLOOKUP(B1174,'TCH (append)'!C:J,8,0)="Completed","Hoàn thành dự toán",
IF(VLOOKUP(B1174,'TCH (append)'!C:I,7,0)="Completed","Hoàn thành thiết kế",
"Chưa thiết kế")))),"Chưa có trong file PMO")</f>
        <v>Chưa có trong file PMO</v>
      </c>
      <c r="H1174" s="1" t="s">
        <v>2584</v>
      </c>
      <c r="I1174" s="1" t="s">
        <v>350</v>
      </c>
      <c r="J1174" s="1" t="s">
        <v>1788</v>
      </c>
      <c r="K1174" s="1" t="s">
        <v>1789</v>
      </c>
      <c r="L1174" s="2" t="str">
        <f>IF(
    F1174&lt;&gt;"Đã ký",
    "Chưa triển khai",
    IF(
        IFERROR(VLOOKUP(B1174,TCH[[Code budget]:[Ngày kết thúc thi công theo kế hoạch]],10,0),0)&gt;0,
        VLOOKUP(B1174,TCH[[Code budget]:[Ngày kết thúc thi công theo kế hoạch]],10,0),
        IFERROR(
            DATE(2026,VLOOKUP(B1174,'Plan 2026'!B:H,7,0),31),
            "Chưa triển khai"
        )
    )
)</f>
        <v>Chưa triển khai</v>
      </c>
      <c r="M1174" s="2" t="s">
        <v>6688</v>
      </c>
      <c r="N1174" s="2">
        <v>46204</v>
      </c>
      <c r="X1174" s="1" t="s">
        <v>2204</v>
      </c>
    </row>
    <row r="1175" spans="2:24" ht="11.25" hidden="1" customHeight="1" x14ac:dyDescent="0.25">
      <c r="B1175" s="1" t="s">
        <v>2585</v>
      </c>
      <c r="C1175" s="17" t="str">
        <f>IFERROR(LEFT(VLOOKUP(B1175,'For consider'!D:E,2,0),8),"Chưa có code")</f>
        <v>Chưa có code</v>
      </c>
      <c r="D1175" s="1" t="s">
        <v>348</v>
      </c>
      <c r="E1175" s="1" t="str">
        <f t="shared" si="3"/>
        <v>Chưa triển khai</v>
      </c>
      <c r="F1175" s="1" t="str">
        <f>IFERROR(VLOOKUP(B1175,'Plan 2026'!B:AC,28,0),"không có trong file network")</f>
        <v>Chưa có</v>
      </c>
      <c r="G1175" s="1" t="str">
        <f>IFERROR(IF(VLOOKUP(B1175,'TCH (append)'!C:P,14,0)="Completed","Hoàn thành thi công",
IF(VLOOKUP(B1175,'TCH (append)'!C:K,9,0)="Completed","Hoàn thành đấu thầu",
IF(VLOOKUP(B1175,'TCH (append)'!C:J,8,0)="Completed","Hoàn thành dự toán",
IF(VLOOKUP(B1175,'TCH (append)'!C:I,7,0)="Completed","Hoàn thành thiết kế",
"Chưa thiết kế")))),"Chưa có trong file PMO")</f>
        <v>Chưa có trong file PMO</v>
      </c>
      <c r="H1175" s="1" t="s">
        <v>2586</v>
      </c>
      <c r="I1175" s="1" t="s">
        <v>350</v>
      </c>
      <c r="J1175" s="1" t="s">
        <v>1788</v>
      </c>
      <c r="K1175" s="1" t="s">
        <v>1789</v>
      </c>
      <c r="L1175" s="2" t="str">
        <f>IF(
    F1175&lt;&gt;"Đã ký",
    "Chưa triển khai",
    IF(
        IFERROR(VLOOKUP(B1175,TCH[[Code budget]:[Ngày kết thúc thi công theo kế hoạch]],10,0),0)&gt;0,
        VLOOKUP(B1175,TCH[[Code budget]:[Ngày kết thúc thi công theo kế hoạch]],10,0),
        IFERROR(
            DATE(2026,VLOOKUP(B1175,'Plan 2026'!B:H,7,0),31),
            "Chưa triển khai"
        )
    )
)</f>
        <v>Chưa triển khai</v>
      </c>
      <c r="M1175" s="2" t="s">
        <v>6688</v>
      </c>
      <c r="N1175" s="2">
        <v>46204</v>
      </c>
      <c r="X1175" s="1" t="s">
        <v>2204</v>
      </c>
    </row>
    <row r="1176" spans="2:24" ht="11.25" hidden="1" customHeight="1" x14ac:dyDescent="0.25">
      <c r="B1176" s="1" t="s">
        <v>2587</v>
      </c>
      <c r="C1176" s="17" t="str">
        <f>IFERROR(LEFT(VLOOKUP(B1176,'For consider'!D:E,2,0),8),"Chưa có code")</f>
        <v>Chưa có code</v>
      </c>
      <c r="D1176" s="1" t="s">
        <v>348</v>
      </c>
      <c r="E1176" s="1" t="str">
        <f t="shared" si="3"/>
        <v>Chưa triển khai</v>
      </c>
      <c r="F1176" s="1" t="str">
        <f>IFERROR(VLOOKUP(B1176,'Plan 2026'!B:AC,28,0),"không có trong file network")</f>
        <v>Chưa có</v>
      </c>
      <c r="G1176" s="1" t="str">
        <f>IFERROR(IF(VLOOKUP(B1176,'TCH (append)'!C:P,14,0)="Completed","Hoàn thành thi công",
IF(VLOOKUP(B1176,'TCH (append)'!C:K,9,0)="Completed","Hoàn thành đấu thầu",
IF(VLOOKUP(B1176,'TCH (append)'!C:J,8,0)="Completed","Hoàn thành dự toán",
IF(VLOOKUP(B1176,'TCH (append)'!C:I,7,0)="Completed","Hoàn thành thiết kế",
"Chưa thiết kế")))),"Chưa có trong file PMO")</f>
        <v>Chưa có trong file PMO</v>
      </c>
      <c r="H1176" s="1" t="s">
        <v>2588</v>
      </c>
      <c r="I1176" s="1" t="s">
        <v>350</v>
      </c>
      <c r="J1176" s="1" t="s">
        <v>1788</v>
      </c>
      <c r="K1176" s="1" t="s">
        <v>1789</v>
      </c>
      <c r="L1176" s="2" t="str">
        <f>IF(
    F1176&lt;&gt;"Đã ký",
    "Chưa triển khai",
    IF(
        IFERROR(VLOOKUP(B1176,TCH[[Code budget]:[Ngày kết thúc thi công theo kế hoạch]],10,0),0)&gt;0,
        VLOOKUP(B1176,TCH[[Code budget]:[Ngày kết thúc thi công theo kế hoạch]],10,0),
        IFERROR(
            DATE(2026,VLOOKUP(B1176,'Plan 2026'!B:H,7,0),31),
            "Chưa triển khai"
        )
    )
)</f>
        <v>Chưa triển khai</v>
      </c>
      <c r="M1176" s="2" t="s">
        <v>6688</v>
      </c>
      <c r="N1176" s="2">
        <v>46113</v>
      </c>
      <c r="X1176" s="1" t="s">
        <v>2204</v>
      </c>
    </row>
    <row r="1177" spans="2:24" ht="11.25" hidden="1" customHeight="1" x14ac:dyDescent="0.25">
      <c r="B1177" s="1" t="s">
        <v>2589</v>
      </c>
      <c r="C1177" s="17" t="str">
        <f>IFERROR(LEFT(VLOOKUP(B1177,'For consider'!D:E,2,0),8),"Chưa có code")</f>
        <v>Chưa có code</v>
      </c>
      <c r="D1177" s="1" t="s">
        <v>20</v>
      </c>
      <c r="E1177" s="1" t="str">
        <f t="shared" si="3"/>
        <v>Chưa triển khai</v>
      </c>
      <c r="F1177" s="1" t="str">
        <f>IFERROR(VLOOKUP(B1177,'Plan 2026'!B:AC,28,0),"không có trong file network")</f>
        <v>Không có</v>
      </c>
      <c r="G1177" s="1" t="str">
        <f>IFERROR(IF(VLOOKUP(B1177,'TCH (append)'!C:P,14,0)="Completed","Hoàn thành thi công",
IF(VLOOKUP(B1177,'TCH (append)'!C:K,9,0)="Completed","Hoàn thành đấu thầu",
IF(VLOOKUP(B1177,'TCH (append)'!C:J,8,0)="Completed","Hoàn thành dự toán",
IF(VLOOKUP(B1177,'TCH (append)'!C:I,7,0)="Completed","Hoàn thành thiết kế",
"Chưa thiết kế")))),"Chưa có trong file PMO")</f>
        <v>Chưa có trong file PMO</v>
      </c>
      <c r="H1177" s="1" t="s">
        <v>2590</v>
      </c>
      <c r="I1177" s="1" t="s">
        <v>23</v>
      </c>
      <c r="J1177" s="1" t="s">
        <v>1788</v>
      </c>
      <c r="K1177" s="1" t="s">
        <v>1789</v>
      </c>
      <c r="L1177" s="2" t="str">
        <f>IF(
    F1177&lt;&gt;"Đã ký",
    "Chưa triển khai",
    IF(
        IFERROR(VLOOKUP(B1177,TCH[[Code budget]:[Ngày kết thúc thi công theo kế hoạch]],10,0),0)&gt;0,
        VLOOKUP(B1177,TCH[[Code budget]:[Ngày kết thúc thi công theo kế hoạch]],10,0),
        IFERROR(
            DATE(2026,VLOOKUP(B1177,'Plan 2026'!B:H,7,0),31),
            "Chưa triển khai"
        )
    )
)</f>
        <v>Chưa triển khai</v>
      </c>
      <c r="M1177" s="2" t="s">
        <v>6688</v>
      </c>
      <c r="N1177" s="2">
        <v>46235</v>
      </c>
      <c r="X1177" s="1" t="s">
        <v>2204</v>
      </c>
    </row>
    <row r="1178" spans="2:24" ht="11.25" hidden="1" customHeight="1" x14ac:dyDescent="0.25">
      <c r="B1178" s="1" t="s">
        <v>2591</v>
      </c>
      <c r="C1178" s="17" t="str">
        <f>IFERROR(LEFT(VLOOKUP(B1178,'For consider'!D:E,2,0),8),"Chưa có code")</f>
        <v>Chưa có code</v>
      </c>
      <c r="D1178" s="1" t="s">
        <v>20</v>
      </c>
      <c r="E1178" s="1" t="str">
        <f t="shared" si="3"/>
        <v>Chưa triển khai</v>
      </c>
      <c r="F1178" s="1" t="str">
        <f>IFERROR(VLOOKUP(B1178,'Plan 2026'!B:AC,28,0),"không có trong file network")</f>
        <v>Chưa có</v>
      </c>
      <c r="G1178" s="1" t="str">
        <f>IFERROR(IF(VLOOKUP(B1178,'TCH (append)'!C:P,14,0)="Completed","Hoàn thành thi công",
IF(VLOOKUP(B1178,'TCH (append)'!C:K,9,0)="Completed","Hoàn thành đấu thầu",
IF(VLOOKUP(B1178,'TCH (append)'!C:J,8,0)="Completed","Hoàn thành dự toán",
IF(VLOOKUP(B1178,'TCH (append)'!C:I,7,0)="Completed","Hoàn thành thiết kế",
"Chưa thiết kế")))),"Chưa có trong file PMO")</f>
        <v>Chưa có trong file PMO</v>
      </c>
      <c r="H1178" s="1" t="s">
        <v>2592</v>
      </c>
      <c r="I1178" s="1" t="s">
        <v>23</v>
      </c>
      <c r="J1178" s="1" t="s">
        <v>1788</v>
      </c>
      <c r="K1178" s="1" t="s">
        <v>1789</v>
      </c>
      <c r="L1178" s="2" t="str">
        <f>IF(
    F1178&lt;&gt;"Đã ký",
    "Chưa triển khai",
    IF(
        IFERROR(VLOOKUP(B1178,TCH[[Code budget]:[Ngày kết thúc thi công theo kế hoạch]],10,0),0)&gt;0,
        VLOOKUP(B1178,TCH[[Code budget]:[Ngày kết thúc thi công theo kế hoạch]],10,0),
        IFERROR(
            DATE(2026,VLOOKUP(B1178,'Plan 2026'!B:H,7,0),31),
            "Chưa triển khai"
        )
    )
)</f>
        <v>Chưa triển khai</v>
      </c>
      <c r="M1178" s="2" t="s">
        <v>6688</v>
      </c>
      <c r="N1178" s="2">
        <v>46143</v>
      </c>
      <c r="X1178" s="1" t="s">
        <v>2204</v>
      </c>
    </row>
    <row r="1179" spans="2:24" ht="11.25" hidden="1" customHeight="1" x14ac:dyDescent="0.25">
      <c r="B1179" s="1" t="s">
        <v>2593</v>
      </c>
      <c r="C1179" s="17" t="str">
        <f>IFERROR(LEFT(VLOOKUP(B1179,'For consider'!D:E,2,0),8),"Chưa có code")</f>
        <v>Chưa có code</v>
      </c>
      <c r="D1179" s="1" t="s">
        <v>20</v>
      </c>
      <c r="E1179" s="1" t="str">
        <f t="shared" si="3"/>
        <v>Chưa triển khai</v>
      </c>
      <c r="F1179" s="1" t="str">
        <f>IFERROR(VLOOKUP(B1179,'Plan 2026'!B:AC,28,0),"không có trong file network")</f>
        <v>Reject</v>
      </c>
      <c r="G1179" s="1" t="str">
        <f>IFERROR(IF(VLOOKUP(B1179,'TCH (append)'!C:P,14,0)="Completed","Hoàn thành thi công",
IF(VLOOKUP(B1179,'TCH (append)'!C:K,9,0)="Completed","Hoàn thành đấu thầu",
IF(VLOOKUP(B1179,'TCH (append)'!C:J,8,0)="Completed","Hoàn thành dự toán",
IF(VLOOKUP(B1179,'TCH (append)'!C:I,7,0)="Completed","Hoàn thành thiết kế",
"Chưa thiết kế")))),"Chưa có trong file PMO")</f>
        <v>Chưa có trong file PMO</v>
      </c>
      <c r="H1179" s="1" t="s">
        <v>2594</v>
      </c>
      <c r="I1179" s="1" t="s">
        <v>23</v>
      </c>
      <c r="J1179" s="1" t="s">
        <v>1788</v>
      </c>
      <c r="K1179" s="1" t="s">
        <v>1789</v>
      </c>
      <c r="L1179" s="2" t="str">
        <f>IF(
    F1179&lt;&gt;"Đã ký",
    "Chưa triển khai",
    IF(
        IFERROR(VLOOKUP(B1179,TCH[[Code budget]:[Ngày kết thúc thi công theo kế hoạch]],10,0),0)&gt;0,
        VLOOKUP(B1179,TCH[[Code budget]:[Ngày kết thúc thi công theo kế hoạch]],10,0),
        IFERROR(
            DATE(2026,VLOOKUP(B1179,'Plan 2026'!B:H,7,0),31),
            "Chưa triển khai"
        )
    )
)</f>
        <v>Chưa triển khai</v>
      </c>
      <c r="M1179" s="2" t="s">
        <v>6688</v>
      </c>
      <c r="N1179" s="2">
        <v>46143</v>
      </c>
      <c r="X1179" s="1" t="s">
        <v>2204</v>
      </c>
    </row>
    <row r="1180" spans="2:24" ht="11.25" hidden="1" customHeight="1" x14ac:dyDescent="0.25">
      <c r="B1180" s="1" t="s">
        <v>2595</v>
      </c>
      <c r="C1180" s="17" t="str">
        <f>IFERROR(LEFT(VLOOKUP(B1180,'For consider'!D:E,2,0),8),"Chưa có code")</f>
        <v>Chưa có code</v>
      </c>
      <c r="D1180" s="1" t="s">
        <v>20</v>
      </c>
      <c r="E1180" s="1" t="str">
        <f t="shared" si="3"/>
        <v>Chưa triển khai</v>
      </c>
      <c r="F1180" s="1" t="str">
        <f>IFERROR(VLOOKUP(B1180,'Plan 2026'!B:AC,28,0),"không có trong file network")</f>
        <v>Chưa có</v>
      </c>
      <c r="G1180" s="1" t="str">
        <f>IFERROR(IF(VLOOKUP(B1180,'TCH (append)'!C:P,14,0)="Completed","Hoàn thành thi công",
IF(VLOOKUP(B1180,'TCH (append)'!C:K,9,0)="Completed","Hoàn thành đấu thầu",
IF(VLOOKUP(B1180,'TCH (append)'!C:J,8,0)="Completed","Hoàn thành dự toán",
IF(VLOOKUP(B1180,'TCH (append)'!C:I,7,0)="Completed","Hoàn thành thiết kế",
"Chưa thiết kế")))),"Chưa có trong file PMO")</f>
        <v>Chưa có trong file PMO</v>
      </c>
      <c r="H1180" s="1" t="s">
        <v>2596</v>
      </c>
      <c r="I1180" s="1" t="s">
        <v>23</v>
      </c>
      <c r="J1180" s="1" t="s">
        <v>1788</v>
      </c>
      <c r="K1180" s="1" t="s">
        <v>1789</v>
      </c>
      <c r="L1180" s="2" t="str">
        <f>IF(
    F1180&lt;&gt;"Đã ký",
    "Chưa triển khai",
    IF(
        IFERROR(VLOOKUP(B1180,TCH[[Code budget]:[Ngày kết thúc thi công theo kế hoạch]],10,0),0)&gt;0,
        VLOOKUP(B1180,TCH[[Code budget]:[Ngày kết thúc thi công theo kế hoạch]],10,0),
        IFERROR(
            DATE(2026,VLOOKUP(B1180,'Plan 2026'!B:H,7,0),31),
            "Chưa triển khai"
        )
    )
)</f>
        <v>Chưa triển khai</v>
      </c>
      <c r="M1180" s="2" t="s">
        <v>6688</v>
      </c>
      <c r="N1180" s="2">
        <v>46143</v>
      </c>
      <c r="X1180" s="1" t="s">
        <v>2204</v>
      </c>
    </row>
    <row r="1181" spans="2:24" ht="11.25" hidden="1" customHeight="1" x14ac:dyDescent="0.25">
      <c r="B1181" s="1" t="s">
        <v>2597</v>
      </c>
      <c r="C1181" s="17" t="str">
        <f>IFERROR(LEFT(VLOOKUP(B1181,'For consider'!D:E,2,0),8),"Chưa có code")</f>
        <v>Chưa có code</v>
      </c>
      <c r="D1181" s="1" t="s">
        <v>348</v>
      </c>
      <c r="E1181" s="1" t="str">
        <f t="shared" si="3"/>
        <v>Chưa triển khai</v>
      </c>
      <c r="F1181" s="1" t="str">
        <f>IFERROR(VLOOKUP(B1181,'Plan 2026'!B:AC,28,0),"không có trong file network")</f>
        <v>Chưa có</v>
      </c>
      <c r="G1181" s="1" t="str">
        <f>IFERROR(IF(VLOOKUP(B1181,'TCH (append)'!C:P,14,0)="Completed","Hoàn thành thi công",
IF(VLOOKUP(B1181,'TCH (append)'!C:K,9,0)="Completed","Hoàn thành đấu thầu",
IF(VLOOKUP(B1181,'TCH (append)'!C:J,8,0)="Completed","Hoàn thành dự toán",
IF(VLOOKUP(B1181,'TCH (append)'!C:I,7,0)="Completed","Hoàn thành thiết kế",
"Chưa thiết kế")))),"Chưa có trong file PMO")</f>
        <v>Chưa có trong file PMO</v>
      </c>
      <c r="H1181" s="1" t="s">
        <v>2598</v>
      </c>
      <c r="I1181" s="1" t="s">
        <v>350</v>
      </c>
      <c r="J1181" s="1" t="s">
        <v>1788</v>
      </c>
      <c r="K1181" s="1" t="s">
        <v>1789</v>
      </c>
      <c r="L1181" s="2" t="str">
        <f>IF(
    F1181&lt;&gt;"Đã ký",
    "Chưa triển khai",
    IF(
        IFERROR(VLOOKUP(B1181,TCH[[Code budget]:[Ngày kết thúc thi công theo kế hoạch]],10,0),0)&gt;0,
        VLOOKUP(B1181,TCH[[Code budget]:[Ngày kết thúc thi công theo kế hoạch]],10,0),
        IFERROR(
            DATE(2026,VLOOKUP(B1181,'Plan 2026'!B:H,7,0),31),
            "Chưa triển khai"
        )
    )
)</f>
        <v>Chưa triển khai</v>
      </c>
      <c r="M1181" s="2" t="s">
        <v>6688</v>
      </c>
      <c r="N1181" s="2">
        <v>46235</v>
      </c>
      <c r="X1181" s="1" t="s">
        <v>2204</v>
      </c>
    </row>
    <row r="1182" spans="2:24" ht="11.25" hidden="1" customHeight="1" x14ac:dyDescent="0.25">
      <c r="B1182" s="1" t="s">
        <v>2599</v>
      </c>
      <c r="C1182" s="17" t="str">
        <f>IFERROR(LEFT(VLOOKUP(B1182,'For consider'!D:E,2,0),8),"Chưa có code")</f>
        <v>Chưa có code</v>
      </c>
      <c r="D1182" s="1" t="s">
        <v>348</v>
      </c>
      <c r="E1182" s="1" t="str">
        <f t="shared" si="3"/>
        <v>Chưa triển khai</v>
      </c>
      <c r="F1182" s="1" t="str">
        <f>IFERROR(VLOOKUP(B1182,'Plan 2026'!B:AC,28,0),"không có trong file network")</f>
        <v>Chưa có</v>
      </c>
      <c r="G1182" s="1" t="str">
        <f>IFERROR(IF(VLOOKUP(B1182,'TCH (append)'!C:P,14,0)="Completed","Hoàn thành thi công",
IF(VLOOKUP(B1182,'TCH (append)'!C:K,9,0)="Completed","Hoàn thành đấu thầu",
IF(VLOOKUP(B1182,'TCH (append)'!C:J,8,0)="Completed","Hoàn thành dự toán",
IF(VLOOKUP(B1182,'TCH (append)'!C:I,7,0)="Completed","Hoàn thành thiết kế",
"Chưa thiết kế")))),"Chưa có trong file PMO")</f>
        <v>Chưa có trong file PMO</v>
      </c>
      <c r="H1182" s="1" t="s">
        <v>2600</v>
      </c>
      <c r="I1182" s="1" t="s">
        <v>350</v>
      </c>
      <c r="J1182" s="1" t="s">
        <v>1788</v>
      </c>
      <c r="K1182" s="1" t="s">
        <v>1789</v>
      </c>
      <c r="L1182" s="2" t="str">
        <f>IF(
    F1182&lt;&gt;"Đã ký",
    "Chưa triển khai",
    IF(
        IFERROR(VLOOKUP(B1182,TCH[[Code budget]:[Ngày kết thúc thi công theo kế hoạch]],10,0),0)&gt;0,
        VLOOKUP(B1182,TCH[[Code budget]:[Ngày kết thúc thi công theo kế hoạch]],10,0),
        IFERROR(
            DATE(2026,VLOOKUP(B1182,'Plan 2026'!B:H,7,0),31),
            "Chưa triển khai"
        )
    )
)</f>
        <v>Chưa triển khai</v>
      </c>
      <c r="M1182" s="2" t="s">
        <v>6688</v>
      </c>
      <c r="N1182" s="2">
        <v>46266</v>
      </c>
      <c r="X1182" s="1" t="s">
        <v>2204</v>
      </c>
    </row>
    <row r="1183" spans="2:24" ht="11.25" hidden="1" customHeight="1" x14ac:dyDescent="0.25">
      <c r="B1183" s="1" t="s">
        <v>2601</v>
      </c>
      <c r="C1183" s="17" t="str">
        <f>IFERROR(LEFT(VLOOKUP(B1183,'For consider'!D:E,2,0),8),"Chưa có code")</f>
        <v>Chưa có code</v>
      </c>
      <c r="D1183" s="1" t="s">
        <v>348</v>
      </c>
      <c r="E1183" s="1" t="str">
        <f t="shared" si="3"/>
        <v>Chưa triển khai</v>
      </c>
      <c r="F1183" s="1" t="str">
        <f>IFERROR(VLOOKUP(B1183,'Plan 2026'!B:AC,28,0),"không có trong file network")</f>
        <v>Chưa có</v>
      </c>
      <c r="G1183" s="1" t="str">
        <f>IFERROR(IF(VLOOKUP(B1183,'TCH (append)'!C:P,14,0)="Completed","Hoàn thành thi công",
IF(VLOOKUP(B1183,'TCH (append)'!C:K,9,0)="Completed","Hoàn thành đấu thầu",
IF(VLOOKUP(B1183,'TCH (append)'!C:J,8,0)="Completed","Hoàn thành dự toán",
IF(VLOOKUP(B1183,'TCH (append)'!C:I,7,0)="Completed","Hoàn thành thiết kế",
"Chưa thiết kế")))),"Chưa có trong file PMO")</f>
        <v>Chưa có trong file PMO</v>
      </c>
      <c r="H1183" s="1" t="s">
        <v>2602</v>
      </c>
      <c r="I1183" s="1" t="s">
        <v>350</v>
      </c>
      <c r="J1183" s="1" t="s">
        <v>1788</v>
      </c>
      <c r="K1183" s="1" t="s">
        <v>1789</v>
      </c>
      <c r="L1183" s="2" t="str">
        <f>IF(
    F1183&lt;&gt;"Đã ký",
    "Chưa triển khai",
    IF(
        IFERROR(VLOOKUP(B1183,TCH[[Code budget]:[Ngày kết thúc thi công theo kế hoạch]],10,0),0)&gt;0,
        VLOOKUP(B1183,TCH[[Code budget]:[Ngày kết thúc thi công theo kế hoạch]],10,0),
        IFERROR(
            DATE(2026,VLOOKUP(B1183,'Plan 2026'!B:H,7,0),31),
            "Chưa triển khai"
        )
    )
)</f>
        <v>Chưa triển khai</v>
      </c>
      <c r="M1183" s="2" t="s">
        <v>6688</v>
      </c>
      <c r="N1183" s="2">
        <v>46143</v>
      </c>
      <c r="X1183" s="1" t="s">
        <v>2204</v>
      </c>
    </row>
    <row r="1184" spans="2:24" ht="11.25" hidden="1" customHeight="1" x14ac:dyDescent="0.25">
      <c r="B1184" s="1" t="s">
        <v>2603</v>
      </c>
      <c r="C1184" s="17" t="str">
        <f>IFERROR(LEFT(VLOOKUP(B1184,'For consider'!D:E,2,0),8),"Chưa có code")</f>
        <v>Chưa có code</v>
      </c>
      <c r="D1184" s="1" t="s">
        <v>20</v>
      </c>
      <c r="E1184" s="1" t="str">
        <f t="shared" si="3"/>
        <v>Chưa triển khai</v>
      </c>
      <c r="F1184" s="1" t="str">
        <f>IFERROR(VLOOKUP(B1184,'Plan 2026'!B:AC,28,0),"không có trong file network")</f>
        <v>không có trong file network</v>
      </c>
      <c r="G1184" s="1" t="str">
        <f>IFERROR(IF(VLOOKUP(B1184,'TCH (append)'!C:P,14,0)="Completed","Hoàn thành thi công",
IF(VLOOKUP(B1184,'TCH (append)'!C:K,9,0)="Completed","Hoàn thành đấu thầu",
IF(VLOOKUP(B1184,'TCH (append)'!C:J,8,0)="Completed","Hoàn thành dự toán",
IF(VLOOKUP(B1184,'TCH (append)'!C:I,7,0)="Completed","Hoàn thành thiết kế",
"Chưa thiết kế")))),"Chưa có trong file PMO")</f>
        <v>Chưa có trong file PMO</v>
      </c>
      <c r="H1184" s="1" t="s">
        <v>2604</v>
      </c>
      <c r="I1184" s="1" t="s">
        <v>23</v>
      </c>
      <c r="J1184" s="1" t="s">
        <v>1788</v>
      </c>
      <c r="K1184" s="1" t="s">
        <v>1789</v>
      </c>
      <c r="L1184" s="2" t="str">
        <f>IF(
    F1184&lt;&gt;"Đã ký",
    "Chưa triển khai",
    IF(
        IFERROR(VLOOKUP(B1184,TCH[[Code budget]:[Ngày kết thúc thi công theo kế hoạch]],10,0),0)&gt;0,
        VLOOKUP(B1184,TCH[[Code budget]:[Ngày kết thúc thi công theo kế hoạch]],10,0),
        IFERROR(
            DATE(2026,VLOOKUP(B1184,'Plan 2026'!B:H,7,0),31),
            "Chưa triển khai"
        )
    )
)</f>
        <v>Chưa triển khai</v>
      </c>
      <c r="M1184" s="2" t="s">
        <v>6688</v>
      </c>
      <c r="N1184" s="2">
        <v>46266</v>
      </c>
      <c r="X1184" s="1" t="s">
        <v>2204</v>
      </c>
    </row>
    <row r="1185" spans="2:24" ht="11.25" hidden="1" customHeight="1" x14ac:dyDescent="0.25">
      <c r="B1185" s="1" t="s">
        <v>2605</v>
      </c>
      <c r="C1185" s="17" t="str">
        <f>IFERROR(LEFT(VLOOKUP(B1185,'For consider'!D:E,2,0),8),"Chưa có code")</f>
        <v>Chưa có code</v>
      </c>
      <c r="D1185" s="1" t="s">
        <v>348</v>
      </c>
      <c r="E1185" s="1" t="str">
        <f t="shared" si="3"/>
        <v>Chưa triển khai</v>
      </c>
      <c r="F1185" s="1" t="str">
        <f>IFERROR(VLOOKUP(B1185,'Plan 2026'!B:AC,28,0),"không có trong file network")</f>
        <v>không có trong file network</v>
      </c>
      <c r="G1185" s="1" t="str">
        <f>IFERROR(IF(VLOOKUP(B1185,'TCH (append)'!C:P,14,0)="Completed","Hoàn thành thi công",
IF(VLOOKUP(B1185,'TCH (append)'!C:K,9,0)="Completed","Hoàn thành đấu thầu",
IF(VLOOKUP(B1185,'TCH (append)'!C:J,8,0)="Completed","Hoàn thành dự toán",
IF(VLOOKUP(B1185,'TCH (append)'!C:I,7,0)="Completed","Hoàn thành thiết kế",
"Chưa thiết kế")))),"Chưa có trong file PMO")</f>
        <v>Chưa có trong file PMO</v>
      </c>
      <c r="H1185" s="1" t="s">
        <v>2606</v>
      </c>
      <c r="I1185" s="1" t="s">
        <v>350</v>
      </c>
      <c r="J1185" s="1" t="s">
        <v>1788</v>
      </c>
      <c r="K1185" s="1" t="s">
        <v>1789</v>
      </c>
      <c r="L1185" s="2" t="str">
        <f>IF(
    F1185&lt;&gt;"Đã ký",
    "Chưa triển khai",
    IF(
        IFERROR(VLOOKUP(B1185,TCH[[Code budget]:[Ngày kết thúc thi công theo kế hoạch]],10,0),0)&gt;0,
        VLOOKUP(B1185,TCH[[Code budget]:[Ngày kết thúc thi công theo kế hoạch]],10,0),
        IFERROR(
            DATE(2026,VLOOKUP(B1185,'Plan 2026'!B:H,7,0),31),
            "Chưa triển khai"
        )
    )
)</f>
        <v>Chưa triển khai</v>
      </c>
      <c r="M1185" s="2" t="s">
        <v>6688</v>
      </c>
      <c r="N1185" s="2">
        <v>46357</v>
      </c>
      <c r="X1185" s="1" t="s">
        <v>2204</v>
      </c>
    </row>
    <row r="1186" spans="2:24" ht="11.25" hidden="1" customHeight="1" x14ac:dyDescent="0.25">
      <c r="B1186" s="1" t="s">
        <v>2607</v>
      </c>
      <c r="C1186" s="17" t="str">
        <f>IFERROR(LEFT(VLOOKUP(B1186,'For consider'!D:E,2,0),8),"Chưa có code")</f>
        <v>Chưa có code</v>
      </c>
      <c r="D1186" s="1" t="s">
        <v>348</v>
      </c>
      <c r="E1186" s="1" t="str">
        <f t="shared" si="3"/>
        <v>Chưa triển khai</v>
      </c>
      <c r="F1186" s="1" t="str">
        <f>IFERROR(VLOOKUP(B1186,'Plan 2026'!B:AC,28,0),"không có trong file network")</f>
        <v>Đang offer</v>
      </c>
      <c r="G1186" s="1" t="str">
        <f>IFERROR(IF(VLOOKUP(B1186,'TCH (append)'!C:P,14,0)="Completed","Hoàn thành thi công",
IF(VLOOKUP(B1186,'TCH (append)'!C:K,9,0)="Completed","Hoàn thành đấu thầu",
IF(VLOOKUP(B1186,'TCH (append)'!C:J,8,0)="Completed","Hoàn thành dự toán",
IF(VLOOKUP(B1186,'TCH (append)'!C:I,7,0)="Completed","Hoàn thành thiết kế",
"Chưa thiết kế")))),"Chưa có trong file PMO")</f>
        <v>Chưa có trong file PMO</v>
      </c>
      <c r="H1186" s="1" t="s">
        <v>2608</v>
      </c>
      <c r="I1186" s="1" t="s">
        <v>350</v>
      </c>
      <c r="J1186" s="1" t="s">
        <v>1788</v>
      </c>
      <c r="K1186" s="1" t="s">
        <v>1789</v>
      </c>
      <c r="L1186" s="2" t="str">
        <f>IF(
    F1186&lt;&gt;"Đã ký",
    "Chưa triển khai",
    IF(
        IFERROR(VLOOKUP(B1186,TCH[[Code budget]:[Ngày kết thúc thi công theo kế hoạch]],10,0),0)&gt;0,
        VLOOKUP(B1186,TCH[[Code budget]:[Ngày kết thúc thi công theo kế hoạch]],10,0),
        IFERROR(
            DATE(2026,VLOOKUP(B1186,'Plan 2026'!B:H,7,0),31),
            "Chưa triển khai"
        )
    )
)</f>
        <v>Chưa triển khai</v>
      </c>
      <c r="M1186" s="2" t="s">
        <v>6688</v>
      </c>
      <c r="N1186" s="2">
        <v>46266</v>
      </c>
      <c r="X1186" s="1" t="s">
        <v>2204</v>
      </c>
    </row>
    <row r="1187" spans="2:24" ht="11.25" hidden="1" customHeight="1" x14ac:dyDescent="0.25">
      <c r="B1187" s="1" t="s">
        <v>2609</v>
      </c>
      <c r="C1187" s="17" t="str">
        <f>IFERROR(LEFT(VLOOKUP(B1187,'For consider'!D:E,2,0),8),"Chưa có code")</f>
        <v>Chưa có code</v>
      </c>
      <c r="D1187" s="1" t="s">
        <v>348</v>
      </c>
      <c r="E1187" s="1" t="str">
        <f t="shared" si="3"/>
        <v>Chưa triển khai</v>
      </c>
      <c r="F1187" s="1" t="str">
        <f>IFERROR(VLOOKUP(B1187,'Plan 2026'!B:AC,28,0),"không có trong file network")</f>
        <v>Chưa có</v>
      </c>
      <c r="G1187" s="1" t="str">
        <f>IFERROR(IF(VLOOKUP(B1187,'TCH (append)'!C:P,14,0)="Completed","Hoàn thành thi công",
IF(VLOOKUP(B1187,'TCH (append)'!C:K,9,0)="Completed","Hoàn thành đấu thầu",
IF(VLOOKUP(B1187,'TCH (append)'!C:J,8,0)="Completed","Hoàn thành dự toán",
IF(VLOOKUP(B1187,'TCH (append)'!C:I,7,0)="Completed","Hoàn thành thiết kế",
"Chưa thiết kế")))),"Chưa có trong file PMO")</f>
        <v>Chưa có trong file PMO</v>
      </c>
      <c r="H1187" s="1" t="s">
        <v>2610</v>
      </c>
      <c r="I1187" s="1" t="s">
        <v>350</v>
      </c>
      <c r="J1187" s="1" t="s">
        <v>1788</v>
      </c>
      <c r="K1187" s="1" t="s">
        <v>1789</v>
      </c>
      <c r="L1187" s="2" t="str">
        <f>IF(
    F1187&lt;&gt;"Đã ký",
    "Chưa triển khai",
    IF(
        IFERROR(VLOOKUP(B1187,TCH[[Code budget]:[Ngày kết thúc thi công theo kế hoạch]],10,0),0)&gt;0,
        VLOOKUP(B1187,TCH[[Code budget]:[Ngày kết thúc thi công theo kế hoạch]],10,0),
        IFERROR(
            DATE(2026,VLOOKUP(B1187,'Plan 2026'!B:H,7,0),31),
            "Chưa triển khai"
        )
    )
)</f>
        <v>Chưa triển khai</v>
      </c>
      <c r="M1187" s="2" t="s">
        <v>6688</v>
      </c>
      <c r="N1187" s="2">
        <v>46296</v>
      </c>
      <c r="X1187" s="1" t="s">
        <v>2204</v>
      </c>
    </row>
    <row r="1188" spans="2:24" ht="11.25" hidden="1" customHeight="1" x14ac:dyDescent="0.25">
      <c r="B1188" s="1" t="s">
        <v>2611</v>
      </c>
      <c r="C1188" s="17" t="str">
        <f>IFERROR(LEFT(VLOOKUP(B1188,'For consider'!D:E,2,0),8),"Chưa có code")</f>
        <v>Chưa có code</v>
      </c>
      <c r="D1188" s="1" t="s">
        <v>348</v>
      </c>
      <c r="E1188" s="1" t="str">
        <f t="shared" si="3"/>
        <v>Chưa triển khai</v>
      </c>
      <c r="F1188" s="1" t="str">
        <f>IFERROR(VLOOKUP(B1188,'Plan 2026'!B:AC,28,0),"không có trong file network")</f>
        <v>Chưa có</v>
      </c>
      <c r="G1188" s="1" t="str">
        <f>IFERROR(IF(VLOOKUP(B1188,'TCH (append)'!C:P,14,0)="Completed","Hoàn thành thi công",
IF(VLOOKUP(B1188,'TCH (append)'!C:K,9,0)="Completed","Hoàn thành đấu thầu",
IF(VLOOKUP(B1188,'TCH (append)'!C:J,8,0)="Completed","Hoàn thành dự toán",
IF(VLOOKUP(B1188,'TCH (append)'!C:I,7,0)="Completed","Hoàn thành thiết kế",
"Chưa thiết kế")))),"Chưa có trong file PMO")</f>
        <v>Chưa có trong file PMO</v>
      </c>
      <c r="H1188" s="1" t="s">
        <v>2612</v>
      </c>
      <c r="I1188" s="1" t="s">
        <v>350</v>
      </c>
      <c r="J1188" s="1" t="s">
        <v>1788</v>
      </c>
      <c r="K1188" s="1" t="s">
        <v>1789</v>
      </c>
      <c r="L1188" s="2" t="str">
        <f>IF(
    F1188&lt;&gt;"Đã ký",
    "Chưa triển khai",
    IF(
        IFERROR(VLOOKUP(B1188,TCH[[Code budget]:[Ngày kết thúc thi công theo kế hoạch]],10,0),0)&gt;0,
        VLOOKUP(B1188,TCH[[Code budget]:[Ngày kết thúc thi công theo kế hoạch]],10,0),
        IFERROR(
            DATE(2026,VLOOKUP(B1188,'Plan 2026'!B:H,7,0),31),
            "Chưa triển khai"
        )
    )
)</f>
        <v>Chưa triển khai</v>
      </c>
      <c r="M1188" s="2" t="s">
        <v>6688</v>
      </c>
      <c r="N1188" s="2">
        <v>46204</v>
      </c>
      <c r="X1188" s="1" t="s">
        <v>2204</v>
      </c>
    </row>
    <row r="1189" spans="2:24" ht="11.25" hidden="1" customHeight="1" x14ac:dyDescent="0.25">
      <c r="B1189" s="1" t="s">
        <v>2613</v>
      </c>
      <c r="C1189" s="17" t="str">
        <f>IFERROR(LEFT(VLOOKUP(B1189,'For consider'!D:E,2,0),8),"Chưa có code")</f>
        <v>Chưa có code</v>
      </c>
      <c r="D1189" s="1" t="s">
        <v>20</v>
      </c>
      <c r="E1189" s="1" t="str">
        <f t="shared" si="3"/>
        <v>Chưa triển khai</v>
      </c>
      <c r="F1189" s="1" t="str">
        <f>IFERROR(VLOOKUP(B1189,'Plan 2026'!B:AC,28,0),"không có trong file network")</f>
        <v>không có trong file network</v>
      </c>
      <c r="G1189" s="1" t="str">
        <f>IFERROR(IF(VLOOKUP(B1189,'TCH (append)'!C:P,14,0)="Completed","Hoàn thành thi công",
IF(VLOOKUP(B1189,'TCH (append)'!C:K,9,0)="Completed","Hoàn thành đấu thầu",
IF(VLOOKUP(B1189,'TCH (append)'!C:J,8,0)="Completed","Hoàn thành dự toán",
IF(VLOOKUP(B1189,'TCH (append)'!C:I,7,0)="Completed","Hoàn thành thiết kế",
"Chưa thiết kế")))),"Chưa có trong file PMO")</f>
        <v>Chưa có trong file PMO</v>
      </c>
      <c r="H1189" s="1" t="s">
        <v>2614</v>
      </c>
      <c r="I1189" s="1" t="s">
        <v>23</v>
      </c>
      <c r="J1189" s="1" t="s">
        <v>1788</v>
      </c>
      <c r="K1189" s="1" t="s">
        <v>1789</v>
      </c>
      <c r="L1189" s="2" t="str">
        <f>IF(
    F1189&lt;&gt;"Đã ký",
    "Chưa triển khai",
    IF(
        IFERROR(VLOOKUP(B1189,TCH[[Code budget]:[Ngày kết thúc thi công theo kế hoạch]],10,0),0)&gt;0,
        VLOOKUP(B1189,TCH[[Code budget]:[Ngày kết thúc thi công theo kế hoạch]],10,0),
        IFERROR(
            DATE(2026,VLOOKUP(B1189,'Plan 2026'!B:H,7,0),31),
            "Chưa triển khai"
        )
    )
)</f>
        <v>Chưa triển khai</v>
      </c>
      <c r="M1189" s="2" t="s">
        <v>6688</v>
      </c>
      <c r="N1189" s="2">
        <v>46266</v>
      </c>
      <c r="X1189" s="1" t="s">
        <v>2204</v>
      </c>
    </row>
    <row r="1190" spans="2:24" ht="11.25" hidden="1" customHeight="1" x14ac:dyDescent="0.25">
      <c r="B1190" s="1" t="s">
        <v>2615</v>
      </c>
      <c r="C1190" s="17" t="str">
        <f>IFERROR(LEFT(VLOOKUP(B1190,'For consider'!D:E,2,0),8),"Chưa có code")</f>
        <v>Chưa có code</v>
      </c>
      <c r="D1190" s="1" t="s">
        <v>20</v>
      </c>
      <c r="E1190" s="1" t="str">
        <f t="shared" si="3"/>
        <v>Chưa triển khai</v>
      </c>
      <c r="F1190" s="1" t="str">
        <f>IFERROR(VLOOKUP(B1190,'Plan 2026'!B:AC,28,0),"không có trong file network")</f>
        <v>Chưa có</v>
      </c>
      <c r="G1190" s="1" t="str">
        <f>IFERROR(IF(VLOOKUP(B1190,'TCH (append)'!C:P,14,0)="Completed","Hoàn thành thi công",
IF(VLOOKUP(B1190,'TCH (append)'!C:K,9,0)="Completed","Hoàn thành đấu thầu",
IF(VLOOKUP(B1190,'TCH (append)'!C:J,8,0)="Completed","Hoàn thành dự toán",
IF(VLOOKUP(B1190,'TCH (append)'!C:I,7,0)="Completed","Hoàn thành thiết kế",
"Chưa thiết kế")))),"Chưa có trong file PMO")</f>
        <v>Chưa có trong file PMO</v>
      </c>
      <c r="H1190" s="1" t="s">
        <v>2616</v>
      </c>
      <c r="I1190" s="1" t="s">
        <v>23</v>
      </c>
      <c r="J1190" s="1" t="s">
        <v>1788</v>
      </c>
      <c r="K1190" s="1" t="s">
        <v>1789</v>
      </c>
      <c r="L1190" s="2" t="str">
        <f>IF(
    F1190&lt;&gt;"Đã ký",
    "Chưa triển khai",
    IF(
        IFERROR(VLOOKUP(B1190,TCH[[Code budget]:[Ngày kết thúc thi công theo kế hoạch]],10,0),0)&gt;0,
        VLOOKUP(B1190,TCH[[Code budget]:[Ngày kết thúc thi công theo kế hoạch]],10,0),
        IFERROR(
            DATE(2026,VLOOKUP(B1190,'Plan 2026'!B:H,7,0),31),
            "Chưa triển khai"
        )
    )
)</f>
        <v>Chưa triển khai</v>
      </c>
      <c r="M1190" s="2" t="s">
        <v>6688</v>
      </c>
      <c r="N1190" s="2">
        <v>46296</v>
      </c>
      <c r="X1190" s="1" t="s">
        <v>2204</v>
      </c>
    </row>
    <row r="1191" spans="2:24" ht="11.25" hidden="1" customHeight="1" x14ac:dyDescent="0.25">
      <c r="B1191" s="1" t="s">
        <v>2617</v>
      </c>
      <c r="C1191" s="17" t="str">
        <f>IFERROR(LEFT(VLOOKUP(B1191,'For consider'!D:E,2,0),8),"Chưa có code")</f>
        <v>Chưa có code</v>
      </c>
      <c r="D1191" s="1" t="s">
        <v>20</v>
      </c>
      <c r="E1191" s="1" t="str">
        <f t="shared" si="3"/>
        <v>Chưa triển khai</v>
      </c>
      <c r="F1191" s="1" t="str">
        <f>IFERROR(VLOOKUP(B1191,'Plan 2026'!B:AC,28,0),"không có trong file network")</f>
        <v>Reject</v>
      </c>
      <c r="G1191" s="1" t="str">
        <f>IFERROR(IF(VLOOKUP(B1191,'TCH (append)'!C:P,14,0)="Completed","Hoàn thành thi công",
IF(VLOOKUP(B1191,'TCH (append)'!C:K,9,0)="Completed","Hoàn thành đấu thầu",
IF(VLOOKUP(B1191,'TCH (append)'!C:J,8,0)="Completed","Hoàn thành dự toán",
IF(VLOOKUP(B1191,'TCH (append)'!C:I,7,0)="Completed","Hoàn thành thiết kế",
"Chưa thiết kế")))),"Chưa có trong file PMO")</f>
        <v>Chưa có trong file PMO</v>
      </c>
      <c r="H1191" s="1" t="s">
        <v>2618</v>
      </c>
      <c r="I1191" s="1" t="s">
        <v>23</v>
      </c>
      <c r="J1191" s="1" t="s">
        <v>1788</v>
      </c>
      <c r="K1191" s="1" t="s">
        <v>1789</v>
      </c>
      <c r="L1191" s="2" t="str">
        <f>IF(
    F1191&lt;&gt;"Đã ký",
    "Chưa triển khai",
    IF(
        IFERROR(VLOOKUP(B1191,TCH[[Code budget]:[Ngày kết thúc thi công theo kế hoạch]],10,0),0)&gt;0,
        VLOOKUP(B1191,TCH[[Code budget]:[Ngày kết thúc thi công theo kế hoạch]],10,0),
        IFERROR(
            DATE(2026,VLOOKUP(B1191,'Plan 2026'!B:H,7,0),31),
            "Chưa triển khai"
        )
    )
)</f>
        <v>Chưa triển khai</v>
      </c>
      <c r="M1191" s="2" t="s">
        <v>6688</v>
      </c>
      <c r="N1191" s="2">
        <v>46113</v>
      </c>
      <c r="X1191" s="1" t="s">
        <v>2204</v>
      </c>
    </row>
    <row r="1192" spans="2:24" ht="11.25" hidden="1" customHeight="1" x14ac:dyDescent="0.25">
      <c r="B1192" s="1" t="s">
        <v>2619</v>
      </c>
      <c r="C1192" s="17" t="str">
        <f>IFERROR(LEFT(VLOOKUP(B1192,'For consider'!D:E,2,0),8),"Chưa có code")</f>
        <v>Chưa có code</v>
      </c>
      <c r="D1192" s="1" t="s">
        <v>348</v>
      </c>
      <c r="E1192" s="1" t="str">
        <f t="shared" si="3"/>
        <v>Chưa triển khai</v>
      </c>
      <c r="F1192" s="1" t="str">
        <f>IFERROR(VLOOKUP(B1192,'Plan 2026'!B:AC,28,0),"không có trong file network")</f>
        <v>Chưa có</v>
      </c>
      <c r="G1192" s="1" t="str">
        <f>IFERROR(IF(VLOOKUP(B1192,'TCH (append)'!C:P,14,0)="Completed","Hoàn thành thi công",
IF(VLOOKUP(B1192,'TCH (append)'!C:K,9,0)="Completed","Hoàn thành đấu thầu",
IF(VLOOKUP(B1192,'TCH (append)'!C:J,8,0)="Completed","Hoàn thành dự toán",
IF(VLOOKUP(B1192,'TCH (append)'!C:I,7,0)="Completed","Hoàn thành thiết kế",
"Chưa thiết kế")))),"Chưa có trong file PMO")</f>
        <v>Chưa có trong file PMO</v>
      </c>
      <c r="H1192" s="1" t="s">
        <v>2620</v>
      </c>
      <c r="I1192" s="1" t="s">
        <v>350</v>
      </c>
      <c r="J1192" s="1" t="s">
        <v>1788</v>
      </c>
      <c r="K1192" s="1" t="s">
        <v>1789</v>
      </c>
      <c r="L1192" s="2" t="str">
        <f>IF(
    F1192&lt;&gt;"Đã ký",
    "Chưa triển khai",
    IF(
        IFERROR(VLOOKUP(B1192,TCH[[Code budget]:[Ngày kết thúc thi công theo kế hoạch]],10,0),0)&gt;0,
        VLOOKUP(B1192,TCH[[Code budget]:[Ngày kết thúc thi công theo kế hoạch]],10,0),
        IFERROR(
            DATE(2026,VLOOKUP(B1192,'Plan 2026'!B:H,7,0),31),
            "Chưa triển khai"
        )
    )
)</f>
        <v>Chưa triển khai</v>
      </c>
      <c r="M1192" s="2" t="s">
        <v>6688</v>
      </c>
      <c r="N1192" s="2">
        <v>46143</v>
      </c>
      <c r="X1192" s="1" t="s">
        <v>2204</v>
      </c>
    </row>
    <row r="1193" spans="2:24" ht="11.25" hidden="1" customHeight="1" x14ac:dyDescent="0.25">
      <c r="B1193" s="1" t="s">
        <v>2621</v>
      </c>
      <c r="C1193" s="17" t="str">
        <f>IFERROR(LEFT(VLOOKUP(B1193,'For consider'!D:E,2,0),8),"Chưa có code")</f>
        <v>Chưa có code</v>
      </c>
      <c r="D1193" s="1" t="s">
        <v>348</v>
      </c>
      <c r="E1193" s="1" t="str">
        <f t="shared" si="3"/>
        <v>Chưa triển khai</v>
      </c>
      <c r="F1193" s="1" t="str">
        <f>IFERROR(VLOOKUP(B1193,'Plan 2026'!B:AC,28,0),"không có trong file network")</f>
        <v>không có trong file network</v>
      </c>
      <c r="G1193" s="1" t="str">
        <f>IFERROR(IF(VLOOKUP(B1193,'TCH (append)'!C:P,14,0)="Completed","Hoàn thành thi công",
IF(VLOOKUP(B1193,'TCH (append)'!C:K,9,0)="Completed","Hoàn thành đấu thầu",
IF(VLOOKUP(B1193,'TCH (append)'!C:J,8,0)="Completed","Hoàn thành dự toán",
IF(VLOOKUP(B1193,'TCH (append)'!C:I,7,0)="Completed","Hoàn thành thiết kế",
"Chưa thiết kế")))),"Chưa có trong file PMO")</f>
        <v>Chưa có trong file PMO</v>
      </c>
      <c r="H1193" s="1" t="s">
        <v>2622</v>
      </c>
      <c r="I1193" s="1" t="s">
        <v>350</v>
      </c>
      <c r="J1193" s="1" t="s">
        <v>1446</v>
      </c>
      <c r="K1193" s="1" t="s">
        <v>1447</v>
      </c>
      <c r="L1193" s="2" t="str">
        <f>IF(
    F1193&lt;&gt;"Đã ký",
    "Chưa triển khai",
    IF(
        IFERROR(VLOOKUP(B1193,TCH[[Code budget]:[Ngày kết thúc thi công theo kế hoạch]],10,0),0)&gt;0,
        VLOOKUP(B1193,TCH[[Code budget]:[Ngày kết thúc thi công theo kế hoạch]],10,0),
        IFERROR(
            DATE(2026,VLOOKUP(B1193,'Plan 2026'!B:H,7,0),31),
            "Chưa triển khai"
        )
    )
)</f>
        <v>Chưa triển khai</v>
      </c>
      <c r="M1193" s="2" t="s">
        <v>6688</v>
      </c>
      <c r="N1193" s="2">
        <v>46113</v>
      </c>
      <c r="X1193" s="1" t="s">
        <v>2204</v>
      </c>
    </row>
    <row r="1194" spans="2:24" ht="11.25" hidden="1" customHeight="1" x14ac:dyDescent="0.25">
      <c r="B1194" s="1" t="s">
        <v>2623</v>
      </c>
      <c r="C1194" s="17" t="str">
        <f>IFERROR(LEFT(VLOOKUP(B1194,'For consider'!D:E,2,0),8),"Chưa có code")</f>
        <v>Chưa có code</v>
      </c>
      <c r="D1194" s="1" t="s">
        <v>348</v>
      </c>
      <c r="E1194" s="1" t="str">
        <f t="shared" si="3"/>
        <v>Lock mb chưa thi công</v>
      </c>
      <c r="F1194" s="1" t="str">
        <f>IFERROR(VLOOKUP(B1194,'Plan 2026'!B:AC,28,0),"không có trong file network")</f>
        <v>Đã ký</v>
      </c>
      <c r="G1194" s="1" t="str">
        <f>IFERROR(IF(VLOOKUP(B1194,'TCH (append)'!C:P,14,0)="Completed","Hoàn thành thi công",
IF(VLOOKUP(B1194,'TCH (append)'!C:K,9,0)="Completed","Hoàn thành đấu thầu",
IF(VLOOKUP(B1194,'TCH (append)'!C:J,8,0)="Completed","Hoàn thành dự toán",
IF(VLOOKUP(B1194,'TCH (append)'!C:I,7,0)="Completed","Hoàn thành thiết kế",
"Chưa thiết kế")))),"Chưa có trong file PMO")</f>
        <v>Chưa có trong file PMO</v>
      </c>
      <c r="H1194" s="1" t="s">
        <v>2624</v>
      </c>
      <c r="I1194" s="1" t="s">
        <v>350</v>
      </c>
      <c r="J1194" s="1" t="s">
        <v>2625</v>
      </c>
      <c r="K1194" s="1" t="s">
        <v>1507</v>
      </c>
      <c r="L1194" s="2">
        <f>IF(
    F1194&lt;&gt;"Đã ký",
    "Chưa triển khai",
    IF(
        IFERROR(VLOOKUP(B1194,TCH[[Code budget]:[Ngày kết thúc thi công theo kế hoạch]],10,0),0)&gt;0,
        VLOOKUP(B1194,TCH[[Code budget]:[Ngày kết thúc thi công theo kế hoạch]],10,0),
        IFERROR(
            DATE(2026,VLOOKUP(B1194,'Plan 2026'!B:H,7,0),31),
            "Chưa triển khai"
        )
    )
)</f>
        <v>46204</v>
      </c>
      <c r="M1194" s="2" t="s">
        <v>6688</v>
      </c>
      <c r="N1194" s="2">
        <v>46023</v>
      </c>
      <c r="X1194" s="1" t="s">
        <v>2204</v>
      </c>
    </row>
    <row r="1195" spans="2:24" ht="11.25" hidden="1" customHeight="1" x14ac:dyDescent="0.25">
      <c r="B1195" s="1" t="s">
        <v>2626</v>
      </c>
      <c r="C1195" s="17" t="str">
        <f>IFERROR(LEFT(VLOOKUP(B1195,'For consider'!D:E,2,0),8),"Chưa có code")</f>
        <v/>
      </c>
      <c r="D1195" s="1" t="s">
        <v>348</v>
      </c>
      <c r="E1195" s="1" t="str">
        <f t="shared" si="3"/>
        <v>Waiting for open</v>
      </c>
      <c r="F1195" s="1" t="str">
        <f>IFERROR(VLOOKUP(B1195,'Plan 2026'!B:AC,28,0),"không có trong file network")</f>
        <v>Đã ký</v>
      </c>
      <c r="G1195" s="1" t="str">
        <f>IFERROR(IF(VLOOKUP(B1195,'TCH (append)'!C:P,14,0)="Completed","Hoàn thành thi công",
IF(VLOOKUP(B1195,'TCH (append)'!C:K,9,0)="Completed","Hoàn thành đấu thầu",
IF(VLOOKUP(B1195,'TCH (append)'!C:J,8,0)="Completed","Hoàn thành dự toán",
IF(VLOOKUP(B1195,'TCH (append)'!C:I,7,0)="Completed","Hoàn thành thiết kế",
"Chưa thiết kế")))),"Chưa có trong file PMO")</f>
        <v>Hoàn thành đấu thầu</v>
      </c>
      <c r="H1195" s="1" t="s">
        <v>2627</v>
      </c>
      <c r="I1195" s="1" t="s">
        <v>350</v>
      </c>
      <c r="J1195" s="1" t="s">
        <v>228</v>
      </c>
      <c r="K1195" s="1" t="s">
        <v>229</v>
      </c>
      <c r="L1195" s="2">
        <f>IF(
    F1195&lt;&gt;"Đã ký",
    "Chưa triển khai",
    IF(
        IFERROR(VLOOKUP(B1195,TCH[[Code budget]:[Ngày kết thúc thi công theo kế hoạch]],10,0),0)&gt;0,
        VLOOKUP(B1195,TCH[[Code budget]:[Ngày kết thúc thi công theo kế hoạch]],10,0),
        IFERROR(
            DATE(2026,VLOOKUP(B1195,'Plan 2026'!B:H,7,0),31),
            "Chưa triển khai"
        )
    )
)</f>
        <v>46107</v>
      </c>
      <c r="M1195" s="2" t="s">
        <v>6688</v>
      </c>
      <c r="N1195" s="2">
        <v>46054</v>
      </c>
      <c r="X1195" s="1" t="s">
        <v>2628</v>
      </c>
    </row>
    <row r="1196" spans="2:24" ht="11.25" hidden="1" customHeight="1" x14ac:dyDescent="0.25">
      <c r="B1196" s="1" t="s">
        <v>2629</v>
      </c>
      <c r="C1196" s="17" t="str">
        <f>IFERROR(LEFT(VLOOKUP(B1196,'For consider'!D:E,2,0),8),"Chưa có code")</f>
        <v>30GG5026</v>
      </c>
      <c r="D1196" s="1" t="s">
        <v>348</v>
      </c>
      <c r="E1196" s="1" t="str">
        <f t="shared" si="3"/>
        <v>Waiting for open</v>
      </c>
      <c r="F1196" s="1" t="str">
        <f>IFERROR(VLOOKUP(B1196,'Plan 2026'!B:AC,28,0),"không có trong file network")</f>
        <v>Đã ký</v>
      </c>
      <c r="G1196" s="1" t="str">
        <f>IFERROR(IF(VLOOKUP(B1196,'TCH (append)'!C:P,14,0)="Completed","Hoàn thành thi công",
IF(VLOOKUP(B1196,'TCH (append)'!C:K,9,0)="Completed","Hoàn thành đấu thầu",
IF(VLOOKUP(B1196,'TCH (append)'!C:J,8,0)="Completed","Hoàn thành dự toán",
IF(VLOOKUP(B1196,'TCH (append)'!C:I,7,0)="Completed","Hoàn thành thiết kế",
"Chưa thiết kế")))),"Chưa có trong file PMO")</f>
        <v>Hoàn thành đấu thầu</v>
      </c>
      <c r="H1196" s="1" t="s">
        <v>2630</v>
      </c>
      <c r="I1196" s="1" t="s">
        <v>350</v>
      </c>
      <c r="J1196" s="1" t="s">
        <v>76</v>
      </c>
      <c r="K1196" s="1" t="s">
        <v>77</v>
      </c>
      <c r="L1196" s="2">
        <f>IF(
    F1196&lt;&gt;"Đã ký",
    "Chưa triển khai",
    IF(
        IFERROR(VLOOKUP(B1196,TCH[[Code budget]:[Ngày kết thúc thi công theo kế hoạch]],10,0),0)&gt;0,
        VLOOKUP(B1196,TCH[[Code budget]:[Ngày kết thúc thi công theo kế hoạch]],10,0),
        IFERROR(
            DATE(2026,VLOOKUP(B1196,'Plan 2026'!B:H,7,0),31),
            "Chưa triển khai"
        )
    )
)</f>
        <v>46163</v>
      </c>
      <c r="M1196" s="2" t="s">
        <v>6688</v>
      </c>
      <c r="N1196" s="2">
        <v>46082</v>
      </c>
      <c r="X1196" s="1" t="s">
        <v>2628</v>
      </c>
    </row>
    <row r="1197" spans="2:24" ht="11.25" hidden="1" customHeight="1" x14ac:dyDescent="0.25">
      <c r="B1197" s="1" t="s">
        <v>2631</v>
      </c>
      <c r="C1197" s="17" t="str">
        <f>IFERROR(LEFT(VLOOKUP(B1197,'For consider'!D:E,2,0),8),"Chưa có code")</f>
        <v/>
      </c>
      <c r="D1197" s="1" t="s">
        <v>348</v>
      </c>
      <c r="E1197" s="1" t="str">
        <f t="shared" si="3"/>
        <v>Waiting for open</v>
      </c>
      <c r="F1197" s="1" t="str">
        <f>IFERROR(VLOOKUP(B1197,'Plan 2026'!B:AC,28,0),"không có trong file network")</f>
        <v>Đã ký</v>
      </c>
      <c r="G1197" s="1" t="str">
        <f>IFERROR(IF(VLOOKUP(B1197,'TCH (append)'!C:P,14,0)="Completed","Hoàn thành thi công",
IF(VLOOKUP(B1197,'TCH (append)'!C:K,9,0)="Completed","Hoàn thành đấu thầu",
IF(VLOOKUP(B1197,'TCH (append)'!C:J,8,0)="Completed","Hoàn thành dự toán",
IF(VLOOKUP(B1197,'TCH (append)'!C:I,7,0)="Completed","Hoàn thành thiết kế",
"Chưa thiết kế")))),"Chưa có trong file PMO")</f>
        <v>Hoàn thành đấu thầu</v>
      </c>
      <c r="H1197" s="1" t="s">
        <v>2632</v>
      </c>
      <c r="I1197" s="1" t="s">
        <v>350</v>
      </c>
      <c r="J1197" s="1" t="s">
        <v>112</v>
      </c>
      <c r="K1197" s="1" t="s">
        <v>113</v>
      </c>
      <c r="L1197" s="2">
        <f>IF(
    F1197&lt;&gt;"Đã ký",
    "Chưa triển khai",
    IF(
        IFERROR(VLOOKUP(B1197,TCH[[Code budget]:[Ngày kết thúc thi công theo kế hoạch]],10,0),0)&gt;0,
        VLOOKUP(B1197,TCH[[Code budget]:[Ngày kết thúc thi công theo kế hoạch]],10,0),
        IFERROR(
            DATE(2026,VLOOKUP(B1197,'Plan 2026'!B:H,7,0),31),
            "Chưa triển khai"
        )
    )
)</f>
        <v>46121</v>
      </c>
      <c r="M1197" s="2" t="s">
        <v>6688</v>
      </c>
      <c r="N1197" s="2">
        <v>46082</v>
      </c>
      <c r="X1197" s="1" t="s">
        <v>2628</v>
      </c>
    </row>
    <row r="1198" spans="2:24" ht="11.25" hidden="1" customHeight="1" x14ac:dyDescent="0.25">
      <c r="B1198" s="1" t="s">
        <v>2633</v>
      </c>
      <c r="C1198" s="17" t="str">
        <f>IFERROR(LEFT(VLOOKUP(B1198,'For consider'!D:E,2,0),8),"Chưa có code")</f>
        <v>Chưa có code</v>
      </c>
      <c r="D1198" s="1" t="s">
        <v>20</v>
      </c>
      <c r="E1198" s="1" t="str">
        <f t="shared" si="3"/>
        <v>Chưa triển khai</v>
      </c>
      <c r="F1198" s="1" t="str">
        <f>IFERROR(VLOOKUP(B1198,'Plan 2026'!B:AC,28,0),"không có trong file network")</f>
        <v>không có trong file network</v>
      </c>
      <c r="G1198" s="1" t="str">
        <f>IFERROR(IF(VLOOKUP(B1198,'TCH (append)'!C:P,14,0)="Completed","Hoàn thành thi công",
IF(VLOOKUP(B1198,'TCH (append)'!C:K,9,0)="Completed","Hoàn thành đấu thầu",
IF(VLOOKUP(B1198,'TCH (append)'!C:J,8,0)="Completed","Hoàn thành dự toán",
IF(VLOOKUP(B1198,'TCH (append)'!C:I,7,0)="Completed","Hoàn thành thiết kế",
"Chưa thiết kế")))),"Chưa có trong file PMO")</f>
        <v>Chưa có trong file PMO</v>
      </c>
      <c r="H1198" s="1" t="s">
        <v>2634</v>
      </c>
      <c r="I1198" s="1" t="s">
        <v>2241</v>
      </c>
      <c r="J1198" s="1" t="s">
        <v>112</v>
      </c>
      <c r="K1198" s="1" t="s">
        <v>113</v>
      </c>
      <c r="L1198" s="2" t="str">
        <f>IF(
    F1198&lt;&gt;"Đã ký",
    "Chưa triển khai",
    IF(
        IFERROR(VLOOKUP(B1198,TCH[[Code budget]:[Ngày kết thúc thi công theo kế hoạch]],10,0),0)&gt;0,
        VLOOKUP(B1198,TCH[[Code budget]:[Ngày kết thúc thi công theo kế hoạch]],10,0),
        IFERROR(
            DATE(2026,VLOOKUP(B1198,'Plan 2026'!B:H,7,0),31),
            "Chưa triển khai"
        )
    )
)</f>
        <v>Chưa triển khai</v>
      </c>
      <c r="M1198" s="2" t="s">
        <v>6688</v>
      </c>
      <c r="N1198" s="2">
        <v>46023</v>
      </c>
      <c r="X1198" s="1" t="s">
        <v>2628</v>
      </c>
    </row>
    <row r="1199" spans="2:24" ht="11.25" hidden="1" customHeight="1" x14ac:dyDescent="0.25">
      <c r="B1199" s="1" t="s">
        <v>2635</v>
      </c>
      <c r="C1199" s="17" t="str">
        <f>IFERROR(LEFT(VLOOKUP(B1199,'For consider'!D:E,2,0),8),"Chưa có code")</f>
        <v>Chưa có code</v>
      </c>
      <c r="D1199" s="1" t="s">
        <v>20</v>
      </c>
      <c r="E1199" s="1" t="str">
        <f t="shared" si="3"/>
        <v>Waiting for open</v>
      </c>
      <c r="F1199" s="1" t="str">
        <f>IFERROR(VLOOKUP(B1199,'Plan 2026'!B:AC,28,0),"không có trong file network")</f>
        <v>Đã ký</v>
      </c>
      <c r="G1199" s="1" t="str">
        <f>IFERROR(IF(VLOOKUP(B1199,'TCH (append)'!C:P,14,0)="Completed","Hoàn thành thi công",
IF(VLOOKUP(B1199,'TCH (append)'!C:K,9,0)="Completed","Hoàn thành đấu thầu",
IF(VLOOKUP(B1199,'TCH (append)'!C:J,8,0)="Completed","Hoàn thành dự toán",
IF(VLOOKUP(B1199,'TCH (append)'!C:I,7,0)="Completed","Hoàn thành thiết kế",
"Chưa thiết kế")))),"Chưa có trong file PMO")</f>
        <v>Chưa thiết kế</v>
      </c>
      <c r="H1199" s="1" t="s">
        <v>2636</v>
      </c>
      <c r="I1199" s="1" t="s">
        <v>23</v>
      </c>
      <c r="J1199" s="1" t="s">
        <v>1311</v>
      </c>
      <c r="K1199" s="1" t="s">
        <v>1312</v>
      </c>
      <c r="L1199" s="2" t="str">
        <f>IF(
    F1199&lt;&gt;"Đã ký",
    "Chưa triển khai",
    IF(
        IFERROR(VLOOKUP(B1199,TCH[[Code budget]:[Ngày kết thúc thi công theo kế hoạch]],10,0),0)&gt;0,
        VLOOKUP(B1199,TCH[[Code budget]:[Ngày kết thúc thi công theo kế hoạch]],10,0),
        IFERROR(
            DATE(2026,VLOOKUP(B1199,'Plan 2026'!B:H,7,0),31),
            "Chưa triển khai"
        )
    )
)</f>
        <v> </v>
      </c>
      <c r="M1199" s="2" t="s">
        <v>6688</v>
      </c>
      <c r="N1199" s="2">
        <v>46023</v>
      </c>
      <c r="X1199" s="1" t="s">
        <v>2628</v>
      </c>
    </row>
    <row r="1200" spans="2:24" ht="11.25" hidden="1" customHeight="1" x14ac:dyDescent="0.25">
      <c r="B1200" s="1" t="s">
        <v>2637</v>
      </c>
      <c r="C1200" s="17" t="str">
        <f>IFERROR(LEFT(VLOOKUP(B1200,'For consider'!D:E,2,0),8),"Chưa có code")</f>
        <v>10DN5013</v>
      </c>
      <c r="D1200" s="1" t="s">
        <v>20</v>
      </c>
      <c r="E1200" s="1" t="str">
        <f t="shared" si="3"/>
        <v>Waiting for open</v>
      </c>
      <c r="F1200" s="1" t="str">
        <f>IFERROR(VLOOKUP(B1200,'Plan 2026'!B:AC,28,0),"không có trong file network")</f>
        <v>Đã ký</v>
      </c>
      <c r="G1200" s="1" t="str">
        <f>IFERROR(IF(VLOOKUP(B1200,'TCH (append)'!C:P,14,0)="Completed","Hoàn thành thi công",
IF(VLOOKUP(B1200,'TCH (append)'!C:K,9,0)="Completed","Hoàn thành đấu thầu",
IF(VLOOKUP(B1200,'TCH (append)'!C:J,8,0)="Completed","Hoàn thành dự toán",
IF(VLOOKUP(B1200,'TCH (append)'!C:I,7,0)="Completed","Hoàn thành thiết kế",
"Chưa thiết kế")))),"Chưa có trong file PMO")</f>
        <v>Chưa thiết kế</v>
      </c>
      <c r="H1200" s="1" t="s">
        <v>2638</v>
      </c>
      <c r="I1200" s="1" t="s">
        <v>23</v>
      </c>
      <c r="J1200" s="1" t="s">
        <v>2044</v>
      </c>
      <c r="K1200" s="1" t="s">
        <v>2045</v>
      </c>
      <c r="L1200" s="2">
        <f>IF(
    F1200&lt;&gt;"Đã ký",
    "Chưa triển khai",
    IF(
        IFERROR(VLOOKUP(B1200,TCH[[Code budget]:[Ngày kết thúc thi công theo kế hoạch]],10,0),0)&gt;0,
        VLOOKUP(B1200,TCH[[Code budget]:[Ngày kết thúc thi công theo kế hoạch]],10,0),
        IFERROR(
            DATE(2026,VLOOKUP(B1200,'Plan 2026'!B:H,7,0),31),
            "Chưa triển khai"
        )
    )
)</f>
        <v>46174</v>
      </c>
      <c r="M1200" s="2" t="s">
        <v>6688</v>
      </c>
      <c r="N1200" s="2">
        <v>46143</v>
      </c>
      <c r="X1200" s="1" t="s">
        <v>2628</v>
      </c>
    </row>
    <row r="1201" spans="2:24" ht="11.25" hidden="1" customHeight="1" x14ac:dyDescent="0.25">
      <c r="B1201" s="1" t="s">
        <v>2639</v>
      </c>
      <c r="C1201" s="17" t="str">
        <f>IFERROR(LEFT(VLOOKUP(B1201,'For consider'!D:E,2,0),8),"Chưa có code")</f>
        <v>Chưa có code</v>
      </c>
      <c r="D1201" s="1" t="s">
        <v>348</v>
      </c>
      <c r="E1201" s="1" t="str">
        <f>IF(AND(F1201="Đã ký",G1201&lt;&gt;"Chưa có trong file PMO"),"Waiting for open",IF(F1201="Đã ký","Lock mb chưa thi công","Chưa triển khai"))</f>
        <v>Chưa triển khai</v>
      </c>
      <c r="F1201" s="1" t="str">
        <f>IFERROR(VLOOKUP(B1201,'Plan 2026'!B:AC,28,0),"không có trong file network")</f>
        <v>Chưa có</v>
      </c>
      <c r="G1201" s="1" t="s">
        <v>6705</v>
      </c>
      <c r="H1201" s="1" t="s">
        <v>2640</v>
      </c>
      <c r="I1201" s="1" t="s">
        <v>350</v>
      </c>
      <c r="J1201" s="1" t="s">
        <v>2044</v>
      </c>
      <c r="K1201" s="1" t="s">
        <v>2045</v>
      </c>
      <c r="L1201" s="2" t="str">
        <f>IF(
    F1201&lt;&gt;"Đã ký",
    "Chưa triển khai",
    IF(
        IFERROR(VLOOKUP(B1201,TCH[[Code budget]:[Ngày kết thúc thi công theo kế hoạch]],10,0),0)&gt;0,
        VLOOKUP(B1201,TCH[[Code budget]:[Ngày kết thúc thi công theo kế hoạch]],10,0),
        IFERROR(
            DATE(2026,VLOOKUP(B1201,'Plan 2026'!B:H,7,0),31),
            "Chưa triển khai"
        )
    )
)</f>
        <v>Chưa triển khai</v>
      </c>
      <c r="M1201" s="2" t="s">
        <v>6688</v>
      </c>
      <c r="N1201" s="2">
        <v>46143</v>
      </c>
      <c r="X1201" s="1" t="s">
        <v>2628</v>
      </c>
    </row>
    <row r="1202" spans="2:24" ht="11.25" hidden="1" customHeight="1" x14ac:dyDescent="0.25">
      <c r="B1202" s="1" t="s">
        <v>2641</v>
      </c>
      <c r="C1202" s="17" t="str">
        <f>IFERROR(LEFT(VLOOKUP(B1202,'For consider'!D:E,2,0),8),"Chưa có code")</f>
        <v>30DN5006</v>
      </c>
      <c r="D1202" s="1" t="s">
        <v>348</v>
      </c>
      <c r="E1202" s="1" t="str">
        <f t="shared" si="3"/>
        <v>Waiting for open</v>
      </c>
      <c r="F1202" s="1" t="str">
        <f>IFERROR(VLOOKUP(B1202,'Plan 2026'!B:AC,28,0),"không có trong file network")</f>
        <v>Đã ký</v>
      </c>
      <c r="G1202" s="1" t="str">
        <f>IFERROR(IF(VLOOKUP(B1202,'TCH (append)'!C:P,14,0)="Completed","Hoàn thành thi công",
IF(VLOOKUP(B1202,'TCH (append)'!C:K,9,0)="Completed","Hoàn thành đấu thầu",
IF(VLOOKUP(B1202,'TCH (append)'!C:J,8,0)="Completed","Hoàn thành dự toán",
IF(VLOOKUP(B1202,'TCH (append)'!C:I,7,0)="Completed","Hoàn thành thiết kế",
"Chưa thiết kế")))),"Chưa có trong file PMO")</f>
        <v>Chưa thiết kế</v>
      </c>
      <c r="H1202" s="1" t="s">
        <v>2642</v>
      </c>
      <c r="I1202" s="1" t="s">
        <v>2244</v>
      </c>
      <c r="J1202" s="1" t="s">
        <v>2044</v>
      </c>
      <c r="K1202" s="1" t="s">
        <v>2045</v>
      </c>
      <c r="L1202" s="2">
        <f>IF(
    F1202&lt;&gt;"Đã ký",
    "Chưa triển khai",
    IF(
        IFERROR(VLOOKUP(B1202,TCH[[Code budget]:[Ngày kết thúc thi công theo kế hoạch]],10,0),0)&gt;0,
        VLOOKUP(B1202,TCH[[Code budget]:[Ngày kết thúc thi công theo kế hoạch]],10,0),
        IFERROR(
            DATE(2026,VLOOKUP(B1202,'Plan 2026'!B:H,7,0),31),
            "Chưa triển khai"
        )
    )
)</f>
        <v>46137</v>
      </c>
      <c r="M1202" s="2" t="s">
        <v>6688</v>
      </c>
      <c r="N1202" s="2">
        <v>46174</v>
      </c>
      <c r="X1202" s="1" t="s">
        <v>2628</v>
      </c>
    </row>
    <row r="1203" spans="2:24" ht="11.25" hidden="1" customHeight="1" x14ac:dyDescent="0.25">
      <c r="B1203" s="1" t="s">
        <v>2643</v>
      </c>
      <c r="C1203" s="17" t="str">
        <f>IFERROR(LEFT(VLOOKUP(B1203,'For consider'!D:E,2,0),8),"Chưa có code")</f>
        <v>10DN5015</v>
      </c>
      <c r="D1203" s="1" t="s">
        <v>20</v>
      </c>
      <c r="E1203" s="1" t="str">
        <f t="shared" si="3"/>
        <v>Waiting for open</v>
      </c>
      <c r="F1203" s="1" t="str">
        <f>IFERROR(VLOOKUP(B1203,'Plan 2026'!B:AC,28,0),"không có trong file network")</f>
        <v>Đã ký</v>
      </c>
      <c r="G1203" s="1" t="str">
        <f>IFERROR(IF(VLOOKUP(B1203,'TCH (append)'!C:P,14,0)="Completed","Hoàn thành thi công",
IF(VLOOKUP(B1203,'TCH (append)'!C:K,9,0)="Completed","Hoàn thành đấu thầu",
IF(VLOOKUP(B1203,'TCH (append)'!C:J,8,0)="Completed","Hoàn thành dự toán",
IF(VLOOKUP(B1203,'TCH (append)'!C:I,7,0)="Completed","Hoàn thành thiết kế",
"Chưa thiết kế")))),"Chưa có trong file PMO")</f>
        <v>Hoàn thành thiết kế</v>
      </c>
      <c r="H1203" s="1" t="s">
        <v>2644</v>
      </c>
      <c r="I1203" s="1" t="s">
        <v>23</v>
      </c>
      <c r="J1203" s="1" t="s">
        <v>2044</v>
      </c>
      <c r="K1203" s="1" t="s">
        <v>2045</v>
      </c>
      <c r="L1203" s="2">
        <f>IF(
    F1203&lt;&gt;"Đã ký",
    "Chưa triển khai",
    IF(
        IFERROR(VLOOKUP(B1203,TCH[[Code budget]:[Ngày kết thúc thi công theo kế hoạch]],10,0),0)&gt;0,
        VLOOKUP(B1203,TCH[[Code budget]:[Ngày kết thúc thi công theo kế hoạch]],10,0),
        IFERROR(
            DATE(2026,VLOOKUP(B1203,'Plan 2026'!B:H,7,0),31),
            "Chưa triển khai"
        )
    )
)</f>
        <v>46132</v>
      </c>
      <c r="M1203" s="2" t="s">
        <v>6688</v>
      </c>
      <c r="N1203" s="2">
        <v>46174</v>
      </c>
      <c r="X1203" s="1" t="s">
        <v>2628</v>
      </c>
    </row>
    <row r="1204" spans="2:24" ht="11.25" hidden="1" customHeight="1" x14ac:dyDescent="0.25">
      <c r="B1204" s="1" t="s">
        <v>2645</v>
      </c>
      <c r="C1204" s="17" t="str">
        <f>IFERROR(LEFT(VLOOKUP(B1204,'For consider'!D:E,2,0),8),"Chưa có code")</f>
        <v>Chưa có code</v>
      </c>
      <c r="D1204" s="1" t="s">
        <v>348</v>
      </c>
      <c r="E1204" s="1" t="str">
        <f t="shared" si="3"/>
        <v>Chưa triển khai</v>
      </c>
      <c r="F1204" s="1" t="str">
        <f>IFERROR(VLOOKUP(B1204,'Plan 2026'!B:AC,28,0),"không có trong file network")</f>
        <v>Hủy bỏ</v>
      </c>
      <c r="G1204" s="1" t="str">
        <f>IFERROR(IF(VLOOKUP(B1204,'TCH (append)'!C:P,14,0)="Completed","Hoàn thành thi công",
IF(VLOOKUP(B1204,'TCH (append)'!C:K,9,0)="Completed","Hoàn thành đấu thầu",
IF(VLOOKUP(B1204,'TCH (append)'!C:J,8,0)="Completed","Hoàn thành dự toán",
IF(VLOOKUP(B1204,'TCH (append)'!C:I,7,0)="Completed","Hoàn thành thiết kế",
"Chưa thiết kế")))),"Chưa có trong file PMO")</f>
        <v>Hoàn thành dự toán</v>
      </c>
      <c r="H1204" s="1" t="s">
        <v>2646</v>
      </c>
      <c r="I1204" s="1" t="s">
        <v>350</v>
      </c>
      <c r="J1204" s="1" t="s">
        <v>1446</v>
      </c>
      <c r="K1204" s="1" t="s">
        <v>1447</v>
      </c>
      <c r="L1204" s="2" t="str">
        <f>IF(
    F1204&lt;&gt;"Đã ký",
    "Chưa triển khai",
    IF(
        IFERROR(VLOOKUP(B1204,TCH[[Code budget]:[Ngày kết thúc thi công theo kế hoạch]],10,0),0)&gt;0,
        VLOOKUP(B1204,TCH[[Code budget]:[Ngày kết thúc thi công theo kế hoạch]],10,0),
        IFERROR(
            DATE(2026,VLOOKUP(B1204,'Plan 2026'!B:H,7,0),31),
            "Chưa triển khai"
        )
    )
)</f>
        <v>Chưa triển khai</v>
      </c>
      <c r="M1204" s="2" t="s">
        <v>6688</v>
      </c>
      <c r="N1204" s="2">
        <v>46054</v>
      </c>
      <c r="X1204" s="1" t="s">
        <v>2628</v>
      </c>
    </row>
    <row r="1205" spans="2:24" ht="11.25" hidden="1" customHeight="1" x14ac:dyDescent="0.25">
      <c r="B1205" s="1" t="s">
        <v>2647</v>
      </c>
      <c r="C1205" s="17" t="str">
        <f>IFERROR(LEFT(VLOOKUP(B1205,'For consider'!D:E,2,0),8),"Chưa có code")</f>
        <v>Chưa có code</v>
      </c>
      <c r="D1205" s="1" t="s">
        <v>348</v>
      </c>
      <c r="E1205" s="1" t="str">
        <f t="shared" si="3"/>
        <v>Chưa triển khai</v>
      </c>
      <c r="F1205" s="1" t="str">
        <f>IFERROR(VLOOKUP(B1205,'Plan 2026'!B:AC,28,0),"không có trong file network")</f>
        <v>Hủy bỏ</v>
      </c>
      <c r="G1205" s="1" t="str">
        <f>IFERROR(IF(VLOOKUP(B1205,'TCH (append)'!C:P,14,0)="Completed","Hoàn thành thi công",
IF(VLOOKUP(B1205,'TCH (append)'!C:K,9,0)="Completed","Hoàn thành đấu thầu",
IF(VLOOKUP(B1205,'TCH (append)'!C:J,8,0)="Completed","Hoàn thành dự toán",
IF(VLOOKUP(B1205,'TCH (append)'!C:I,7,0)="Completed","Hoàn thành thiết kế",
"Chưa thiết kế")))),"Chưa có trong file PMO")</f>
        <v>Hoàn thành dự toán</v>
      </c>
      <c r="H1205" s="1" t="s">
        <v>2648</v>
      </c>
      <c r="I1205" s="1" t="s">
        <v>350</v>
      </c>
      <c r="J1205" s="1" t="s">
        <v>1446</v>
      </c>
      <c r="K1205" s="1" t="s">
        <v>1447</v>
      </c>
      <c r="L1205" s="2" t="str">
        <f>IF(
    F1205&lt;&gt;"Đã ký",
    "Chưa triển khai",
    IF(
        IFERROR(VLOOKUP(B1205,TCH[[Code budget]:[Ngày kết thúc thi công theo kế hoạch]],10,0),0)&gt;0,
        VLOOKUP(B1205,TCH[[Code budget]:[Ngày kết thúc thi công theo kế hoạch]],10,0),
        IFERROR(
            DATE(2026,VLOOKUP(B1205,'Plan 2026'!B:H,7,0),31),
            "Chưa triển khai"
        )
    )
)</f>
        <v>Chưa triển khai</v>
      </c>
      <c r="M1205" s="2" t="s">
        <v>6688</v>
      </c>
      <c r="N1205" s="2">
        <v>46054</v>
      </c>
      <c r="X1205" s="1" t="s">
        <v>2628</v>
      </c>
    </row>
    <row r="1206" spans="2:24" ht="11.25" hidden="1" customHeight="1" x14ac:dyDescent="0.25">
      <c r="B1206" s="1" t="s">
        <v>2649</v>
      </c>
      <c r="C1206" s="17" t="str">
        <f>IFERROR(LEFT(VLOOKUP(B1206,'For consider'!D:E,2,0),8),"Chưa có code")</f>
        <v>Chưa có code</v>
      </c>
      <c r="D1206" s="1" t="s">
        <v>348</v>
      </c>
      <c r="E1206" s="1" t="str">
        <f t="shared" si="3"/>
        <v>Chưa triển khai</v>
      </c>
      <c r="F1206" s="1" t="str">
        <f>IFERROR(VLOOKUP(B1206,'Plan 2026'!B:AC,28,0),"không có trong file network")</f>
        <v>Hủy bỏ</v>
      </c>
      <c r="G1206" s="1" t="str">
        <f>IFERROR(IF(VLOOKUP(B1206,'TCH (append)'!C:P,14,0)="Completed","Hoàn thành thi công",
IF(VLOOKUP(B1206,'TCH (append)'!C:K,9,0)="Completed","Hoàn thành đấu thầu",
IF(VLOOKUP(B1206,'TCH (append)'!C:J,8,0)="Completed","Hoàn thành dự toán",
IF(VLOOKUP(B1206,'TCH (append)'!C:I,7,0)="Completed","Hoàn thành thiết kế",
"Chưa thiết kế")))),"Chưa có trong file PMO")</f>
        <v>Chưa có trong file PMO</v>
      </c>
      <c r="H1206" s="1" t="s">
        <v>2650</v>
      </c>
      <c r="I1206" s="1" t="s">
        <v>350</v>
      </c>
      <c r="J1206" s="1" t="s">
        <v>1446</v>
      </c>
      <c r="K1206" s="1" t="s">
        <v>1447</v>
      </c>
      <c r="L1206" s="2" t="str">
        <f>IF(
    F1206&lt;&gt;"Đã ký",
    "Chưa triển khai",
    IF(
        IFERROR(VLOOKUP(B1206,TCH[[Code budget]:[Ngày kết thúc thi công theo kế hoạch]],10,0),0)&gt;0,
        VLOOKUP(B1206,TCH[[Code budget]:[Ngày kết thúc thi công theo kế hoạch]],10,0),
        IFERROR(
            DATE(2026,VLOOKUP(B1206,'Plan 2026'!B:H,7,0),31),
            "Chưa triển khai"
        )
    )
)</f>
        <v>Chưa triển khai</v>
      </c>
      <c r="M1206" s="2" t="s">
        <v>6688</v>
      </c>
      <c r="N1206" s="2">
        <v>46054</v>
      </c>
      <c r="X1206" s="1" t="s">
        <v>2628</v>
      </c>
    </row>
    <row r="1207" spans="2:24" ht="11.25" hidden="1" customHeight="1" x14ac:dyDescent="0.25">
      <c r="B1207" s="1" t="s">
        <v>2651</v>
      </c>
      <c r="C1207" s="17" t="str">
        <f>IFERROR(LEFT(VLOOKUP(B1207,'For consider'!D:E,2,0),8),"Chưa có code")</f>
        <v>Chưa có code</v>
      </c>
      <c r="D1207" s="1" t="s">
        <v>348</v>
      </c>
      <c r="E1207" s="1" t="str">
        <f t="shared" si="3"/>
        <v>Chưa triển khai</v>
      </c>
      <c r="F1207" s="1" t="str">
        <f>IFERROR(VLOOKUP(B1207,'Plan 2026'!B:AC,28,0),"không có trong file network")</f>
        <v>Hủy bỏ</v>
      </c>
      <c r="G1207" s="1" t="str">
        <f>IFERROR(IF(VLOOKUP(B1207,'TCH (append)'!C:P,14,0)="Completed","Hoàn thành thi công",
IF(VLOOKUP(B1207,'TCH (append)'!C:K,9,0)="Completed","Hoàn thành đấu thầu",
IF(VLOOKUP(B1207,'TCH (append)'!C:J,8,0)="Completed","Hoàn thành dự toán",
IF(VLOOKUP(B1207,'TCH (append)'!C:I,7,0)="Completed","Hoàn thành thiết kế",
"Chưa thiết kế")))),"Chưa có trong file PMO")</f>
        <v>Hoàn thành dự toán</v>
      </c>
      <c r="H1207" s="1" t="s">
        <v>2652</v>
      </c>
      <c r="I1207" s="1" t="s">
        <v>350</v>
      </c>
      <c r="J1207" s="1" t="s">
        <v>1446</v>
      </c>
      <c r="K1207" s="1" t="s">
        <v>1447</v>
      </c>
      <c r="L1207" s="2" t="str">
        <f>IF(
    F1207&lt;&gt;"Đã ký",
    "Chưa triển khai",
    IF(
        IFERROR(VLOOKUP(B1207,TCH[[Code budget]:[Ngày kết thúc thi công theo kế hoạch]],10,0),0)&gt;0,
        VLOOKUP(B1207,TCH[[Code budget]:[Ngày kết thúc thi công theo kế hoạch]],10,0),
        IFERROR(
            DATE(2026,VLOOKUP(B1207,'Plan 2026'!B:H,7,0),31),
            "Chưa triển khai"
        )
    )
)</f>
        <v>Chưa triển khai</v>
      </c>
      <c r="M1207" s="2" t="s">
        <v>6688</v>
      </c>
      <c r="N1207" s="2">
        <v>46113</v>
      </c>
      <c r="X1207" s="1" t="s">
        <v>2628</v>
      </c>
    </row>
    <row r="1208" spans="2:24" ht="11.25" hidden="1" customHeight="1" x14ac:dyDescent="0.25">
      <c r="B1208" s="1" t="s">
        <v>2653</v>
      </c>
      <c r="C1208" s="17" t="str">
        <f>IFERROR(LEFT(VLOOKUP(B1208,'For consider'!D:E,2,0),8),"Chưa có code")</f>
        <v>Chưa có code</v>
      </c>
      <c r="D1208" s="1" t="s">
        <v>348</v>
      </c>
      <c r="E1208" s="1" t="str">
        <f t="shared" si="3"/>
        <v>Chưa triển khai</v>
      </c>
      <c r="F1208" s="1" t="str">
        <f>IFERROR(VLOOKUP(B1208,'Plan 2026'!B:AC,28,0),"không có trong file network")</f>
        <v>Hủy bỏ</v>
      </c>
      <c r="G1208" s="1" t="str">
        <f>IFERROR(IF(VLOOKUP(B1208,'TCH (append)'!C:P,14,0)="Completed","Hoàn thành thi công",
IF(VLOOKUP(B1208,'TCH (append)'!C:K,9,0)="Completed","Hoàn thành đấu thầu",
IF(VLOOKUP(B1208,'TCH (append)'!C:J,8,0)="Completed","Hoàn thành dự toán",
IF(VLOOKUP(B1208,'TCH (append)'!C:I,7,0)="Completed","Hoàn thành thiết kế",
"Chưa thiết kế")))),"Chưa có trong file PMO")</f>
        <v>Hoàn thành đấu thầu</v>
      </c>
      <c r="H1208" s="1" t="s">
        <v>2654</v>
      </c>
      <c r="I1208" s="1" t="s">
        <v>350</v>
      </c>
      <c r="J1208" s="1" t="s">
        <v>1446</v>
      </c>
      <c r="K1208" s="1" t="s">
        <v>1447</v>
      </c>
      <c r="L1208" s="2" t="str">
        <f>IF(
    F1208&lt;&gt;"Đã ký",
    "Chưa triển khai",
    IF(
        IFERROR(VLOOKUP(B1208,TCH[[Code budget]:[Ngày kết thúc thi công theo kế hoạch]],10,0),0)&gt;0,
        VLOOKUP(B1208,TCH[[Code budget]:[Ngày kết thúc thi công theo kế hoạch]],10,0),
        IFERROR(
            DATE(2026,VLOOKUP(B1208,'Plan 2026'!B:H,7,0),31),
            "Chưa triển khai"
        )
    )
)</f>
        <v>Chưa triển khai</v>
      </c>
      <c r="M1208" s="2" t="s">
        <v>6688</v>
      </c>
      <c r="N1208" s="2">
        <v>46054</v>
      </c>
      <c r="X1208" s="1" t="s">
        <v>2628</v>
      </c>
    </row>
    <row r="1209" spans="2:24" ht="11.25" hidden="1" customHeight="1" x14ac:dyDescent="0.25">
      <c r="B1209" s="1" t="s">
        <v>6681</v>
      </c>
      <c r="C1209" s="17" t="str">
        <f>IFERROR(LEFT(VLOOKUP(B1209,'For consider'!D:E,2,0),8),"Chưa có code")</f>
        <v>Chưa có code</v>
      </c>
      <c r="E1209" s="1" t="str">
        <f t="shared" si="3"/>
        <v>Waiting for open</v>
      </c>
      <c r="F1209" s="1" t="s">
        <v>2763</v>
      </c>
      <c r="G1209" s="1" t="str">
        <f>IFERROR(IF(VLOOKUP(B1209,'TCH (append)'!C:P,14,0)="Completed","Hoàn thành thi công",
IF(VLOOKUP(B1209,'TCH (append)'!C:K,9,0)="Completed","Hoàn thành đấu thầu",
IF(VLOOKUP(B1209,'TCH (append)'!C:J,8,0)="Completed","Hoàn thành dự toán",
IF(VLOOKUP(B1209,'TCH (append)'!C:I,7,0)="Completed","Hoàn thành thiết kế",
"Chưa thiết kế")))),"Chưa có trong file PMO")</f>
        <v>Hoàn thành thi công</v>
      </c>
      <c r="H1209" s="1" t="str">
        <f>IFERROR(VLOOKUP(B1209,'Plan 2026'!B:AW,48,0), VLOOKUP(B1209,'TCH (append)'!C:D,2,0)
)</f>
        <v>TCH Toko Bắc Ninh</v>
      </c>
      <c r="J1209" s="1" t="s">
        <v>1788</v>
      </c>
      <c r="K1209" s="1" t="s">
        <v>1789</v>
      </c>
      <c r="L1209" s="2" t="str">
        <f>IF(
    F1209&lt;&gt;"Đã ký",
    "Chưa triển khai",
    IF(
        IFERROR(VLOOKUP(B1209,TCH[[Code budget]:[Ngày kết thúc thi công theo kế hoạch]],10,0),0)&gt;0,
        VLOOKUP(B1209,TCH[[Code budget]:[Ngày kết thúc thi công theo kế hoạch]],10,0),
        IFERROR(
            DATE(2026,VLOOKUP(B1209,'Plan 2026'!B:H,7,0),31),
            "Chưa triển khai"
        )
    )
)</f>
        <v> </v>
      </c>
      <c r="M1209" s="2" t="s">
        <v>6688</v>
      </c>
    </row>
    <row r="1210" spans="2:24" ht="11.25" hidden="1" customHeight="1" x14ac:dyDescent="0.25">
      <c r="B1210" s="1" t="s">
        <v>6236</v>
      </c>
      <c r="C1210" s="17" t="str">
        <f>IFERROR(LEFT(VLOOKUP(B1210,'For consider'!D:E,2,0),8),"Chưa có code")</f>
        <v>Chưa có code</v>
      </c>
      <c r="E1210" s="1" t="str">
        <f t="shared" si="3"/>
        <v>Chưa triển khai</v>
      </c>
      <c r="F1210" s="1" t="str">
        <f>IFERROR(VLOOKUP(B1210,'Plan 2026'!B:AC,28,0),"không có trong file network")</f>
        <v>không có trong file network</v>
      </c>
      <c r="G1210" s="1" t="str">
        <f>IFERROR(IF(VLOOKUP(B1210,'TCH (append)'!C:P,14,0)="Completed","Hoàn thành thi công",
IF(VLOOKUP(B1210,'TCH (append)'!C:K,9,0)="Completed","Hoàn thành đấu thầu",
IF(VLOOKUP(B1210,'TCH (append)'!C:J,8,0)="Completed","Hoàn thành dự toán",
IF(VLOOKUP(B1210,'TCH (append)'!C:I,7,0)="Completed","Hoàn thành thiết kế",
"Chưa thiết kế")))),"Chưa có trong file PMO")</f>
        <v>Hoàn thành thi công</v>
      </c>
      <c r="H1210" s="1" t="str">
        <f>IFERROR(VLOOKUP(B1210,'Plan 2026'!B:AW,48,0), VLOOKUP(B1210,'TCH (append)'!C:D,2,0)
)</f>
        <v>TCH Nguyễn Tri Phương</v>
      </c>
      <c r="J1210" s="1" t="s">
        <v>1788</v>
      </c>
      <c r="K1210" s="1" t="s">
        <v>1789</v>
      </c>
      <c r="L1210" s="2" t="str">
        <f>IF(
    F1210&lt;&gt;"Đã ký",
    "Chưa triển khai",
    IF(
        IFERROR(VLOOKUP(B1210,TCH[[Code budget]:[Ngày kết thúc thi công theo kế hoạch]],10,0),0)&gt;0,
        VLOOKUP(B1210,TCH[[Code budget]:[Ngày kết thúc thi công theo kế hoạch]],10,0),
        IFERROR(
            DATE(2026,VLOOKUP(B1210,'Plan 2026'!B:H,7,0),31),
            "Chưa triển khai"
        )
    )
)</f>
        <v>Chưa triển khai</v>
      </c>
      <c r="M1210" s="2" t="s">
        <v>6688</v>
      </c>
    </row>
    <row r="1211" spans="2:24" ht="11.25" hidden="1" customHeight="1" x14ac:dyDescent="0.25">
      <c r="B1211" s="1" t="s">
        <v>4829</v>
      </c>
      <c r="C1211" s="1" t="s">
        <v>6682</v>
      </c>
      <c r="E1211" s="1" t="str">
        <f t="shared" si="3"/>
        <v>Lock mb chưa thi công</v>
      </c>
      <c r="F1211" s="1" t="str">
        <f>IFERROR(VLOOKUP(B1211,'Plan 2026'!B:AC,28,0),"không có trong file network")</f>
        <v>Đã ký</v>
      </c>
      <c r="G1211" s="1" t="str">
        <f>IFERROR(IF(VLOOKUP(B1211,'TCH (append)'!C:P,14,0)="Completed","Hoàn thành thi công",
IF(VLOOKUP(B1211,'TCH (append)'!C:K,9,0)="Completed","Hoàn thành đấu thầu",
IF(VLOOKUP(B1211,'TCH (append)'!C:J,8,0)="Completed","Hoàn thành dự toán",
IF(VLOOKUP(B1211,'TCH (append)'!C:I,7,0)="Completed","Hoàn thành thiết kế",
"Chưa thiết kế")))),"Chưa có trong file PMO")</f>
        <v>Chưa có trong file PMO</v>
      </c>
      <c r="H1211" s="1" t="str">
        <f>IFERROR(VLOOKUP(B1211,'Plan 2026'!B:AW,48,0), VLOOKUP(B1211,'TCH (append)'!C:D,2,0)
)</f>
        <v>The Coffee House Techcombank GrandPark HCMSố 6, Đường D1, Khu đô thị Vinhomes Grand Park, Phường Long Bình, Quận 9, TP. Hồ Chí Minh</v>
      </c>
      <c r="J1211" s="1" t="s">
        <v>1788</v>
      </c>
      <c r="K1211" s="1" t="s">
        <v>1789</v>
      </c>
      <c r="L1211" s="2">
        <f>IF(
    F1211&lt;&gt;"Đã ký",
    "Chưa triển khai",
    IF(
        IFERROR(VLOOKUP(B1211,TCH[[Code budget]:[Ngày kết thúc thi công theo kế hoạch]],10,0),0)&gt;0,
        VLOOKUP(B1211,TCH[[Code budget]:[Ngày kết thúc thi công theo kế hoạch]],10,0),
        IFERROR(
            DATE(2026,VLOOKUP(B1211,'Plan 2026'!B:H,7,0),31),
            "Chưa triển khai"
        )
    )
)</f>
        <v>46357</v>
      </c>
      <c r="M1211" s="2" t="s">
        <v>6688</v>
      </c>
    </row>
    <row r="1212" spans="2:24" ht="11.25" hidden="1" customHeight="1" x14ac:dyDescent="0.25">
      <c r="B1212" s="1" t="s">
        <v>5993</v>
      </c>
      <c r="C1212" s="17" t="str">
        <f>IFERROR(LEFT(VLOOKUP(B1212,'For consider'!D:E,2,0),8),"Chưa có code")</f>
        <v>Chưa có code</v>
      </c>
      <c r="E1212" s="1" t="str">
        <f t="shared" si="3"/>
        <v>Chưa triển khai</v>
      </c>
      <c r="F1212" s="1" t="str">
        <f>IFERROR(VLOOKUP(B1212,'Plan 2026'!B:AC,28,0),"không có trong file network")</f>
        <v>không có trong file network</v>
      </c>
      <c r="G1212" s="1" t="str">
        <f>IFERROR(IF(VLOOKUP(B1212,'TCH (append)'!C:P,14,0)="Completed","Hoàn thành thi công",
IF(VLOOKUP(B1212,'TCH (append)'!C:K,9,0)="Completed","Hoàn thành đấu thầu",
IF(VLOOKUP(B1212,'TCH (append)'!C:J,8,0)="Completed","Hoàn thành dự toán",
IF(VLOOKUP(B1212,'TCH (append)'!C:I,7,0)="Completed","Hoàn thành thiết kế",
"Chưa thiết kế")))),"Chưa có trong file PMO")</f>
        <v>Chưa thiết kế</v>
      </c>
      <c r="H1212" s="1" t="str">
        <f>IFERROR(VLOOKUP(B1212,'Plan 2026'!B:AW,48,0), VLOOKUP(B1212,'TCH (append)'!C:D,2,0)
)</f>
        <v>Dao Niu Guo Lê Quý Đôn</v>
      </c>
      <c r="J1212" s="1" t="s">
        <v>2044</v>
      </c>
      <c r="K1212" s="1" t="s">
        <v>2045</v>
      </c>
      <c r="L1212" s="2" t="str">
        <f>IF(
    F1212&lt;&gt;"Đã ký",
    "Chưa triển khai",
    IF(
        IFERROR(VLOOKUP(B1212,TCH[[Code budget]:[Ngày kết thúc thi công theo kế hoạch]],10,0),0)&gt;0,
        VLOOKUP(B1212,TCH[[Code budget]:[Ngày kết thúc thi công theo kế hoạch]],10,0),
        IFERROR(
            DATE(2026,VLOOKUP(B1212,'Plan 2026'!B:H,7,0),31),
            "Chưa triển khai"
        )
    )
)</f>
        <v>Chưa triển khai</v>
      </c>
      <c r="M1212" s="2" t="s">
        <v>6688</v>
      </c>
    </row>
    <row r="1213" spans="2:24" ht="11.25" hidden="1" customHeight="1" x14ac:dyDescent="0.25">
      <c r="B1213" s="1" t="s">
        <v>6004</v>
      </c>
      <c r="C1213" s="17" t="str">
        <f>IFERROR(LEFT(VLOOKUP(B1213,'For consider'!D:E,2,0),8),"Chưa có code")</f>
        <v>Chưa có code</v>
      </c>
      <c r="E1213" s="1" t="str">
        <f t="shared" si="3"/>
        <v>Chưa triển khai</v>
      </c>
      <c r="F1213" s="1" t="str">
        <f>IFERROR(VLOOKUP(B1213,'Plan 2026'!B:AC,28,0),"không có trong file network")</f>
        <v>không có trong file network</v>
      </c>
      <c r="G1213" s="1" t="str">
        <f>IFERROR(IF(VLOOKUP(B1213,'TCH (append)'!C:P,14,0)="Completed","Hoàn thành thi công",
IF(VLOOKUP(B1213,'TCH (append)'!C:K,9,0)="Completed","Hoàn thành đấu thầu",
IF(VLOOKUP(B1213,'TCH (append)'!C:J,8,0)="Completed","Hoàn thành dự toán",
IF(VLOOKUP(B1213,'TCH (append)'!C:I,7,0)="Completed","Hoàn thành thiết kế",
"Chưa thiết kế")))),"Chưa có trong file PMO")</f>
        <v>Chưa thiết kế</v>
      </c>
      <c r="H1213" s="1" t="str">
        <f>IFERROR(VLOOKUP(B1213,'Plan 2026'!B:AW,48,0), VLOOKUP(B1213,'TCH (append)'!C:D,2,0)
)</f>
        <v>Dao Niu Guo Grand Park Q9</v>
      </c>
      <c r="J1213" s="1" t="s">
        <v>2044</v>
      </c>
      <c r="K1213" s="1" t="s">
        <v>2045</v>
      </c>
      <c r="L1213" s="2" t="str">
        <f>IF(
    F1213&lt;&gt;"Đã ký",
    "Chưa triển khai",
    IF(
        IFERROR(VLOOKUP(B1213,TCH[[Code budget]:[Ngày kết thúc thi công theo kế hoạch]],10,0),0)&gt;0,
        VLOOKUP(B1213,TCH[[Code budget]:[Ngày kết thúc thi công theo kế hoạch]],10,0),
        IFERROR(
            DATE(2026,VLOOKUP(B1213,'Plan 2026'!B:H,7,0),31),
            "Chưa triển khai"
        )
    )
)</f>
        <v>Chưa triển khai</v>
      </c>
      <c r="M1213" s="2" t="s">
        <v>6688</v>
      </c>
    </row>
    <row r="1214" spans="2:24" ht="11.25" hidden="1" customHeight="1" x14ac:dyDescent="0.25">
      <c r="B1214" s="1" t="s">
        <v>3620</v>
      </c>
      <c r="C1214" s="17" t="str">
        <f>IFERROR(LEFT(VLOOKUP(B1214,'For consider'!D:E,2,0),8),"Chưa có code")</f>
        <v>10DN5014</v>
      </c>
      <c r="E1214" s="1" t="str">
        <f t="shared" si="3"/>
        <v>Waiting for open</v>
      </c>
      <c r="F1214" s="1" t="str">
        <f>IFERROR(VLOOKUP(B1214,'Plan 2026'!B:AC,28,0),"không có trong file network")</f>
        <v>Đã ký</v>
      </c>
      <c r="G1214" s="1" t="str">
        <f>IFERROR(IF(VLOOKUP(B1214,'TCH (append)'!C:P,14,0)="Completed","Hoàn thành thi công",
IF(VLOOKUP(B1214,'TCH (append)'!C:K,9,0)="Completed","Hoàn thành đấu thầu",
IF(VLOOKUP(B1214,'TCH (append)'!C:J,8,0)="Completed","Hoàn thành dự toán",
IF(VLOOKUP(B1214,'TCH (append)'!C:I,7,0)="Completed","Hoàn thành thiết kế",
"Chưa thiết kế")))),"Chưa có trong file PMO")</f>
        <v>Chưa thiết kế</v>
      </c>
      <c r="H1214" s="1" t="str">
        <f>IFERROR(VLOOKUP(B1214,'Plan 2026'!B:AW,48,0), VLOOKUP(B1214,'TCH (append)'!C:D,2,0)
)</f>
        <v>Dao Niu Guo Lê Thái TổLê Thái Tổ, Hàng Trống, Hoàn Kiếm, Hà Nội</v>
      </c>
      <c r="J1214" s="1" t="s">
        <v>2044</v>
      </c>
      <c r="K1214" s="1" t="s">
        <v>2045</v>
      </c>
      <c r="L1214" s="2">
        <f>IF(
    F1214&lt;&gt;"Đã ký",
    "Chưa triển khai",
    IF(
        IFERROR(VLOOKUP(B1214,TCH[[Code budget]:[Ngày kết thúc thi công theo kế hoạch]],10,0),0)&gt;0,
        VLOOKUP(B1214,TCH[[Code budget]:[Ngày kết thúc thi công theo kế hoạch]],10,0),
        IFERROR(
            DATE(2026,VLOOKUP(B1214,'Plan 2026'!B:H,7,0),31),
            "Chưa triển khai"
        )
    )
)</f>
        <v>46174</v>
      </c>
      <c r="M1214" s="2" t="s">
        <v>6688</v>
      </c>
    </row>
    <row r="1215" spans="2:24" ht="11.25" hidden="1" customHeight="1" x14ac:dyDescent="0.25">
      <c r="B1215" s="1" t="s">
        <v>4568</v>
      </c>
      <c r="C1215" s="17" t="str">
        <f>IFERROR(LEFT(VLOOKUP(B1215,'For consider'!D:E,2,0),8),"Chưa có code")</f>
        <v>Chưa có code</v>
      </c>
      <c r="E1215" s="1" t="str">
        <f t="shared" si="3"/>
        <v>Waiting for open</v>
      </c>
      <c r="F1215" s="1" t="str">
        <f>IFERROR(VLOOKUP(B1215,'Plan 2026'!B:AC,28,0),"không có trong file network")</f>
        <v>Đã ký</v>
      </c>
      <c r="G1215" s="1" t="str">
        <f>IFERROR(IF(VLOOKUP(B1215,'TCH (append)'!C:P,14,0)="Completed","Hoàn thành thi công",
IF(VLOOKUP(B1215,'TCH (append)'!C:K,9,0)="Completed","Hoàn thành đấu thầu",
IF(VLOOKUP(B1215,'TCH (append)'!C:J,8,0)="Completed","Hoàn thành dự toán",
IF(VLOOKUP(B1215,'TCH (append)'!C:I,7,0)="Completed","Hoàn thành thiết kế",
"Chưa thiết kế")))),"Chưa có trong file PMO")</f>
        <v>Chưa thiết kế</v>
      </c>
      <c r="H1215" s="1" t="str">
        <f>IFERROR(VLOOKUP(B1215,'Plan 2026'!B:AW,48,0), VLOOKUP(B1215,'TCH (append)'!C:D,2,0)
)</f>
        <v>Dao Niu Guo 108 đường số 7</v>
      </c>
      <c r="J1215" s="1" t="s">
        <v>2044</v>
      </c>
      <c r="K1215" s="1" t="s">
        <v>2045</v>
      </c>
      <c r="L1215" s="2" t="str">
        <f>IF(
    F1215&lt;&gt;"Đã ký",
    "Chưa triển khai",
    IF(
        IFERROR(VLOOKUP(B1215,TCH[[Code budget]:[Ngày kết thúc thi công theo kế hoạch]],10,0),0)&gt;0,
        VLOOKUP(B1215,TCH[[Code budget]:[Ngày kết thúc thi công theo kế hoạch]],10,0),
        IFERROR(
            DATE(2026,VLOOKUP(B1215,'Plan 2026'!B:H,7,0),31),
            "Chưa triển khai"
        )
    )
)</f>
        <v> </v>
      </c>
      <c r="M1215" s="2" t="s">
        <v>6688</v>
      </c>
    </row>
    <row r="1216" spans="2:24" ht="11.25" hidden="1" customHeight="1" x14ac:dyDescent="0.25">
      <c r="B1216" s="1" t="s">
        <v>5026</v>
      </c>
      <c r="C1216" s="17" t="str">
        <f>IFERROR(LEFT(VLOOKUP(B1216,'For consider'!D:E,2,0),8),"Chưa có code")</f>
        <v>Chưa có code</v>
      </c>
      <c r="E1216" s="1" t="str">
        <f t="shared" si="3"/>
        <v>Waiting for open</v>
      </c>
      <c r="F1216" s="1" t="str">
        <f>IFERROR(VLOOKUP(B1216,'Plan 2026'!B:AC,28,0),"không có trong file network")</f>
        <v>Đã ký</v>
      </c>
      <c r="G1216" s="1" t="str">
        <f>IFERROR(IF(VLOOKUP(B1216,'TCH (append)'!C:P,14,0)="Completed","Hoàn thành thi công",
IF(VLOOKUP(B1216,'TCH (append)'!C:K,9,0)="Completed","Hoàn thành đấu thầu",
IF(VLOOKUP(B1216,'TCH (append)'!C:J,8,0)="Completed","Hoàn thành dự toán",
IF(VLOOKUP(B1216,'TCH (append)'!C:I,7,0)="Completed","Hoàn thành thiết kế",
"Chưa thiết kế")))),"Chưa có trong file PMO")</f>
        <v>Chưa thiết kế</v>
      </c>
      <c r="H1216" s="1" t="str">
        <f>IFERROR(VLOOKUP(B1216,'Plan 2026'!B:AW,48,0), VLOOKUP(B1216,'TCH (append)'!C:D,2,0)
)</f>
        <v>Dao Niu Guo Nguyễn Thị Thập</v>
      </c>
      <c r="J1216" s="1" t="s">
        <v>2044</v>
      </c>
      <c r="K1216" s="1" t="s">
        <v>2045</v>
      </c>
      <c r="L1216" s="2">
        <f>IF(
    F1216&lt;&gt;"Đã ký",
    "Chưa triển khai",
    IF(
        IFERROR(VLOOKUP(B1216,TCH[[Code budget]:[Ngày kết thúc thi công theo kế hoạch]],10,0),0)&gt;0,
        VLOOKUP(B1216,TCH[[Code budget]:[Ngày kết thúc thi công theo kế hoạch]],10,0),
        IFERROR(
            DATE(2026,VLOOKUP(B1216,'Plan 2026'!B:H,7,0),31),
            "Chưa triển khai"
        )
    )
)</f>
        <v>46162</v>
      </c>
      <c r="M1216" s="2" t="s">
        <v>6688</v>
      </c>
    </row>
    <row r="1217" spans="2:13" ht="11.25" hidden="1" customHeight="1" x14ac:dyDescent="0.25">
      <c r="B1217" s="1" t="s">
        <v>6024</v>
      </c>
      <c r="C1217" s="17" t="str">
        <f>IFERROR(LEFT(VLOOKUP(B1217,'For consider'!D:E,2,0),8),"Chưa có code")</f>
        <v>Chưa có code</v>
      </c>
      <c r="E1217" s="1" t="str">
        <f t="shared" si="3"/>
        <v>Chưa triển khai</v>
      </c>
      <c r="F1217" s="1" t="str">
        <f>IFERROR(VLOOKUP(B1217,'Plan 2026'!B:AC,28,0),"không có trong file network")</f>
        <v>không có trong file network</v>
      </c>
      <c r="G1217" s="1" t="str">
        <f>IFERROR(IF(VLOOKUP(B1217,'TCH (append)'!C:P,14,0)="Completed","Hoàn thành thi công",
IF(VLOOKUP(B1217,'TCH (append)'!C:K,9,0)="Completed","Hoàn thành đấu thầu",
IF(VLOOKUP(B1217,'TCH (append)'!C:J,8,0)="Completed","Hoàn thành dự toán",
IF(VLOOKUP(B1217,'TCH (append)'!C:I,7,0)="Completed","Hoàn thành thiết kế",
"Chưa thiết kế")))),"Chưa có trong file PMO")</f>
        <v>Chưa thiết kế</v>
      </c>
      <c r="H1217" s="1" t="str">
        <f>IFERROR(VLOOKUP(B1217,'Plan 2026'!B:AW,48,0), VLOOKUP(B1217,'TCH (append)'!C:D,2,0)
)</f>
        <v>Dao Niu Guo Phan Xích Long</v>
      </c>
      <c r="J1217" s="1" t="s">
        <v>2044</v>
      </c>
      <c r="K1217" s="1" t="s">
        <v>2045</v>
      </c>
      <c r="L1217" s="2" t="str">
        <f>IF(
    F1217&lt;&gt;"Đã ký",
    "Chưa triển khai",
    IF(
        IFERROR(VLOOKUP(B1217,TCH[[Code budget]:[Ngày kết thúc thi công theo kế hoạch]],10,0),0)&gt;0,
        VLOOKUP(B1217,TCH[[Code budget]:[Ngày kết thúc thi công theo kế hoạch]],10,0),
        IFERROR(
            DATE(2026,VLOOKUP(B1217,'Plan 2026'!B:H,7,0),31),
            "Chưa triển khai"
        )
    )
)</f>
        <v>Chưa triển khai</v>
      </c>
      <c r="M1217" s="2" t="s">
        <v>6688</v>
      </c>
    </row>
    <row r="1218" spans="2:13" ht="11.25" hidden="1" customHeight="1" x14ac:dyDescent="0.25">
      <c r="B1218" s="1" t="s">
        <v>5334</v>
      </c>
      <c r="C1218" s="17" t="str">
        <f>IFERROR(LEFT(VLOOKUP(B1218,'For consider'!D:E,2,0),8),"Chưa có code")</f>
        <v>10DN5046</v>
      </c>
      <c r="E1218" s="1" t="str">
        <f t="shared" si="3"/>
        <v>Waiting for open</v>
      </c>
      <c r="F1218" s="1" t="str">
        <f>IFERROR(VLOOKUP(B1218,'Plan 2026'!B:AC,28,0),"không có trong file network")</f>
        <v>Đã ký</v>
      </c>
      <c r="G1218" s="1" t="str">
        <f>IFERROR(IF(VLOOKUP(B1218,'TCH (append)'!C:P,14,0)="Completed","Hoàn thành thi công",
IF(VLOOKUP(B1218,'TCH (append)'!C:K,9,0)="Completed","Hoàn thành đấu thầu",
IF(VLOOKUP(B1218,'TCH (append)'!C:J,8,0)="Completed","Hoàn thành dự toán",
IF(VLOOKUP(B1218,'TCH (append)'!C:I,7,0)="Completed","Hoàn thành thiết kế",
"Chưa thiết kế")))),"Chưa có trong file PMO")</f>
        <v>Hoàn thành thiết kế</v>
      </c>
      <c r="H1218" s="1" t="str">
        <f>IFERROR(VLOOKUP(B1218,'Plan 2026'!B:AW,48,0), VLOOKUP(B1218,'TCH (append)'!C:D,2,0)
)</f>
        <v>Dao Niu Guo Cao Thắng</v>
      </c>
      <c r="J1218" s="1" t="s">
        <v>2044</v>
      </c>
      <c r="K1218" s="1" t="s">
        <v>2045</v>
      </c>
      <c r="L1218" s="2">
        <f>IF(
    F1218&lt;&gt;"Đã ký",
    "Chưa triển khai",
    IF(
        IFERROR(VLOOKUP(B1218,TCH[[Code budget]:[Ngày kết thúc thi công theo kế hoạch]],10,0),0)&gt;0,
        VLOOKUP(B1218,TCH[[Code budget]:[Ngày kết thúc thi công theo kế hoạch]],10,0),
        IFERROR(
            DATE(2026,VLOOKUP(B1218,'Plan 2026'!B:H,7,0),31),
            "Chưa triển khai"
        )
    )
)</f>
        <v>46137</v>
      </c>
      <c r="M1218" s="2" t="s">
        <v>6688</v>
      </c>
    </row>
    <row r="1219" spans="2:13" ht="11.25" hidden="1" customHeight="1" x14ac:dyDescent="0.25">
      <c r="B1219" s="1" t="s">
        <v>5945</v>
      </c>
      <c r="C1219" s="17" t="str">
        <f>IFERROR(LEFT(VLOOKUP(B1219,'For consider'!D:E,2,0),8),"Chưa có code")</f>
        <v>10DN5039</v>
      </c>
      <c r="E1219" s="1" t="str">
        <f t="shared" si="3"/>
        <v>Chưa triển khai</v>
      </c>
      <c r="F1219" s="1" t="str">
        <f>IFERROR(VLOOKUP(B1219,'Plan 2026'!B:AC,28,0),"không có trong file network")</f>
        <v>không có trong file network</v>
      </c>
      <c r="G1219" s="1" t="str">
        <f>IFERROR(IF(VLOOKUP(B1219,'TCH (append)'!C:P,14,0)="Completed","Hoàn thành thi công",
IF(VLOOKUP(B1219,'TCH (append)'!C:K,9,0)="Completed","Hoàn thành đấu thầu",
IF(VLOOKUP(B1219,'TCH (append)'!C:J,8,0)="Completed","Hoàn thành dự toán",
IF(VLOOKUP(B1219,'TCH (append)'!C:I,7,0)="Completed","Hoàn thành thiết kế",
"Chưa thiết kế")))),"Chưa có trong file PMO")</f>
        <v>Hoàn thành thiết kế</v>
      </c>
      <c r="H1219" s="1" t="str">
        <f>IFERROR(VLOOKUP(B1219,'Plan 2026'!B:AW,48,0), VLOOKUP(B1219,'TCH (append)'!C:D,2,0)
)</f>
        <v>Dao Niu Guo Hạ Long</v>
      </c>
      <c r="J1219" s="1" t="s">
        <v>2044</v>
      </c>
      <c r="K1219" s="1" t="s">
        <v>2045</v>
      </c>
      <c r="L1219" s="2" t="str">
        <f>IF(
    F1219&lt;&gt;"Đã ký",
    "Chưa triển khai",
    IF(
        IFERROR(VLOOKUP(B1219,TCH[[Code budget]:[Ngày kết thúc thi công theo kế hoạch]],10,0),0)&gt;0,
        VLOOKUP(B1219,TCH[[Code budget]:[Ngày kết thúc thi công theo kế hoạch]],10,0),
        IFERROR(
            DATE(2026,VLOOKUP(B1219,'Plan 2026'!B:H,7,0),31),
            "Chưa triển khai"
        )
    )
)</f>
        <v>Chưa triển khai</v>
      </c>
      <c r="M1219" s="2" t="s">
        <v>6688</v>
      </c>
    </row>
    <row r="1220" spans="2:13" ht="11.25" hidden="1" customHeight="1" x14ac:dyDescent="0.25">
      <c r="B1220" s="1" t="s">
        <v>3958</v>
      </c>
      <c r="C1220" s="17" t="str">
        <f>IFERROR(LEFT(VLOOKUP(B1220,'For consider'!D:E,2,0),8),"Chưa có code")</f>
        <v>10DN5045</v>
      </c>
      <c r="E1220" s="1" t="str">
        <f t="shared" si="3"/>
        <v>Waiting for open</v>
      </c>
      <c r="F1220" s="1" t="str">
        <f>IFERROR(VLOOKUP(B1220,'Plan 2026'!B:AC,28,0),"không có trong file network")</f>
        <v>Đã ký</v>
      </c>
      <c r="G1220" s="1" t="str">
        <f>IFERROR(IF(VLOOKUP(B1220,'TCH (append)'!C:P,14,0)="Completed","Hoàn thành thi công",
IF(VLOOKUP(B1220,'TCH (append)'!C:K,9,0)="Completed","Hoàn thành đấu thầu",
IF(VLOOKUP(B1220,'TCH (append)'!C:J,8,0)="Completed","Hoàn thành dự toán",
IF(VLOOKUP(B1220,'TCH (append)'!C:I,7,0)="Completed","Hoàn thành thiết kế",
"Chưa thiết kế")))),"Chưa có trong file PMO")</f>
        <v>Hoàn thành thiết kế</v>
      </c>
      <c r="H1220" s="1" t="str">
        <f>IFERROR(VLOOKUP(B1220,'Plan 2026'!B:AW,48,0), VLOOKUP(B1220,'TCH (append)'!C:D,2,0)
)</f>
        <v>Dao Niu Guo Trần PhúTrần Phú, Văn Quán, Hà Đông, Hà Nội</v>
      </c>
      <c r="J1220" s="1" t="s">
        <v>2044</v>
      </c>
      <c r="K1220" s="1" t="s">
        <v>2045</v>
      </c>
      <c r="L1220" s="2">
        <f>IF(
    F1220&lt;&gt;"Đã ký",
    "Chưa triển khai",
    IF(
        IFERROR(VLOOKUP(B1220,TCH[[Code budget]:[Ngày kết thúc thi công theo kế hoạch]],10,0),0)&gt;0,
        VLOOKUP(B1220,TCH[[Code budget]:[Ngày kết thúc thi công theo kế hoạch]],10,0),
        IFERROR(
            DATE(2026,VLOOKUP(B1220,'Plan 2026'!B:H,7,0),31),
            "Chưa triển khai"
        )
    )
)</f>
        <v>46137</v>
      </c>
      <c r="M1220" s="2" t="s">
        <v>6688</v>
      </c>
    </row>
    <row r="1221" spans="2:13" ht="11.25" hidden="1" customHeight="1" x14ac:dyDescent="0.25">
      <c r="B1221" s="1" t="s">
        <v>3077</v>
      </c>
      <c r="C1221" s="17" t="str">
        <f>IFERROR(LEFT(VLOOKUP(B1221,'For consider'!D:E,2,0),8),"Chưa có code")</f>
        <v/>
      </c>
      <c r="E1221" s="1" t="str">
        <f t="shared" si="3"/>
        <v>Waiting for open</v>
      </c>
      <c r="F1221" s="1" t="str">
        <f>IFERROR(VLOOKUP(B1221,'Plan 2026'!B:AC,28,0),"không có trong file network")</f>
        <v>Đã ký</v>
      </c>
      <c r="G1221" s="1" t="str">
        <f>IFERROR(IF(VLOOKUP(B1221,'TCH (append)'!C:P,14,0)="Completed","Hoàn thành thi công",
IF(VLOOKUP(B1221,'TCH (append)'!C:K,9,0)="Completed","Hoàn thành đấu thầu",
IF(VLOOKUP(B1221,'TCH (append)'!C:J,8,0)="Completed","Hoàn thành dự toán",
IF(VLOOKUP(B1221,'TCH (append)'!C:I,7,0)="Completed","Hoàn thành thiết kế",
"Chưa thiết kế")))),"Chưa có trong file PMO")</f>
        <v>Hoàn thành thiết kế</v>
      </c>
      <c r="H1221" s="1" t="str">
        <f>IFERROR(VLOOKUP(B1221,'Plan 2026'!B:AW,48,0), VLOOKUP(B1221,'TCH (append)'!C:D,2,0)
)</f>
        <v>Dao Niu Guo 2 tháng 92 tháng 9, Bình Thuận, Hải Châu, Đà Nẵng</v>
      </c>
      <c r="J1221" s="1" t="s">
        <v>2044</v>
      </c>
      <c r="K1221" s="1" t="s">
        <v>2045</v>
      </c>
      <c r="L1221" s="2">
        <f>IF(
    F1221&lt;&gt;"Đã ký",
    "Chưa triển khai",
    IF(
        IFERROR(VLOOKUP(B1221,TCH[[Code budget]:[Ngày kết thúc thi công theo kế hoạch]],10,0),0)&gt;0,
        VLOOKUP(B1221,TCH[[Code budget]:[Ngày kết thúc thi công theo kế hoạch]],10,0),
        IFERROR(
            DATE(2026,VLOOKUP(B1221,'Plan 2026'!B:H,7,0),31),
            "Chưa triển khai"
        )
    )
)</f>
        <v>46139</v>
      </c>
      <c r="M1221" s="2" t="s">
        <v>6688</v>
      </c>
    </row>
    <row r="1222" spans="2:13" ht="11.25" hidden="1" customHeight="1" x14ac:dyDescent="0.25">
      <c r="B1222" s="1" t="s">
        <v>2756</v>
      </c>
      <c r="C1222" s="17" t="str">
        <f>IFERROR(LEFT(VLOOKUP(B1222,'For consider'!D:E,2,0),8),"Chưa có code")</f>
        <v/>
      </c>
      <c r="E1222" s="1" t="str">
        <f t="shared" si="3"/>
        <v>Waiting for open</v>
      </c>
      <c r="F1222" s="1" t="str">
        <f>IFERROR(VLOOKUP(B1222,'Plan 2026'!B:AC,28,0),"không có trong file network")</f>
        <v>Đã ký</v>
      </c>
      <c r="G1222" s="1" t="str">
        <f>IFERROR(IF(VLOOKUP(B1222,'TCH (append)'!C:P,14,0)="Completed","Hoàn thành thi công",
IF(VLOOKUP(B1222,'TCH (append)'!C:K,9,0)="Completed","Hoàn thành đấu thầu",
IF(VLOOKUP(B1222,'TCH (append)'!C:J,8,0)="Completed","Hoàn thành dự toán",
IF(VLOOKUP(B1222,'TCH (append)'!C:I,7,0)="Completed","Hoàn thành thiết kế",
"Chưa thiết kế")))),"Chưa có trong file PMO")</f>
        <v>Chưa thiết kế</v>
      </c>
      <c r="H1222" s="1" t="str">
        <f>IFERROR(VLOOKUP(B1222,'Plan 2026'!B:AW,48,0), VLOOKUP(B1222,'TCH (append)'!C:D,2,0)
)</f>
        <v>Dao Niu Guo 251 – 251A Thống Nhất Mới.</v>
      </c>
      <c r="J1222" s="1" t="s">
        <v>2044</v>
      </c>
      <c r="K1222" s="1" t="s">
        <v>2045</v>
      </c>
      <c r="L1222" s="2">
        <f>IF(
    F1222&lt;&gt;"Đã ký",
    "Chưa triển khai",
    IF(
        IFERROR(VLOOKUP(B1222,TCH[[Code budget]:[Ngày kết thúc thi công theo kế hoạch]],10,0),0)&gt;0,
        VLOOKUP(B1222,TCH[[Code budget]:[Ngày kết thúc thi công theo kế hoạch]],10,0),
        IFERROR(
            DATE(2026,VLOOKUP(B1222,'Plan 2026'!B:H,7,0),31),
            "Chưa triển khai"
        )
    )
)</f>
        <v>46137</v>
      </c>
      <c r="M1222" s="2" t="s">
        <v>6688</v>
      </c>
    </row>
    <row r="1223" spans="2:13" ht="11.25" hidden="1" customHeight="1" x14ac:dyDescent="0.25">
      <c r="B1223" s="1" t="s">
        <v>2831</v>
      </c>
      <c r="C1223" s="17" t="str">
        <f>IFERROR(LEFT(VLOOKUP(B1223,'For consider'!D:E,2,0),8),"Chưa có code")</f>
        <v>Check</v>
      </c>
      <c r="E1223" s="1" t="str">
        <f t="shared" si="3"/>
        <v>Waiting for open</v>
      </c>
      <c r="F1223" s="1" t="str">
        <f>IFERROR(VLOOKUP(B1223,'Plan 2026'!B:AC,28,0),"không có trong file network")</f>
        <v>Đã ký</v>
      </c>
      <c r="G1223" s="1" t="str">
        <f>IFERROR(IF(VLOOKUP(B1223,'TCH (append)'!C:P,14,0)="Completed","Hoàn thành thi công",
IF(VLOOKUP(B1223,'TCH (append)'!C:K,9,0)="Completed","Hoàn thành đấu thầu",
IF(VLOOKUP(B1223,'TCH (append)'!C:J,8,0)="Completed","Hoàn thành dự toán",
IF(VLOOKUP(B1223,'TCH (append)'!C:I,7,0)="Completed","Hoàn thành thiết kế",
"Chưa thiết kế")))),"Chưa có trong file PMO")</f>
        <v>Chưa thiết kế</v>
      </c>
      <c r="H1223" s="1" t="str">
        <f>IFERROR(VLOOKUP(B1223,'Plan 2026'!B:AW,48,0), VLOOKUP(B1223,'TCH (append)'!C:D,2,0)
)</f>
        <v xml:space="preserve">Dao Niu Guo </v>
      </c>
      <c r="J1223" s="1" t="s">
        <v>2044</v>
      </c>
      <c r="K1223" s="1" t="s">
        <v>2045</v>
      </c>
      <c r="L1223" s="2">
        <f>IF(
    F1223&lt;&gt;"Đã ký",
    "Chưa triển khai",
    IF(
        IFERROR(VLOOKUP(B1223,TCH[[Code budget]:[Ngày kết thúc thi công theo kế hoạch]],10,0),0)&gt;0,
        VLOOKUP(B1223,TCH[[Code budget]:[Ngày kết thúc thi công theo kế hoạch]],10,0),
        IFERROR(
            DATE(2026,VLOOKUP(B1223,'Plan 2026'!B:H,7,0),31),
            "Chưa triển khai"
        )
    )
)</f>
        <v>46193</v>
      </c>
      <c r="M1223" s="2" t="s">
        <v>6688</v>
      </c>
    </row>
    <row r="1224" spans="2:13" ht="11.25" hidden="1" customHeight="1" x14ac:dyDescent="0.25">
      <c r="B1224" s="1" t="s">
        <v>6037</v>
      </c>
      <c r="C1224" s="17" t="str">
        <f>IFERROR(LEFT(VLOOKUP(B1224,'For consider'!D:E,2,0),8),"Chưa có code")</f>
        <v>Chưa có code</v>
      </c>
      <c r="E1224" s="1" t="str">
        <f t="shared" si="3"/>
        <v>Chưa triển khai</v>
      </c>
      <c r="F1224" s="1" t="str">
        <f>IFERROR(VLOOKUP(B1224,'Plan 2026'!B:AC,28,0),"không có trong file network")</f>
        <v>không có trong file network</v>
      </c>
      <c r="G1224" s="1" t="str">
        <f>IFERROR(IF(VLOOKUP(B1224,'TCH (append)'!C:P,14,0)="Completed","Hoàn thành thi công",
IF(VLOOKUP(B1224,'TCH (append)'!C:K,9,0)="Completed","Hoàn thành đấu thầu",
IF(VLOOKUP(B1224,'TCH (append)'!C:J,8,0)="Completed","Hoàn thành dự toán",
IF(VLOOKUP(B1224,'TCH (append)'!C:I,7,0)="Completed","Hoàn thành thiết kế",
"Chưa thiết kế")))),"Chưa có trong file PMO")</f>
        <v>Chưa thiết kế</v>
      </c>
      <c r="H1224" s="1" t="str">
        <f>IFERROR(VLOOKUP(B1224,'Plan 2026'!B:AW,48,0), VLOOKUP(B1224,'TCH (append)'!C:D,2,0)
)</f>
        <v>DAO NIU GUO HÙNG VƯƠNG</v>
      </c>
      <c r="J1224" s="1" t="s">
        <v>2044</v>
      </c>
      <c r="K1224" s="1" t="s">
        <v>2045</v>
      </c>
      <c r="L1224" s="2" t="str">
        <f>IF(
    F1224&lt;&gt;"Đã ký",
    "Chưa triển khai",
    IF(
        IFERROR(VLOOKUP(B1224,TCH[[Code budget]:[Ngày kết thúc thi công theo kế hoạch]],10,0),0)&gt;0,
        VLOOKUP(B1224,TCH[[Code budget]:[Ngày kết thúc thi công theo kế hoạch]],10,0),
        IFERROR(
            DATE(2026,VLOOKUP(B1224,'Plan 2026'!B:H,7,0),31),
            "Chưa triển khai"
        )
    )
)</f>
        <v>Chưa triển khai</v>
      </c>
      <c r="M1224" s="2" t="s">
        <v>6688</v>
      </c>
    </row>
    <row r="1225" spans="2:13" ht="11.25" hidden="1" customHeight="1" x14ac:dyDescent="0.25">
      <c r="B1225" s="1" t="s">
        <v>5039</v>
      </c>
      <c r="C1225" s="17" t="str">
        <f>IFERROR(LEFT(VLOOKUP(B1225,'For consider'!D:E,2,0),8),"Chưa có code")</f>
        <v>Chưa có code</v>
      </c>
      <c r="E1225" s="1" t="str">
        <f t="shared" si="3"/>
        <v>Waiting for open</v>
      </c>
      <c r="F1225" s="1" t="str">
        <f>IFERROR(VLOOKUP(B1225,'Plan 2026'!B:AC,28,0),"không có trong file network")</f>
        <v>Đã ký</v>
      </c>
      <c r="G1225" s="1" t="str">
        <f>IFERROR(IF(VLOOKUP(B1225,'TCH (append)'!C:P,14,0)="Completed","Hoàn thành thi công",
IF(VLOOKUP(B1225,'TCH (append)'!C:K,9,0)="Completed","Hoàn thành đấu thầu",
IF(VLOOKUP(B1225,'TCH (append)'!C:J,8,0)="Completed","Hoàn thành dự toán",
IF(VLOOKUP(B1225,'TCH (append)'!C:I,7,0)="Completed","Hoàn thành thiết kế",
"Chưa thiết kế")))),"Chưa có trong file PMO")</f>
        <v>Chưa thiết kế</v>
      </c>
      <c r="H1225" s="1" t="str">
        <f>IFERROR(VLOOKUP(B1225,'Plan 2026'!B:AW,48,0), VLOOKUP(B1225,'TCH (append)'!C:D,2,0)
)</f>
        <v>Dao Niu Guo Lê Văn Sĩ</v>
      </c>
      <c r="J1225" s="1" t="s">
        <v>2044</v>
      </c>
      <c r="K1225" s="1" t="s">
        <v>2045</v>
      </c>
      <c r="L1225" s="2">
        <f>IF(
    F1225&lt;&gt;"Đã ký",
    "Chưa triển khai",
    IF(
        IFERROR(VLOOKUP(B1225,TCH[[Code budget]:[Ngày kết thúc thi công theo kế hoạch]],10,0),0)&gt;0,
        VLOOKUP(B1225,TCH[[Code budget]:[Ngày kết thúc thi công theo kế hoạch]],10,0),
        IFERROR(
            DATE(2026,VLOOKUP(B1225,'Plan 2026'!B:H,7,0),31),
            "Chưa triển khai"
        )
    )
)</f>
        <v>46132</v>
      </c>
      <c r="M1225" s="2" t="s">
        <v>6688</v>
      </c>
    </row>
    <row r="1226" spans="2:13" ht="11.25" hidden="1" customHeight="1" x14ac:dyDescent="0.25">
      <c r="B1226" s="1" t="s">
        <v>5340</v>
      </c>
      <c r="C1226" s="17" t="str">
        <f>IFERROR(LEFT(VLOOKUP(B1226,'For consider'!D:E,2,0),8),"Chưa có code")</f>
        <v>Check</v>
      </c>
      <c r="E1226" s="1" t="str">
        <f t="shared" si="3"/>
        <v>Waiting for open</v>
      </c>
      <c r="F1226" s="1" t="str">
        <f>IFERROR(VLOOKUP(B1226,'Plan 2026'!B:AC,28,0),"không có trong file network")</f>
        <v>Đã ký</v>
      </c>
      <c r="G1226" s="1" t="str">
        <f>IFERROR(IF(VLOOKUP(B1226,'TCH (append)'!C:P,14,0)="Completed","Hoàn thành thi công",
IF(VLOOKUP(B1226,'TCH (append)'!C:K,9,0)="Completed","Hoàn thành đấu thầu",
IF(VLOOKUP(B1226,'TCH (append)'!C:J,8,0)="Completed","Hoàn thành dự toán",
IF(VLOOKUP(B1226,'TCH (append)'!C:I,7,0)="Completed","Hoàn thành thiết kế",
"Chưa thiết kế")))),"Chưa có trong file PMO")</f>
        <v>Chưa thiết kế</v>
      </c>
      <c r="H1226" s="1" t="str">
        <f>IFERROR(VLOOKUP(B1226,'Plan 2026'!B:AW,48,0), VLOOKUP(B1226,'TCH (append)'!C:D,2,0)
)</f>
        <v>Dao Niu Guo 8 Võ Nguyên GiápAeon Mall Huế</v>
      </c>
      <c r="J1226" s="1" t="s">
        <v>2044</v>
      </c>
      <c r="K1226" s="1" t="s">
        <v>2045</v>
      </c>
      <c r="L1226" s="2" t="str">
        <f>IF(
    F1226&lt;&gt;"Đã ký",
    "Chưa triển khai",
    IF(
        IFERROR(VLOOKUP(B1226,TCH[[Code budget]:[Ngày kết thúc thi công theo kế hoạch]],10,0),0)&gt;0,
        VLOOKUP(B1226,TCH[[Code budget]:[Ngày kết thúc thi công theo kế hoạch]],10,0),
        IFERROR(
            DATE(2026,VLOOKUP(B1226,'Plan 2026'!B:H,7,0),31),
            "Chưa triển khai"
        )
    )
)</f>
        <v> </v>
      </c>
      <c r="M1226" s="2" t="s">
        <v>6688</v>
      </c>
    </row>
    <row r="1227" spans="2:13" ht="11.25" hidden="1" customHeight="1" x14ac:dyDescent="0.25">
      <c r="B1227" s="1" t="s">
        <v>5949</v>
      </c>
      <c r="C1227" s="17" t="str">
        <f>IFERROR(LEFT(VLOOKUP(B1227,'For consider'!D:E,2,0),8),"Chưa có code")</f>
        <v>30DN5069</v>
      </c>
      <c r="E1227" s="1" t="str">
        <f t="shared" si="3"/>
        <v>Chưa triển khai</v>
      </c>
      <c r="F1227" s="1" t="str">
        <f>IFERROR(VLOOKUP(B1227,'Plan 2026'!B:AC,28,0),"không có trong file network")</f>
        <v>không có trong file network</v>
      </c>
      <c r="G1227" s="1" t="str">
        <f>IFERROR(IF(VLOOKUP(B1227,'TCH (append)'!C:P,14,0)="Completed","Hoàn thành thi công",
IF(VLOOKUP(B1227,'TCH (append)'!C:K,9,0)="Completed","Hoàn thành đấu thầu",
IF(VLOOKUP(B1227,'TCH (append)'!C:J,8,0)="Completed","Hoàn thành dự toán",
IF(VLOOKUP(B1227,'TCH (append)'!C:I,7,0)="Completed","Hoàn thành thiết kế",
"Chưa thiết kế")))),"Chưa có trong file PMO")</f>
        <v>Chưa thiết kế</v>
      </c>
      <c r="H1227" s="1" t="str">
        <f>IFERROR(VLOOKUP(B1227,'Plan 2026'!B:AW,48,0), VLOOKUP(B1227,'TCH (append)'!C:D,2,0)
)</f>
        <v>DAONIUGUO EZY CENTER NGUYEN AI QUOC DONG NAI</v>
      </c>
      <c r="J1227" s="1" t="s">
        <v>2044</v>
      </c>
      <c r="K1227" s="1" t="s">
        <v>2045</v>
      </c>
      <c r="L1227" s="2" t="str">
        <f>IF(
    F1227&lt;&gt;"Đã ký",
    "Chưa triển khai",
    IF(
        IFERROR(VLOOKUP(B1227,TCH[[Code budget]:[Ngày kết thúc thi công theo kế hoạch]],10,0),0)&gt;0,
        VLOOKUP(B1227,TCH[[Code budget]:[Ngày kết thúc thi công theo kế hoạch]],10,0),
        IFERROR(
            DATE(2026,VLOOKUP(B1227,'Plan 2026'!B:H,7,0),31),
            "Chưa triển khai"
        )
    )
)</f>
        <v>Chưa triển khai</v>
      </c>
      <c r="M1227" s="2" t="s">
        <v>6688</v>
      </c>
    </row>
    <row r="1228" spans="2:13" ht="11.25" hidden="1" customHeight="1" x14ac:dyDescent="0.25">
      <c r="B1228" s="1" t="s">
        <v>6047</v>
      </c>
      <c r="C1228" s="17" t="str">
        <f>IFERROR(LEFT(VLOOKUP(B1228,'For consider'!D:E,2,0),8),"Chưa có code")</f>
        <v>Chưa có code</v>
      </c>
      <c r="E1228" s="1" t="str">
        <f t="shared" si="3"/>
        <v>Chưa triển khai</v>
      </c>
      <c r="F1228" s="1" t="str">
        <f>IFERROR(VLOOKUP(B1228,'Plan 2026'!B:AC,28,0),"không có trong file network")</f>
        <v>không có trong file network</v>
      </c>
      <c r="G1228" s="1" t="str">
        <f>IFERROR(IF(VLOOKUP(B1228,'TCH (append)'!C:P,14,0)="Completed","Hoàn thành thi công",
IF(VLOOKUP(B1228,'TCH (append)'!C:K,9,0)="Completed","Hoàn thành đấu thầu",
IF(VLOOKUP(B1228,'TCH (append)'!C:J,8,0)="Completed","Hoàn thành dự toán",
IF(VLOOKUP(B1228,'TCH (append)'!C:I,7,0)="Completed","Hoàn thành thiết kế",
"Chưa thiết kế")))),"Chưa có trong file PMO")</f>
        <v>Chưa thiết kế</v>
      </c>
      <c r="H1228" s="1" t="str">
        <f>IFERROR(VLOOKUP(B1228,'Plan 2026'!B:AW,48,0), VLOOKUP(B1228,'TCH (append)'!C:D,2,0)
)</f>
        <v>Dao Niu Guo Lotte Q11</v>
      </c>
      <c r="J1228" s="1" t="s">
        <v>2044</v>
      </c>
      <c r="K1228" s="1" t="s">
        <v>2045</v>
      </c>
      <c r="L1228" s="2" t="str">
        <f>IF(
    F1228&lt;&gt;"Đã ký",
    "Chưa triển khai",
    IF(
        IFERROR(VLOOKUP(B1228,TCH[[Code budget]:[Ngày kết thúc thi công theo kế hoạch]],10,0),0)&gt;0,
        VLOOKUP(B1228,TCH[[Code budget]:[Ngày kết thúc thi công theo kế hoạch]],10,0),
        IFERROR(
            DATE(2026,VLOOKUP(B1228,'Plan 2026'!B:H,7,0),31),
            "Chưa triển khai"
        )
    )
)</f>
        <v>Chưa triển khai</v>
      </c>
      <c r="M1228" s="2" t="s">
        <v>6688</v>
      </c>
    </row>
    <row r="1229" spans="2:13" ht="11.25" hidden="1" customHeight="1" x14ac:dyDescent="0.25">
      <c r="B1229" s="1" t="s">
        <v>5367</v>
      </c>
      <c r="C1229" s="17" t="str">
        <f>IFERROR(LEFT(VLOOKUP(B1229,'For consider'!D:E,2,0),8),"Chưa có code")</f>
        <v>Chưa có code</v>
      </c>
      <c r="E1229" s="1" t="str">
        <f t="shared" si="3"/>
        <v>Chưa triển khai</v>
      </c>
      <c r="F1229" s="1" t="str">
        <f>IFERROR(VLOOKUP(B1229,'Plan 2026'!B:AC,28,0),"không có trong file network")</f>
        <v>Đang đàm phán</v>
      </c>
      <c r="G1229" s="1" t="str">
        <f>IFERROR(IF(VLOOKUP(B1229,'TCH (append)'!C:P,14,0)="Completed","Hoàn thành thi công",
IF(VLOOKUP(B1229,'TCH (append)'!C:K,9,0)="Completed","Hoàn thành đấu thầu",
IF(VLOOKUP(B1229,'TCH (append)'!C:J,8,0)="Completed","Hoàn thành dự toán",
IF(VLOOKUP(B1229,'TCH (append)'!C:I,7,0)="Completed","Hoàn thành thiết kế",
"Chưa thiết kế")))),"Chưa có trong file PMO")</f>
        <v>Chưa thiết kế</v>
      </c>
      <c r="H1229" s="1" t="str">
        <f>IFERROR(VLOOKUP(B1229,'Plan 2026'!B:AW,48,0), VLOOKUP(B1229,'TCH (append)'!C:D,2,0)
)</f>
        <v>Gogi House 42 Nguyễn Thị Minh Khai</v>
      </c>
      <c r="J1229" s="1" t="s">
        <v>76</v>
      </c>
      <c r="K1229" s="1" t="s">
        <v>77</v>
      </c>
      <c r="L1229" s="2" t="str">
        <f>IF(
    F1229&lt;&gt;"Đã ký",
    "Chưa triển khai",
    IF(
        IFERROR(VLOOKUP(B1229,TCH[[Code budget]:[Ngày kết thúc thi công theo kế hoạch]],10,0),0)&gt;0,
        VLOOKUP(B1229,TCH[[Code budget]:[Ngày kết thúc thi công theo kế hoạch]],10,0),
        IFERROR(
            DATE(2026,VLOOKUP(B1229,'Plan 2026'!B:H,7,0),31),
            "Chưa triển khai"
        )
    )
)</f>
        <v>Chưa triển khai</v>
      </c>
      <c r="M1229" s="2" t="s">
        <v>6688</v>
      </c>
    </row>
    <row r="1230" spans="2:13" ht="11.25" hidden="1" customHeight="1" x14ac:dyDescent="0.25">
      <c r="B1230" s="1" t="s">
        <v>2348</v>
      </c>
      <c r="C1230" s="17" t="str">
        <f>IFERROR(LEFT(VLOOKUP(B1230,'For consider'!D:E,2,0),8),"Chưa có code")</f>
        <v/>
      </c>
      <c r="E1230" s="1" t="str">
        <f t="shared" si="3"/>
        <v>Lock mb chưa thi công</v>
      </c>
      <c r="F1230" s="1" t="str">
        <f>IFERROR(VLOOKUP(B1230,'Plan 2026'!B:AC,28,0),"không có trong file network")</f>
        <v>Đã ký</v>
      </c>
      <c r="G1230" s="1" t="str">
        <f>IFERROR(IF(VLOOKUP(B1230,'TCH (append)'!C:P,14,0)="Completed","Hoàn thành thi công",
IF(VLOOKUP(B1230,'TCH (append)'!C:K,9,0)="Completed","Hoàn thành đấu thầu",
IF(VLOOKUP(B1230,'TCH (append)'!C:J,8,0)="Completed","Hoàn thành dự toán",
IF(VLOOKUP(B1230,'TCH (append)'!C:I,7,0)="Completed","Hoàn thành thiết kế",
"Chưa thiết kế")))),"Chưa có trong file PMO")</f>
        <v>Chưa có trong file PMO</v>
      </c>
      <c r="H1230" s="1" t="str">
        <f>IFERROR(VLOOKUP(B1230,'Plan 2026'!B:AW,48,0), VLOOKUP(B1230,'TCH (append)'!C:D,2,0)
)</f>
        <v xml:space="preserve">Gogi House </v>
      </c>
      <c r="J1230" s="1" t="s">
        <v>76</v>
      </c>
      <c r="K1230" s="1" t="s">
        <v>77</v>
      </c>
      <c r="L1230" s="2">
        <f>IF(
    F1230&lt;&gt;"Đã ký",
    "Chưa triển khai",
    IF(
        IFERROR(VLOOKUP(B1230,TCH[[Code budget]:[Ngày kết thúc thi công theo kế hoạch]],10,0),0)&gt;0,
        VLOOKUP(B1230,TCH[[Code budget]:[Ngày kết thúc thi công theo kế hoạch]],10,0),
        IFERROR(
            DATE(2026,VLOOKUP(B1230,'Plan 2026'!B:H,7,0),31),
            "Chưa triển khai"
        )
    )
)</f>
        <v>46296</v>
      </c>
      <c r="M1230" s="2" t="s">
        <v>6688</v>
      </c>
    </row>
    <row r="1231" spans="2:13" ht="11.25" hidden="1" customHeight="1" x14ac:dyDescent="0.25">
      <c r="B1231" s="1" t="s">
        <v>5939</v>
      </c>
      <c r="C1231" s="17" t="str">
        <f>IFERROR(LEFT(VLOOKUP(B1231,'For consider'!D:E,2,0),8),"Chưa có code")</f>
        <v>30GG5025</v>
      </c>
      <c r="E1231" s="1" t="str">
        <f t="shared" ref="E1231:E1291" si="4">IF(AND(F1231="Đã ký",G1231&lt;&gt;"Chưa có trong file PMO"),"Waiting for open",IF(F1231="Đã ký","Lock mb chưa thi công","Chưa triển khai"))</f>
        <v>Chưa triển khai</v>
      </c>
      <c r="F1231" s="1" t="str">
        <f>IFERROR(VLOOKUP(B1231,'Plan 2026'!B:AC,28,0),"không có trong file network")</f>
        <v>Đang đàm phán</v>
      </c>
      <c r="G1231" s="1" t="str">
        <f>IFERROR(IF(VLOOKUP(B1231,'TCH (append)'!C:P,14,0)="Completed","Hoàn thành thi công",
IF(VLOOKUP(B1231,'TCH (append)'!C:K,9,0)="Completed","Hoàn thành đấu thầu",
IF(VLOOKUP(B1231,'TCH (append)'!C:J,8,0)="Completed","Hoàn thành dự toán",
IF(VLOOKUP(B1231,'TCH (append)'!C:I,7,0)="Completed","Hoàn thành thiết kế",
"Chưa thiết kế")))),"Chưa có trong file PMO")</f>
        <v>Hoàn thành đấu thầu</v>
      </c>
      <c r="H1231" s="1" t="str">
        <f>IFERROR(VLOOKUP(B1231,'Plan 2026'!B:AW,48,0), VLOOKUP(B1231,'TCH (append)'!C:D,2,0)
)</f>
        <v>Gogi House số 285 Cách Mạng Tháng 8</v>
      </c>
      <c r="J1231" s="1" t="s">
        <v>76</v>
      </c>
      <c r="K1231" s="1" t="s">
        <v>77</v>
      </c>
      <c r="L1231" s="2" t="str">
        <f>IF(
    F1231&lt;&gt;"Đã ký",
    "Chưa triển khai",
    IF(
        IFERROR(VLOOKUP(B1231,TCH[[Code budget]:[Ngày kết thúc thi công theo kế hoạch]],10,0),0)&gt;0,
        VLOOKUP(B1231,TCH[[Code budget]:[Ngày kết thúc thi công theo kế hoạch]],10,0),
        IFERROR(
            DATE(2026,VLOOKUP(B1231,'Plan 2026'!B:H,7,0),31),
            "Chưa triển khai"
        )
    )
)</f>
        <v>Chưa triển khai</v>
      </c>
      <c r="M1231" s="2" t="s">
        <v>6688</v>
      </c>
    </row>
    <row r="1232" spans="2:13" ht="11.25" hidden="1" customHeight="1" x14ac:dyDescent="0.25">
      <c r="B1232" s="1" t="s">
        <v>3163</v>
      </c>
      <c r="C1232" s="17" t="str">
        <f>IFERROR(LEFT(VLOOKUP(B1232,'For consider'!D:E,2,0),8),"Chưa có code")</f>
        <v>10GG5040</v>
      </c>
      <c r="E1232" s="1" t="str">
        <f t="shared" si="4"/>
        <v>Waiting for open</v>
      </c>
      <c r="F1232" s="1" t="str">
        <f>IFERROR(VLOOKUP(B1232,'Plan 2026'!B:AC,28,0),"không có trong file network")</f>
        <v>Đã ký</v>
      </c>
      <c r="G1232" s="1" t="str">
        <f>IFERROR(IF(VLOOKUP(B1232,'TCH (append)'!C:P,14,0)="Completed","Hoàn thành thi công",
IF(VLOOKUP(B1232,'TCH (append)'!C:K,9,0)="Completed","Hoàn thành đấu thầu",
IF(VLOOKUP(B1232,'TCH (append)'!C:J,8,0)="Completed","Hoàn thành dự toán",
IF(VLOOKUP(B1232,'TCH (append)'!C:I,7,0)="Completed","Hoàn thành thiết kế",
"Chưa thiết kế")))),"Chưa có trong file PMO")</f>
        <v>Hoàn thành đấu thầu</v>
      </c>
      <c r="H1232" s="1" t="str">
        <f>IFERROR(VLOOKUP(B1232,'Plan 2026'!B:AW,48,0), VLOOKUP(B1232,'TCH (append)'!C:D,2,0)
)</f>
        <v>Gogi House Hàng BúnHàng Bún, Nguyễn Trung Trực, Ba Đình, Hà Nội</v>
      </c>
      <c r="J1232" s="1" t="s">
        <v>76</v>
      </c>
      <c r="K1232" s="1" t="s">
        <v>77</v>
      </c>
      <c r="L1232" s="2">
        <f>IF(
    F1232&lt;&gt;"Đã ký",
    "Chưa triển khai",
    IF(
        IFERROR(VLOOKUP(B1232,TCH[[Code budget]:[Ngày kết thúc thi công theo kế hoạch]],10,0),0)&gt;0,
        VLOOKUP(B1232,TCH[[Code budget]:[Ngày kết thúc thi công theo kế hoạch]],10,0),
        IFERROR(
            DATE(2026,VLOOKUP(B1232,'Plan 2026'!B:H,7,0),31),
            "Chưa triển khai"
        )
    )
)</f>
        <v>46130</v>
      </c>
      <c r="M1232" s="2" t="s">
        <v>6688</v>
      </c>
    </row>
    <row r="1233" spans="2:13" ht="11.25" hidden="1" customHeight="1" x14ac:dyDescent="0.25">
      <c r="B1233" s="1" t="s">
        <v>6382</v>
      </c>
      <c r="C1233" s="17" t="str">
        <f>IFERROR(LEFT(VLOOKUP(B1233,'For consider'!D:E,2,0),8),"Chưa có code")</f>
        <v>Chưa có code</v>
      </c>
      <c r="E1233" s="1" t="str">
        <f t="shared" si="4"/>
        <v>Chưa triển khai</v>
      </c>
      <c r="F1233" s="1" t="str">
        <f>IFERROR(VLOOKUP(B1233,'Plan 2026'!B:AC,28,0),"không có trong file network")</f>
        <v>không có trong file network</v>
      </c>
      <c r="G1233" s="1" t="str">
        <f>IFERROR(IF(VLOOKUP(B1233,'TCH (append)'!C:P,14,0)="Completed","Hoàn thành thi công",
IF(VLOOKUP(B1233,'TCH (append)'!C:K,9,0)="Completed","Hoàn thành đấu thầu",
IF(VLOOKUP(B1233,'TCH (append)'!C:J,8,0)="Completed","Hoàn thành dự toán",
IF(VLOOKUP(B1233,'TCH (append)'!C:I,7,0)="Completed","Hoàn thành thiết kế",
"Chưa thiết kế")))),"Chưa có trong file PMO")</f>
        <v>Hoàn thành đấu thầu</v>
      </c>
      <c r="H1233" s="1" t="str">
        <f>IFERROR(VLOOKUP(B1233,'Plan 2026'!B:AW,48,0), VLOOKUP(B1233,'TCH (append)'!C:D,2,0)
)</f>
        <v>Gogi Phú Thọ</v>
      </c>
      <c r="J1233" s="1" t="s">
        <v>76</v>
      </c>
      <c r="K1233" s="1" t="s">
        <v>77</v>
      </c>
      <c r="L1233" s="2" t="str">
        <f>IF(
    F1233&lt;&gt;"Đã ký",
    "Chưa triển khai",
    IF(
        IFERROR(VLOOKUP(B1233,TCH[[Code budget]:[Ngày kết thúc thi công theo kế hoạch]],10,0),0)&gt;0,
        VLOOKUP(B1233,TCH[[Code budget]:[Ngày kết thúc thi công theo kế hoạch]],10,0),
        IFERROR(
            DATE(2026,VLOOKUP(B1233,'Plan 2026'!B:H,7,0),31),
            "Chưa triển khai"
        )
    )
)</f>
        <v>Chưa triển khai</v>
      </c>
      <c r="M1233" s="2" t="s">
        <v>6688</v>
      </c>
    </row>
    <row r="1234" spans="2:13" ht="11.25" hidden="1" customHeight="1" x14ac:dyDescent="0.25">
      <c r="B1234" s="1" t="s">
        <v>5400</v>
      </c>
      <c r="C1234" s="17" t="str">
        <f>IFERROR(LEFT(VLOOKUP(B1234,'For consider'!D:E,2,0),8),"Chưa có code")</f>
        <v/>
      </c>
      <c r="E1234" s="1" t="str">
        <f t="shared" si="4"/>
        <v>Waiting for open</v>
      </c>
      <c r="F1234" s="1" t="str">
        <f>IFERROR(VLOOKUP(B1234,'Plan 2026'!B:AC,28,0),"không có trong file network")</f>
        <v>Đã ký</v>
      </c>
      <c r="G1234" s="1" t="str">
        <f>IFERROR(IF(VLOOKUP(B1234,'TCH (append)'!C:P,14,0)="Completed","Hoàn thành thi công",
IF(VLOOKUP(B1234,'TCH (append)'!C:K,9,0)="Completed","Hoàn thành đấu thầu",
IF(VLOOKUP(B1234,'TCH (append)'!C:J,8,0)="Completed","Hoàn thành dự toán",
IF(VLOOKUP(B1234,'TCH (append)'!C:I,7,0)="Completed","Hoàn thành thiết kế",
"Chưa thiết kế")))),"Chưa có trong file PMO")</f>
        <v>Chưa thiết kế</v>
      </c>
      <c r="H1234" s="1" t="str">
        <f>IFERROR(VLOOKUP(B1234,'Plan 2026'!B:AW,48,0), VLOOKUP(B1234,'TCH (append)'!C:D,2,0)
)</f>
        <v xml:space="preserve">Gogi House </v>
      </c>
      <c r="J1234" s="1" t="s">
        <v>76</v>
      </c>
      <c r="K1234" s="1" t="s">
        <v>77</v>
      </c>
      <c r="L1234" s="2">
        <f>IF(
    F1234&lt;&gt;"Đã ký",
    "Chưa triển khai",
    IF(
        IFERROR(VLOOKUP(B1234,TCH[[Code budget]:[Ngày kết thúc thi công theo kế hoạch]],10,0),0)&gt;0,
        VLOOKUP(B1234,TCH[[Code budget]:[Ngày kết thúc thi công theo kế hoạch]],10,0),
        IFERROR(
            DATE(2026,VLOOKUP(B1234,'Plan 2026'!B:H,7,0),31),
            "Chưa triển khai"
        )
    )
)</f>
        <v>46157</v>
      </c>
      <c r="M1234" s="2" t="s">
        <v>6688</v>
      </c>
    </row>
    <row r="1235" spans="2:13" ht="11.25" hidden="1" customHeight="1" x14ac:dyDescent="0.25">
      <c r="B1235" s="1" t="s">
        <v>3933</v>
      </c>
      <c r="C1235" s="17" t="str">
        <f>IFERROR(LEFT(VLOOKUP(B1235,'For consider'!D:E,2,0),8),"Chưa có code")</f>
        <v>Chưa có code</v>
      </c>
      <c r="E1235" s="1" t="str">
        <f t="shared" si="4"/>
        <v>Chưa triển khai</v>
      </c>
      <c r="F1235" s="1" t="str">
        <f>IFERROR(VLOOKUP(B1235,'Plan 2026'!B:AC,28,0),"không có trong file network")</f>
        <v>Đang đàm phán</v>
      </c>
      <c r="G1235" s="1" t="str">
        <f>IFERROR(IF(VLOOKUP(B1235,'TCH (append)'!C:P,14,0)="Completed","Hoàn thành thi công",
IF(VLOOKUP(B1235,'TCH (append)'!C:K,9,0)="Completed","Hoàn thành đấu thầu",
IF(VLOOKUP(B1235,'TCH (append)'!C:J,8,0)="Completed","Hoàn thành dự toán",
IF(VLOOKUP(B1235,'TCH (append)'!C:I,7,0)="Completed","Hoàn thành thiết kế",
"Chưa thiết kế")))),"Chưa có trong file PMO")</f>
        <v>Chưa thiết kế</v>
      </c>
      <c r="H1235" s="1" t="str">
        <f>IFERROR(VLOOKUP(B1235,'Plan 2026'!B:AW,48,0), VLOOKUP(B1235,'TCH (append)'!C:D,2,0)
)</f>
        <v>Gogi House Nguyễn Văn Cừ hoặc Hồng Tiến hoặc Nguyễn SơnNguyễn Văn Cừ hoặc Hồng Tiến hoặc Nguyễn Sơn, Bồ Đề, Long Biên, Hà Nội</v>
      </c>
      <c r="J1235" s="1" t="s">
        <v>76</v>
      </c>
      <c r="K1235" s="1" t="s">
        <v>77</v>
      </c>
      <c r="L1235" s="2" t="str">
        <f>IF(
    F1235&lt;&gt;"Đã ký",
    "Chưa triển khai",
    IF(
        IFERROR(VLOOKUP(B1235,TCH[[Code budget]:[Ngày kết thúc thi công theo kế hoạch]],10,0),0)&gt;0,
        VLOOKUP(B1235,TCH[[Code budget]:[Ngày kết thúc thi công theo kế hoạch]],10,0),
        IFERROR(
            DATE(2026,VLOOKUP(B1235,'Plan 2026'!B:H,7,0),31),
            "Chưa triển khai"
        )
    )
)</f>
        <v>Chưa triển khai</v>
      </c>
      <c r="M1235" s="2" t="s">
        <v>6688</v>
      </c>
    </row>
    <row r="1236" spans="2:13" ht="11.25" hidden="1" customHeight="1" x14ac:dyDescent="0.25">
      <c r="B1236" s="1" t="s">
        <v>3647</v>
      </c>
      <c r="C1236" s="17" t="str">
        <f>IFERROR(LEFT(VLOOKUP(B1236,'For consider'!D:E,2,0),8),"Chưa có code")</f>
        <v>Chưa có code</v>
      </c>
      <c r="E1236" s="1" t="str">
        <f t="shared" si="4"/>
        <v>Chưa triển khai</v>
      </c>
      <c r="F1236" s="1" t="str">
        <f>IFERROR(VLOOKUP(B1236,'Plan 2026'!B:AC,28,0),"không có trong file network")</f>
        <v>Reject</v>
      </c>
      <c r="G1236" s="1" t="str">
        <f>IFERROR(IF(VLOOKUP(B1236,'TCH (append)'!C:P,14,0)="Completed","Hoàn thành thi công",
IF(VLOOKUP(B1236,'TCH (append)'!C:K,9,0)="Completed","Hoàn thành đấu thầu",
IF(VLOOKUP(B1236,'TCH (append)'!C:J,8,0)="Completed","Hoàn thành dự toán",
IF(VLOOKUP(B1236,'TCH (append)'!C:I,7,0)="Completed","Hoàn thành thiết kế",
"Chưa thiết kế")))),"Chưa có trong file PMO")</f>
        <v>Chưa thiết kế</v>
      </c>
      <c r="H1236" s="1" t="str">
        <f>IFERROR(VLOOKUP(B1236,'Plan 2026'!B:AW,48,0), VLOOKUP(B1236,'TCH (append)'!C:D,2,0)
)</f>
        <v>Gogi House Ngoại Giao Đoàn, gần Võ Chí CôngNgoại Giao Đoàn, gần Võ Chí Công, Xuân Đỉnh, Bắc Từ Liêm, Hà Nội</v>
      </c>
      <c r="J1236" s="1" t="s">
        <v>76</v>
      </c>
      <c r="K1236" s="1" t="s">
        <v>77</v>
      </c>
      <c r="L1236" s="2" t="str">
        <f>IF(
    F1236&lt;&gt;"Đã ký",
    "Chưa triển khai",
    IF(
        IFERROR(VLOOKUP(B1236,TCH[[Code budget]:[Ngày kết thúc thi công theo kế hoạch]],10,0),0)&gt;0,
        VLOOKUP(B1236,TCH[[Code budget]:[Ngày kết thúc thi công theo kế hoạch]],10,0),
        IFERROR(
            DATE(2026,VLOOKUP(B1236,'Plan 2026'!B:H,7,0),31),
            "Chưa triển khai"
        )
    )
)</f>
        <v>Chưa triển khai</v>
      </c>
      <c r="M1236" s="2" t="s">
        <v>6688</v>
      </c>
    </row>
    <row r="1237" spans="2:13" ht="11.25" hidden="1" customHeight="1" x14ac:dyDescent="0.25">
      <c r="B1237" s="1" t="s">
        <v>6442</v>
      </c>
      <c r="C1237" s="17" t="str">
        <f>IFERROR(LEFT(VLOOKUP(B1237,'For consider'!D:E,2,0),8),"Chưa có code")</f>
        <v>Chưa có code</v>
      </c>
      <c r="E1237" s="1" t="str">
        <f t="shared" si="4"/>
        <v>Chưa triển khai</v>
      </c>
      <c r="F1237" s="1" t="str">
        <f>IFERROR(VLOOKUP(B1237,'Plan 2026'!B:AC,28,0),"không có trong file network")</f>
        <v>không có trong file network</v>
      </c>
      <c r="G1237" s="1" t="str">
        <f>IFERROR(IF(VLOOKUP(B1237,'TCH (append)'!C:P,14,0)="Completed","Hoàn thành thi công",
IF(VLOOKUP(B1237,'TCH (append)'!C:K,9,0)="Completed","Hoàn thành đấu thầu",
IF(VLOOKUP(B1237,'TCH (append)'!C:J,8,0)="Completed","Hoàn thành dự toán",
IF(VLOOKUP(B1237,'TCH (append)'!C:I,7,0)="Completed","Hoàn thành thiết kế",
"Chưa thiết kế")))),"Chưa có trong file PMO")</f>
        <v>Chưa thiết kế</v>
      </c>
      <c r="H1237" s="1" t="str">
        <f>IFERROR(VLOOKUP(B1237,'Plan 2026'!B:AW,48,0), VLOOKUP(B1237,'TCH (append)'!C:D,2,0)
)</f>
        <v>Gogi Lotte Q11</v>
      </c>
      <c r="J1237" s="1" t="s">
        <v>76</v>
      </c>
      <c r="K1237" s="1" t="s">
        <v>77</v>
      </c>
      <c r="L1237" s="2" t="str">
        <f>IF(
    F1237&lt;&gt;"Đã ký",
    "Chưa triển khai",
    IF(
        IFERROR(VLOOKUP(B1237,TCH[[Code budget]:[Ngày kết thúc thi công theo kế hoạch]],10,0),0)&gt;0,
        VLOOKUP(B1237,TCH[[Code budget]:[Ngày kết thúc thi công theo kế hoạch]],10,0),
        IFERROR(
            DATE(2026,VLOOKUP(B1237,'Plan 2026'!B:H,7,0),31),
            "Chưa triển khai"
        )
    )
)</f>
        <v>Chưa triển khai</v>
      </c>
      <c r="M1237" s="2" t="s">
        <v>6688</v>
      </c>
    </row>
    <row r="1238" spans="2:13" ht="11.25" hidden="1" customHeight="1" x14ac:dyDescent="0.25">
      <c r="B1238" s="1" t="s">
        <v>4372</v>
      </c>
      <c r="C1238" s="17" t="str">
        <f>IFERROR(LEFT(VLOOKUP(B1238,'For consider'!D:E,2,0),8),"Chưa có code")</f>
        <v/>
      </c>
      <c r="E1238" s="1" t="str">
        <f t="shared" si="4"/>
        <v>Waiting for open</v>
      </c>
      <c r="F1238" s="1" t="str">
        <f>IFERROR(VLOOKUP(B1238,'Plan 2026'!B:AC,28,0),"không có trong file network")</f>
        <v>Đã ký</v>
      </c>
      <c r="G1238" s="1" t="str">
        <f>IFERROR(IF(VLOOKUP(B1238,'TCH (append)'!C:P,14,0)="Completed","Hoàn thành thi công",
IF(VLOOKUP(B1238,'TCH (append)'!C:K,9,0)="Completed","Hoàn thành đấu thầu",
IF(VLOOKUP(B1238,'TCH (append)'!C:J,8,0)="Completed","Hoàn thành dự toán",
IF(VLOOKUP(B1238,'TCH (append)'!C:I,7,0)="Completed","Hoàn thành thiết kế",
"Chưa thiết kế")))),"Chưa có trong file PMO")</f>
        <v>Chưa thiết kế</v>
      </c>
      <c r="H1238" s="1" t="str">
        <f>IFERROR(VLOOKUP(B1238,'Plan 2026'!B:AW,48,0), VLOOKUP(B1238,'TCH (append)'!C:D,2,0)
)</f>
        <v>Gogi House Đại lộ Võ Nguyên GiápAeon Mall Hải DươngĐại lộ Võ Nguyên Giáp, Thạch Khôi, Hải Dương, Hải Dương</v>
      </c>
      <c r="J1238" s="1" t="s">
        <v>76</v>
      </c>
      <c r="K1238" s="1" t="s">
        <v>77</v>
      </c>
      <c r="L1238" s="2">
        <f>IF(
    F1238&lt;&gt;"Đã ký",
    "Chưa triển khai",
    IF(
        IFERROR(VLOOKUP(B1238,TCH[[Code budget]:[Ngày kết thúc thi công theo kế hoạch]],10,0),0)&gt;0,
        VLOOKUP(B1238,TCH[[Code budget]:[Ngày kết thúc thi công theo kế hoạch]],10,0),
        IFERROR(
            DATE(2026,VLOOKUP(B1238,'Plan 2026'!B:H,7,0),31),
            "Chưa triển khai"
        )
    )
)</f>
        <v>46222</v>
      </c>
      <c r="M1238" s="2" t="s">
        <v>6688</v>
      </c>
    </row>
    <row r="1239" spans="2:13" ht="11.25" hidden="1" customHeight="1" x14ac:dyDescent="0.25">
      <c r="B1239" s="1" t="s">
        <v>3462</v>
      </c>
      <c r="C1239" s="17" t="str">
        <f>IFERROR(LEFT(VLOOKUP(B1239,'For consider'!D:E,2,0),8),"Chưa có code")</f>
        <v/>
      </c>
      <c r="E1239" s="1" t="str">
        <f t="shared" si="4"/>
        <v>Waiting for open</v>
      </c>
      <c r="F1239" s="1" t="str">
        <f>IFERROR(VLOOKUP(B1239,'Plan 2026'!B:AC,28,0),"không có trong file network")</f>
        <v>Đã ký</v>
      </c>
      <c r="G1239" s="1" t="str">
        <f>IFERROR(IF(VLOOKUP(B1239,'TCH (append)'!C:P,14,0)="Completed","Hoàn thành thi công",
IF(VLOOKUP(B1239,'TCH (append)'!C:K,9,0)="Completed","Hoàn thành đấu thầu",
IF(VLOOKUP(B1239,'TCH (append)'!C:J,8,0)="Completed","Hoàn thành dự toán",
IF(VLOOKUP(B1239,'TCH (append)'!C:I,7,0)="Completed","Hoàn thành thiết kế",
"Chưa thiết kế")))),"Chưa có trong file PMO")</f>
        <v>Chưa thiết kế</v>
      </c>
      <c r="H1239" s="1" t="str">
        <f>IFERROR(VLOOKUP(B1239,'Plan 2026'!B:AW,48,0), VLOOKUP(B1239,'TCH (append)'!C:D,2,0)
)</f>
        <v>Isushi 90 Trần Thái Tông90 Trần Thái Tông, Dịch Vọng Hậu, Cầu Giấy, Hà Nội</v>
      </c>
      <c r="J1239" s="1" t="s">
        <v>61</v>
      </c>
      <c r="K1239" s="1" t="s">
        <v>62</v>
      </c>
      <c r="L1239" s="2">
        <f>IF(
    F1239&lt;&gt;"Đã ký",
    "Chưa triển khai",
    IF(
        IFERROR(VLOOKUP(B1239,TCH[[Code budget]:[Ngày kết thúc thi công theo kế hoạch]],10,0),0)&gt;0,
        VLOOKUP(B1239,TCH[[Code budget]:[Ngày kết thúc thi công theo kế hoạch]],10,0),
        IFERROR(
            DATE(2026,VLOOKUP(B1239,'Plan 2026'!B:H,7,0),31),
            "Chưa triển khai"
        )
    )
)</f>
        <v>46188</v>
      </c>
      <c r="M1239" s="2" t="s">
        <v>6688</v>
      </c>
    </row>
    <row r="1240" spans="2:13" ht="11.25" hidden="1" customHeight="1" x14ac:dyDescent="0.25">
      <c r="B1240" s="1" t="s">
        <v>6455</v>
      </c>
      <c r="C1240" s="17" t="str">
        <f>IFERROR(LEFT(VLOOKUP(B1240,'For consider'!D:E,2,0),8),"Chưa có code")</f>
        <v>Chưa có code</v>
      </c>
      <c r="E1240" s="1" t="str">
        <f t="shared" si="4"/>
        <v>Chưa triển khai</v>
      </c>
      <c r="F1240" s="1" t="str">
        <f>IFERROR(VLOOKUP(B1240,'Plan 2026'!B:AC,28,0),"không có trong file network")</f>
        <v>không có trong file network</v>
      </c>
      <c r="G1240" s="1" t="str">
        <f>IFERROR(IF(VLOOKUP(B1240,'TCH (append)'!C:P,14,0)="Completed","Hoàn thành thi công",
IF(VLOOKUP(B1240,'TCH (append)'!C:K,9,0)="Completed","Hoàn thành đấu thầu",
IF(VLOOKUP(B1240,'TCH (append)'!C:J,8,0)="Completed","Hoàn thành dự toán",
IF(VLOOKUP(B1240,'TCH (append)'!C:I,7,0)="Completed","Hoàn thành thiết kế",
"Chưa thiết kế")))),"Chưa có trong file PMO")</f>
        <v>Chưa thiết kế</v>
      </c>
      <c r="H1240" s="1" t="str">
        <f>IFERROR(VLOOKUP(B1240,'Plan 2026'!B:AW,48,0), VLOOKUP(B1240,'TCH (append)'!C:D,2,0)
)</f>
        <v>Isushi đường 2/9, Hải Châu, Đà Nẵng</v>
      </c>
      <c r="J1240" s="1" t="s">
        <v>61</v>
      </c>
      <c r="K1240" s="1" t="s">
        <v>62</v>
      </c>
      <c r="L1240" s="2" t="str">
        <f>IF(
    F1240&lt;&gt;"Đã ký",
    "Chưa triển khai",
    IF(
        IFERROR(VLOOKUP(B1240,TCH[[Code budget]:[Ngày kết thúc thi công theo kế hoạch]],10,0),0)&gt;0,
        VLOOKUP(B1240,TCH[[Code budget]:[Ngày kết thúc thi công theo kế hoạch]],10,0),
        IFERROR(
            DATE(2026,VLOOKUP(B1240,'Plan 2026'!B:H,7,0),31),
            "Chưa triển khai"
        )
    )
)</f>
        <v>Chưa triển khai</v>
      </c>
      <c r="M1240" s="2" t="s">
        <v>6688</v>
      </c>
    </row>
    <row r="1241" spans="2:13" ht="11.25" hidden="1" customHeight="1" x14ac:dyDescent="0.25">
      <c r="B1241" s="1" t="s">
        <v>6551</v>
      </c>
      <c r="C1241" s="17" t="str">
        <f>IFERROR(LEFT(VLOOKUP(B1241,'For consider'!D:E,2,0),8),"Chưa có code")</f>
        <v>Chưa có code</v>
      </c>
      <c r="E1241" s="1" t="str">
        <f t="shared" si="4"/>
        <v>Chưa triển khai</v>
      </c>
      <c r="F1241" s="1" t="str">
        <f>IFERROR(VLOOKUP(B1241,'Plan 2026'!B:AC,28,0),"không có trong file network")</f>
        <v>không có trong file network</v>
      </c>
      <c r="G1241" s="1" t="str">
        <f>IFERROR(IF(VLOOKUP(B1241,'TCH (append)'!C:P,14,0)="Completed","Hoàn thành thi công",
IF(VLOOKUP(B1241,'TCH (append)'!C:K,9,0)="Completed","Hoàn thành đấu thầu",
IF(VLOOKUP(B1241,'TCH (append)'!C:J,8,0)="Completed","Hoàn thành dự toán",
IF(VLOOKUP(B1241,'TCH (append)'!C:I,7,0)="Completed","Hoàn thành thiết kế",
"Chưa thiết kế")))),"Chưa có trong file PMO")</f>
        <v>Chưa thiết kế</v>
      </c>
      <c r="H1241" s="1" t="str">
        <f>IFERROR(VLOOKUP(B1241,'Plan 2026'!B:AW,48,0), VLOOKUP(B1241,'TCH (append)'!C:D,2,0)
)</f>
        <v>Manwah Grand Park Q9</v>
      </c>
      <c r="J1241" s="1" t="s">
        <v>112</v>
      </c>
      <c r="K1241" s="1" t="s">
        <v>113</v>
      </c>
      <c r="L1241" s="2" t="str">
        <f>IF(
    F1241&lt;&gt;"Đã ký",
    "Chưa triển khai",
    IF(
        IFERROR(VLOOKUP(B1241,TCH[[Code budget]:[Ngày kết thúc thi công theo kế hoạch]],10,0),0)&gt;0,
        VLOOKUP(B1241,TCH[[Code budget]:[Ngày kết thúc thi công theo kế hoạch]],10,0),
        IFERROR(
            DATE(2026,VLOOKUP(B1241,'Plan 2026'!B:H,7,0),31),
            "Chưa triển khai"
        )
    )
)</f>
        <v>Chưa triển khai</v>
      </c>
      <c r="M1241" s="2" t="s">
        <v>6688</v>
      </c>
    </row>
    <row r="1242" spans="2:13" ht="11.25" hidden="1" customHeight="1" x14ac:dyDescent="0.25">
      <c r="B1242" s="1" t="s">
        <v>5338</v>
      </c>
      <c r="C1242" s="17" t="str">
        <f>IFERROR(LEFT(VLOOKUP(B1242,'For consider'!D:E,2,0),8),"Chưa có code")</f>
        <v/>
      </c>
      <c r="E1242" s="1" t="str">
        <f t="shared" si="4"/>
        <v>Waiting for open</v>
      </c>
      <c r="F1242" s="1" t="str">
        <f>IFERROR(VLOOKUP(B1242,'Plan 2026'!B:AC,28,0),"không có trong file network")</f>
        <v>Đã ký</v>
      </c>
      <c r="G1242" s="1" t="str">
        <f>IFERROR(IF(VLOOKUP(B1242,'TCH (append)'!C:P,14,0)="Completed","Hoàn thành thi công",
IF(VLOOKUP(B1242,'TCH (append)'!C:K,9,0)="Completed","Hoàn thành đấu thầu",
IF(VLOOKUP(B1242,'TCH (append)'!C:J,8,0)="Completed","Hoàn thành dự toán",
IF(VLOOKUP(B1242,'TCH (append)'!C:I,7,0)="Completed","Hoàn thành thiết kế",
"Chưa thiết kế")))),"Chưa có trong file PMO")</f>
        <v>Chưa thiết kế</v>
      </c>
      <c r="H1242" s="1" t="str">
        <f>IFERROR(VLOOKUP(B1242,'Plan 2026'!B:AW,48,0), VLOOKUP(B1242,'TCH (append)'!C:D,2,0)
)</f>
        <v>Manwah Aeon Mall Thanh Hóa</v>
      </c>
      <c r="J1242" s="1" t="s">
        <v>112</v>
      </c>
      <c r="K1242" s="1" t="s">
        <v>113</v>
      </c>
      <c r="L1242" s="2">
        <f>IF(
    F1242&lt;&gt;"Đã ký",
    "Chưa triển khai",
    IF(
        IFERROR(VLOOKUP(B1242,TCH[[Code budget]:[Ngày kết thúc thi công theo kế hoạch]],10,0),0)&gt;0,
        VLOOKUP(B1242,TCH[[Code budget]:[Ngày kết thúc thi công theo kế hoạch]],10,0),
        IFERROR(
            DATE(2026,VLOOKUP(B1242,'Plan 2026'!B:H,7,0),31),
            "Chưa triển khai"
        )
    )
)</f>
        <v>46216</v>
      </c>
      <c r="M1242" s="2" t="s">
        <v>6688</v>
      </c>
    </row>
    <row r="1243" spans="2:13" ht="11.25" hidden="1" customHeight="1" x14ac:dyDescent="0.25">
      <c r="B1243" s="1" t="s">
        <v>5951</v>
      </c>
      <c r="C1243" s="17" t="str">
        <f>IFERROR(LEFT(VLOOKUP(B1243,'For consider'!D:E,2,0),8),"Chưa có code")</f>
        <v>30YT5021</v>
      </c>
      <c r="E1243" s="1" t="str">
        <f t="shared" si="4"/>
        <v>Chưa triển khai</v>
      </c>
      <c r="F1243" s="1" t="str">
        <f>IFERROR(VLOOKUP(B1243,'Plan 2026'!B:AC,28,0),"không có trong file network")</f>
        <v>không có trong file network</v>
      </c>
      <c r="G1243" s="1" t="str">
        <f>IFERROR(IF(VLOOKUP(B1243,'TCH (append)'!C:P,14,0)="Completed","Hoàn thành thi công",
IF(VLOOKUP(B1243,'TCH (append)'!C:K,9,0)="Completed","Hoàn thành đấu thầu",
IF(VLOOKUP(B1243,'TCH (append)'!C:J,8,0)="Completed","Hoàn thành dự toán",
IF(VLOOKUP(B1243,'TCH (append)'!C:I,7,0)="Completed","Hoàn thành thiết kế",
"Chưa thiết kế")))),"Chưa có trong file PMO")</f>
        <v>Hoàn thành đấu thầu</v>
      </c>
      <c r="H1243" s="1" t="str">
        <f>IFERROR(VLOOKUP(B1243,'Plan 2026'!B:AW,48,0), VLOOKUP(B1243,'TCH (append)'!C:D,2,0)
)</f>
        <v>Yutang Đà Lạt</v>
      </c>
      <c r="J1243" s="1" t="s">
        <v>228</v>
      </c>
      <c r="K1243" s="1" t="s">
        <v>229</v>
      </c>
      <c r="L1243" s="2" t="str">
        <f>IF(
    F1243&lt;&gt;"Đã ký",
    "Chưa triển khai",
    IF(
        IFERROR(VLOOKUP(B1243,TCH[[Code budget]:[Ngày kết thúc thi công theo kế hoạch]],10,0),0)&gt;0,
        VLOOKUP(B1243,TCH[[Code budget]:[Ngày kết thúc thi công theo kế hoạch]],10,0),
        IFERROR(
            DATE(2026,VLOOKUP(B1243,'Plan 2026'!B:H,7,0),31),
            "Chưa triển khai"
        )
    )
)</f>
        <v>Chưa triển khai</v>
      </c>
      <c r="M1243" s="2" t="s">
        <v>6688</v>
      </c>
    </row>
    <row r="1244" spans="2:13" ht="11.25" hidden="1" customHeight="1" x14ac:dyDescent="0.25">
      <c r="B1244" s="1" t="s">
        <v>4690</v>
      </c>
      <c r="C1244" s="17" t="str">
        <f>IFERROR(LEFT(VLOOKUP(B1244,'For consider'!D:E,2,0),8),"Chưa có code")</f>
        <v>Chưa có code</v>
      </c>
      <c r="E1244" s="1" t="str">
        <f t="shared" si="4"/>
        <v>Chưa triển khai</v>
      </c>
      <c r="F1244" s="1" t="str">
        <f>IFERROR(VLOOKUP(B1244,'Plan 2026'!B:AC,28,0),"không có trong file network")</f>
        <v>Chưa có</v>
      </c>
      <c r="G1244" s="1" t="str">
        <f>IFERROR(IF(VLOOKUP(B1244,'TCH (append)'!C:P,14,0)="Completed","Hoàn thành thi công",
IF(VLOOKUP(B1244,'TCH (append)'!C:K,9,0)="Completed","Hoàn thành đấu thầu",
IF(VLOOKUP(B1244,'TCH (append)'!C:J,8,0)="Completed","Hoàn thành dự toán",
IF(VLOOKUP(B1244,'TCH (append)'!C:I,7,0)="Completed","Hoàn thành thiết kế",
"Chưa thiết kế")))),"Chưa có trong file PMO")</f>
        <v>Chưa thiết kế</v>
      </c>
      <c r="H1244" s="1" t="str">
        <f>IFERROR(VLOOKUP(B1244,'Plan 2026'!B:AW,48,0), VLOOKUP(B1244,'TCH (append)'!C:D,2,0)
)</f>
        <v>SushiX 10 Mai Chí ThọThiso Mall Sala</v>
      </c>
      <c r="J1244" s="1" t="s">
        <v>1777</v>
      </c>
      <c r="K1244" s="1" t="s">
        <v>1778</v>
      </c>
      <c r="L1244" s="2" t="str">
        <f>IF(
    F1244&lt;&gt;"Đã ký",
    "Chưa triển khai",
    IF(
        IFERROR(VLOOKUP(B1244,TCH[[Code budget]:[Ngày kết thúc thi công theo kế hoạch]],10,0),0)&gt;0,
        VLOOKUP(B1244,TCH[[Code budget]:[Ngày kết thúc thi công theo kế hoạch]],10,0),
        IFERROR(
            DATE(2026,VLOOKUP(B1244,'Plan 2026'!B:H,7,0),31),
            "Chưa triển khai"
        )
    )
)</f>
        <v>Chưa triển khai</v>
      </c>
      <c r="M1244" s="2" t="s">
        <v>6688</v>
      </c>
    </row>
    <row r="1245" spans="2:13" ht="11.25" hidden="1" customHeight="1" x14ac:dyDescent="0.25">
      <c r="B1245" s="1" t="s">
        <v>5053</v>
      </c>
      <c r="C1245" s="17" t="str">
        <f>IFERROR(LEFT(VLOOKUP(B1245,'For consider'!D:E,2,0),8),"Chưa có code")</f>
        <v>Chưa có code</v>
      </c>
      <c r="E1245" s="1" t="str">
        <f t="shared" si="4"/>
        <v>Chưa triển khai</v>
      </c>
      <c r="F1245" s="1" t="str">
        <f>IFERROR(VLOOKUP(B1245,'Plan 2026'!B:AC,28,0),"không có trong file network")</f>
        <v>Đang offer</v>
      </c>
      <c r="G1245" s="1" t="str">
        <f>IFERROR(IF(VLOOKUP(B1245,'TCH (append)'!C:P,14,0)="Completed","Hoàn thành thi công",
IF(VLOOKUP(B1245,'TCH (append)'!C:K,9,0)="Completed","Hoàn thành đấu thầu",
IF(VLOOKUP(B1245,'TCH (append)'!C:J,8,0)="Completed","Hoàn thành dự toán",
IF(VLOOKUP(B1245,'TCH (append)'!C:I,7,0)="Completed","Hoàn thành thiết kế",
"Chưa thiết kế")))),"Chưa có trong file PMO")</f>
        <v>Chưa thiết kế</v>
      </c>
      <c r="H1245" s="1" t="str">
        <f>IFERROR(VLOOKUP(B1245,'Plan 2026'!B:AW,48,0), VLOOKUP(B1245,'TCH (append)'!C:D,2,0)
)</f>
        <v>Sumogoya 10 Mai Chí ThọThiso Mall Sala</v>
      </c>
      <c r="J1245" s="1" t="s">
        <v>51</v>
      </c>
      <c r="K1245" s="1" t="s">
        <v>52</v>
      </c>
      <c r="L1245" s="2" t="str">
        <f>IF(
    F1245&lt;&gt;"Đã ký",
    "Chưa triển khai",
    IF(
        IFERROR(VLOOKUP(B1245,TCH[[Code budget]:[Ngày kết thúc thi công theo kế hoạch]],10,0),0)&gt;0,
        VLOOKUP(B1245,TCH[[Code budget]:[Ngày kết thúc thi công theo kế hoạch]],10,0),
        IFERROR(
            DATE(2026,VLOOKUP(B1245,'Plan 2026'!B:H,7,0),31),
            "Chưa triển khai"
        )
    )
)</f>
        <v>Chưa triển khai</v>
      </c>
      <c r="M1245" s="2" t="s">
        <v>6688</v>
      </c>
    </row>
    <row r="1246" spans="2:13" ht="11.25" hidden="1" customHeight="1" x14ac:dyDescent="0.25">
      <c r="B1246" s="1" t="s">
        <v>4823</v>
      </c>
      <c r="C1246" s="17" t="str">
        <f>IFERROR(LEFT(VLOOKUP(B1246,'For consider'!D:E,2,0),8),"Chưa có code")</f>
        <v>30SM5023</v>
      </c>
      <c r="E1246" s="1" t="str">
        <f t="shared" si="4"/>
        <v>Waiting for open</v>
      </c>
      <c r="F1246" s="1" t="str">
        <f>IFERROR(VLOOKUP(B1246,'Plan 2026'!B:AC,28,0),"không có trong file network")</f>
        <v>Đã ký</v>
      </c>
      <c r="G1246" s="1" t="str">
        <f>IFERROR(IF(VLOOKUP(B1246,'TCH (append)'!C:P,14,0)="Completed","Hoàn thành thi công",
IF(VLOOKUP(B1246,'TCH (append)'!C:K,9,0)="Completed","Hoàn thành đấu thầu",
IF(VLOOKUP(B1246,'TCH (append)'!C:J,8,0)="Completed","Hoàn thành dự toán",
IF(VLOOKUP(B1246,'TCH (append)'!C:I,7,0)="Completed","Hoàn thành thiết kế",
"Chưa thiết kế")))),"Chưa có trong file PMO")</f>
        <v>Chưa thiết kế</v>
      </c>
      <c r="H1246" s="1" t="str">
        <f>IFERROR(VLOOKUP(B1246,'Plan 2026'!B:AW,48,0), VLOOKUP(B1246,'TCH (append)'!C:D,2,0)
)</f>
        <v>Sumogoya Đường Nguyễn Xiển và Đường Phước ThiệnVincom Mega Mall Grand Park</v>
      </c>
      <c r="J1246" s="1" t="s">
        <v>51</v>
      </c>
      <c r="K1246" s="1" t="s">
        <v>52</v>
      </c>
      <c r="L1246" s="2">
        <f>IF(
    F1246&lt;&gt;"Đã ký",
    "Chưa triển khai",
    IF(
        IFERROR(VLOOKUP(B1246,TCH[[Code budget]:[Ngày kết thúc thi công theo kế hoạch]],10,0),0)&gt;0,
        VLOOKUP(B1246,TCH[[Code budget]:[Ngày kết thúc thi công theo kế hoạch]],10,0),
        IFERROR(
            DATE(2026,VLOOKUP(B1246,'Plan 2026'!B:H,7,0),31),
            "Chưa triển khai"
        )
    )
)</f>
        <v>46147</v>
      </c>
      <c r="M1246" s="2" t="s">
        <v>6688</v>
      </c>
    </row>
    <row r="1247" spans="2:13" ht="11.25" hidden="1" customHeight="1" x14ac:dyDescent="0.25">
      <c r="B1247" s="1" t="s">
        <v>4826</v>
      </c>
      <c r="C1247" s="17" t="str">
        <f>IFERROR(LEFT(VLOOKUP(B1247,'For consider'!D:E,2,0),8),"Chưa có code")</f>
        <v>30WY5024</v>
      </c>
      <c r="E1247" s="1" t="str">
        <f t="shared" si="4"/>
        <v>Waiting for open</v>
      </c>
      <c r="F1247" s="1" t="str">
        <f>IFERROR(VLOOKUP(B1247,'Plan 2026'!B:AC,28,0),"không có trong file network")</f>
        <v>Đã ký</v>
      </c>
      <c r="G1247" s="1" t="str">
        <f>IFERROR(IF(VLOOKUP(B1247,'TCH (append)'!C:P,14,0)="Completed","Hoàn thành thi công",
IF(VLOOKUP(B1247,'TCH (append)'!C:K,9,0)="Completed","Hoàn thành đấu thầu",
IF(VLOOKUP(B1247,'TCH (append)'!C:J,8,0)="Completed","Hoàn thành dự toán",
IF(VLOOKUP(B1247,'TCH (append)'!C:I,7,0)="Completed","Hoàn thành thiết kế",
"Chưa thiết kế")))),"Chưa có trong file PMO")</f>
        <v>Chưa thiết kế</v>
      </c>
      <c r="H1247" s="1" t="str">
        <f>IFERROR(VLOOKUP(B1247,'Plan 2026'!B:AW,48,0), VLOOKUP(B1247,'TCH (append)'!C:D,2,0)
)</f>
        <v>Wow!Yakiniku Đường D2A, Khu đô thị Vinhomes Grand ParkVincom Mega Mall Grand Park</v>
      </c>
      <c r="J1247" s="1" t="s">
        <v>1771</v>
      </c>
      <c r="K1247" s="1" t="s">
        <v>1772</v>
      </c>
      <c r="L1247" s="2">
        <f>IF(
    F1247&lt;&gt;"Đã ký",
    "Chưa triển khai",
    IF(
        IFERROR(VLOOKUP(B1247,TCH[[Code budget]:[Ngày kết thúc thi công theo kế hoạch]],10,0),0)&gt;0,
        VLOOKUP(B1247,TCH[[Code budget]:[Ngày kết thúc thi công theo kế hoạch]],10,0),
        IFERROR(
            DATE(2026,VLOOKUP(B1247,'Plan 2026'!B:H,7,0),31),
            "Chưa triển khai"
        )
    )
)</f>
        <v>46147</v>
      </c>
      <c r="M1247" s="2" t="s">
        <v>6688</v>
      </c>
    </row>
    <row r="1248" spans="2:13" ht="11.25" hidden="1" customHeight="1" x14ac:dyDescent="0.25">
      <c r="B1248" s="1" t="s">
        <v>3894</v>
      </c>
      <c r="C1248" s="17" t="str">
        <f>IFERROR(LEFT(VLOOKUP(B1248,'For consider'!D:E,2,0),8),"Chưa có code")</f>
        <v>Check</v>
      </c>
      <c r="E1248" s="1" t="str">
        <f t="shared" si="4"/>
        <v>Waiting for open</v>
      </c>
      <c r="F1248" s="1" t="str">
        <f>IFERROR(VLOOKUP(B1248,'Plan 2026'!B:AC,28,0),"không có trong file network")</f>
        <v>Đã ký</v>
      </c>
      <c r="G1248" s="1" t="str">
        <f>IFERROR(IF(VLOOKUP(B1248,'TCH (append)'!C:P,14,0)="Completed","Hoàn thành thi công",
IF(VLOOKUP(B1248,'TCH (append)'!C:K,9,0)="Completed","Hoàn thành đấu thầu",
IF(VLOOKUP(B1248,'TCH (append)'!C:J,8,0)="Completed","Hoàn thành dự toán",
IF(VLOOKUP(B1248,'TCH (append)'!C:I,7,0)="Completed","Hoàn thành thiết kế",
"Chưa thiết kế")))),"Chưa có trong file PMO")</f>
        <v>Chưa thiết kế</v>
      </c>
      <c r="H1248" s="1" t="str">
        <f>IFERROR(VLOOKUP(B1248,'Plan 2026'!B:AW,48,0), VLOOKUP(B1248,'TCH (append)'!C:D,2,0)
)</f>
        <v>Wow!Yakiniku 222 đường Trần Duy HưngGo! Thăng Long222 đường Trần Duy Hưng, Trung Hoà, Cầu Giấy, Hà Nội</v>
      </c>
      <c r="J1248" s="1" t="s">
        <v>1771</v>
      </c>
      <c r="K1248" s="1" t="s">
        <v>1772</v>
      </c>
      <c r="L1248" s="2">
        <f>IF(
    F1248&lt;&gt;"Đã ký",
    "Chưa triển khai",
    IF(
        IFERROR(VLOOKUP(B1248,TCH[[Code budget]:[Ngày kết thúc thi công theo kế hoạch]],10,0),0)&gt;0,
        VLOOKUP(B1248,TCH[[Code budget]:[Ngày kết thúc thi công theo kế hoạch]],10,0),
        IFERROR(
            DATE(2026,VLOOKUP(B1248,'Plan 2026'!B:H,7,0),31),
            "Chưa triển khai"
        )
    )
)</f>
        <v>46165</v>
      </c>
      <c r="M1248" s="2" t="s">
        <v>6688</v>
      </c>
    </row>
    <row r="1249" spans="2:13" ht="11.25" hidden="1" customHeight="1" x14ac:dyDescent="0.25">
      <c r="B1249" s="1" t="s">
        <v>3589</v>
      </c>
      <c r="C1249" s="17" t="str">
        <f>IFERROR(LEFT(VLOOKUP(B1249,'For consider'!D:E,2,0),8),"Chưa có code")</f>
        <v>Chưa có code</v>
      </c>
      <c r="E1249" s="1" t="str">
        <f t="shared" si="4"/>
        <v>Chưa triển khai</v>
      </c>
      <c r="F1249" s="1" t="str">
        <f>IFERROR(VLOOKUP(B1249,'Plan 2026'!B:AC,28,0),"không có trong file network")</f>
        <v>Đang offer</v>
      </c>
      <c r="G1249" s="1" t="str">
        <f>IFERROR(IF(VLOOKUP(B1249,'TCH (append)'!C:P,14,0)="Completed","Hoàn thành thi công",
IF(VLOOKUP(B1249,'TCH (append)'!C:K,9,0)="Completed","Hoàn thành đấu thầu",
IF(VLOOKUP(B1249,'TCH (append)'!C:J,8,0)="Completed","Hoàn thành dự toán",
IF(VLOOKUP(B1249,'TCH (append)'!C:I,7,0)="Completed","Hoàn thành thiết kế",
"Chưa thiết kế")))),"Chưa có trong file PMO")</f>
        <v>Chưa thiết kế</v>
      </c>
      <c r="H1249" s="1" t="str">
        <f>IFERROR(VLOOKUP(B1249,'Plan 2026'!B:AW,48,0), VLOOKUP(B1249,'TCH (append)'!C:D,2,0)
)</f>
        <v>Sumogoya KĐT Văn PhúKĐT Văn Phú, Phú La, Hà Đông, Hà Nội</v>
      </c>
      <c r="J1249" s="1" t="s">
        <v>51</v>
      </c>
      <c r="K1249" s="1" t="s">
        <v>52</v>
      </c>
      <c r="L1249" s="2" t="str">
        <f>IF(
    F1249&lt;&gt;"Đã ký",
    "Chưa triển khai",
    IF(
        IFERROR(VLOOKUP(B1249,TCH[[Code budget]:[Ngày kết thúc thi công theo kế hoạch]],10,0),0)&gt;0,
        VLOOKUP(B1249,TCH[[Code budget]:[Ngày kết thúc thi công theo kế hoạch]],10,0),
        IFERROR(
            DATE(2026,VLOOKUP(B1249,'Plan 2026'!B:H,7,0),31),
            "Chưa triển khai"
        )
    )
)</f>
        <v>Chưa triển khai</v>
      </c>
      <c r="M1249" s="2" t="s">
        <v>6688</v>
      </c>
    </row>
    <row r="1250" spans="2:13" ht="11.25" hidden="1" customHeight="1" x14ac:dyDescent="0.25">
      <c r="B1250" s="1" t="s">
        <v>4124</v>
      </c>
      <c r="C1250" s="17" t="str">
        <f>IFERROR(LEFT(VLOOKUP(B1250,'For consider'!D:E,2,0),8),"Chưa có code")</f>
        <v>Check</v>
      </c>
      <c r="E1250" s="1" t="str">
        <f t="shared" si="4"/>
        <v>Waiting for open</v>
      </c>
      <c r="F1250" s="1" t="str">
        <f>IFERROR(VLOOKUP(B1250,'Plan 2026'!B:AC,28,0),"không có trong file network")</f>
        <v>Đã ký</v>
      </c>
      <c r="G1250" s="1" t="str">
        <f>IFERROR(IF(VLOOKUP(B1250,'TCH (append)'!C:P,14,0)="Completed","Hoàn thành thi công",
IF(VLOOKUP(B1250,'TCH (append)'!C:K,9,0)="Completed","Hoàn thành đấu thầu",
IF(VLOOKUP(B1250,'TCH (append)'!C:J,8,0)="Completed","Hoàn thành dự toán",
IF(VLOOKUP(B1250,'TCH (append)'!C:I,7,0)="Completed","Hoàn thành thiết kế",
"Chưa thiết kế")))),"Chưa có trong file PMO")</f>
        <v>Chưa thiết kế</v>
      </c>
      <c r="H1250" s="1" t="str">
        <f>IFERROR(VLOOKUP(B1250,'Plan 2026'!B:AW,48,0), VLOOKUP(B1250,'TCH (append)'!C:D,2,0)
)</f>
        <v>Wow!Yakiniku 90 Trần Thái Tông</v>
      </c>
      <c r="J1250" s="1" t="s">
        <v>1771</v>
      </c>
      <c r="K1250" s="1" t="s">
        <v>1772</v>
      </c>
      <c r="L1250" s="2">
        <f>IF(
    F1250&lt;&gt;"Đã ký",
    "Chưa triển khai",
    IF(
        IFERROR(VLOOKUP(B1250,TCH[[Code budget]:[Ngày kết thúc thi công theo kế hoạch]],10,0),0)&gt;0,
        VLOOKUP(B1250,TCH[[Code budget]:[Ngày kết thúc thi công theo kế hoạch]],10,0),
        IFERROR(
            DATE(2026,VLOOKUP(B1250,'Plan 2026'!B:H,7,0),31),
            "Chưa triển khai"
        )
    )
)</f>
        <v>46172</v>
      </c>
      <c r="M1250" s="2" t="s">
        <v>6688</v>
      </c>
    </row>
    <row r="1251" spans="2:13" ht="11.25" hidden="1" customHeight="1" x14ac:dyDescent="0.25">
      <c r="B1251" s="1" t="s">
        <v>4028</v>
      </c>
      <c r="C1251" s="17" t="str">
        <f>IFERROR(LEFT(VLOOKUP(B1251,'For consider'!D:E,2,0),8),"Chưa có code")</f>
        <v/>
      </c>
      <c r="E1251" s="1" t="str">
        <f t="shared" si="4"/>
        <v>Waiting for open</v>
      </c>
      <c r="F1251" s="1" t="str">
        <f>IFERROR(VLOOKUP(B1251,'Plan 2026'!B:AC,28,0),"không có trong file network")</f>
        <v>Đã ký</v>
      </c>
      <c r="G1251" s="1" t="str">
        <f>IFERROR(IF(VLOOKUP(B1251,'TCH (append)'!C:P,14,0)="Completed","Hoàn thành thi công",
IF(VLOOKUP(B1251,'TCH (append)'!C:K,9,0)="Completed","Hoàn thành đấu thầu",
IF(VLOOKUP(B1251,'TCH (append)'!C:J,8,0)="Completed","Hoàn thành dự toán",
IF(VLOOKUP(B1251,'TCH (append)'!C:I,7,0)="Completed","Hoàn thành thiết kế",
"Chưa thiết kế")))),"Chưa có trong file PMO")</f>
        <v>Chưa thiết kế</v>
      </c>
      <c r="H1251" s="1" t="str">
        <f>IFERROR(VLOOKUP(B1251,'Plan 2026'!B:AW,48,0), VLOOKUP(B1251,'TCH (append)'!C:D,2,0)
)</f>
        <v>Wow!Yakiniku Võ Chí CôngLotte Mall West Lake HanoiVõ Chí Công, Phú Thượng, Tây Hồ, Hà Nội</v>
      </c>
      <c r="J1251" s="1" t="s">
        <v>1771</v>
      </c>
      <c r="K1251" s="1" t="s">
        <v>1772</v>
      </c>
      <c r="L1251" s="2">
        <f>IF(
    F1251&lt;&gt;"Đã ký",
    "Chưa triển khai",
    IF(
        IFERROR(VLOOKUP(B1251,TCH[[Code budget]:[Ngày kết thúc thi công theo kế hoạch]],10,0),0)&gt;0,
        VLOOKUP(B1251,TCH[[Code budget]:[Ngày kết thúc thi công theo kế hoạch]],10,0),
        IFERROR(
            DATE(2026,VLOOKUP(B1251,'Plan 2026'!B:H,7,0),31),
            "Chưa triển khai"
        )
    )
)</f>
        <v>46171</v>
      </c>
      <c r="M1251" s="2" t="s">
        <v>6688</v>
      </c>
    </row>
    <row r="1252" spans="2:13" ht="11.25" hidden="1" customHeight="1" x14ac:dyDescent="0.25">
      <c r="B1252" s="1" t="s">
        <v>4198</v>
      </c>
      <c r="C1252" s="17" t="str">
        <f>IFERROR(LEFT(VLOOKUP(B1252,'For consider'!D:E,2,0),8),"Chưa có code")</f>
        <v>Chưa có code</v>
      </c>
      <c r="E1252" s="1" t="str">
        <f t="shared" si="4"/>
        <v>Chưa triển khai</v>
      </c>
      <c r="F1252" s="1" t="str">
        <f>IFERROR(VLOOKUP(B1252,'Plan 2026'!B:AC,28,0),"không có trong file network")</f>
        <v>Chưa có</v>
      </c>
      <c r="G1252" s="1" t="str">
        <f>IFERROR(IF(VLOOKUP(B1252,'TCH (append)'!C:P,14,0)="Completed","Hoàn thành thi công",
IF(VLOOKUP(B1252,'TCH (append)'!C:K,9,0)="Completed","Hoàn thành đấu thầu",
IF(VLOOKUP(B1252,'TCH (append)'!C:J,8,0)="Completed","Hoàn thành dự toán",
IF(VLOOKUP(B1252,'TCH (append)'!C:I,7,0)="Completed","Hoàn thành thiết kế",
"Chưa thiết kế")))),"Chưa có trong file PMO")</f>
        <v>Chưa thiết kế</v>
      </c>
      <c r="H1252" s="1" t="str">
        <f>IFERROR(VLOOKUP(B1252,'Plan 2026'!B:AW,48,0), VLOOKUP(B1252,'TCH (append)'!C:D,2,0)
)</f>
        <v>Pizza360 10 Đường Võ Nguyên GiápAeon Mall Hải Phòng Lê Chân10 Đường Võ Nguyên Giáp, Dư Hàng Kênh, Lê Chân, Hải Phòng</v>
      </c>
      <c r="J1252" s="1" t="s">
        <v>2132</v>
      </c>
      <c r="K1252" s="1" t="s">
        <v>2133</v>
      </c>
      <c r="L1252" s="2" t="str">
        <f>IF(
    F1252&lt;&gt;"Đã ký",
    "Chưa triển khai",
    IF(
        IFERROR(VLOOKUP(B1252,TCH[[Code budget]:[Ngày kết thúc thi công theo kế hoạch]],10,0),0)&gt;0,
        VLOOKUP(B1252,TCH[[Code budget]:[Ngày kết thúc thi công theo kế hoạch]],10,0),
        IFERROR(
            DATE(2026,VLOOKUP(B1252,'Plan 2026'!B:H,7,0),31),
            "Chưa triển khai"
        )
    )
)</f>
        <v>Chưa triển khai</v>
      </c>
      <c r="M1252" s="2" t="s">
        <v>6688</v>
      </c>
    </row>
    <row r="1253" spans="2:13" ht="11.25" hidden="1" customHeight="1" x14ac:dyDescent="0.25">
      <c r="B1253" s="1" t="s">
        <v>5940</v>
      </c>
      <c r="C1253" s="17" t="str">
        <f>IFERROR(LEFT(VLOOKUP(B1253,'For consider'!D:E,2,0),8),"Chưa có code")</f>
        <v>Chưa có code</v>
      </c>
      <c r="E1253" s="1" t="str">
        <f t="shared" si="4"/>
        <v>Waiting for open</v>
      </c>
      <c r="F1253" s="1" t="str">
        <f>IFERROR(VLOOKUP(B1253,'Plan 2026'!B:AC,28,0),"không có trong file network")</f>
        <v>Đã ký</v>
      </c>
      <c r="G1253" s="1" t="str">
        <f>IFERROR(IF(VLOOKUP(B1253,'TCH (append)'!C:P,14,0)="Completed","Hoàn thành thi công",
IF(VLOOKUP(B1253,'TCH (append)'!C:K,9,0)="Completed","Hoàn thành đấu thầu",
IF(VLOOKUP(B1253,'TCH (append)'!C:J,8,0)="Completed","Hoàn thành dự toán",
IF(VLOOKUP(B1253,'TCH (append)'!C:I,7,0)="Completed","Hoàn thành thiết kế",
"Chưa thiết kế")))),"Chưa có trong file PMO")</f>
        <v>Chưa thiết kế</v>
      </c>
      <c r="H1253" s="1" t="str">
        <f>IFERROR(VLOOKUP(B1253,'Plan 2026'!B:AW,48,0), VLOOKUP(B1253,'TCH (append)'!C:D,2,0)
)</f>
        <v xml:space="preserve">Chix Max </v>
      </c>
      <c r="J1253" s="1" t="s">
        <v>1319</v>
      </c>
      <c r="K1253" s="1" t="s">
        <v>1320</v>
      </c>
      <c r="L1253" s="2">
        <f>IF(
    F1253&lt;&gt;"Đã ký",
    "Chưa triển khai",
    IF(
        IFERROR(VLOOKUP(B1253,TCH[[Code budget]:[Ngày kết thúc thi công theo kế hoạch]],10,0),0)&gt;0,
        VLOOKUP(B1253,TCH[[Code budget]:[Ngày kết thúc thi công theo kế hoạch]],10,0),
        IFERROR(
            DATE(2026,VLOOKUP(B1253,'Plan 2026'!B:H,7,0),31),
            "Chưa triển khai"
        )
    )
)</f>
        <v>46222</v>
      </c>
      <c r="M1253" s="2" t="s">
        <v>6688</v>
      </c>
    </row>
    <row r="1254" spans="2:13" ht="11.25" hidden="1" customHeight="1" x14ac:dyDescent="0.25">
      <c r="B1254" s="1" t="s">
        <v>5950</v>
      </c>
      <c r="C1254" s="17" t="str">
        <f>IFERROR(LEFT(VLOOKUP(B1254,'For consider'!D:E,2,0),8),"Chưa có code")</f>
        <v>30CD5071</v>
      </c>
      <c r="E1254" s="1" t="str">
        <f t="shared" si="4"/>
        <v>Chưa triển khai</v>
      </c>
      <c r="F1254" s="1" t="str">
        <f>IFERROR(VLOOKUP(B1254,'Plan 2026'!B:AC,28,0),"không có trong file network")</f>
        <v>không có trong file network</v>
      </c>
      <c r="G1254" s="1" t="str">
        <f>IFERROR(IF(VLOOKUP(B1254,'TCH (append)'!C:P,14,0)="Completed","Hoàn thành thi công",
IF(VLOOKUP(B1254,'TCH (append)'!C:K,9,0)="Completed","Hoàn thành đấu thầu",
IF(VLOOKUP(B1254,'TCH (append)'!C:J,8,0)="Completed","Hoàn thành dự toán",
IF(VLOOKUP(B1254,'TCH (append)'!C:I,7,0)="Completed","Hoàn thành thiết kế",
"Chưa thiết kế")))),"Chưa có trong file PMO")</f>
        <v>Chưa thiết kế</v>
      </c>
      <c r="H1254" s="1" t="str">
        <f>IFERROR(VLOOKUP(B1254,'Plan 2026'!B:AW,48,0), VLOOKUP(B1254,'TCH (append)'!C:D,2,0)
)</f>
        <v>CLOUD POT BIGC ĐỒNG NAI</v>
      </c>
      <c r="J1254" s="1" t="s">
        <v>1019</v>
      </c>
      <c r="K1254" s="1" t="s">
        <v>1020</v>
      </c>
      <c r="L1254" s="2" t="str">
        <f>IF(
    F1254&lt;&gt;"Đã ký",
    "Chưa triển khai",
    IF(
        IFERROR(VLOOKUP(B1254,TCH[[Code budget]:[Ngày kết thúc thi công theo kế hoạch]],10,0),0)&gt;0,
        VLOOKUP(B1254,TCH[[Code budget]:[Ngày kết thúc thi công theo kế hoạch]],10,0),
        IFERROR(
            DATE(2026,VLOOKUP(B1254,'Plan 2026'!B:H,7,0),31),
            "Chưa triển khai"
        )
    )
)</f>
        <v>Chưa triển khai</v>
      </c>
      <c r="M1254" s="2" t="s">
        <v>6688</v>
      </c>
    </row>
    <row r="1255" spans="2:13" ht="11.25" hidden="1" customHeight="1" x14ac:dyDescent="0.25">
      <c r="B1255" s="1" t="s">
        <v>6674</v>
      </c>
      <c r="C1255" s="17" t="str">
        <f>IFERROR(LEFT(VLOOKUP(B1255,'For consider'!D:E,2,0),8),"Chưa có code")</f>
        <v>Chưa có code</v>
      </c>
      <c r="E1255" s="1" t="str">
        <f t="shared" si="4"/>
        <v>Chưa triển khai</v>
      </c>
      <c r="F1255" s="1" t="str">
        <f>IFERROR(VLOOKUP(B1255,'Plan 2026'!B:AC,28,0),"không có trong file network")</f>
        <v>không có trong file network</v>
      </c>
      <c r="G1255" s="1" t="str">
        <f>IFERROR(IF(VLOOKUP(B1255,'TCH (append)'!C:P,14,0)="Completed","Hoàn thành thi công",
IF(VLOOKUP(B1255,'TCH (append)'!C:K,9,0)="Completed","Hoàn thành đấu thầu",
IF(VLOOKUP(B1255,'TCH (append)'!C:J,8,0)="Completed","Hoàn thành dự toán",
IF(VLOOKUP(B1255,'TCH (append)'!C:I,7,0)="Completed","Hoàn thành thiết kế",
"Chưa thiết kế")))),"Chưa có trong file PMO")</f>
        <v>Chưa thiết kế</v>
      </c>
      <c r="H1255" s="1" t="str">
        <f>IFERROR(VLOOKUP(B1255,'Plan 2026'!B:AW,48,0), VLOOKUP(B1255,'TCH (append)'!C:D,2,0)
)</f>
        <v>Woomaster Aeon Hà Đông</v>
      </c>
      <c r="J1255" s="1" t="s">
        <v>1399</v>
      </c>
      <c r="K1255" s="1" t="s">
        <v>1400</v>
      </c>
      <c r="L1255" s="2" t="str">
        <f>IF(
    F1255&lt;&gt;"Đã ký",
    "Chưa triển khai",
    IF(
        IFERROR(VLOOKUP(B1255,TCH[[Code budget]:[Ngày kết thúc thi công theo kế hoạch]],10,0),0)&gt;0,
        VLOOKUP(B1255,TCH[[Code budget]:[Ngày kết thúc thi công theo kế hoạch]],10,0),
        IFERROR(
            DATE(2026,VLOOKUP(B1255,'Plan 2026'!B:H,7,0),31),
            "Chưa triển khai"
        )
    )
)</f>
        <v>Chưa triển khai</v>
      </c>
      <c r="M1255" s="2" t="s">
        <v>6688</v>
      </c>
    </row>
    <row r="1256" spans="2:13" ht="11.25" hidden="1" customHeight="1" x14ac:dyDescent="0.25">
      <c r="B1256" s="1" t="s">
        <v>2726</v>
      </c>
      <c r="C1256" s="17" t="str">
        <f>IFERROR(LEFT(VLOOKUP(B1256,'For consider'!D:E,2,0),8),"Chưa có code")</f>
        <v>Chưa có code</v>
      </c>
      <c r="E1256" s="1" t="str">
        <f t="shared" si="4"/>
        <v>Chưa triển khai</v>
      </c>
      <c r="F1256" s="1" t="str">
        <f>IFERROR(VLOOKUP(B1256,'Plan 2026'!B:AC,28,0),"không có trong file network")</f>
        <v>Chưa có</v>
      </c>
      <c r="G1256" s="1" t="str">
        <f>IFERROR(IF(VLOOKUP(B1256,'TCH (append)'!C:P,14,0)="Completed","Hoàn thành thi công",
IF(VLOOKUP(B1256,'TCH (append)'!C:K,9,0)="Completed","Hoàn thành đấu thầu",
IF(VLOOKUP(B1256,'TCH (append)'!C:J,8,0)="Completed","Hoàn thành dự toán",
IF(VLOOKUP(B1256,'TCH (append)'!C:I,7,0)="Completed","Hoàn thành thiết kế",
"Chưa thiết kế")))),"Chưa có trong file PMO")</f>
        <v>Chưa có trong file PMO</v>
      </c>
      <c r="H1256" s="1" t="str">
        <f>IFERROR(VLOOKUP(B1256,'Plan 2026'!B:AW,48,0), VLOOKUP(B1256,'TCH (append)'!C:D,2,0)
)</f>
        <v>CloudPot Số 1242, Đường Trần Hưng ĐạoVincom Plaza Long XuyênSố 1242, Đường Trần Hưng Đạo, Mỹ Bình, Long Xuyên, An Giang</v>
      </c>
      <c r="J1256" s="1" t="s">
        <v>1019</v>
      </c>
      <c r="K1256" s="1" t="s">
        <v>1020</v>
      </c>
      <c r="L1256" s="2" t="str">
        <f>IF(
    F1256&lt;&gt;"Đã ký",
    "Chưa triển khai",
    IF(
        IFERROR(VLOOKUP(B1256,TCH[[Code budget]:[Ngày kết thúc thi công theo kế hoạch]],10,0),0)&gt;0,
        VLOOKUP(B1256,TCH[[Code budget]:[Ngày kết thúc thi công theo kế hoạch]],10,0),
        IFERROR(
            DATE(2026,VLOOKUP(B1256,'Plan 2026'!B:H,7,0),31),
            "Chưa triển khai"
        )
    )
)</f>
        <v>Chưa triển khai</v>
      </c>
      <c r="M1256" s="2" t="s">
        <v>6688</v>
      </c>
    </row>
    <row r="1257" spans="2:13" ht="11.25" hidden="1" customHeight="1" x14ac:dyDescent="0.25">
      <c r="B1257" s="1" t="s">
        <v>2748</v>
      </c>
      <c r="C1257" s="17" t="str">
        <f>IFERROR(LEFT(VLOOKUP(B1257,'For consider'!D:E,2,0),8),"Chưa có code")</f>
        <v>Chưa có code</v>
      </c>
      <c r="E1257" s="1" t="str">
        <f t="shared" si="4"/>
        <v>Chưa triển khai</v>
      </c>
      <c r="F1257" s="1" t="str">
        <f>IFERROR(VLOOKUP(B1257,'Plan 2026'!B:AC,28,0),"không có trong file network")</f>
        <v>Chưa có</v>
      </c>
      <c r="G1257" s="1" t="str">
        <f>IFERROR(IF(VLOOKUP(B1257,'TCH (append)'!C:P,14,0)="Completed","Hoàn thành thi công",
IF(VLOOKUP(B1257,'TCH (append)'!C:K,9,0)="Completed","Hoàn thành đấu thầu",
IF(VLOOKUP(B1257,'TCH (append)'!C:J,8,0)="Completed","Hoàn thành dự toán",
IF(VLOOKUP(B1257,'TCH (append)'!C:I,7,0)="Completed","Hoàn thành thiết kế",
"Chưa thiết kế")))),"Chưa có trong file PMO")</f>
        <v>Chưa có trong file PMO</v>
      </c>
      <c r="H1257" s="1" t="str">
        <f>IFERROR(VLOOKUP(B1257,'Plan 2026'!B:AW,48,0), VLOOKUP(B1257,'TCH (append)'!C:D,2,0)
)</f>
        <v>Isushi 1242 Trần Hưng ĐạoVincom Plaza Long Xuyên1242 Trần Hưng Đạo, Mỹ Bình, Long Xuyên, An Giang</v>
      </c>
      <c r="J1257" s="1" t="s">
        <v>61</v>
      </c>
      <c r="K1257" s="1" t="s">
        <v>62</v>
      </c>
      <c r="L1257" s="2" t="str">
        <f>IF(
    F1257&lt;&gt;"Đã ký",
    "Chưa triển khai",
    IF(
        IFERROR(VLOOKUP(B1257,TCH[[Code budget]:[Ngày kết thúc thi công theo kế hoạch]],10,0),0)&gt;0,
        VLOOKUP(B1257,TCH[[Code budget]:[Ngày kết thúc thi công theo kế hoạch]],10,0),
        IFERROR(
            DATE(2026,VLOOKUP(B1257,'Plan 2026'!B:H,7,0),31),
            "Chưa triển khai"
        )
    )
)</f>
        <v>Chưa triển khai</v>
      </c>
      <c r="M1257" s="2" t="s">
        <v>6688</v>
      </c>
    </row>
    <row r="1258" spans="2:13" ht="11.25" hidden="1" customHeight="1" x14ac:dyDescent="0.25">
      <c r="B1258" s="1" t="s">
        <v>2819</v>
      </c>
      <c r="C1258" s="17" t="str">
        <f>IFERROR(LEFT(VLOOKUP(B1258,'For consider'!D:E,2,0),8),"Chưa có code")</f>
        <v>Chưa có code</v>
      </c>
      <c r="E1258" s="1" t="str">
        <f t="shared" si="4"/>
        <v>Chưa triển khai</v>
      </c>
      <c r="F1258" s="1" t="str">
        <f>IFERROR(VLOOKUP(B1258,'Plan 2026'!B:AC,28,0),"không có trong file network")</f>
        <v>Chưa có</v>
      </c>
      <c r="G1258" s="1" t="str">
        <f>IFERROR(IF(VLOOKUP(B1258,'TCH (append)'!C:P,14,0)="Completed","Hoàn thành thi công",
IF(VLOOKUP(B1258,'TCH (append)'!C:K,9,0)="Completed","Hoàn thành đấu thầu",
IF(VLOOKUP(B1258,'TCH (append)'!C:J,8,0)="Completed","Hoàn thành dự toán",
IF(VLOOKUP(B1258,'TCH (append)'!C:I,7,0)="Completed","Hoàn thành thiết kế",
"Chưa thiết kế")))),"Chưa có trong file PMO")</f>
        <v>Chưa có trong file PMO</v>
      </c>
      <c r="H1258" s="1" t="str">
        <f>IFERROR(VLOOKUP(B1258,'Plan 2026'!B:AW,48,0), VLOOKUP(B1258,'TCH (append)'!C:D,2,0)
)</f>
        <v>Kichi Kichi Tiền An, Bắc Ninh, Bắc Ninh</v>
      </c>
      <c r="J1258" s="1" t="s">
        <v>34</v>
      </c>
      <c r="K1258" s="1" t="s">
        <v>35</v>
      </c>
      <c r="L1258" s="2" t="str">
        <f>IF(
    F1258&lt;&gt;"Đã ký",
    "Chưa triển khai",
    IF(
        IFERROR(VLOOKUP(B1258,TCH[[Code budget]:[Ngày kết thúc thi công theo kế hoạch]],10,0),0)&gt;0,
        VLOOKUP(B1258,TCH[[Code budget]:[Ngày kết thúc thi công theo kế hoạch]],10,0),
        IFERROR(
            DATE(2026,VLOOKUP(B1258,'Plan 2026'!B:H,7,0),31),
            "Chưa triển khai"
        )
    )
)</f>
        <v>Chưa triển khai</v>
      </c>
      <c r="M1258" s="2" t="s">
        <v>6688</v>
      </c>
    </row>
    <row r="1259" spans="2:13" ht="11.25" hidden="1" customHeight="1" x14ac:dyDescent="0.25">
      <c r="B1259" s="1" t="s">
        <v>2836</v>
      </c>
      <c r="C1259" s="17" t="str">
        <f>IFERROR(LEFT(VLOOKUP(B1259,'For consider'!D:E,2,0),8),"Chưa có code")</f>
        <v>Chưa có code</v>
      </c>
      <c r="E1259" s="1" t="str">
        <f t="shared" si="4"/>
        <v>Chưa triển khai</v>
      </c>
      <c r="F1259" s="1" t="str">
        <f>IFERROR(VLOOKUP(B1259,'Plan 2026'!B:AC,28,0),"không có trong file network")</f>
        <v>Chưa có</v>
      </c>
      <c r="G1259" s="1" t="str">
        <f>IFERROR(IF(VLOOKUP(B1259,'TCH (append)'!C:P,14,0)="Completed","Hoàn thành thi công",
IF(VLOOKUP(B1259,'TCH (append)'!C:K,9,0)="Completed","Hoàn thành đấu thầu",
IF(VLOOKUP(B1259,'TCH (append)'!C:J,8,0)="Completed","Hoàn thành dự toán",
IF(VLOOKUP(B1259,'TCH (append)'!C:I,7,0)="Completed","Hoàn thành thiết kế",
"Chưa thiết kế")))),"Chưa có trong file PMO")</f>
        <v>Chưa có trong file PMO</v>
      </c>
      <c r="H1259" s="1" t="str">
        <f>IFERROR(VLOOKUP(B1259,'Plan 2026'!B:AW,48,0), VLOOKUP(B1259,'TCH (append)'!C:D,2,0)
)</f>
        <v>The Coffee House Nguyễn Tất Thành/Nguyễn Trãi/Lê LợiNguyễn Tất Thành/Nguyễn Trãi/Lê Lợi, Lê Lợi, Qui Nhơn, Bình Định</v>
      </c>
      <c r="J1259" s="1" t="s">
        <v>1788</v>
      </c>
      <c r="K1259" s="1" t="s">
        <v>1789</v>
      </c>
      <c r="L1259" s="2" t="str">
        <f>IF(
    F1259&lt;&gt;"Đã ký",
    "Chưa triển khai",
    IF(
        IFERROR(VLOOKUP(B1259,TCH[[Code budget]:[Ngày kết thúc thi công theo kế hoạch]],10,0),0)&gt;0,
        VLOOKUP(B1259,TCH[[Code budget]:[Ngày kết thúc thi công theo kế hoạch]],10,0),
        IFERROR(
            DATE(2026,VLOOKUP(B1259,'Plan 2026'!B:H,7,0),31),
            "Chưa triển khai"
        )
    )
)</f>
        <v>Chưa triển khai</v>
      </c>
      <c r="M1259" s="2" t="s">
        <v>6688</v>
      </c>
    </row>
    <row r="1260" spans="2:13" ht="11.25" hidden="1" customHeight="1" x14ac:dyDescent="0.25">
      <c r="B1260" s="1" t="s">
        <v>2848</v>
      </c>
      <c r="C1260" s="17" t="str">
        <f>IFERROR(LEFT(VLOOKUP(B1260,'For consider'!D:E,2,0),8),"Chưa có code")</f>
        <v>Chưa có code</v>
      </c>
      <c r="E1260" s="1" t="str">
        <f t="shared" si="4"/>
        <v>Lock mb chưa thi công</v>
      </c>
      <c r="F1260" s="1" t="str">
        <f>IFERROR(VLOOKUP(B1260,'Plan 2026'!B:AC,28,0),"không có trong file network")</f>
        <v>Đã ký</v>
      </c>
      <c r="G1260" s="1" t="str">
        <f>IFERROR(IF(VLOOKUP(B1260,'TCH (append)'!C:P,14,0)="Completed","Hoàn thành thi công",
IF(VLOOKUP(B1260,'TCH (append)'!C:K,9,0)="Completed","Hoàn thành đấu thầu",
IF(VLOOKUP(B1260,'TCH (append)'!C:J,8,0)="Completed","Hoàn thành dự toán",
IF(VLOOKUP(B1260,'TCH (append)'!C:I,7,0)="Completed","Hoàn thành thiết kế",
"Chưa thiết kế")))),"Chưa có trong file PMO")</f>
        <v>Chưa có trong file PMO</v>
      </c>
      <c r="H1260" s="1" t="str">
        <f>IFERROR(VLOOKUP(B1260,'Plan 2026'!B:AW,48,0), VLOOKUP(B1260,'TCH (append)'!C:D,2,0)
)</f>
        <v>Wow!Yakiniku Thuận GiaoAeon Mall Bình Dương CanaryThuận Giao, Thuận Giao, Thuận An, Bình Dương</v>
      </c>
      <c r="J1260" s="1" t="s">
        <v>1771</v>
      </c>
      <c r="K1260" s="1" t="s">
        <v>1772</v>
      </c>
      <c r="L1260" s="2">
        <f>IF(
    F1260&lt;&gt;"Đã ký",
    "Chưa triển khai",
    IF(
        IFERROR(VLOOKUP(B1260,TCH[[Code budget]:[Ngày kết thúc thi công theo kế hoạch]],10,0),0)&gt;0,
        VLOOKUP(B1260,TCH[[Code budget]:[Ngày kết thúc thi công theo kế hoạch]],10,0),
        IFERROR(
            DATE(2026,VLOOKUP(B1260,'Plan 2026'!B:H,7,0),31),
            "Chưa triển khai"
        )
    )
)</f>
        <v>46265</v>
      </c>
      <c r="M1260" s="2" t="s">
        <v>6688</v>
      </c>
    </row>
    <row r="1261" spans="2:13" ht="11.25" hidden="1" customHeight="1" x14ac:dyDescent="0.25">
      <c r="B1261" s="1" t="s">
        <v>2867</v>
      </c>
      <c r="C1261" s="17" t="str">
        <f>IFERROR(LEFT(VLOOKUP(B1261,'For consider'!D:E,2,0),8),"Chưa có code")</f>
        <v>Chưa có code</v>
      </c>
      <c r="E1261" s="1" t="str">
        <f t="shared" si="4"/>
        <v>Chưa triển khai</v>
      </c>
      <c r="F1261" s="1" t="str">
        <f>IFERROR(VLOOKUP(B1261,'Plan 2026'!B:AC,28,0),"không có trong file network")</f>
        <v>Chưa có</v>
      </c>
      <c r="G1261" s="1" t="str">
        <f>IFERROR(IF(VLOOKUP(B1261,'TCH (append)'!C:P,14,0)="Completed","Hoàn thành thi công",
IF(VLOOKUP(B1261,'TCH (append)'!C:K,9,0)="Completed","Hoàn thành đấu thầu",
IF(VLOOKUP(B1261,'TCH (append)'!C:J,8,0)="Completed","Hoàn thành dự toán",
IF(VLOOKUP(B1261,'TCH (append)'!C:I,7,0)="Completed","Hoàn thành thiết kế",
"Chưa thiết kế")))),"Chưa có trong file PMO")</f>
        <v>Chưa có trong file PMO</v>
      </c>
      <c r="H1261" s="1" t="str">
        <f>IFERROR(VLOOKUP(B1261,'Plan 2026'!B:AW,48,0), VLOOKUP(B1261,'TCH (append)'!C:D,2,0)
)</f>
        <v>Manwah Thống NhấtThống Nhất, Đông Hòa, Dĩ An, Bình Dương</v>
      </c>
      <c r="J1261" s="1" t="s">
        <v>112</v>
      </c>
      <c r="K1261" s="1" t="s">
        <v>113</v>
      </c>
      <c r="L1261" s="2" t="str">
        <f>IF(
    F1261&lt;&gt;"Đã ký",
    "Chưa triển khai",
    IF(
        IFERROR(VLOOKUP(B1261,TCH[[Code budget]:[Ngày kết thúc thi công theo kế hoạch]],10,0),0)&gt;0,
        VLOOKUP(B1261,TCH[[Code budget]:[Ngày kết thúc thi công theo kế hoạch]],10,0),
        IFERROR(
            DATE(2026,VLOOKUP(B1261,'Plan 2026'!B:H,7,0),31),
            "Chưa triển khai"
        )
    )
)</f>
        <v>Chưa triển khai</v>
      </c>
      <c r="M1261" s="2" t="s">
        <v>6688</v>
      </c>
    </row>
    <row r="1262" spans="2:13" ht="11.25" hidden="1" customHeight="1" x14ac:dyDescent="0.25">
      <c r="B1262" s="1" t="s">
        <v>2887</v>
      </c>
      <c r="C1262" s="17" t="str">
        <f>IFERROR(LEFT(VLOOKUP(B1262,'For consider'!D:E,2,0),8),"Chưa có code")</f>
        <v>Chưa có code</v>
      </c>
      <c r="E1262" s="1" t="str">
        <f t="shared" si="4"/>
        <v>Chưa triển khai</v>
      </c>
      <c r="F1262" s="1" t="str">
        <f>IFERROR(VLOOKUP(B1262,'Plan 2026'!B:AC,28,0),"không có trong file network")</f>
        <v>Chưa có</v>
      </c>
      <c r="G1262" s="1" t="str">
        <f>IFERROR(IF(VLOOKUP(B1262,'TCH (append)'!C:P,14,0)="Completed","Hoàn thành thi công",
IF(VLOOKUP(B1262,'TCH (append)'!C:K,9,0)="Completed","Hoàn thành đấu thầu",
IF(VLOOKUP(B1262,'TCH (append)'!C:J,8,0)="Completed","Hoàn thành dự toán",
IF(VLOOKUP(B1262,'TCH (append)'!C:I,7,0)="Completed","Hoàn thành thiết kế",
"Chưa thiết kế")))),"Chưa có trong file PMO")</f>
        <v>Chưa có trong file PMO</v>
      </c>
      <c r="H1262" s="1" t="str">
        <f>IFERROR(VLOOKUP(B1262,'Plan 2026'!B:AW,48,0), VLOOKUP(B1262,'TCH (append)'!C:D,2,0)
)</f>
        <v>The Coffee House Đường Thống NhấtĐường Thống Nhất, Đông Hòa, Dĩ An, Bình Dương</v>
      </c>
      <c r="J1262" s="1" t="s">
        <v>1788</v>
      </c>
      <c r="K1262" s="1" t="s">
        <v>1789</v>
      </c>
      <c r="L1262" s="2" t="str">
        <f>IF(
    F1262&lt;&gt;"Đã ký",
    "Chưa triển khai",
    IF(
        IFERROR(VLOOKUP(B1262,TCH[[Code budget]:[Ngày kết thúc thi công theo kế hoạch]],10,0),0)&gt;0,
        VLOOKUP(B1262,TCH[[Code budget]:[Ngày kết thúc thi công theo kế hoạch]],10,0),
        IFERROR(
            DATE(2026,VLOOKUP(B1262,'Plan 2026'!B:H,7,0),31),
            "Chưa triển khai"
        )
    )
)</f>
        <v>Chưa triển khai</v>
      </c>
      <c r="M1262" s="2" t="s">
        <v>6688</v>
      </c>
    </row>
    <row r="1263" spans="2:13" ht="11.25" hidden="1" customHeight="1" x14ac:dyDescent="0.25">
      <c r="B1263" s="1" t="s">
        <v>2893</v>
      </c>
      <c r="C1263" s="17" t="str">
        <f>IFERROR(LEFT(VLOOKUP(B1263,'For consider'!D:E,2,0),8),"Chưa có code")</f>
        <v>Chưa có code</v>
      </c>
      <c r="E1263" s="1" t="str">
        <f t="shared" si="4"/>
        <v>Chưa triển khai</v>
      </c>
      <c r="F1263" s="1" t="str">
        <f>IFERROR(VLOOKUP(B1263,'Plan 2026'!B:AC,28,0),"không có trong file network")</f>
        <v>Reject</v>
      </c>
      <c r="G1263" s="1" t="str">
        <f>IFERROR(IF(VLOOKUP(B1263,'TCH (append)'!C:P,14,0)="Completed","Hoàn thành thi công",
IF(VLOOKUP(B1263,'TCH (append)'!C:K,9,0)="Completed","Hoàn thành đấu thầu",
IF(VLOOKUP(B1263,'TCH (append)'!C:J,8,0)="Completed","Hoàn thành dự toán",
IF(VLOOKUP(B1263,'TCH (append)'!C:I,7,0)="Completed","Hoàn thành thiết kế",
"Chưa thiết kế")))),"Chưa có trong file PMO")</f>
        <v>Chưa có trong file PMO</v>
      </c>
      <c r="H1263" s="1" t="str">
        <f>IFERROR(VLOOKUP(B1263,'Plan 2026'!B:AW,48,0), VLOOKUP(B1263,'TCH (append)'!C:D,2,0)
)</f>
        <v>Gogi House Khánh Bình, Tân Uyên, Bình Dương</v>
      </c>
      <c r="J1263" s="1" t="s">
        <v>76</v>
      </c>
      <c r="K1263" s="1" t="s">
        <v>77</v>
      </c>
      <c r="L1263" s="2" t="str">
        <f>IF(
    F1263&lt;&gt;"Đã ký",
    "Chưa triển khai",
    IF(
        IFERROR(VLOOKUP(B1263,TCH[[Code budget]:[Ngày kết thúc thi công theo kế hoạch]],10,0),0)&gt;0,
        VLOOKUP(B1263,TCH[[Code budget]:[Ngày kết thúc thi công theo kế hoạch]],10,0),
        IFERROR(
            DATE(2026,VLOOKUP(B1263,'Plan 2026'!B:H,7,0),31),
            "Chưa triển khai"
        )
    )
)</f>
        <v>Chưa triển khai</v>
      </c>
      <c r="M1263" s="2" t="s">
        <v>6688</v>
      </c>
    </row>
    <row r="1264" spans="2:13" ht="11.25" hidden="1" customHeight="1" x14ac:dyDescent="0.25">
      <c r="B1264" s="1" t="s">
        <v>2916</v>
      </c>
      <c r="C1264" s="17" t="str">
        <f>IFERROR(LEFT(VLOOKUP(B1264,'For consider'!D:E,2,0),8),"Chưa có code")</f>
        <v>Chưa có code</v>
      </c>
      <c r="E1264" s="1" t="str">
        <f t="shared" si="4"/>
        <v>Chưa triển khai</v>
      </c>
      <c r="F1264" s="1" t="str">
        <f>IFERROR(VLOOKUP(B1264,'Plan 2026'!B:AC,28,0),"không có trong file network")</f>
        <v>Chưa có</v>
      </c>
      <c r="G1264" s="1" t="str">
        <f>IFERROR(IF(VLOOKUP(B1264,'TCH (append)'!C:P,14,0)="Completed","Hoàn thành thi công",
IF(VLOOKUP(B1264,'TCH (append)'!C:K,9,0)="Completed","Hoàn thành đấu thầu",
IF(VLOOKUP(B1264,'TCH (append)'!C:J,8,0)="Completed","Hoàn thành dự toán",
IF(VLOOKUP(B1264,'TCH (append)'!C:I,7,0)="Completed","Hoàn thành thiết kế",
"Chưa thiết kế")))),"Chưa có trong file PMO")</f>
        <v>Chưa có trong file PMO</v>
      </c>
      <c r="H1264" s="1" t="str">
        <f>IFERROR(VLOOKUP(B1264,'Plan 2026'!B:AW,48,0), VLOOKUP(B1264,'TCH (append)'!C:D,2,0)
)</f>
        <v>The Coffee House Hiệp Thành, Thủ Dầu Một, Bình Dương</v>
      </c>
      <c r="J1264" s="1" t="s">
        <v>1788</v>
      </c>
      <c r="K1264" s="1" t="s">
        <v>1789</v>
      </c>
      <c r="L1264" s="2" t="str">
        <f>IF(
    F1264&lt;&gt;"Đã ký",
    "Chưa triển khai",
    IF(
        IFERROR(VLOOKUP(B1264,TCH[[Code budget]:[Ngày kết thúc thi công theo kế hoạch]],10,0),0)&gt;0,
        VLOOKUP(B1264,TCH[[Code budget]:[Ngày kết thúc thi công theo kế hoạch]],10,0),
        IFERROR(
            DATE(2026,VLOOKUP(B1264,'Plan 2026'!B:H,7,0),31),
            "Chưa triển khai"
        )
    )
)</f>
        <v>Chưa triển khai</v>
      </c>
      <c r="M1264" s="2" t="s">
        <v>6688</v>
      </c>
    </row>
    <row r="1265" spans="2:13" ht="11.25" hidden="1" customHeight="1" x14ac:dyDescent="0.25">
      <c r="B1265" s="1" t="s">
        <v>2925</v>
      </c>
      <c r="C1265" s="17" t="str">
        <f>IFERROR(LEFT(VLOOKUP(B1265,'For consider'!D:E,2,0),8),"Chưa có code")</f>
        <v>Chưa có code</v>
      </c>
      <c r="E1265" s="1" t="str">
        <f t="shared" si="4"/>
        <v>Chưa triển khai</v>
      </c>
      <c r="F1265" s="1" t="str">
        <f>IFERROR(VLOOKUP(B1265,'Plan 2026'!B:AC,28,0),"không có trong file network")</f>
        <v>Chưa có</v>
      </c>
      <c r="G1265" s="1" t="str">
        <f>IFERROR(IF(VLOOKUP(B1265,'TCH (append)'!C:P,14,0)="Completed","Hoàn thành thi công",
IF(VLOOKUP(B1265,'TCH (append)'!C:K,9,0)="Completed","Hoàn thành đấu thầu",
IF(VLOOKUP(B1265,'TCH (append)'!C:J,8,0)="Completed","Hoàn thành dự toán",
IF(VLOOKUP(B1265,'TCH (append)'!C:I,7,0)="Completed","Hoàn thành thiết kế",
"Chưa thiết kế")))),"Chưa có trong file PMO")</f>
        <v>Chưa có trong file PMO</v>
      </c>
      <c r="H1265" s="1" t="str">
        <f>IFERROR(VLOOKUP(B1265,'Plan 2026'!B:AW,48,0), VLOOKUP(B1265,'TCH (append)'!C:D,2,0)
)</f>
        <v>Kichi Kichi Tân Phú, Đồng Xoài, Bình Phước</v>
      </c>
      <c r="J1265" s="1" t="s">
        <v>34</v>
      </c>
      <c r="K1265" s="1" t="s">
        <v>35</v>
      </c>
      <c r="L1265" s="2" t="str">
        <f>IF(
    F1265&lt;&gt;"Đã ký",
    "Chưa triển khai",
    IF(
        IFERROR(VLOOKUP(B1265,TCH[[Code budget]:[Ngày kết thúc thi công theo kế hoạch]],10,0),0)&gt;0,
        VLOOKUP(B1265,TCH[[Code budget]:[Ngày kết thúc thi công theo kế hoạch]],10,0),
        IFERROR(
            DATE(2026,VLOOKUP(B1265,'Plan 2026'!B:H,7,0),31),
            "Chưa triển khai"
        )
    )
)</f>
        <v>Chưa triển khai</v>
      </c>
      <c r="M1265" s="2" t="s">
        <v>6688</v>
      </c>
    </row>
    <row r="1266" spans="2:13" ht="11.25" hidden="1" customHeight="1" x14ac:dyDescent="0.25">
      <c r="B1266" s="1" t="s">
        <v>2937</v>
      </c>
      <c r="C1266" s="17" t="str">
        <f>IFERROR(LEFT(VLOOKUP(B1266,'For consider'!D:E,2,0),8),"Chưa có code")</f>
        <v>Chưa có code</v>
      </c>
      <c r="E1266" s="1" t="str">
        <f t="shared" si="4"/>
        <v>Chưa triển khai</v>
      </c>
      <c r="F1266" s="1" t="str">
        <f>IFERROR(VLOOKUP(B1266,'Plan 2026'!B:AC,28,0),"không có trong file network")</f>
        <v>Chưa có</v>
      </c>
      <c r="G1266" s="1" t="str">
        <f>IFERROR(IF(VLOOKUP(B1266,'TCH (append)'!C:P,14,0)="Completed","Hoàn thành thi công",
IF(VLOOKUP(B1266,'TCH (append)'!C:K,9,0)="Completed","Hoàn thành đấu thầu",
IF(VLOOKUP(B1266,'TCH (append)'!C:J,8,0)="Completed","Hoàn thành dự toán",
IF(VLOOKUP(B1266,'TCH (append)'!C:I,7,0)="Completed","Hoàn thành thiết kế",
"Chưa thiết kế")))),"Chưa có trong file PMO")</f>
        <v>Chưa có trong file PMO</v>
      </c>
      <c r="H1266" s="1" t="str">
        <f>IFERROR(VLOOKUP(B1266,'Plan 2026'!B:AW,48,0), VLOOKUP(B1266,'TCH (append)'!C:D,2,0)
)</f>
        <v>Isushi Phường 5, Cà Mau, Cà Mau</v>
      </c>
      <c r="J1266" s="1" t="s">
        <v>61</v>
      </c>
      <c r="K1266" s="1" t="s">
        <v>62</v>
      </c>
      <c r="L1266" s="2" t="str">
        <f>IF(
    F1266&lt;&gt;"Đã ký",
    "Chưa triển khai",
    IF(
        IFERROR(VLOOKUP(B1266,TCH[[Code budget]:[Ngày kết thúc thi công theo kế hoạch]],10,0),0)&gt;0,
        VLOOKUP(B1266,TCH[[Code budget]:[Ngày kết thúc thi công theo kế hoạch]],10,0),
        IFERROR(
            DATE(2026,VLOOKUP(B1266,'Plan 2026'!B:H,7,0),31),
            "Chưa triển khai"
        )
    )
)</f>
        <v>Chưa triển khai</v>
      </c>
      <c r="M1266" s="2" t="s">
        <v>6688</v>
      </c>
    </row>
    <row r="1267" spans="2:13" ht="11.25" hidden="1" customHeight="1" x14ac:dyDescent="0.25">
      <c r="B1267" s="1" t="s">
        <v>2949</v>
      </c>
      <c r="C1267" s="17" t="str">
        <f>IFERROR(LEFT(VLOOKUP(B1267,'For consider'!D:E,2,0),8),"Chưa có code")</f>
        <v>Chưa có code</v>
      </c>
      <c r="E1267" s="1" t="str">
        <f t="shared" si="4"/>
        <v>Chưa triển khai</v>
      </c>
      <c r="F1267" s="1" t="str">
        <f>IFERROR(VLOOKUP(B1267,'Plan 2026'!B:AC,28,0),"không có trong file network")</f>
        <v>Đang offer</v>
      </c>
      <c r="G1267" s="1" t="str">
        <f>IFERROR(IF(VLOOKUP(B1267,'TCH (append)'!C:P,14,0)="Completed","Hoàn thành thi công",
IF(VLOOKUP(B1267,'TCH (append)'!C:K,9,0)="Completed","Hoàn thành đấu thầu",
IF(VLOOKUP(B1267,'TCH (append)'!C:J,8,0)="Completed","Hoàn thành dự toán",
IF(VLOOKUP(B1267,'TCH (append)'!C:I,7,0)="Completed","Hoàn thành thiết kế",
"Chưa thiết kế")))),"Chưa có trong file PMO")</f>
        <v>Chưa có trong file PMO</v>
      </c>
      <c r="H1267" s="1" t="str">
        <f>IFERROR(VLOOKUP(B1267,'Plan 2026'!B:AW,48,0), VLOOKUP(B1267,'TCH (append)'!C:D,2,0)
)</f>
        <v>Manwah Trần Hưng ĐạoTrần Hưng Đạo, Phường 5, Cà Mau, Cà Mau</v>
      </c>
      <c r="J1267" s="1" t="s">
        <v>112</v>
      </c>
      <c r="K1267" s="1" t="s">
        <v>113</v>
      </c>
      <c r="L1267" s="2" t="str">
        <f>IF(
    F1267&lt;&gt;"Đã ký",
    "Chưa triển khai",
    IF(
        IFERROR(VLOOKUP(B1267,TCH[[Code budget]:[Ngày kết thúc thi công theo kế hoạch]],10,0),0)&gt;0,
        VLOOKUP(B1267,TCH[[Code budget]:[Ngày kết thúc thi công theo kế hoạch]],10,0),
        IFERROR(
            DATE(2026,VLOOKUP(B1267,'Plan 2026'!B:H,7,0),31),
            "Chưa triển khai"
        )
    )
)</f>
        <v>Chưa triển khai</v>
      </c>
      <c r="M1267" s="2" t="s">
        <v>6688</v>
      </c>
    </row>
    <row r="1268" spans="2:13" ht="11.25" hidden="1" customHeight="1" x14ac:dyDescent="0.25">
      <c r="B1268" s="1" t="s">
        <v>2957</v>
      </c>
      <c r="C1268" s="17" t="str">
        <f>IFERROR(LEFT(VLOOKUP(B1268,'For consider'!D:E,2,0),8),"Chưa có code")</f>
        <v>Chưa có code</v>
      </c>
      <c r="E1268" s="1" t="str">
        <f t="shared" si="4"/>
        <v>Chưa triển khai</v>
      </c>
      <c r="F1268" s="1" t="str">
        <f>IFERROR(VLOOKUP(B1268,'Plan 2026'!B:AC,28,0),"không có trong file network")</f>
        <v>Đang offer</v>
      </c>
      <c r="G1268" s="1" t="str">
        <f>IFERROR(IF(VLOOKUP(B1268,'TCH (append)'!C:P,14,0)="Completed","Hoàn thành thi công",
IF(VLOOKUP(B1268,'TCH (append)'!C:K,9,0)="Completed","Hoàn thành đấu thầu",
IF(VLOOKUP(B1268,'TCH (append)'!C:J,8,0)="Completed","Hoàn thành dự toán",
IF(VLOOKUP(B1268,'TCH (append)'!C:I,7,0)="Completed","Hoàn thành thiết kế",
"Chưa thiết kế")))),"Chưa có trong file PMO")</f>
        <v>Chưa có trong file PMO</v>
      </c>
      <c r="H1268" s="1" t="str">
        <f>IFERROR(VLOOKUP(B1268,'Plan 2026'!B:AW,48,0), VLOOKUP(B1268,'TCH (append)'!C:D,2,0)
)</f>
        <v>Gogi House Châu Văn Liêm, Ô Môn, Cần Thơ</v>
      </c>
      <c r="J1268" s="1" t="s">
        <v>76</v>
      </c>
      <c r="K1268" s="1" t="s">
        <v>77</v>
      </c>
      <c r="L1268" s="2" t="str">
        <f>IF(
    F1268&lt;&gt;"Đã ký",
    "Chưa triển khai",
    IF(
        IFERROR(VLOOKUP(B1268,TCH[[Code budget]:[Ngày kết thúc thi công theo kế hoạch]],10,0),0)&gt;0,
        VLOOKUP(B1268,TCH[[Code budget]:[Ngày kết thúc thi công theo kế hoạch]],10,0),
        IFERROR(
            DATE(2026,VLOOKUP(B1268,'Plan 2026'!B:H,7,0),31),
            "Chưa triển khai"
        )
    )
)</f>
        <v>Chưa triển khai</v>
      </c>
      <c r="M1268" s="2" t="s">
        <v>6688</v>
      </c>
    </row>
    <row r="1269" spans="2:13" ht="11.25" hidden="1" customHeight="1" x14ac:dyDescent="0.25">
      <c r="B1269" s="1" t="s">
        <v>2994</v>
      </c>
      <c r="C1269" s="17" t="str">
        <f>IFERROR(LEFT(VLOOKUP(B1269,'For consider'!D:E,2,0),8),"Chưa có code")</f>
        <v>Chưa có code</v>
      </c>
      <c r="E1269" s="1" t="str">
        <f t="shared" si="4"/>
        <v>Chưa triển khai</v>
      </c>
      <c r="F1269" s="1" t="str">
        <f>IFERROR(VLOOKUP(B1269,'Plan 2026'!B:AC,28,0),"không có trong file network")</f>
        <v>Đang offer</v>
      </c>
      <c r="G1269" s="1" t="str">
        <f>IFERROR(IF(VLOOKUP(B1269,'TCH (append)'!C:P,14,0)="Completed","Hoàn thành thi công",
IF(VLOOKUP(B1269,'TCH (append)'!C:K,9,0)="Completed","Hoàn thành đấu thầu",
IF(VLOOKUP(B1269,'TCH (append)'!C:J,8,0)="Completed","Hoàn thành dự toán",
IF(VLOOKUP(B1269,'TCH (append)'!C:I,7,0)="Completed","Hoàn thành thiết kế",
"Chưa thiết kế")))),"Chưa có trong file PMO")</f>
        <v>Chưa có trong file PMO</v>
      </c>
      <c r="H1269" s="1" t="str">
        <f>IFERROR(VLOOKUP(B1269,'Plan 2026'!B:AW,48,0), VLOOKUP(B1269,'TCH (append)'!C:D,2,0)
)</f>
        <v>Kichi Kichi Châu Văn Liêm, Ô Môn, Cần Thơ</v>
      </c>
      <c r="J1269" s="1" t="s">
        <v>34</v>
      </c>
      <c r="K1269" s="1" t="s">
        <v>35</v>
      </c>
      <c r="L1269" s="2" t="str">
        <f>IF(
    F1269&lt;&gt;"Đã ký",
    "Chưa triển khai",
    IF(
        IFERROR(VLOOKUP(B1269,TCH[[Code budget]:[Ngày kết thúc thi công theo kế hoạch]],10,0),0)&gt;0,
        VLOOKUP(B1269,TCH[[Code budget]:[Ngày kết thúc thi công theo kế hoạch]],10,0),
        IFERROR(
            DATE(2026,VLOOKUP(B1269,'Plan 2026'!B:H,7,0),31),
            "Chưa triển khai"
        )
    )
)</f>
        <v>Chưa triển khai</v>
      </c>
      <c r="M1269" s="2" t="s">
        <v>6688</v>
      </c>
    </row>
    <row r="1270" spans="2:13" ht="11.25" hidden="1" customHeight="1" x14ac:dyDescent="0.25">
      <c r="B1270" s="1" t="s">
        <v>2999</v>
      </c>
      <c r="C1270" s="17" t="str">
        <f>IFERROR(LEFT(VLOOKUP(B1270,'For consider'!D:E,2,0),8),"Chưa có code")</f>
        <v>Chưa có code</v>
      </c>
      <c r="E1270" s="1" t="str">
        <f t="shared" si="4"/>
        <v>Chưa triển khai</v>
      </c>
      <c r="F1270" s="1" t="str">
        <f>IFERROR(VLOOKUP(B1270,'Plan 2026'!B:AC,28,0),"không có trong file network")</f>
        <v>Chưa có</v>
      </c>
      <c r="G1270" s="1" t="str">
        <f>IFERROR(IF(VLOOKUP(B1270,'TCH (append)'!C:P,14,0)="Completed","Hoàn thành thi công",
IF(VLOOKUP(B1270,'TCH (append)'!C:K,9,0)="Completed","Hoàn thành đấu thầu",
IF(VLOOKUP(B1270,'TCH (append)'!C:J,8,0)="Completed","Hoàn thành dự toán",
IF(VLOOKUP(B1270,'TCH (append)'!C:I,7,0)="Completed","Hoàn thành thiết kế",
"Chưa thiết kế")))),"Chưa có trong file PMO")</f>
        <v>Chưa có trong file PMO</v>
      </c>
      <c r="H1270" s="1" t="str">
        <f>IFERROR(VLOOKUP(B1270,'Plan 2026'!B:AW,48,0), VLOOKUP(B1270,'TCH (append)'!C:D,2,0)
)</f>
        <v>The Coffee House Điện Biên Phủ (gần Aeon mall)Điện Biên Phủ (gần Aeon mall), Chính Gián, Thanh Khê, Đà Nẵng</v>
      </c>
      <c r="J1270" s="1" t="s">
        <v>1788</v>
      </c>
      <c r="K1270" s="1" t="s">
        <v>1789</v>
      </c>
      <c r="L1270" s="2" t="str">
        <f>IF(
    F1270&lt;&gt;"Đã ký",
    "Chưa triển khai",
    IF(
        IFERROR(VLOOKUP(B1270,TCH[[Code budget]:[Ngày kết thúc thi công theo kế hoạch]],10,0),0)&gt;0,
        VLOOKUP(B1270,TCH[[Code budget]:[Ngày kết thúc thi công theo kế hoạch]],10,0),
        IFERROR(
            DATE(2026,VLOOKUP(B1270,'Plan 2026'!B:H,7,0),31),
            "Chưa triển khai"
        )
    )
)</f>
        <v>Chưa triển khai</v>
      </c>
      <c r="M1270" s="2" t="s">
        <v>6688</v>
      </c>
    </row>
    <row r="1271" spans="2:13" ht="11.25" hidden="1" customHeight="1" x14ac:dyDescent="0.25">
      <c r="B1271" s="1" t="s">
        <v>3079</v>
      </c>
      <c r="C1271" s="17" t="str">
        <f>IFERROR(LEFT(VLOOKUP(B1271,'For consider'!D:E,2,0),8),"Chưa có code")</f>
        <v>Chưa có code</v>
      </c>
      <c r="E1271" s="1" t="str">
        <f t="shared" si="4"/>
        <v>Chưa triển khai</v>
      </c>
      <c r="F1271" s="1" t="str">
        <f>IFERROR(VLOOKUP(B1271,'Plan 2026'!B:AC,28,0),"không có trong file network")</f>
        <v>Chưa có</v>
      </c>
      <c r="G1271" s="1" t="str">
        <f>IFERROR(IF(VLOOKUP(B1271,'TCH (append)'!C:P,14,0)="Completed","Hoàn thành thi công",
IF(VLOOKUP(B1271,'TCH (append)'!C:K,9,0)="Completed","Hoàn thành đấu thầu",
IF(VLOOKUP(B1271,'TCH (append)'!C:J,8,0)="Completed","Hoàn thành dự toán",
IF(VLOOKUP(B1271,'TCH (append)'!C:I,7,0)="Completed","Hoàn thành thiết kế",
"Chưa thiết kế")))),"Chưa có trong file PMO")</f>
        <v>Chưa có trong file PMO</v>
      </c>
      <c r="H1271" s="1" t="str">
        <f>IFERROR(VLOOKUP(B1271,'Plan 2026'!B:AW,48,0), VLOOKUP(B1271,'TCH (append)'!C:D,2,0)
)</f>
        <v>Kichi Kichi Long Thành/Long KhánhLong Thành/Long Khánh, Xuân An, Long Khánh, Đồng Nai</v>
      </c>
      <c r="J1271" s="1" t="s">
        <v>34</v>
      </c>
      <c r="K1271" s="1" t="s">
        <v>35</v>
      </c>
      <c r="L1271" s="2" t="str">
        <f>IF(
    F1271&lt;&gt;"Đã ký",
    "Chưa triển khai",
    IF(
        IFERROR(VLOOKUP(B1271,TCH[[Code budget]:[Ngày kết thúc thi công theo kế hoạch]],10,0),0)&gt;0,
        VLOOKUP(B1271,TCH[[Code budget]:[Ngày kết thúc thi công theo kế hoạch]],10,0),
        IFERROR(
            DATE(2026,VLOOKUP(B1271,'Plan 2026'!B:H,7,0),31),
            "Chưa triển khai"
        )
    )
)</f>
        <v>Chưa triển khai</v>
      </c>
      <c r="M1271" s="2" t="s">
        <v>6688</v>
      </c>
    </row>
    <row r="1272" spans="2:13" ht="11.25" hidden="1" customHeight="1" x14ac:dyDescent="0.25">
      <c r="B1272" s="1" t="s">
        <v>3093</v>
      </c>
      <c r="C1272" s="17" t="str">
        <f>IFERROR(LEFT(VLOOKUP(B1272,'For consider'!D:E,2,0),8),"Chưa có code")</f>
        <v>Chưa có code</v>
      </c>
      <c r="E1272" s="1" t="str">
        <f t="shared" si="4"/>
        <v>Chưa triển khai</v>
      </c>
      <c r="F1272" s="1" t="str">
        <f>IFERROR(VLOOKUP(B1272,'Plan 2026'!B:AC,28,0),"không có trong file network")</f>
        <v>Đang offer</v>
      </c>
      <c r="G1272" s="1" t="str">
        <f>IFERROR(IF(VLOOKUP(B1272,'TCH (append)'!C:P,14,0)="Completed","Hoàn thành thi công",
IF(VLOOKUP(B1272,'TCH (append)'!C:K,9,0)="Completed","Hoàn thành đấu thầu",
IF(VLOOKUP(B1272,'TCH (append)'!C:J,8,0)="Completed","Hoàn thành dự toán",
IF(VLOOKUP(B1272,'TCH (append)'!C:I,7,0)="Completed","Hoàn thành thiết kế",
"Chưa thiết kế")))),"Chưa có trong file PMO")</f>
        <v>Chưa có trong file PMO</v>
      </c>
      <c r="H1272" s="1" t="str">
        <f>IFERROR(VLOOKUP(B1272,'Plan 2026'!B:AW,48,0), VLOOKUP(B1272,'TCH (append)'!C:D,2,0)
)</f>
        <v>Wow!Yakiniku Thống Nhất, Biên Hòa, Đồng Nai</v>
      </c>
      <c r="J1272" s="1" t="s">
        <v>1771</v>
      </c>
      <c r="K1272" s="1" t="s">
        <v>1772</v>
      </c>
      <c r="L1272" s="2" t="str">
        <f>IF(
    F1272&lt;&gt;"Đã ký",
    "Chưa triển khai",
    IF(
        IFERROR(VLOOKUP(B1272,TCH[[Code budget]:[Ngày kết thúc thi công theo kế hoạch]],10,0),0)&gt;0,
        VLOOKUP(B1272,TCH[[Code budget]:[Ngày kết thúc thi công theo kế hoạch]],10,0),
        IFERROR(
            DATE(2026,VLOOKUP(B1272,'Plan 2026'!B:H,7,0),31),
            "Chưa triển khai"
        )
    )
)</f>
        <v>Chưa triển khai</v>
      </c>
      <c r="M1272" s="2" t="s">
        <v>6688</v>
      </c>
    </row>
    <row r="1273" spans="2:13" ht="11.25" hidden="1" customHeight="1" x14ac:dyDescent="0.25">
      <c r="B1273" s="1" t="s">
        <v>3102</v>
      </c>
      <c r="C1273" s="17" t="str">
        <f>IFERROR(LEFT(VLOOKUP(B1273,'For consider'!D:E,2,0),8),"Chưa có code")</f>
        <v>Chưa có code</v>
      </c>
      <c r="E1273" s="1" t="str">
        <f t="shared" si="4"/>
        <v>Chưa triển khai</v>
      </c>
      <c r="F1273" s="1" t="str">
        <f>IFERROR(VLOOKUP(B1273,'Plan 2026'!B:AC,28,0),"không có trong file network")</f>
        <v>Reject</v>
      </c>
      <c r="G1273" s="1" t="str">
        <f>IFERROR(IF(VLOOKUP(B1273,'TCH (append)'!C:P,14,0)="Completed","Hoàn thành thi công",
IF(VLOOKUP(B1273,'TCH (append)'!C:K,9,0)="Completed","Hoàn thành đấu thầu",
IF(VLOOKUP(B1273,'TCH (append)'!C:J,8,0)="Completed","Hoàn thành dự toán",
IF(VLOOKUP(B1273,'TCH (append)'!C:I,7,0)="Completed","Hoàn thành thiết kế",
"Chưa thiết kế")))),"Chưa có trong file PMO")</f>
        <v>Chưa có trong file PMO</v>
      </c>
      <c r="H1273" s="1" t="str">
        <f>IFERROR(VLOOKUP(B1273,'Plan 2026'!B:AW,48,0), VLOOKUP(B1273,'TCH (append)'!C:D,2,0)
)</f>
        <v>CloudPot Võ Thị SáuVõ Thị Sáu, Thống Nhất, Biên Hòa, Đồng Nai</v>
      </c>
      <c r="J1273" s="1" t="s">
        <v>1019</v>
      </c>
      <c r="K1273" s="1" t="s">
        <v>1020</v>
      </c>
      <c r="L1273" s="2" t="str">
        <f>IF(
    F1273&lt;&gt;"Đã ký",
    "Chưa triển khai",
    IF(
        IFERROR(VLOOKUP(B1273,TCH[[Code budget]:[Ngày kết thúc thi công theo kế hoạch]],10,0),0)&gt;0,
        VLOOKUP(B1273,TCH[[Code budget]:[Ngày kết thúc thi công theo kế hoạch]],10,0),
        IFERROR(
            DATE(2026,VLOOKUP(B1273,'Plan 2026'!B:H,7,0),31),
            "Chưa triển khai"
        )
    )
)</f>
        <v>Chưa triển khai</v>
      </c>
      <c r="M1273" s="2" t="s">
        <v>6688</v>
      </c>
    </row>
    <row r="1274" spans="2:13" ht="11.25" hidden="1" customHeight="1" x14ac:dyDescent="0.25">
      <c r="B1274" s="1" t="s">
        <v>3110</v>
      </c>
      <c r="C1274" s="17" t="str">
        <f>IFERROR(LEFT(VLOOKUP(B1274,'For consider'!D:E,2,0),8),"Chưa có code")</f>
        <v>Chưa có code</v>
      </c>
      <c r="E1274" s="1" t="str">
        <f t="shared" si="4"/>
        <v>Chưa triển khai</v>
      </c>
      <c r="F1274" s="1" t="str">
        <f>IFERROR(VLOOKUP(B1274,'Plan 2026'!B:AC,28,0),"không có trong file network")</f>
        <v>Đang đàm phán</v>
      </c>
      <c r="G1274" s="1" t="str">
        <f>IFERROR(IF(VLOOKUP(B1274,'TCH (append)'!C:P,14,0)="Completed","Hoàn thành thi công",
IF(VLOOKUP(B1274,'TCH (append)'!C:K,9,0)="Completed","Hoàn thành đấu thầu",
IF(VLOOKUP(B1274,'TCH (append)'!C:J,8,0)="Completed","Hoàn thành dự toán",
IF(VLOOKUP(B1274,'TCH (append)'!C:I,7,0)="Completed","Hoàn thành thiết kế",
"Chưa thiết kế")))),"Chưa có trong file PMO")</f>
        <v>Chưa có trong file PMO</v>
      </c>
      <c r="H1274" s="1" t="str">
        <f>IFERROR(VLOOKUP(B1274,'Plan 2026'!B:AW,48,0), VLOOKUP(B1274,'TCH (append)'!C:D,2,0)
)</f>
        <v>The Coffee House Nguyễn Ái Quốc</v>
      </c>
      <c r="J1274" s="1" t="s">
        <v>1788</v>
      </c>
      <c r="K1274" s="1" t="s">
        <v>1789</v>
      </c>
      <c r="L1274" s="2" t="str">
        <f>IF(
    F1274&lt;&gt;"Đã ký",
    "Chưa triển khai",
    IF(
        IFERROR(VLOOKUP(B1274,TCH[[Code budget]:[Ngày kết thúc thi công theo kế hoạch]],10,0),0)&gt;0,
        VLOOKUP(B1274,TCH[[Code budget]:[Ngày kết thúc thi công theo kế hoạch]],10,0),
        IFERROR(
            DATE(2026,VLOOKUP(B1274,'Plan 2026'!B:H,7,0),31),
            "Chưa triển khai"
        )
    )
)</f>
        <v>Chưa triển khai</v>
      </c>
      <c r="M1274" s="2" t="s">
        <v>6688</v>
      </c>
    </row>
    <row r="1275" spans="2:13" ht="11.25" hidden="1" customHeight="1" x14ac:dyDescent="0.25">
      <c r="B1275" s="1" t="s">
        <v>3121</v>
      </c>
      <c r="C1275" s="17" t="str">
        <f>IFERROR(LEFT(VLOOKUP(B1275,'For consider'!D:E,2,0),8),"Chưa có code")</f>
        <v>Chưa có code</v>
      </c>
      <c r="E1275" s="1" t="str">
        <f t="shared" si="4"/>
        <v>Chưa triển khai</v>
      </c>
      <c r="F1275" s="1" t="str">
        <f>IFERROR(VLOOKUP(B1275,'Plan 2026'!B:AC,28,0),"không có trong file network")</f>
        <v>Đang offer</v>
      </c>
      <c r="G1275" s="1" t="str">
        <f>IFERROR(IF(VLOOKUP(B1275,'TCH (append)'!C:P,14,0)="Completed","Hoàn thành thi công",
IF(VLOOKUP(B1275,'TCH (append)'!C:K,9,0)="Completed","Hoàn thành đấu thầu",
IF(VLOOKUP(B1275,'TCH (append)'!C:J,8,0)="Completed","Hoàn thành dự toán",
IF(VLOOKUP(B1275,'TCH (append)'!C:I,7,0)="Completed","Hoàn thành thiết kế",
"Chưa thiết kế")))),"Chưa có trong file PMO")</f>
        <v>Chưa có trong file PMO</v>
      </c>
      <c r="H1275" s="1" t="str">
        <f>IFERROR(VLOOKUP(B1275,'Plan 2026'!B:AW,48,0), VLOOKUP(B1275,'TCH (append)'!C:D,2,0)
)</f>
        <v>Yutang Go Đồng Nai</v>
      </c>
      <c r="J1275" s="1" t="s">
        <v>228</v>
      </c>
      <c r="K1275" s="1" t="s">
        <v>229</v>
      </c>
      <c r="L1275" s="2" t="str">
        <f>IF(
    F1275&lt;&gt;"Đã ký",
    "Chưa triển khai",
    IF(
        IFERROR(VLOOKUP(B1275,TCH[[Code budget]:[Ngày kết thúc thi công theo kế hoạch]],10,0),0)&gt;0,
        VLOOKUP(B1275,TCH[[Code budget]:[Ngày kết thúc thi công theo kế hoạch]],10,0),
        IFERROR(
            DATE(2026,VLOOKUP(B1275,'Plan 2026'!B:H,7,0),31),
            "Chưa triển khai"
        )
    )
)</f>
        <v>Chưa triển khai</v>
      </c>
      <c r="M1275" s="2" t="s">
        <v>6688</v>
      </c>
    </row>
    <row r="1276" spans="2:13" ht="11.25" hidden="1" customHeight="1" x14ac:dyDescent="0.25">
      <c r="B1276" s="1" t="s">
        <v>3131</v>
      </c>
      <c r="C1276" s="17" t="str">
        <f>IFERROR(LEFT(VLOOKUP(B1276,'For consider'!D:E,2,0),8),"Chưa có code")</f>
        <v>Chưa có code</v>
      </c>
      <c r="E1276" s="1" t="str">
        <f t="shared" si="4"/>
        <v>Chưa triển khai</v>
      </c>
      <c r="F1276" s="1" t="str">
        <f>IFERROR(VLOOKUP(B1276,'Plan 2026'!B:AC,28,0),"không có trong file network")</f>
        <v>Hủy bỏ</v>
      </c>
      <c r="G1276" s="1" t="str">
        <f>IFERROR(IF(VLOOKUP(B1276,'TCH (append)'!C:P,14,0)="Completed","Hoàn thành thi công",
IF(VLOOKUP(B1276,'TCH (append)'!C:K,9,0)="Completed","Hoàn thành đấu thầu",
IF(VLOOKUP(B1276,'TCH (append)'!C:J,8,0)="Completed","Hoàn thành dự toán",
IF(VLOOKUP(B1276,'TCH (append)'!C:I,7,0)="Completed","Hoàn thành thiết kế",
"Chưa thiết kế")))),"Chưa có trong file PMO")</f>
        <v>Chưa có trong file PMO</v>
      </c>
      <c r="H1276" s="1" t="str">
        <f>IFERROR(VLOOKUP(B1276,'Plan 2026'!B:AW,48,0), VLOOKUP(B1276,'TCH (append)'!C:D,2,0)
)</f>
        <v>Kichi Kichi PCC1 - 44 Triều Khúc, Thanh XuânPCC1 - 44 Triều Khúc, Thanh Xuân, Thanh Xuân Bắc, Thanh Xuân, Hà Nội</v>
      </c>
      <c r="J1276" s="1" t="s">
        <v>34</v>
      </c>
      <c r="K1276" s="1" t="s">
        <v>35</v>
      </c>
      <c r="L1276" s="2" t="str">
        <f>IF(
    F1276&lt;&gt;"Đã ký",
    "Chưa triển khai",
    IF(
        IFERROR(VLOOKUP(B1276,TCH[[Code budget]:[Ngày kết thúc thi công theo kế hoạch]],10,0),0)&gt;0,
        VLOOKUP(B1276,TCH[[Code budget]:[Ngày kết thúc thi công theo kế hoạch]],10,0),
        IFERROR(
            DATE(2026,VLOOKUP(B1276,'Plan 2026'!B:H,7,0),31),
            "Chưa triển khai"
        )
    )
)</f>
        <v>Chưa triển khai</v>
      </c>
      <c r="M1276" s="2" t="s">
        <v>6688</v>
      </c>
    </row>
    <row r="1277" spans="2:13" ht="11.25" hidden="1" customHeight="1" x14ac:dyDescent="0.25">
      <c r="B1277" s="1" t="s">
        <v>3147</v>
      </c>
      <c r="C1277" s="17" t="str">
        <f>IFERROR(LEFT(VLOOKUP(B1277,'For consider'!D:E,2,0),8),"Chưa có code")</f>
        <v>Chưa có code</v>
      </c>
      <c r="E1277" s="1" t="str">
        <f t="shared" si="4"/>
        <v>Chưa triển khai</v>
      </c>
      <c r="F1277" s="1" t="str">
        <f>IFERROR(VLOOKUP(B1277,'Plan 2026'!B:AC,28,0),"không có trong file network")</f>
        <v>Hủy bỏ</v>
      </c>
      <c r="G1277" s="1" t="str">
        <f>IFERROR(IF(VLOOKUP(B1277,'TCH (append)'!C:P,14,0)="Completed","Hoàn thành thi công",
IF(VLOOKUP(B1277,'TCH (append)'!C:K,9,0)="Completed","Hoàn thành đấu thầu",
IF(VLOOKUP(B1277,'TCH (append)'!C:J,8,0)="Completed","Hoàn thành dự toán",
IF(VLOOKUP(B1277,'TCH (append)'!C:I,7,0)="Completed","Hoàn thành thiết kế",
"Chưa thiết kế")))),"Chưa có trong file PMO")</f>
        <v>Chưa có trong file PMO</v>
      </c>
      <c r="H1277" s="1" t="str">
        <f>IFERROR(VLOOKUP(B1277,'Plan 2026'!B:AW,48,0), VLOOKUP(B1277,'TCH (append)'!C:D,2,0)
)</f>
        <v>Dao Niu Guo Huỳnh Thúc KhángHuỳnh Thúc Kháng, Láng Hạ, Đống Đa, Hà Nội</v>
      </c>
      <c r="J1277" s="1" t="s">
        <v>2044</v>
      </c>
      <c r="K1277" s="1" t="s">
        <v>2045</v>
      </c>
      <c r="L1277" s="2" t="str">
        <f>IF(
    F1277&lt;&gt;"Đã ký",
    "Chưa triển khai",
    IF(
        IFERROR(VLOOKUP(B1277,TCH[[Code budget]:[Ngày kết thúc thi công theo kế hoạch]],10,0),0)&gt;0,
        VLOOKUP(B1277,TCH[[Code budget]:[Ngày kết thúc thi công theo kế hoạch]],10,0),
        IFERROR(
            DATE(2026,VLOOKUP(B1277,'Plan 2026'!B:H,7,0),31),
            "Chưa triển khai"
        )
    )
)</f>
        <v>Chưa triển khai</v>
      </c>
      <c r="M1277" s="2" t="s">
        <v>6688</v>
      </c>
    </row>
    <row r="1278" spans="2:13" ht="11.25" hidden="1" customHeight="1" x14ac:dyDescent="0.25">
      <c r="B1278" s="1" t="s">
        <v>3207</v>
      </c>
      <c r="C1278" s="17" t="str">
        <f>IFERROR(LEFT(VLOOKUP(B1278,'For consider'!D:E,2,0),8),"Chưa có code")</f>
        <v>Chưa có code</v>
      </c>
      <c r="E1278" s="1" t="str">
        <f t="shared" si="4"/>
        <v>Chưa triển khai</v>
      </c>
      <c r="F1278" s="1" t="str">
        <f>IFERROR(VLOOKUP(B1278,'Plan 2026'!B:AC,28,0),"không có trong file network")</f>
        <v>Chưa có</v>
      </c>
      <c r="G1278" s="1" t="str">
        <f>IFERROR(IF(VLOOKUP(B1278,'TCH (append)'!C:P,14,0)="Completed","Hoàn thành thi công",
IF(VLOOKUP(B1278,'TCH (append)'!C:K,9,0)="Completed","Hoàn thành đấu thầu",
IF(VLOOKUP(B1278,'TCH (append)'!C:J,8,0)="Completed","Hoàn thành dự toán",
IF(VLOOKUP(B1278,'TCH (append)'!C:I,7,0)="Completed","Hoàn thành thiết kế",
"Chưa thiết kế")))),"Chưa có trong file PMO")</f>
        <v>Chưa có trong file PMO</v>
      </c>
      <c r="H1278" s="1" t="str">
        <f>IFERROR(VLOOKUP(B1278,'Plan 2026'!B:AW,48,0), VLOOKUP(B1278,'TCH (append)'!C:D,2,0)
)</f>
        <v>Sumogoya Lê Trọng Tấn/Vũ Trọng PhụngLê Trọng Tấn/Vũ Trọng Phụng, Thanh Xuân Trung, Thanh Xuân, Hà Nội</v>
      </c>
      <c r="J1278" s="1" t="s">
        <v>51</v>
      </c>
      <c r="K1278" s="1" t="s">
        <v>52</v>
      </c>
      <c r="L1278" s="2" t="str">
        <f>IF(
    F1278&lt;&gt;"Đã ký",
    "Chưa triển khai",
    IF(
        IFERROR(VLOOKUP(B1278,TCH[[Code budget]:[Ngày kết thúc thi công theo kế hoạch]],10,0),0)&gt;0,
        VLOOKUP(B1278,TCH[[Code budget]:[Ngày kết thúc thi công theo kế hoạch]],10,0),
        IFERROR(
            DATE(2026,VLOOKUP(B1278,'Plan 2026'!B:H,7,0),31),
            "Chưa triển khai"
        )
    )
)</f>
        <v>Chưa triển khai</v>
      </c>
      <c r="M1278" s="2" t="s">
        <v>6688</v>
      </c>
    </row>
    <row r="1279" spans="2:13" ht="11.25" hidden="1" customHeight="1" x14ac:dyDescent="0.25">
      <c r="B1279" s="1" t="s">
        <v>3224</v>
      </c>
      <c r="C1279" s="17" t="str">
        <f>IFERROR(LEFT(VLOOKUP(B1279,'For consider'!D:E,2,0),8),"Chưa có code")</f>
        <v>Chưa có code</v>
      </c>
      <c r="E1279" s="1" t="str">
        <f t="shared" si="4"/>
        <v>Chưa triển khai</v>
      </c>
      <c r="F1279" s="1" t="str">
        <f>IFERROR(VLOOKUP(B1279,'Plan 2026'!B:AC,28,0),"không có trong file network")</f>
        <v>Không có</v>
      </c>
      <c r="G1279" s="1" t="str">
        <f>IFERROR(IF(VLOOKUP(B1279,'TCH (append)'!C:P,14,0)="Completed","Hoàn thành thi công",
IF(VLOOKUP(B1279,'TCH (append)'!C:K,9,0)="Completed","Hoàn thành đấu thầu",
IF(VLOOKUP(B1279,'TCH (append)'!C:J,8,0)="Completed","Hoàn thành dự toán",
IF(VLOOKUP(B1279,'TCH (append)'!C:I,7,0)="Completed","Hoàn thành thiết kế",
"Chưa thiết kế")))),"Chưa có trong file PMO")</f>
        <v>Chưa có trong file PMO</v>
      </c>
      <c r="H1279" s="1" t="str">
        <f>IFERROR(VLOOKUP(B1279,'Plan 2026'!B:AW,48,0), VLOOKUP(B1279,'TCH (append)'!C:D,2,0)
)</f>
        <v>Chix Max 175 Nguyễn Thái HọcHanoi Centre175 Nguyễn Thái Học, Giảng Võ, Ba Đình, Hà Nội</v>
      </c>
      <c r="J1279" s="1" t="s">
        <v>1319</v>
      </c>
      <c r="K1279" s="1" t="s">
        <v>1320</v>
      </c>
      <c r="L1279" s="2" t="str">
        <f>IF(
    F1279&lt;&gt;"Đã ký",
    "Chưa triển khai",
    IF(
        IFERROR(VLOOKUP(B1279,TCH[[Code budget]:[Ngày kết thúc thi công theo kế hoạch]],10,0),0)&gt;0,
        VLOOKUP(B1279,TCH[[Code budget]:[Ngày kết thúc thi công theo kế hoạch]],10,0),
        IFERROR(
            DATE(2026,VLOOKUP(B1279,'Plan 2026'!B:H,7,0),31),
            "Chưa triển khai"
        )
    )
)</f>
        <v>Chưa triển khai</v>
      </c>
      <c r="M1279" s="2" t="s">
        <v>6688</v>
      </c>
    </row>
    <row r="1280" spans="2:13" ht="11.25" hidden="1" customHeight="1" x14ac:dyDescent="0.25">
      <c r="B1280" s="1" t="s">
        <v>3242</v>
      </c>
      <c r="C1280" s="17" t="str">
        <f>IFERROR(LEFT(VLOOKUP(B1280,'For consider'!D:E,2,0),8),"Chưa có code")</f>
        <v>Chưa có code</v>
      </c>
      <c r="E1280" s="1" t="str">
        <f t="shared" si="4"/>
        <v>Chưa triển khai</v>
      </c>
      <c r="F1280" s="1" t="str">
        <f>IFERROR(VLOOKUP(B1280,'Plan 2026'!B:AC,28,0),"không có trong file network")</f>
        <v>Không có</v>
      </c>
      <c r="G1280" s="1" t="str">
        <f>IFERROR(IF(VLOOKUP(B1280,'TCH (append)'!C:P,14,0)="Completed","Hoàn thành thi công",
IF(VLOOKUP(B1280,'TCH (append)'!C:K,9,0)="Completed","Hoàn thành đấu thầu",
IF(VLOOKUP(B1280,'TCH (append)'!C:J,8,0)="Completed","Hoàn thành dự toán",
IF(VLOOKUP(B1280,'TCH (append)'!C:I,7,0)="Completed","Hoàn thành thiết kế",
"Chưa thiết kế")))),"Chưa có trong file PMO")</f>
        <v>Chưa có trong file PMO</v>
      </c>
      <c r="H1280" s="1" t="str">
        <f>IFERROR(VLOOKUP(B1280,'Plan 2026'!B:AW,48,0), VLOOKUP(B1280,'TCH (append)'!C:D,2,0)
)</f>
        <v>CloudPot Nguyễn Thái HọcHanoi CentreNguyễn Thái Học, Ô Chợ Dừa, Đống Đa, Hà Nội</v>
      </c>
      <c r="J1280" s="1" t="s">
        <v>1019</v>
      </c>
      <c r="K1280" s="1" t="s">
        <v>1020</v>
      </c>
      <c r="L1280" s="2" t="str">
        <f>IF(
    F1280&lt;&gt;"Đã ký",
    "Chưa triển khai",
    IF(
        IFERROR(VLOOKUP(B1280,TCH[[Code budget]:[Ngày kết thúc thi công theo kế hoạch]],10,0),0)&gt;0,
        VLOOKUP(B1280,TCH[[Code budget]:[Ngày kết thúc thi công theo kế hoạch]],10,0),
        IFERROR(
            DATE(2026,VLOOKUP(B1280,'Plan 2026'!B:H,7,0),31),
            "Chưa triển khai"
        )
    )
)</f>
        <v>Chưa triển khai</v>
      </c>
      <c r="M1280" s="2" t="s">
        <v>6688</v>
      </c>
    </row>
    <row r="1281" spans="2:13" ht="11.25" hidden="1" customHeight="1" x14ac:dyDescent="0.25">
      <c r="B1281" s="1" t="s">
        <v>3254</v>
      </c>
      <c r="C1281" s="17" t="str">
        <f>IFERROR(LEFT(VLOOKUP(B1281,'For consider'!D:E,2,0),8),"Chưa có code")</f>
        <v>Chưa có code</v>
      </c>
      <c r="E1281" s="1" t="str">
        <f t="shared" si="4"/>
        <v>Chưa triển khai</v>
      </c>
      <c r="F1281" s="1" t="str">
        <f>IFERROR(VLOOKUP(B1281,'Plan 2026'!B:AC,28,0),"không có trong file network")</f>
        <v>Đang offer</v>
      </c>
      <c r="G1281" s="1" t="str">
        <f>IFERROR(IF(VLOOKUP(B1281,'TCH (append)'!C:P,14,0)="Completed","Hoàn thành thi công",
IF(VLOOKUP(B1281,'TCH (append)'!C:K,9,0)="Completed","Hoàn thành đấu thầu",
IF(VLOOKUP(B1281,'TCH (append)'!C:J,8,0)="Completed","Hoàn thành dự toán",
IF(VLOOKUP(B1281,'TCH (append)'!C:I,7,0)="Completed","Hoàn thành thiết kế",
"Chưa thiết kế")))),"Chưa có trong file PMO")</f>
        <v>Chưa có trong file PMO</v>
      </c>
      <c r="H1281" s="1" t="str">
        <f>IFERROR(VLOOKUP(B1281,'Plan 2026'!B:AW,48,0), VLOOKUP(B1281,'TCH (append)'!C:D,2,0)
)</f>
        <v>Crystal Jade 175 Nguyễn Thái HọcHanoi Centre175 Nguyễn Thái Học, Ô Chợ Dừa, Đống Đa, Hà Nội</v>
      </c>
      <c r="J1281" s="1" t="s">
        <v>379</v>
      </c>
      <c r="K1281" s="1" t="s">
        <v>380</v>
      </c>
      <c r="L1281" s="2" t="str">
        <f>IF(
    F1281&lt;&gt;"Đã ký",
    "Chưa triển khai",
    IF(
        IFERROR(VLOOKUP(B1281,TCH[[Code budget]:[Ngày kết thúc thi công theo kế hoạch]],10,0),0)&gt;0,
        VLOOKUP(B1281,TCH[[Code budget]:[Ngày kết thúc thi công theo kế hoạch]],10,0),
        IFERROR(
            DATE(2026,VLOOKUP(B1281,'Plan 2026'!B:H,7,0),31),
            "Chưa triển khai"
        )
    )
)</f>
        <v>Chưa triển khai</v>
      </c>
      <c r="M1281" s="2" t="s">
        <v>6688</v>
      </c>
    </row>
    <row r="1282" spans="2:13" ht="11.25" hidden="1" customHeight="1" x14ac:dyDescent="0.25">
      <c r="B1282" s="1" t="s">
        <v>3260</v>
      </c>
      <c r="C1282" s="17" t="str">
        <f>IFERROR(LEFT(VLOOKUP(B1282,'For consider'!D:E,2,0),8),"Chưa có code")</f>
        <v>Chưa có code</v>
      </c>
      <c r="E1282" s="1" t="str">
        <f t="shared" si="4"/>
        <v>Chưa triển khai</v>
      </c>
      <c r="F1282" s="1" t="str">
        <f>IFERROR(VLOOKUP(B1282,'Plan 2026'!B:AC,28,0),"không có trong file network")</f>
        <v>Không có</v>
      </c>
      <c r="G1282" s="1" t="str">
        <f>IFERROR(IF(VLOOKUP(B1282,'TCH (append)'!C:P,14,0)="Completed","Hoàn thành thi công",
IF(VLOOKUP(B1282,'TCH (append)'!C:K,9,0)="Completed","Hoàn thành đấu thầu",
IF(VLOOKUP(B1282,'TCH (append)'!C:J,8,0)="Completed","Hoàn thành dự toán",
IF(VLOOKUP(B1282,'TCH (append)'!C:I,7,0)="Completed","Hoàn thành thiết kế",
"Chưa thiết kế")))),"Chưa có trong file PMO")</f>
        <v>Chưa có trong file PMO</v>
      </c>
      <c r="H1282" s="1" t="str">
        <f>IFERROR(VLOOKUP(B1282,'Plan 2026'!B:AW,48,0), VLOOKUP(B1282,'TCH (append)'!C:D,2,0)
)</f>
        <v>Sumogoya 175 Phố Nguyễn Thái HọcHanoi Centre175 Phố Nguyễn Thái Học, Giảng Võ, Ba Đình, Hà Nội</v>
      </c>
      <c r="J1282" s="1" t="s">
        <v>51</v>
      </c>
      <c r="K1282" s="1" t="s">
        <v>52</v>
      </c>
      <c r="L1282" s="2" t="str">
        <f>IF(
    F1282&lt;&gt;"Đã ký",
    "Chưa triển khai",
    IF(
        IFERROR(VLOOKUP(B1282,TCH[[Code budget]:[Ngày kết thúc thi công theo kế hoạch]],10,0),0)&gt;0,
        VLOOKUP(B1282,TCH[[Code budget]:[Ngày kết thúc thi công theo kế hoạch]],10,0),
        IFERROR(
            DATE(2026,VLOOKUP(B1282,'Plan 2026'!B:H,7,0),31),
            "Chưa triển khai"
        )
    )
)</f>
        <v>Chưa triển khai</v>
      </c>
      <c r="M1282" s="2" t="s">
        <v>6688</v>
      </c>
    </row>
    <row r="1283" spans="2:13" ht="11.25" hidden="1" customHeight="1" x14ac:dyDescent="0.25">
      <c r="B1283" s="1" t="s">
        <v>3267</v>
      </c>
      <c r="C1283" s="17" t="str">
        <f>IFERROR(LEFT(VLOOKUP(B1283,'For consider'!D:E,2,0),8),"Chưa có code")</f>
        <v>Chưa có code</v>
      </c>
      <c r="E1283" s="1" t="str">
        <f t="shared" si="4"/>
        <v>Chưa triển khai</v>
      </c>
      <c r="F1283" s="1" t="str">
        <f>IFERROR(VLOOKUP(B1283,'Plan 2026'!B:AC,28,0),"không có trong file network")</f>
        <v>Chưa có</v>
      </c>
      <c r="G1283" s="1" t="str">
        <f>IFERROR(IF(VLOOKUP(B1283,'TCH (append)'!C:P,14,0)="Completed","Hoàn thành thi công",
IF(VLOOKUP(B1283,'TCH (append)'!C:K,9,0)="Completed","Hoàn thành đấu thầu",
IF(VLOOKUP(B1283,'TCH (append)'!C:J,8,0)="Completed","Hoàn thành dự toán",
IF(VLOOKUP(B1283,'TCH (append)'!C:I,7,0)="Completed","Hoàn thành thiết kế",
"Chưa thiết kế")))),"Chưa có trong file PMO")</f>
        <v>Chưa có trong file PMO</v>
      </c>
      <c r="H1283" s="1" t="str">
        <f>IFERROR(VLOOKUP(B1283,'Plan 2026'!B:AW,48,0), VLOOKUP(B1283,'TCH (append)'!C:D,2,0)
)</f>
        <v>Gogi House 280 Trần PhúBao Loc Center</v>
      </c>
      <c r="J1283" s="1" t="s">
        <v>76</v>
      </c>
      <c r="K1283" s="1" t="s">
        <v>77</v>
      </c>
      <c r="L1283" s="2" t="str">
        <f>IF(
    F1283&lt;&gt;"Đã ký",
    "Chưa triển khai",
    IF(
        IFERROR(VLOOKUP(B1283,TCH[[Code budget]:[Ngày kết thúc thi công theo kế hoạch]],10,0),0)&gt;0,
        VLOOKUP(B1283,TCH[[Code budget]:[Ngày kết thúc thi công theo kế hoạch]],10,0),
        IFERROR(
            DATE(2026,VLOOKUP(B1283,'Plan 2026'!B:H,7,0),31),
            "Chưa triển khai"
        )
    )
)</f>
        <v>Chưa triển khai</v>
      </c>
      <c r="M1283" s="2" t="s">
        <v>6688</v>
      </c>
    </row>
    <row r="1284" spans="2:13" ht="11.25" hidden="1" customHeight="1" x14ac:dyDescent="0.25">
      <c r="B1284" s="1" t="s">
        <v>3281</v>
      </c>
      <c r="C1284" s="17" t="str">
        <f>IFERROR(LEFT(VLOOKUP(B1284,'For consider'!D:E,2,0),8),"Chưa có code")</f>
        <v>Chưa có code</v>
      </c>
      <c r="E1284" s="1" t="str">
        <f t="shared" si="4"/>
        <v>Chưa triển khai</v>
      </c>
      <c r="F1284" s="1" t="str">
        <f>IFERROR(VLOOKUP(B1284,'Plan 2026'!B:AC,28,0),"không có trong file network")</f>
        <v>Đang offer</v>
      </c>
      <c r="G1284" s="1" t="str">
        <f>IFERROR(IF(VLOOKUP(B1284,'TCH (append)'!C:P,14,0)="Completed","Hoàn thành thi công",
IF(VLOOKUP(B1284,'TCH (append)'!C:K,9,0)="Completed","Hoàn thành đấu thầu",
IF(VLOOKUP(B1284,'TCH (append)'!C:J,8,0)="Completed","Hoàn thành dự toán",
IF(VLOOKUP(B1284,'TCH (append)'!C:I,7,0)="Completed","Hoàn thành thiết kế",
"Chưa thiết kế")))),"Chưa có trong file PMO")</f>
        <v>Chưa có trong file PMO</v>
      </c>
      <c r="H1284" s="1" t="str">
        <f>IFERROR(VLOOKUP(B1284,'Plan 2026'!B:AW,48,0), VLOOKUP(B1284,'TCH (append)'!C:D,2,0)
)</f>
        <v>Ngonya Linh Lang/Phan Kế Bính/Kim Mã ThượngLinh Lang/Phan Kế Bính/Kim Mã Thượng, Cống Vị, Ba Đình, Hà Nội</v>
      </c>
      <c r="J1284" s="1" t="s">
        <v>2086</v>
      </c>
      <c r="K1284" s="1" t="s">
        <v>2087</v>
      </c>
      <c r="L1284" s="2" t="str">
        <f>IF(
    F1284&lt;&gt;"Đã ký",
    "Chưa triển khai",
    IF(
        IFERROR(VLOOKUP(B1284,TCH[[Code budget]:[Ngày kết thúc thi công theo kế hoạch]],10,0),0)&gt;0,
        VLOOKUP(B1284,TCH[[Code budget]:[Ngày kết thúc thi công theo kế hoạch]],10,0),
        IFERROR(
            DATE(2026,VLOOKUP(B1284,'Plan 2026'!B:H,7,0),31),
            "Chưa triển khai"
        )
    )
)</f>
        <v>Chưa triển khai</v>
      </c>
      <c r="M1284" s="2" t="s">
        <v>6688</v>
      </c>
    </row>
    <row r="1285" spans="2:13" ht="11.25" hidden="1" customHeight="1" x14ac:dyDescent="0.25">
      <c r="B1285" s="1" t="s">
        <v>3326</v>
      </c>
      <c r="C1285" s="17" t="str">
        <f>IFERROR(LEFT(VLOOKUP(B1285,'For consider'!D:E,2,0),8),"Chưa có code")</f>
        <v>Chưa có code</v>
      </c>
      <c r="E1285" s="1" t="str">
        <f t="shared" si="4"/>
        <v>Chưa triển khai</v>
      </c>
      <c r="F1285" s="1" t="str">
        <f>IFERROR(VLOOKUP(B1285,'Plan 2026'!B:AC,28,0),"không có trong file network")</f>
        <v>Reject</v>
      </c>
      <c r="G1285" s="1" t="str">
        <f>IFERROR(IF(VLOOKUP(B1285,'TCH (append)'!C:P,14,0)="Completed","Hoàn thành thi công",
IF(VLOOKUP(B1285,'TCH (append)'!C:K,9,0)="Completed","Hoàn thành đấu thầu",
IF(VLOOKUP(B1285,'TCH (append)'!C:J,8,0)="Completed","Hoàn thành dự toán",
IF(VLOOKUP(B1285,'TCH (append)'!C:I,7,0)="Completed","Hoàn thành thiết kế",
"Chưa thiết kế")))),"Chưa có trong file PMO")</f>
        <v>Chưa có trong file PMO</v>
      </c>
      <c r="H1285" s="1" t="str">
        <f>IFERROR(VLOOKUP(B1285,'Plan 2026'!B:AW,48,0), VLOOKUP(B1285,'TCH (append)'!C:D,2,0)
)</f>
        <v>Universal Tea 2 Đường Phạm Ngọc ThạchVincom Center Phạm Ngọc Thạch2 Đường Phạm Ngọc Thạch, Trung Tự, Đống Đa, Hà Nội</v>
      </c>
      <c r="J1285" s="1" t="s">
        <v>1446</v>
      </c>
      <c r="K1285" s="1" t="s">
        <v>1447</v>
      </c>
      <c r="L1285" s="2" t="str">
        <f>IF(
    F1285&lt;&gt;"Đã ký",
    "Chưa triển khai",
    IF(
        IFERROR(VLOOKUP(B1285,TCH[[Code budget]:[Ngày kết thúc thi công theo kế hoạch]],10,0),0)&gt;0,
        VLOOKUP(B1285,TCH[[Code budget]:[Ngày kết thúc thi công theo kế hoạch]],10,0),
        IFERROR(
            DATE(2026,VLOOKUP(B1285,'Plan 2026'!B:H,7,0),31),
            "Chưa triển khai"
        )
    )
)</f>
        <v>Chưa triển khai</v>
      </c>
      <c r="M1285" s="2" t="s">
        <v>6688</v>
      </c>
    </row>
    <row r="1286" spans="2:13" ht="11.25" hidden="1" customHeight="1" x14ac:dyDescent="0.25">
      <c r="B1286" s="1" t="s">
        <v>3346</v>
      </c>
      <c r="C1286" s="17" t="str">
        <f>IFERROR(LEFT(VLOOKUP(B1286,'For consider'!D:E,2,0),8),"Chưa có code")</f>
        <v>Chưa có code</v>
      </c>
      <c r="E1286" s="1" t="str">
        <f t="shared" si="4"/>
        <v>Chưa triển khai</v>
      </c>
      <c r="F1286" s="1" t="str">
        <f>IFERROR(VLOOKUP(B1286,'Plan 2026'!B:AC,28,0),"không có trong file network")</f>
        <v>Chưa có</v>
      </c>
      <c r="G1286" s="1" t="str">
        <f>IFERROR(IF(VLOOKUP(B1286,'TCH (append)'!C:P,14,0)="Completed","Hoàn thành thi công",
IF(VLOOKUP(B1286,'TCH (append)'!C:K,9,0)="Completed","Hoàn thành đấu thầu",
IF(VLOOKUP(B1286,'TCH (append)'!C:J,8,0)="Completed","Hoàn thành dự toán",
IF(VLOOKUP(B1286,'TCH (append)'!C:I,7,0)="Completed","Hoàn thành thiết kế",
"Chưa thiết kế")))),"Chưa có trong file PMO")</f>
        <v>Chưa có trong file PMO</v>
      </c>
      <c r="H1286" s="1" t="str">
        <f>IFERROR(VLOOKUP(B1286,'Plan 2026'!B:AW,48,0), VLOOKUP(B1286,'TCH (append)'!C:D,2,0)
)</f>
        <v>Gogi House Ngọc KhánhNgọc Khánh, Giảng Võ, Ba Đình, Hà Nội</v>
      </c>
      <c r="J1286" s="1" t="s">
        <v>76</v>
      </c>
      <c r="K1286" s="1" t="s">
        <v>77</v>
      </c>
      <c r="L1286" s="2" t="str">
        <f>IF(
    F1286&lt;&gt;"Đã ký",
    "Chưa triển khai",
    IF(
        IFERROR(VLOOKUP(B1286,TCH[[Code budget]:[Ngày kết thúc thi công theo kế hoạch]],10,0),0)&gt;0,
        VLOOKUP(B1286,TCH[[Code budget]:[Ngày kết thúc thi công theo kế hoạch]],10,0),
        IFERROR(
            DATE(2026,VLOOKUP(B1286,'Plan 2026'!B:H,7,0),31),
            "Chưa triển khai"
        )
    )
)</f>
        <v>Chưa triển khai</v>
      </c>
      <c r="M1286" s="2" t="s">
        <v>6688</v>
      </c>
    </row>
    <row r="1287" spans="2:13" ht="11.25" hidden="1" customHeight="1" x14ac:dyDescent="0.25">
      <c r="B1287" s="1" t="s">
        <v>3352</v>
      </c>
      <c r="C1287" s="17" t="str">
        <f>IFERROR(LEFT(VLOOKUP(B1287,'For consider'!D:E,2,0),8),"Chưa có code")</f>
        <v>Chưa có code</v>
      </c>
      <c r="E1287" s="1" t="str">
        <f t="shared" si="4"/>
        <v>Chưa triển khai</v>
      </c>
      <c r="F1287" s="1" t="str">
        <f>IFERROR(VLOOKUP(B1287,'Plan 2026'!B:AC,28,0),"không có trong file network")</f>
        <v>Hủy bỏ</v>
      </c>
      <c r="G1287" s="1" t="str">
        <f>IFERROR(IF(VLOOKUP(B1287,'TCH (append)'!C:P,14,0)="Completed","Hoàn thành thi công",
IF(VLOOKUP(B1287,'TCH (append)'!C:K,9,0)="Completed","Hoàn thành đấu thầu",
IF(VLOOKUP(B1287,'TCH (append)'!C:J,8,0)="Completed","Hoàn thành dự toán",
IF(VLOOKUP(B1287,'TCH (append)'!C:I,7,0)="Completed","Hoàn thành thiết kế",
"Chưa thiết kế")))),"Chưa có trong file PMO")</f>
        <v>Chưa có trong file PMO</v>
      </c>
      <c r="H1287" s="1" t="str">
        <f>IFERROR(VLOOKUP(B1287,'Plan 2026'!B:AW,48,0), VLOOKUP(B1287,'TCH (append)'!C:D,2,0)
)</f>
        <v>Universal Tea Nguyễn Văn LộcNguyễn Văn Lộc, Mộ Lao, Hà Đông, Hà Nội</v>
      </c>
      <c r="J1287" s="1" t="s">
        <v>1446</v>
      </c>
      <c r="K1287" s="1" t="s">
        <v>1447</v>
      </c>
      <c r="L1287" s="2" t="str">
        <f>IF(
    F1287&lt;&gt;"Đã ký",
    "Chưa triển khai",
    IF(
        IFERROR(VLOOKUP(B1287,TCH[[Code budget]:[Ngày kết thúc thi công theo kế hoạch]],10,0),0)&gt;0,
        VLOOKUP(B1287,TCH[[Code budget]:[Ngày kết thúc thi công theo kế hoạch]],10,0),
        IFERROR(
            DATE(2026,VLOOKUP(B1287,'Plan 2026'!B:H,7,0),31),
            "Chưa triển khai"
        )
    )
)</f>
        <v>Chưa triển khai</v>
      </c>
      <c r="M1287" s="2" t="s">
        <v>6688</v>
      </c>
    </row>
    <row r="1288" spans="2:13" ht="11.25" hidden="1" customHeight="1" x14ac:dyDescent="0.25">
      <c r="B1288" s="1" t="s">
        <v>3366</v>
      </c>
      <c r="C1288" s="17" t="str">
        <f>IFERROR(LEFT(VLOOKUP(B1288,'For consider'!D:E,2,0),8),"Chưa có code")</f>
        <v>Chưa có code</v>
      </c>
      <c r="E1288" s="1" t="str">
        <f t="shared" si="4"/>
        <v>Chưa triển khai</v>
      </c>
      <c r="F1288" s="1" t="str">
        <f>IFERROR(VLOOKUP(B1288,'Plan 2026'!B:AC,28,0),"không có trong file network")</f>
        <v>Chưa có</v>
      </c>
      <c r="G1288" s="1" t="str">
        <f>IFERROR(IF(VLOOKUP(B1288,'TCH (append)'!C:P,14,0)="Completed","Hoàn thành thi công",
IF(VLOOKUP(B1288,'TCH (append)'!C:K,9,0)="Completed","Hoàn thành đấu thầu",
IF(VLOOKUP(B1288,'TCH (append)'!C:J,8,0)="Completed","Hoàn thành dự toán",
IF(VLOOKUP(B1288,'TCH (append)'!C:I,7,0)="Completed","Hoàn thành thiết kế",
"Chưa thiết kế")))),"Chưa có trong file PMO")</f>
        <v>Chưa có trong file PMO</v>
      </c>
      <c r="H1288" s="1" t="str">
        <f>IFERROR(VLOOKUP(B1288,'Plan 2026'!B:AW,48,0), VLOOKUP(B1288,'TCH (append)'!C:D,2,0)
)</f>
        <v>Sumogoya Tô Hiến Thành/Ngô Thì NhậmTô Hiến Thành/Ngô Thì Nhậm, Phạm Đình Hổ, Hai Bà Trưng, Hà Nội</v>
      </c>
      <c r="J1288" s="1" t="s">
        <v>51</v>
      </c>
      <c r="K1288" s="1" t="s">
        <v>52</v>
      </c>
      <c r="L1288" s="2" t="str">
        <f>IF(
    F1288&lt;&gt;"Đã ký",
    "Chưa triển khai",
    IF(
        IFERROR(VLOOKUP(B1288,TCH[[Code budget]:[Ngày kết thúc thi công theo kế hoạch]],10,0),0)&gt;0,
        VLOOKUP(B1288,TCH[[Code budget]:[Ngày kết thúc thi công theo kế hoạch]],10,0),
        IFERROR(
            DATE(2026,VLOOKUP(B1288,'Plan 2026'!B:H,7,0),31),
            "Chưa triển khai"
        )
    )
)</f>
        <v>Chưa triển khai</v>
      </c>
      <c r="M1288" s="2" t="s">
        <v>6688</v>
      </c>
    </row>
    <row r="1289" spans="2:13" ht="11.25" hidden="1" customHeight="1" x14ac:dyDescent="0.25">
      <c r="B1289" s="1" t="s">
        <v>3396</v>
      </c>
      <c r="C1289" s="17" t="str">
        <f>IFERROR(LEFT(VLOOKUP(B1289,'For consider'!D:E,2,0),8),"Chưa có code")</f>
        <v>Chưa có code</v>
      </c>
      <c r="E1289" s="1" t="str">
        <f t="shared" si="4"/>
        <v>Chưa triển khai</v>
      </c>
      <c r="F1289" s="1" t="str">
        <f>IFERROR(VLOOKUP(B1289,'Plan 2026'!B:AC,28,0),"không có trong file network")</f>
        <v>Chưa có</v>
      </c>
      <c r="G1289" s="1" t="str">
        <f>IFERROR(IF(VLOOKUP(B1289,'TCH (append)'!C:P,14,0)="Completed","Hoàn thành thi công",
IF(VLOOKUP(B1289,'TCH (append)'!C:K,9,0)="Completed","Hoàn thành đấu thầu",
IF(VLOOKUP(B1289,'TCH (append)'!C:J,8,0)="Completed","Hoàn thành dự toán",
IF(VLOOKUP(B1289,'TCH (append)'!C:I,7,0)="Completed","Hoàn thành thiết kế",
"Chưa thiết kế")))),"Chưa có trong file PMO")</f>
        <v>Chưa có trong file PMO</v>
      </c>
      <c r="H1289" s="1" t="str">
        <f>IFERROR(VLOOKUP(B1289,'Plan 2026'!B:AW,48,0), VLOOKUP(B1289,'TCH (append)'!C:D,2,0)
)</f>
        <v>Man Tang Guo 175 Nguyễn Thái HọcHanoi Centre175 Nguyễn Thái Học, Cát Linh, Đống Đa, Hà Nội</v>
      </c>
      <c r="J1289" s="1" t="s">
        <v>1561</v>
      </c>
      <c r="K1289" s="1" t="s">
        <v>1562</v>
      </c>
      <c r="L1289" s="2" t="str">
        <f>IF(
    F1289&lt;&gt;"Đã ký",
    "Chưa triển khai",
    IF(
        IFERROR(VLOOKUP(B1289,TCH[[Code budget]:[Ngày kết thúc thi công theo kế hoạch]],10,0),0)&gt;0,
        VLOOKUP(B1289,TCH[[Code budget]:[Ngày kết thúc thi công theo kế hoạch]],10,0),
        IFERROR(
            DATE(2026,VLOOKUP(B1289,'Plan 2026'!B:H,7,0),31),
            "Chưa triển khai"
        )
    )
)</f>
        <v>Chưa triển khai</v>
      </c>
      <c r="M1289" s="2" t="s">
        <v>6688</v>
      </c>
    </row>
    <row r="1290" spans="2:13" ht="11.25" hidden="1" customHeight="1" x14ac:dyDescent="0.25">
      <c r="B1290" s="1" t="s">
        <v>3408</v>
      </c>
      <c r="C1290" s="17" t="str">
        <f>IFERROR(LEFT(VLOOKUP(B1290,'For consider'!D:E,2,0),8),"Chưa có code")</f>
        <v>Chưa có code</v>
      </c>
      <c r="E1290" s="1" t="str">
        <f t="shared" si="4"/>
        <v>Chưa triển khai</v>
      </c>
      <c r="F1290" s="1" t="str">
        <f>IFERROR(VLOOKUP(B1290,'Plan 2026'!B:AC,28,0),"không có trong file network")</f>
        <v>Không có</v>
      </c>
      <c r="G1290" s="1" t="str">
        <f>IFERROR(IF(VLOOKUP(B1290,'TCH (append)'!C:P,14,0)="Completed","Hoàn thành thi công",
IF(VLOOKUP(B1290,'TCH (append)'!C:K,9,0)="Completed","Hoàn thành đấu thầu",
IF(VLOOKUP(B1290,'TCH (append)'!C:J,8,0)="Completed","Hoàn thành dự toán",
IF(VLOOKUP(B1290,'TCH (append)'!C:I,7,0)="Completed","Hoàn thành thiết kế",
"Chưa thiết kế")))),"Chưa có trong file PMO")</f>
        <v>Chưa có trong file PMO</v>
      </c>
      <c r="H1290" s="1" t="str">
        <f>IFERROR(VLOOKUP(B1290,'Plan 2026'!B:AW,48,0), VLOOKUP(B1290,'TCH (append)'!C:D,2,0)
)</f>
        <v>Shogun 175 Phố Nguyễn Thái HọcHanoi Centre175 Phố Nguyễn Thái Học, Cát Linh, Đống Đa, Hà Nội</v>
      </c>
      <c r="J1290" s="1" t="s">
        <v>183</v>
      </c>
      <c r="K1290" s="1" t="s">
        <v>184</v>
      </c>
      <c r="L1290" s="2" t="str">
        <f>IF(
    F1290&lt;&gt;"Đã ký",
    "Chưa triển khai",
    IF(
        IFERROR(VLOOKUP(B1290,TCH[[Code budget]:[Ngày kết thúc thi công theo kế hoạch]],10,0),0)&gt;0,
        VLOOKUP(B1290,TCH[[Code budget]:[Ngày kết thúc thi công theo kế hoạch]],10,0),
        IFERROR(
            DATE(2026,VLOOKUP(B1290,'Plan 2026'!B:H,7,0),31),
            "Chưa triển khai"
        )
    )
)</f>
        <v>Chưa triển khai</v>
      </c>
      <c r="M1290" s="2" t="s">
        <v>6688</v>
      </c>
    </row>
    <row r="1291" spans="2:13" ht="11.25" hidden="1" customHeight="1" x14ac:dyDescent="0.25">
      <c r="B1291" s="1" t="s">
        <v>3414</v>
      </c>
      <c r="C1291" s="17" t="str">
        <f>IFERROR(LEFT(VLOOKUP(B1291,'For consider'!D:E,2,0),8),"Chưa có code")</f>
        <v>Chưa có code</v>
      </c>
      <c r="E1291" s="1" t="str">
        <f t="shared" si="4"/>
        <v>Chưa triển khai</v>
      </c>
      <c r="F1291" s="1" t="str">
        <f>IFERROR(VLOOKUP(B1291,'Plan 2026'!B:AC,28,0),"không có trong file network")</f>
        <v>Chưa có</v>
      </c>
      <c r="G1291" s="1" t="str">
        <f>IFERROR(IF(VLOOKUP(B1291,'TCH (append)'!C:P,14,0)="Completed","Hoàn thành thi công",
IF(VLOOKUP(B1291,'TCH (append)'!C:K,9,0)="Completed","Hoàn thành đấu thầu",
IF(VLOOKUP(B1291,'TCH (append)'!C:J,8,0)="Completed","Hoàn thành dự toán",
IF(VLOOKUP(B1291,'TCH (append)'!C:I,7,0)="Completed","Hoàn thành thiết kế",
"Chưa thiết kế")))),"Chưa có trong file PMO")</f>
        <v>Chưa có trong file PMO</v>
      </c>
      <c r="H1291" s="1" t="str">
        <f>IFERROR(VLOOKUP(B1291,'Plan 2026'!B:AW,48,0), VLOOKUP(B1291,'TCH (append)'!C:D,2,0)
)</f>
        <v>Mama's Bakery Bách - Kinh - XâyBách - Kinh - Xây, Bách Khoa, Hai Bà Trưng, Hà Nội</v>
      </c>
      <c r="J1291" s="1" t="s">
        <v>1611</v>
      </c>
      <c r="K1291" s="1" t="s">
        <v>1612</v>
      </c>
      <c r="L1291" s="2" t="str">
        <f>IF(
    F1291&lt;&gt;"Đã ký",
    "Chưa triển khai",
    IF(
        IFERROR(VLOOKUP(B1291,TCH[[Code budget]:[Ngày kết thúc thi công theo kế hoạch]],10,0),0)&gt;0,
        VLOOKUP(B1291,TCH[[Code budget]:[Ngày kết thúc thi công theo kế hoạch]],10,0),
        IFERROR(
            DATE(2026,VLOOKUP(B1291,'Plan 2026'!B:H,7,0),31),
            "Chưa triển khai"
        )
    )
)</f>
        <v>Chưa triển khai</v>
      </c>
      <c r="M1291" s="2" t="s">
        <v>6688</v>
      </c>
    </row>
    <row r="1292" spans="2:13" ht="11.25" hidden="1" customHeight="1" x14ac:dyDescent="0.25">
      <c r="B1292" s="1" t="s">
        <v>3428</v>
      </c>
      <c r="C1292" s="17" t="str">
        <f>IFERROR(LEFT(VLOOKUP(B1292,'For consider'!D:E,2,0),8),"Chưa có code")</f>
        <v>Chưa có code</v>
      </c>
      <c r="E1292" s="1" t="str">
        <f t="shared" ref="E1292:E1355" si="5">IF(AND(F1292="Đã ký",G1292&lt;&gt;"Chưa có trong file PMO"),"Waiting for open",IF(F1292="Đã ký","Lock mb chưa thi công","Chưa triển khai"))</f>
        <v>Chưa triển khai</v>
      </c>
      <c r="F1292" s="1" t="str">
        <f>IFERROR(VLOOKUP(B1292,'Plan 2026'!B:AC,28,0),"không có trong file network")</f>
        <v>Hủy bỏ</v>
      </c>
      <c r="G1292" s="1" t="str">
        <f>IFERROR(IF(VLOOKUP(B1292,'TCH (append)'!C:P,14,0)="Completed","Hoàn thành thi công",
IF(VLOOKUP(B1292,'TCH (append)'!C:K,9,0)="Completed","Hoàn thành đấu thầu",
IF(VLOOKUP(B1292,'TCH (append)'!C:J,8,0)="Completed","Hoàn thành dự toán",
IF(VLOOKUP(B1292,'TCH (append)'!C:I,7,0)="Completed","Hoàn thành thiết kế",
"Chưa thiết kế")))),"Chưa có trong file PMO")</f>
        <v>Chưa có trong file PMO</v>
      </c>
      <c r="H1292" s="1" t="str">
        <f>IFERROR(VLOOKUP(B1292,'Plan 2026'!B:AW,48,0), VLOOKUP(B1292,'TCH (append)'!C:D,2,0)
)</f>
        <v>Universal Tea Bách Khoa, Hai Bà Trưng, Hà Nội</v>
      </c>
      <c r="J1292" s="1" t="s">
        <v>1446</v>
      </c>
      <c r="K1292" s="1" t="s">
        <v>1447</v>
      </c>
      <c r="L1292" s="2" t="str">
        <f>IF(
    F1292&lt;&gt;"Đã ký",
    "Chưa triển khai",
    IF(
        IFERROR(VLOOKUP(B1292,TCH[[Code budget]:[Ngày kết thúc thi công theo kế hoạch]],10,0),0)&gt;0,
        VLOOKUP(B1292,TCH[[Code budget]:[Ngày kết thúc thi công theo kế hoạch]],10,0),
        IFERROR(
            DATE(2026,VLOOKUP(B1292,'Plan 2026'!B:H,7,0),31),
            "Chưa triển khai"
        )
    )
)</f>
        <v>Chưa triển khai</v>
      </c>
      <c r="M1292" s="2" t="s">
        <v>6688</v>
      </c>
    </row>
    <row r="1293" spans="2:13" ht="11.25" hidden="1" customHeight="1" x14ac:dyDescent="0.25">
      <c r="B1293" s="1" t="s">
        <v>3449</v>
      </c>
      <c r="C1293" s="17" t="str">
        <f>IFERROR(LEFT(VLOOKUP(B1293,'For consider'!D:E,2,0),8),"Chưa có code")</f>
        <v>Chưa có code</v>
      </c>
      <c r="E1293" s="1" t="str">
        <f t="shared" si="5"/>
        <v>Chưa triển khai</v>
      </c>
      <c r="F1293" s="1" t="str">
        <f>IFERROR(VLOOKUP(B1293,'Plan 2026'!B:AC,28,0),"không có trong file network")</f>
        <v>Chưa có</v>
      </c>
      <c r="G1293" s="1" t="str">
        <f>IFERROR(IF(VLOOKUP(B1293,'TCH (append)'!C:P,14,0)="Completed","Hoàn thành thi công",
IF(VLOOKUP(B1293,'TCH (append)'!C:K,9,0)="Completed","Hoàn thành đấu thầu",
IF(VLOOKUP(B1293,'TCH (append)'!C:J,8,0)="Completed","Hoàn thành dự toán",
IF(VLOOKUP(B1293,'TCH (append)'!C:I,7,0)="Completed","Hoàn thành thiết kế",
"Chưa thiết kế")))),"Chưa có trong file PMO")</f>
        <v>Chưa có trong file PMO</v>
      </c>
      <c r="H1293" s="1" t="str">
        <f>IFERROR(VLOOKUP(B1293,'Plan 2026'!B:AW,48,0), VLOOKUP(B1293,'TCH (append)'!C:D,2,0)
)</f>
        <v>Chibo Nguyễn Hữu HuânNguyễn Hữu Huân, Lý Thái Tổ, Hoàn Kiếm, Hà Nội</v>
      </c>
      <c r="J1293" s="1" t="s">
        <v>1506</v>
      </c>
      <c r="K1293" s="1" t="s">
        <v>1507</v>
      </c>
      <c r="L1293" s="2" t="str">
        <f>IF(
    F1293&lt;&gt;"Đã ký",
    "Chưa triển khai",
    IF(
        IFERROR(VLOOKUP(B1293,TCH[[Code budget]:[Ngày kết thúc thi công theo kế hoạch]],10,0),0)&gt;0,
        VLOOKUP(B1293,TCH[[Code budget]:[Ngày kết thúc thi công theo kế hoạch]],10,0),
        IFERROR(
            DATE(2026,VLOOKUP(B1293,'Plan 2026'!B:H,7,0),31),
            "Chưa triển khai"
        )
    )
)</f>
        <v>Chưa triển khai</v>
      </c>
      <c r="M1293" s="2" t="s">
        <v>6688</v>
      </c>
    </row>
    <row r="1294" spans="2:13" ht="11.25" hidden="1" customHeight="1" x14ac:dyDescent="0.25">
      <c r="B1294" s="1" t="s">
        <v>3473</v>
      </c>
      <c r="C1294" s="17" t="str">
        <f>IFERROR(LEFT(VLOOKUP(B1294,'For consider'!D:E,2,0),8),"Chưa có code")</f>
        <v>Chưa có code</v>
      </c>
      <c r="E1294" s="1" t="str">
        <f t="shared" si="5"/>
        <v>Chưa triển khai</v>
      </c>
      <c r="F1294" s="1" t="str">
        <f>IFERROR(VLOOKUP(B1294,'Plan 2026'!B:AC,28,0),"không có trong file network")</f>
        <v>Hủy bỏ</v>
      </c>
      <c r="G1294" s="1" t="str">
        <f>IFERROR(IF(VLOOKUP(B1294,'TCH (append)'!C:P,14,0)="Completed","Hoàn thành thi công",
IF(VLOOKUP(B1294,'TCH (append)'!C:K,9,0)="Completed","Hoàn thành đấu thầu",
IF(VLOOKUP(B1294,'TCH (append)'!C:J,8,0)="Completed","Hoàn thành dự toán",
IF(VLOOKUP(B1294,'TCH (append)'!C:I,7,0)="Completed","Hoàn thành thiết kế",
"Chưa thiết kế")))),"Chưa có trong file PMO")</f>
        <v>Chưa có trong file PMO</v>
      </c>
      <c r="H1294" s="1" t="str">
        <f>IFERROR(VLOOKUP(B1294,'Plan 2026'!B:AW,48,0), VLOOKUP(B1294,'TCH (append)'!C:D,2,0)
)</f>
        <v>Sumogoya 241 Đường Xuân ThủyIndochina Plaza Hanoi241 Đường Xuân Thủy, Dịch Vọng Hậu, Cầu Giấy, Hà Nội</v>
      </c>
      <c r="J1294" s="1" t="s">
        <v>51</v>
      </c>
      <c r="K1294" s="1" t="s">
        <v>52</v>
      </c>
      <c r="L1294" s="2" t="str">
        <f>IF(
    F1294&lt;&gt;"Đã ký",
    "Chưa triển khai",
    IF(
        IFERROR(VLOOKUP(B1294,TCH[[Code budget]:[Ngày kết thúc thi công theo kế hoạch]],10,0),0)&gt;0,
        VLOOKUP(B1294,TCH[[Code budget]:[Ngày kết thúc thi công theo kế hoạch]],10,0),
        IFERROR(
            DATE(2026,VLOOKUP(B1294,'Plan 2026'!B:H,7,0),31),
            "Chưa triển khai"
        )
    )
)</f>
        <v>Chưa triển khai</v>
      </c>
      <c r="M1294" s="2" t="s">
        <v>6688</v>
      </c>
    </row>
    <row r="1295" spans="2:13" ht="11.25" hidden="1" customHeight="1" x14ac:dyDescent="0.25">
      <c r="B1295" s="1" t="s">
        <v>3481</v>
      </c>
      <c r="C1295" s="17" t="str">
        <f>IFERROR(LEFT(VLOOKUP(B1295,'For consider'!D:E,2,0),8),"Chưa có code")</f>
        <v>Chưa có code</v>
      </c>
      <c r="E1295" s="1" t="str">
        <f t="shared" si="5"/>
        <v>Chưa triển khai</v>
      </c>
      <c r="F1295" s="1" t="str">
        <f>IFERROR(VLOOKUP(B1295,'Plan 2026'!B:AC,28,0),"không có trong file network")</f>
        <v>Hủy bỏ</v>
      </c>
      <c r="G1295" s="1" t="str">
        <f>IFERROR(IF(VLOOKUP(B1295,'TCH (append)'!C:P,14,0)="Completed","Hoàn thành thi công",
IF(VLOOKUP(B1295,'TCH (append)'!C:K,9,0)="Completed","Hoàn thành đấu thầu",
IF(VLOOKUP(B1295,'TCH (append)'!C:J,8,0)="Completed","Hoàn thành dự toán",
IF(VLOOKUP(B1295,'TCH (append)'!C:I,7,0)="Completed","Hoàn thành thiết kế",
"Chưa thiết kế")))),"Chưa có trong file PMO")</f>
        <v>Chưa có trong file PMO</v>
      </c>
      <c r="H1295" s="1" t="str">
        <f>IFERROR(VLOOKUP(B1295,'Plan 2026'!B:AW,48,0), VLOOKUP(B1295,'TCH (append)'!C:D,2,0)
)</f>
        <v>Universal Tea Dịch Vọng Hậu, Cầu Giấy, Hà Nội</v>
      </c>
      <c r="J1295" s="1" t="s">
        <v>1446</v>
      </c>
      <c r="K1295" s="1" t="s">
        <v>1447</v>
      </c>
      <c r="L1295" s="2" t="str">
        <f>IF(
    F1295&lt;&gt;"Đã ký",
    "Chưa triển khai",
    IF(
        IFERROR(VLOOKUP(B1295,TCH[[Code budget]:[Ngày kết thúc thi công theo kế hoạch]],10,0),0)&gt;0,
        VLOOKUP(B1295,TCH[[Code budget]:[Ngày kết thúc thi công theo kế hoạch]],10,0),
        IFERROR(
            DATE(2026,VLOOKUP(B1295,'Plan 2026'!B:H,7,0),31),
            "Chưa triển khai"
        )
    )
)</f>
        <v>Chưa triển khai</v>
      </c>
      <c r="M1295" s="2" t="s">
        <v>6688</v>
      </c>
    </row>
    <row r="1296" spans="2:13" ht="11.25" hidden="1" customHeight="1" x14ac:dyDescent="0.25">
      <c r="B1296" s="1" t="s">
        <v>3495</v>
      </c>
      <c r="C1296" s="17" t="str">
        <f>IFERROR(LEFT(VLOOKUP(B1296,'For consider'!D:E,2,0),8),"Chưa có code")</f>
        <v>Chưa có code</v>
      </c>
      <c r="E1296" s="1" t="str">
        <f t="shared" si="5"/>
        <v>Chưa triển khai</v>
      </c>
      <c r="F1296" s="1" t="str">
        <f>IFERROR(VLOOKUP(B1296,'Plan 2026'!B:AC,28,0),"không có trong file network")</f>
        <v>Hủy bỏ</v>
      </c>
      <c r="G1296" s="1" t="str">
        <f>IFERROR(IF(VLOOKUP(B1296,'TCH (append)'!C:P,14,0)="Completed","Hoàn thành thi công",
IF(VLOOKUP(B1296,'TCH (append)'!C:K,9,0)="Completed","Hoàn thành đấu thầu",
IF(VLOOKUP(B1296,'TCH (append)'!C:J,8,0)="Completed","Hoàn thành dự toán",
IF(VLOOKUP(B1296,'TCH (append)'!C:I,7,0)="Completed","Hoàn thành thiết kế",
"Chưa thiết kế")))),"Chưa có trong file PMO")</f>
        <v>Chưa có trong file PMO</v>
      </c>
      <c r="H1296" s="1" t="str">
        <f>IFERROR(VLOOKUP(B1296,'Plan 2026'!B:AW,48,0), VLOOKUP(B1296,'TCH (append)'!C:D,2,0)
)</f>
        <v>Universal Tea Lê Đức ThọThe Zei Lê Đức ThọLê Đức Thọ, Mai Dịch, Cầu Giấy, Hà Nội</v>
      </c>
      <c r="J1296" s="1" t="s">
        <v>1446</v>
      </c>
      <c r="K1296" s="1" t="s">
        <v>1447</v>
      </c>
      <c r="L1296" s="2" t="str">
        <f>IF(
    F1296&lt;&gt;"Đã ký",
    "Chưa triển khai",
    IF(
        IFERROR(VLOOKUP(B1296,TCH[[Code budget]:[Ngày kết thúc thi công theo kế hoạch]],10,0),0)&gt;0,
        VLOOKUP(B1296,TCH[[Code budget]:[Ngày kết thúc thi công theo kế hoạch]],10,0),
        IFERROR(
            DATE(2026,VLOOKUP(B1296,'Plan 2026'!B:H,7,0),31),
            "Chưa triển khai"
        )
    )
)</f>
        <v>Chưa triển khai</v>
      </c>
      <c r="M1296" s="2" t="s">
        <v>6688</v>
      </c>
    </row>
    <row r="1297" spans="2:13" ht="11.25" hidden="1" customHeight="1" x14ac:dyDescent="0.25">
      <c r="B1297" s="1" t="s">
        <v>3502</v>
      </c>
      <c r="C1297" s="17" t="str">
        <f>IFERROR(LEFT(VLOOKUP(B1297,'For consider'!D:E,2,0),8),"Chưa có code")</f>
        <v>Chưa có code</v>
      </c>
      <c r="E1297" s="1" t="str">
        <f t="shared" si="5"/>
        <v>Chưa triển khai</v>
      </c>
      <c r="F1297" s="1" t="str">
        <f>IFERROR(VLOOKUP(B1297,'Plan 2026'!B:AC,28,0),"không có trong file network")</f>
        <v>Không có</v>
      </c>
      <c r="G1297" s="1" t="str">
        <f>IFERROR(IF(VLOOKUP(B1297,'TCH (append)'!C:P,14,0)="Completed","Hoàn thành thi công",
IF(VLOOKUP(B1297,'TCH (append)'!C:K,9,0)="Completed","Hoàn thành đấu thầu",
IF(VLOOKUP(B1297,'TCH (append)'!C:J,8,0)="Completed","Hoàn thành dự toán",
IF(VLOOKUP(B1297,'TCH (append)'!C:I,7,0)="Completed","Hoàn thành thiết kế",
"Chưa thiết kế")))),"Chưa có trong file PMO")</f>
        <v>Chưa có trong file PMO</v>
      </c>
      <c r="H1297" s="1" t="str">
        <f>IFERROR(VLOOKUP(B1297,'Plan 2026'!B:AW,48,0), VLOOKUP(B1297,'TCH (append)'!C:D,2,0)
)</f>
        <v>Gogi House Hồ Tùng MậuHồ Tùng Mậu, Phú Diễn, Bắc Từ Liêm, Hà Nội</v>
      </c>
      <c r="J1297" s="1" t="s">
        <v>76</v>
      </c>
      <c r="K1297" s="1" t="s">
        <v>77</v>
      </c>
      <c r="L1297" s="2" t="str">
        <f>IF(
    F1297&lt;&gt;"Đã ký",
    "Chưa triển khai",
    IF(
        IFERROR(VLOOKUP(B1297,TCH[[Code budget]:[Ngày kết thúc thi công theo kế hoạch]],10,0),0)&gt;0,
        VLOOKUP(B1297,TCH[[Code budget]:[Ngày kết thúc thi công theo kế hoạch]],10,0),
        IFERROR(
            DATE(2026,VLOOKUP(B1297,'Plan 2026'!B:H,7,0),31),
            "Chưa triển khai"
        )
    )
)</f>
        <v>Chưa triển khai</v>
      </c>
      <c r="M1297" s="2" t="s">
        <v>6688</v>
      </c>
    </row>
    <row r="1298" spans="2:13" ht="11.25" hidden="1" customHeight="1" x14ac:dyDescent="0.25">
      <c r="B1298" s="1" t="s">
        <v>3535</v>
      </c>
      <c r="C1298" s="17" t="str">
        <f>IFERROR(LEFT(VLOOKUP(B1298,'For consider'!D:E,2,0),8),"Chưa có code")</f>
        <v>Chưa có code</v>
      </c>
      <c r="E1298" s="1" t="str">
        <f t="shared" si="5"/>
        <v>Chưa triển khai</v>
      </c>
      <c r="F1298" s="1" t="str">
        <f>IFERROR(VLOOKUP(B1298,'Plan 2026'!B:AC,28,0),"không có trong file network")</f>
        <v>Chưa có</v>
      </c>
      <c r="G1298" s="1" t="str">
        <f>IFERROR(IF(VLOOKUP(B1298,'TCH (append)'!C:P,14,0)="Completed","Hoàn thành thi công",
IF(VLOOKUP(B1298,'TCH (append)'!C:K,9,0)="Completed","Hoàn thành đấu thầu",
IF(VLOOKUP(B1298,'TCH (append)'!C:J,8,0)="Completed","Hoàn thành dự toán",
IF(VLOOKUP(B1298,'TCH (append)'!C:I,7,0)="Completed","Hoàn thành thiết kế",
"Chưa thiết kế")))),"Chưa có trong file PMO")</f>
        <v>Chưa có trong file PMO</v>
      </c>
      <c r="H1298" s="1" t="str">
        <f>IFERROR(VLOOKUP(B1298,'Plan 2026'!B:AW,48,0), VLOOKUP(B1298,'TCH (append)'!C:D,2,0)
)</f>
        <v>Gogi House Hồ Linh Đàm, Nguyễn Cảnh DịHồ Linh Đàm, Nguyễn Cảnh Dị, Hoàng Liệt, Hoàng Mai, Hà Nội</v>
      </c>
      <c r="J1298" s="1" t="s">
        <v>51</v>
      </c>
      <c r="K1298" s="1" t="s">
        <v>52</v>
      </c>
      <c r="L1298" s="2" t="str">
        <f>IF(
    F1298&lt;&gt;"Đã ký",
    "Chưa triển khai",
    IF(
        IFERROR(VLOOKUP(B1298,TCH[[Code budget]:[Ngày kết thúc thi công theo kế hoạch]],10,0),0)&gt;0,
        VLOOKUP(B1298,TCH[[Code budget]:[Ngày kết thúc thi công theo kế hoạch]],10,0),
        IFERROR(
            DATE(2026,VLOOKUP(B1298,'Plan 2026'!B:H,7,0),31),
            "Chưa triển khai"
        )
    )
)</f>
        <v>Chưa triển khai</v>
      </c>
      <c r="M1298" s="2" t="s">
        <v>6688</v>
      </c>
    </row>
    <row r="1299" spans="2:13" ht="11.25" hidden="1" customHeight="1" x14ac:dyDescent="0.25">
      <c r="B1299" s="1" t="s">
        <v>3547</v>
      </c>
      <c r="C1299" s="17" t="str">
        <f>IFERROR(LEFT(VLOOKUP(B1299,'For consider'!D:E,2,0),8),"Chưa có code")</f>
        <v>Chưa có code</v>
      </c>
      <c r="E1299" s="1" t="str">
        <f t="shared" si="5"/>
        <v>Chưa triển khai</v>
      </c>
      <c r="F1299" s="1" t="str">
        <f>IFERROR(VLOOKUP(B1299,'Plan 2026'!B:AC,28,0),"không có trong file network")</f>
        <v>Chưa có</v>
      </c>
      <c r="G1299" s="1" t="str">
        <f>IFERROR(IF(VLOOKUP(B1299,'TCH (append)'!C:P,14,0)="Completed","Hoàn thành thi công",
IF(VLOOKUP(B1299,'TCH (append)'!C:K,9,0)="Completed","Hoàn thành đấu thầu",
IF(VLOOKUP(B1299,'TCH (append)'!C:J,8,0)="Completed","Hoàn thành dự toán",
IF(VLOOKUP(B1299,'TCH (append)'!C:I,7,0)="Completed","Hoàn thành thiết kế",
"Chưa thiết kế")))),"Chưa có trong file PMO")</f>
        <v>Chưa có trong file PMO</v>
      </c>
      <c r="H1299" s="1" t="str">
        <f>IFERROR(VLOOKUP(B1299,'Plan 2026'!B:AW,48,0), VLOOKUP(B1299,'TCH (append)'!C:D,2,0)
)</f>
        <v>Sumogoya Linh Đàm: Văn TânLinh Đàm: Văn Tân, Hoàng Liệt, Hoàng Mai, Hà Nội</v>
      </c>
      <c r="J1299" s="1" t="s">
        <v>51</v>
      </c>
      <c r="K1299" s="1" t="s">
        <v>52</v>
      </c>
      <c r="L1299" s="2" t="str">
        <f>IF(
    F1299&lt;&gt;"Đã ký",
    "Chưa triển khai",
    IF(
        IFERROR(VLOOKUP(B1299,TCH[[Code budget]:[Ngày kết thúc thi công theo kế hoạch]],10,0),0)&gt;0,
        VLOOKUP(B1299,TCH[[Code budget]:[Ngày kết thúc thi công theo kế hoạch]],10,0),
        IFERROR(
            DATE(2026,VLOOKUP(B1299,'Plan 2026'!B:H,7,0),31),
            "Chưa triển khai"
        )
    )
)</f>
        <v>Chưa triển khai</v>
      </c>
      <c r="M1299" s="2" t="s">
        <v>6688</v>
      </c>
    </row>
    <row r="1300" spans="2:13" ht="11.25" hidden="1" customHeight="1" x14ac:dyDescent="0.25">
      <c r="B1300" s="1" t="s">
        <v>3557</v>
      </c>
      <c r="C1300" s="17" t="str">
        <f>IFERROR(LEFT(VLOOKUP(B1300,'For consider'!D:E,2,0),8),"Chưa có code")</f>
        <v>Chưa có code</v>
      </c>
      <c r="E1300" s="1" t="str">
        <f t="shared" si="5"/>
        <v>Chưa triển khai</v>
      </c>
      <c r="F1300" s="1" t="str">
        <f>IFERROR(VLOOKUP(B1300,'Plan 2026'!B:AC,28,0),"không có trong file network")</f>
        <v>Chưa có</v>
      </c>
      <c r="G1300" s="1" t="str">
        <f>IFERROR(IF(VLOOKUP(B1300,'TCH (append)'!C:P,14,0)="Completed","Hoàn thành thi công",
IF(VLOOKUP(B1300,'TCH (append)'!C:K,9,0)="Completed","Hoàn thành đấu thầu",
IF(VLOOKUP(B1300,'TCH (append)'!C:J,8,0)="Completed","Hoàn thành dự toán",
IF(VLOOKUP(B1300,'TCH (append)'!C:I,7,0)="Completed","Hoàn thành thiết kế",
"Chưa thiết kế")))),"Chưa có trong file PMO")</f>
        <v>Chưa có trong file PMO</v>
      </c>
      <c r="H1300" s="1" t="str">
        <f>IFERROR(VLOOKUP(B1300,'Plan 2026'!B:AW,48,0), VLOOKUP(B1300,'TCH (append)'!C:D,2,0)
)</f>
        <v>Shogun Trích SàiTrích Sài, Bưởi, Tây Hồ, Hà Nội</v>
      </c>
      <c r="J1300" s="1" t="s">
        <v>183</v>
      </c>
      <c r="K1300" s="1" t="s">
        <v>184</v>
      </c>
      <c r="L1300" s="2" t="str">
        <f>IF(
    F1300&lt;&gt;"Đã ký",
    "Chưa triển khai",
    IF(
        IFERROR(VLOOKUP(B1300,TCH[[Code budget]:[Ngày kết thúc thi công theo kế hoạch]],10,0),0)&gt;0,
        VLOOKUP(B1300,TCH[[Code budget]:[Ngày kết thúc thi công theo kế hoạch]],10,0),
        IFERROR(
            DATE(2026,VLOOKUP(B1300,'Plan 2026'!B:H,7,0),31),
            "Chưa triển khai"
        )
    )
)</f>
        <v>Chưa triển khai</v>
      </c>
      <c r="M1300" s="2" t="s">
        <v>6688</v>
      </c>
    </row>
    <row r="1301" spans="2:13" ht="11.25" hidden="1" customHeight="1" x14ac:dyDescent="0.25">
      <c r="B1301" s="1" t="s">
        <v>3607</v>
      </c>
      <c r="C1301" s="17" t="str">
        <f>IFERROR(LEFT(VLOOKUP(B1301,'For consider'!D:E,2,0),8),"Chưa có code")</f>
        <v>Chưa có code</v>
      </c>
      <c r="E1301" s="1" t="str">
        <f t="shared" si="5"/>
        <v>Chưa triển khai</v>
      </c>
      <c r="F1301" s="1" t="str">
        <f>IFERROR(VLOOKUP(B1301,'Plan 2026'!B:AC,28,0),"không có trong file network")</f>
        <v>Hủy bỏ</v>
      </c>
      <c r="G1301" s="1" t="str">
        <f>IFERROR(IF(VLOOKUP(B1301,'TCH (append)'!C:P,14,0)="Completed","Hoàn thành thi công",
IF(VLOOKUP(B1301,'TCH (append)'!C:K,9,0)="Completed","Hoàn thành đấu thầu",
IF(VLOOKUP(B1301,'TCH (append)'!C:J,8,0)="Completed","Hoàn thành dự toán",
IF(VLOOKUP(B1301,'TCH (append)'!C:I,7,0)="Completed","Hoàn thành thiết kế",
"Chưa thiết kế")))),"Chưa có trong file PMO")</f>
        <v>Chưa có trong file PMO</v>
      </c>
      <c r="H1301" s="1" t="str">
        <f>IFERROR(VLOOKUP(B1301,'Plan 2026'!B:AW,48,0), VLOOKUP(B1301,'TCH (append)'!C:D,2,0)
)</f>
        <v>Universal Tea Mễ TrìMễ Trì, Mỹ Đình 1, Nam Từ Liêm, Hà Nội</v>
      </c>
      <c r="J1301" s="1" t="s">
        <v>1446</v>
      </c>
      <c r="K1301" s="1" t="s">
        <v>1447</v>
      </c>
      <c r="L1301" s="2" t="str">
        <f>IF(
    F1301&lt;&gt;"Đã ký",
    "Chưa triển khai",
    IF(
        IFERROR(VLOOKUP(B1301,TCH[[Code budget]:[Ngày kết thúc thi công theo kế hoạch]],10,0),0)&gt;0,
        VLOOKUP(B1301,TCH[[Code budget]:[Ngày kết thúc thi công theo kế hoạch]],10,0),
        IFERROR(
            DATE(2026,VLOOKUP(B1301,'Plan 2026'!B:H,7,0),31),
            "Chưa triển khai"
        )
    )
)</f>
        <v>Chưa triển khai</v>
      </c>
      <c r="M1301" s="2" t="s">
        <v>6688</v>
      </c>
    </row>
    <row r="1302" spans="2:13" ht="11.25" hidden="1" customHeight="1" x14ac:dyDescent="0.25">
      <c r="B1302" s="1" t="s">
        <v>3630</v>
      </c>
      <c r="C1302" s="17" t="str">
        <f>IFERROR(LEFT(VLOOKUP(B1302,'For consider'!D:E,2,0),8),"Chưa có code")</f>
        <v>Chưa có code</v>
      </c>
      <c r="E1302" s="1" t="str">
        <f t="shared" si="5"/>
        <v>Chưa triển khai</v>
      </c>
      <c r="F1302" s="1" t="str">
        <f>IFERROR(VLOOKUP(B1302,'Plan 2026'!B:AC,28,0),"không có trong file network")</f>
        <v>Chưa có</v>
      </c>
      <c r="G1302" s="1" t="str">
        <f>IFERROR(IF(VLOOKUP(B1302,'TCH (append)'!C:P,14,0)="Completed","Hoàn thành thi công",
IF(VLOOKUP(B1302,'TCH (append)'!C:K,9,0)="Completed","Hoàn thành đấu thầu",
IF(VLOOKUP(B1302,'TCH (append)'!C:J,8,0)="Completed","Hoàn thành dự toán",
IF(VLOOKUP(B1302,'TCH (append)'!C:I,7,0)="Completed","Hoàn thành thiết kế",
"Chưa thiết kế")))),"Chưa có trong file PMO")</f>
        <v>Chưa có trong file PMO</v>
      </c>
      <c r="H1302" s="1" t="str">
        <f>IFERROR(VLOOKUP(B1302,'Plan 2026'!B:AW,48,0), VLOOKUP(B1302,'TCH (append)'!C:D,2,0)
)</f>
        <v>Ngonya Thi SáchThi Sách, Phạm Đình Hổ, Hai Bà Trưng, Hà Nội</v>
      </c>
      <c r="J1302" s="1" t="s">
        <v>2086</v>
      </c>
      <c r="K1302" s="1" t="s">
        <v>2087</v>
      </c>
      <c r="L1302" s="2" t="str">
        <f>IF(
    F1302&lt;&gt;"Đã ký",
    "Chưa triển khai",
    IF(
        IFERROR(VLOOKUP(B1302,TCH[[Code budget]:[Ngày kết thúc thi công theo kế hoạch]],10,0),0)&gt;0,
        VLOOKUP(B1302,TCH[[Code budget]:[Ngày kết thúc thi công theo kế hoạch]],10,0),
        IFERROR(
            DATE(2026,VLOOKUP(B1302,'Plan 2026'!B:H,7,0),31),
            "Chưa triển khai"
        )
    )
)</f>
        <v>Chưa triển khai</v>
      </c>
      <c r="M1302" s="2" t="s">
        <v>6688</v>
      </c>
    </row>
    <row r="1303" spans="2:13" ht="11.25" hidden="1" customHeight="1" x14ac:dyDescent="0.25">
      <c r="B1303" s="1" t="s">
        <v>3634</v>
      </c>
      <c r="C1303" s="17" t="str">
        <f>IFERROR(LEFT(VLOOKUP(B1303,'For consider'!D:E,2,0),8),"Chưa có code")</f>
        <v>Chưa có code</v>
      </c>
      <c r="E1303" s="1" t="str">
        <f t="shared" si="5"/>
        <v>Chưa triển khai</v>
      </c>
      <c r="F1303" s="1" t="str">
        <f>IFERROR(VLOOKUP(B1303,'Plan 2026'!B:AC,28,0),"không có trong file network")</f>
        <v>Chưa có</v>
      </c>
      <c r="G1303" s="1" t="str">
        <f>IFERROR(IF(VLOOKUP(B1303,'TCH (append)'!C:P,14,0)="Completed","Hoàn thành thi công",
IF(VLOOKUP(B1303,'TCH (append)'!C:K,9,0)="Completed","Hoàn thành đấu thầu",
IF(VLOOKUP(B1303,'TCH (append)'!C:J,8,0)="Completed","Hoàn thành dự toán",
IF(VLOOKUP(B1303,'TCH (append)'!C:I,7,0)="Completed","Hoàn thành thiết kế",
"Chưa thiết kế")))),"Chưa có trong file PMO")</f>
        <v>Chưa có trong file PMO</v>
      </c>
      <c r="H1303" s="1" t="str">
        <f>IFERROR(VLOOKUP(B1303,'Plan 2026'!B:AW,48,0), VLOOKUP(B1303,'TCH (append)'!C:D,2,0)
)</f>
        <v>Sumogoya Hai Bà TrưngHai Bà Trưng, Tràng Tiền, Hoàn Kiếm, Hà Nội</v>
      </c>
      <c r="J1303" s="1" t="s">
        <v>51</v>
      </c>
      <c r="K1303" s="1" t="s">
        <v>52</v>
      </c>
      <c r="L1303" s="2" t="str">
        <f>IF(
    F1303&lt;&gt;"Đã ký",
    "Chưa triển khai",
    IF(
        IFERROR(VLOOKUP(B1303,TCH[[Code budget]:[Ngày kết thúc thi công theo kế hoạch]],10,0),0)&gt;0,
        VLOOKUP(B1303,TCH[[Code budget]:[Ngày kết thúc thi công theo kế hoạch]],10,0),
        IFERROR(
            DATE(2026,VLOOKUP(B1303,'Plan 2026'!B:H,7,0),31),
            "Chưa triển khai"
        )
    )
)</f>
        <v>Chưa triển khai</v>
      </c>
      <c r="M1303" s="2" t="s">
        <v>6688</v>
      </c>
    </row>
    <row r="1304" spans="2:13" ht="11.25" hidden="1" customHeight="1" x14ac:dyDescent="0.25">
      <c r="B1304" s="1" t="s">
        <v>3697</v>
      </c>
      <c r="C1304" s="17" t="str">
        <f>IFERROR(LEFT(VLOOKUP(B1304,'For consider'!D:E,2,0),8),"Chưa có code")</f>
        <v>Chưa có code</v>
      </c>
      <c r="E1304" s="1" t="str">
        <f t="shared" si="5"/>
        <v>Chưa triển khai</v>
      </c>
      <c r="F1304" s="1" t="str">
        <f>IFERROR(VLOOKUP(B1304,'Plan 2026'!B:AC,28,0),"không có trong file network")</f>
        <v>Reject</v>
      </c>
      <c r="G1304" s="1" t="str">
        <f>IFERROR(IF(VLOOKUP(B1304,'TCH (append)'!C:P,14,0)="Completed","Hoàn thành thi công",
IF(VLOOKUP(B1304,'TCH (append)'!C:K,9,0)="Completed","Hoàn thành đấu thầu",
IF(VLOOKUP(B1304,'TCH (append)'!C:J,8,0)="Completed","Hoàn thành dự toán",
IF(VLOOKUP(B1304,'TCH (append)'!C:I,7,0)="Completed","Hoàn thành thiết kế",
"Chưa thiết kế")))),"Chưa có trong file PMO")</f>
        <v>Chưa có trong file PMO</v>
      </c>
      <c r="H1304" s="1" t="str">
        <f>IFERROR(VLOOKUP(B1304,'Plan 2026'!B:AW,48,0), VLOOKUP(B1304,'TCH (append)'!C:D,2,0)
)</f>
        <v>Kichi Kichi Tòa Roma Plaza Tố HữuTòa Roma Plaza Tố Hữu, Đại Mỗ, Nam Từ Liêm, Hà Nội</v>
      </c>
      <c r="J1304" s="1" t="s">
        <v>34</v>
      </c>
      <c r="K1304" s="1" t="s">
        <v>35</v>
      </c>
      <c r="L1304" s="2" t="str">
        <f>IF(
    F1304&lt;&gt;"Đã ký",
    "Chưa triển khai",
    IF(
        IFERROR(VLOOKUP(B1304,TCH[[Code budget]:[Ngày kết thúc thi công theo kế hoạch]],10,0),0)&gt;0,
        VLOOKUP(B1304,TCH[[Code budget]:[Ngày kết thúc thi công theo kế hoạch]],10,0),
        IFERROR(
            DATE(2026,VLOOKUP(B1304,'Plan 2026'!B:H,7,0),31),
            "Chưa triển khai"
        )
    )
)</f>
        <v>Chưa triển khai</v>
      </c>
      <c r="M1304" s="2" t="s">
        <v>6688</v>
      </c>
    </row>
    <row r="1305" spans="2:13" ht="11.25" hidden="1" customHeight="1" x14ac:dyDescent="0.25">
      <c r="B1305" s="1" t="s">
        <v>3708</v>
      </c>
      <c r="C1305" s="17" t="str">
        <f>IFERROR(LEFT(VLOOKUP(B1305,'For consider'!D:E,2,0),8),"Chưa có code")</f>
        <v>Chưa có code</v>
      </c>
      <c r="E1305" s="1" t="str">
        <f t="shared" si="5"/>
        <v>Chưa triển khai</v>
      </c>
      <c r="F1305" s="1" t="str">
        <f>IFERROR(VLOOKUP(B1305,'Plan 2026'!B:AC,28,0),"không có trong file network")</f>
        <v>Chưa có</v>
      </c>
      <c r="G1305" s="1" t="str">
        <f>IFERROR(IF(VLOOKUP(B1305,'TCH (append)'!C:P,14,0)="Completed","Hoàn thành thi công",
IF(VLOOKUP(B1305,'TCH (append)'!C:K,9,0)="Completed","Hoàn thành đấu thầu",
IF(VLOOKUP(B1305,'TCH (append)'!C:J,8,0)="Completed","Hoàn thành dự toán",
IF(VLOOKUP(B1305,'TCH (append)'!C:I,7,0)="Completed","Hoàn thành thiết kế",
"Chưa thiết kế")))),"Chưa có trong file PMO")</f>
        <v>Chưa có trong file PMO</v>
      </c>
      <c r="H1305" s="1" t="str">
        <f>IFERROR(VLOOKUP(B1305,'Plan 2026'!B:AW,48,0), VLOOKUP(B1305,'TCH (append)'!C:D,2,0)
)</f>
        <v>Manwah Lê Trọng TấnLê Trọng Tấn, An Khánh, Hoài Đức, Hà Nội</v>
      </c>
      <c r="J1305" s="1" t="s">
        <v>112</v>
      </c>
      <c r="K1305" s="1" t="s">
        <v>113</v>
      </c>
      <c r="L1305" s="2" t="str">
        <f>IF(
    F1305&lt;&gt;"Đã ký",
    "Chưa triển khai",
    IF(
        IFERROR(VLOOKUP(B1305,TCH[[Code budget]:[Ngày kết thúc thi công theo kế hoạch]],10,0),0)&gt;0,
        VLOOKUP(B1305,TCH[[Code budget]:[Ngày kết thúc thi công theo kế hoạch]],10,0),
        IFERROR(
            DATE(2026,VLOOKUP(B1305,'Plan 2026'!B:H,7,0),31),
            "Chưa triển khai"
        )
    )
)</f>
        <v>Chưa triển khai</v>
      </c>
      <c r="M1305" s="2" t="s">
        <v>6688</v>
      </c>
    </row>
    <row r="1306" spans="2:13" ht="11.25" hidden="1" customHeight="1" x14ac:dyDescent="0.25">
      <c r="B1306" s="1" t="s">
        <v>3739</v>
      </c>
      <c r="C1306" s="17" t="str">
        <f>IFERROR(LEFT(VLOOKUP(B1306,'For consider'!D:E,2,0),8),"Chưa có code")</f>
        <v>Chưa có code</v>
      </c>
      <c r="E1306" s="1" t="str">
        <f t="shared" si="5"/>
        <v>Chưa triển khai</v>
      </c>
      <c r="F1306" s="1" t="str">
        <f>IFERROR(VLOOKUP(B1306,'Plan 2026'!B:AC,28,0),"không có trong file network")</f>
        <v>Không có</v>
      </c>
      <c r="G1306" s="1" t="str">
        <f>IFERROR(IF(VLOOKUP(B1306,'TCH (append)'!C:P,14,0)="Completed","Hoàn thành thi công",
IF(VLOOKUP(B1306,'TCH (append)'!C:K,9,0)="Completed","Hoàn thành đấu thầu",
IF(VLOOKUP(B1306,'TCH (append)'!C:J,8,0)="Completed","Hoàn thành dự toán",
IF(VLOOKUP(B1306,'TCH (append)'!C:I,7,0)="Completed","Hoàn thành thiết kế",
"Chưa thiết kế")))),"Chưa có trong file PMO")</f>
        <v>Chưa có trong file PMO</v>
      </c>
      <c r="H1306" s="1" t="str">
        <f>IFERROR(VLOOKUP(B1306,'Plan 2026'!B:AW,48,0), VLOOKUP(B1306,'TCH (append)'!C:D,2,0)
)</f>
        <v>Union Pizza Hoàng Văn ThụAeon Mall Hà ĐôngHoàng Văn Thụ, Dương Nội, Hà Đông, Hà Nội</v>
      </c>
      <c r="J1306" s="1" t="s">
        <v>1311</v>
      </c>
      <c r="K1306" s="1" t="s">
        <v>1312</v>
      </c>
      <c r="L1306" s="2" t="str">
        <f>IF(
    F1306&lt;&gt;"Đã ký",
    "Chưa triển khai",
    IF(
        IFERROR(VLOOKUP(B1306,TCH[[Code budget]:[Ngày kết thúc thi công theo kế hoạch]],10,0),0)&gt;0,
        VLOOKUP(B1306,TCH[[Code budget]:[Ngày kết thúc thi công theo kế hoạch]],10,0),
        IFERROR(
            DATE(2026,VLOOKUP(B1306,'Plan 2026'!B:H,7,0),31),
            "Chưa triển khai"
        )
    )
)</f>
        <v>Chưa triển khai</v>
      </c>
      <c r="M1306" s="2" t="s">
        <v>6688</v>
      </c>
    </row>
    <row r="1307" spans="2:13" ht="11.25" hidden="1" customHeight="1" x14ac:dyDescent="0.25">
      <c r="B1307" s="1" t="s">
        <v>3744</v>
      </c>
      <c r="C1307" s="17" t="str">
        <f>IFERROR(LEFT(VLOOKUP(B1307,'For consider'!D:E,2,0),8),"Chưa có code")</f>
        <v>Chưa có code</v>
      </c>
      <c r="E1307" s="1" t="str">
        <f t="shared" si="5"/>
        <v>Chưa triển khai</v>
      </c>
      <c r="F1307" s="1" t="str">
        <f>IFERROR(VLOOKUP(B1307,'Plan 2026'!B:AC,28,0),"không có trong file network")</f>
        <v>Đang offer</v>
      </c>
      <c r="G1307" s="1" t="str">
        <f>IFERROR(IF(VLOOKUP(B1307,'TCH (append)'!C:P,14,0)="Completed","Hoàn thành thi công",
IF(VLOOKUP(B1307,'TCH (append)'!C:K,9,0)="Completed","Hoàn thành đấu thầu",
IF(VLOOKUP(B1307,'TCH (append)'!C:J,8,0)="Completed","Hoàn thành dự toán",
IF(VLOOKUP(B1307,'TCH (append)'!C:I,7,0)="Completed","Hoàn thành thiết kế",
"Chưa thiết kế")))),"Chưa có trong file PMO")</f>
        <v>Chưa có trong file PMO</v>
      </c>
      <c r="H1307" s="1" t="str">
        <f>IFERROR(VLOOKUP(B1307,'Plan 2026'!B:AW,48,0), VLOOKUP(B1307,'TCH (append)'!C:D,2,0)
)</f>
        <v>Kichi Kichi Khu đô thị Vinhomes Smart CityVincom Mega Mall Smart CityKhu đô thị Vinhomes Smart City, Tây Mỗ, Nam Từ Liêm, Hà Nội</v>
      </c>
      <c r="J1307" s="1" t="s">
        <v>34</v>
      </c>
      <c r="K1307" s="1" t="s">
        <v>35</v>
      </c>
      <c r="L1307" s="2" t="str">
        <f>IF(
    F1307&lt;&gt;"Đã ký",
    "Chưa triển khai",
    IF(
        IFERROR(VLOOKUP(B1307,TCH[[Code budget]:[Ngày kết thúc thi công theo kế hoạch]],10,0),0)&gt;0,
        VLOOKUP(B1307,TCH[[Code budget]:[Ngày kết thúc thi công theo kế hoạch]],10,0),
        IFERROR(
            DATE(2026,VLOOKUP(B1307,'Plan 2026'!B:H,7,0),31),
            "Chưa triển khai"
        )
    )
)</f>
        <v>Chưa triển khai</v>
      </c>
      <c r="M1307" s="2" t="s">
        <v>6688</v>
      </c>
    </row>
    <row r="1308" spans="2:13" ht="11.25" hidden="1" customHeight="1" x14ac:dyDescent="0.25">
      <c r="B1308" s="1" t="s">
        <v>3756</v>
      </c>
      <c r="C1308" s="17" t="str">
        <f>IFERROR(LEFT(VLOOKUP(B1308,'For consider'!D:E,2,0),8),"Chưa có code")</f>
        <v>Chưa có code</v>
      </c>
      <c r="E1308" s="1" t="str">
        <f t="shared" si="5"/>
        <v>Chưa triển khai</v>
      </c>
      <c r="F1308" s="1" t="str">
        <f>IFERROR(VLOOKUP(B1308,'Plan 2026'!B:AC,28,0),"không có trong file network")</f>
        <v>Chưa có</v>
      </c>
      <c r="G1308" s="1" t="str">
        <f>IFERROR(IF(VLOOKUP(B1308,'TCH (append)'!C:P,14,0)="Completed","Hoàn thành thi công",
IF(VLOOKUP(B1308,'TCH (append)'!C:K,9,0)="Completed","Hoàn thành đấu thầu",
IF(VLOOKUP(B1308,'TCH (append)'!C:J,8,0)="Completed","Hoàn thành dự toán",
IF(VLOOKUP(B1308,'TCH (append)'!C:I,7,0)="Completed","Hoàn thành thiết kế",
"Chưa thiết kế")))),"Chưa có trong file PMO")</f>
        <v>Chưa có trong file PMO</v>
      </c>
      <c r="H1308" s="1" t="str">
        <f>IFERROR(VLOOKUP(B1308,'Plan 2026'!B:AW,48,0), VLOOKUP(B1308,'TCH (append)'!C:D,2,0)
)</f>
        <v>Gogi House Trâu Quỳ, Gia Lâm, Hà Nội</v>
      </c>
      <c r="J1308" s="1" t="s">
        <v>76</v>
      </c>
      <c r="K1308" s="1" t="s">
        <v>77</v>
      </c>
      <c r="L1308" s="2" t="str">
        <f>IF(
    F1308&lt;&gt;"Đã ký",
    "Chưa triển khai",
    IF(
        IFERROR(VLOOKUP(B1308,TCH[[Code budget]:[Ngày kết thúc thi công theo kế hoạch]],10,0),0)&gt;0,
        VLOOKUP(B1308,TCH[[Code budget]:[Ngày kết thúc thi công theo kế hoạch]],10,0),
        IFERROR(
            DATE(2026,VLOOKUP(B1308,'Plan 2026'!B:H,7,0),31),
            "Chưa triển khai"
        )
    )
)</f>
        <v>Chưa triển khai</v>
      </c>
      <c r="M1308" s="2" t="s">
        <v>6688</v>
      </c>
    </row>
    <row r="1309" spans="2:13" ht="11.25" hidden="1" customHeight="1" x14ac:dyDescent="0.25">
      <c r="B1309" s="1" t="s">
        <v>3768</v>
      </c>
      <c r="C1309" s="17" t="str">
        <f>IFERROR(LEFT(VLOOKUP(B1309,'For consider'!D:E,2,0),8),"Chưa có code")</f>
        <v>Chưa có code</v>
      </c>
      <c r="E1309" s="1" t="str">
        <f t="shared" si="5"/>
        <v>Chưa triển khai</v>
      </c>
      <c r="F1309" s="1" t="str">
        <f>IFERROR(VLOOKUP(B1309,'Plan 2026'!B:AC,28,0),"không có trong file network")</f>
        <v>Reject</v>
      </c>
      <c r="G1309" s="1" t="str">
        <f>IFERROR(IF(VLOOKUP(B1309,'TCH (append)'!C:P,14,0)="Completed","Hoàn thành thi công",
IF(VLOOKUP(B1309,'TCH (append)'!C:K,9,0)="Completed","Hoàn thành đấu thầu",
IF(VLOOKUP(B1309,'TCH (append)'!C:J,8,0)="Completed","Hoàn thành dự toán",
IF(VLOOKUP(B1309,'TCH (append)'!C:I,7,0)="Completed","Hoàn thành thiết kế",
"Chưa thiết kế")))),"Chưa có trong file PMO")</f>
        <v>Chưa có trong file PMO</v>
      </c>
      <c r="H1309" s="1" t="str">
        <f>IFERROR(VLOOKUP(B1309,'Plan 2026'!B:AW,48,0), VLOOKUP(B1309,'TCH (append)'!C:D,2,0)
)</f>
        <v>Kichi Kichi Trâu Quỳ, Gia Lâm, Hà Nội</v>
      </c>
      <c r="J1309" s="1" t="s">
        <v>34</v>
      </c>
      <c r="K1309" s="1" t="s">
        <v>35</v>
      </c>
      <c r="L1309" s="2" t="str">
        <f>IF(
    F1309&lt;&gt;"Đã ký",
    "Chưa triển khai",
    IF(
        IFERROR(VLOOKUP(B1309,TCH[[Code budget]:[Ngày kết thúc thi công theo kế hoạch]],10,0),0)&gt;0,
        VLOOKUP(B1309,TCH[[Code budget]:[Ngày kết thúc thi công theo kế hoạch]],10,0),
        IFERROR(
            DATE(2026,VLOOKUP(B1309,'Plan 2026'!B:H,7,0),31),
            "Chưa triển khai"
        )
    )
)</f>
        <v>Chưa triển khai</v>
      </c>
      <c r="M1309" s="2" t="s">
        <v>6688</v>
      </c>
    </row>
    <row r="1310" spans="2:13" ht="11.25" hidden="1" customHeight="1" x14ac:dyDescent="0.25">
      <c r="B1310" s="1" t="s">
        <v>3771</v>
      </c>
      <c r="C1310" s="17" t="str">
        <f>IFERROR(LEFT(VLOOKUP(B1310,'For consider'!D:E,2,0),8),"Chưa có code")</f>
        <v>Chưa có code</v>
      </c>
      <c r="E1310" s="1" t="str">
        <f t="shared" si="5"/>
        <v>Chưa triển khai</v>
      </c>
      <c r="F1310" s="1" t="str">
        <f>IFERROR(VLOOKUP(B1310,'Plan 2026'!B:AC,28,0),"không có trong file network")</f>
        <v>Chưa có</v>
      </c>
      <c r="G1310" s="1" t="str">
        <f>IFERROR(IF(VLOOKUP(B1310,'TCH (append)'!C:P,14,0)="Completed","Hoàn thành thi công",
IF(VLOOKUP(B1310,'TCH (append)'!C:K,9,0)="Completed","Hoàn thành đấu thầu",
IF(VLOOKUP(B1310,'TCH (append)'!C:J,8,0)="Completed","Hoàn thành dự toán",
IF(VLOOKUP(B1310,'TCH (append)'!C:I,7,0)="Completed","Hoàn thành thiết kế",
"Chưa thiết kế")))),"Chưa có trong file PMO")</f>
        <v>Chưa có trong file PMO</v>
      </c>
      <c r="H1310" s="1" t="str">
        <f>IFERROR(VLOOKUP(B1310,'Plan 2026'!B:AW,48,0), VLOOKUP(B1310,'TCH (append)'!C:D,2,0)
)</f>
        <v>Shogun Trâu Quỳ, Gia Lâm, Hà Nội</v>
      </c>
      <c r="J1310" s="1" t="s">
        <v>183</v>
      </c>
      <c r="K1310" s="1" t="s">
        <v>184</v>
      </c>
      <c r="L1310" s="2" t="str">
        <f>IF(
    F1310&lt;&gt;"Đã ký",
    "Chưa triển khai",
    IF(
        IFERROR(VLOOKUP(B1310,TCH[[Code budget]:[Ngày kết thúc thi công theo kế hoạch]],10,0),0)&gt;0,
        VLOOKUP(B1310,TCH[[Code budget]:[Ngày kết thúc thi công theo kế hoạch]],10,0),
        IFERROR(
            DATE(2026,VLOOKUP(B1310,'Plan 2026'!B:H,7,0),31),
            "Chưa triển khai"
        )
    )
)</f>
        <v>Chưa triển khai</v>
      </c>
      <c r="M1310" s="2" t="s">
        <v>6688</v>
      </c>
    </row>
    <row r="1311" spans="2:13" ht="11.25" hidden="1" customHeight="1" x14ac:dyDescent="0.25">
      <c r="B1311" s="1" t="s">
        <v>3774</v>
      </c>
      <c r="C1311" s="17" t="str">
        <f>IFERROR(LEFT(VLOOKUP(B1311,'For consider'!D:E,2,0),8),"Chưa có code")</f>
        <v>Chưa có code</v>
      </c>
      <c r="E1311" s="1" t="str">
        <f t="shared" si="5"/>
        <v>Chưa triển khai</v>
      </c>
      <c r="F1311" s="1" t="str">
        <f>IFERROR(VLOOKUP(B1311,'Plan 2026'!B:AC,28,0),"không có trong file network")</f>
        <v>Reject</v>
      </c>
      <c r="G1311" s="1" t="str">
        <f>IFERROR(IF(VLOOKUP(B1311,'TCH (append)'!C:P,14,0)="Completed","Hoàn thành thi công",
IF(VLOOKUP(B1311,'TCH (append)'!C:K,9,0)="Completed","Hoàn thành đấu thầu",
IF(VLOOKUP(B1311,'TCH (append)'!C:J,8,0)="Completed","Hoàn thành dự toán",
IF(VLOOKUP(B1311,'TCH (append)'!C:I,7,0)="Completed","Hoàn thành thiết kế",
"Chưa thiết kế")))),"Chưa có trong file PMO")</f>
        <v>Chưa có trong file PMO</v>
      </c>
      <c r="H1311" s="1" t="str">
        <f>IFERROR(VLOOKUP(B1311,'Plan 2026'!B:AW,48,0), VLOOKUP(B1311,'TCH (append)'!C:D,2,0)
)</f>
        <v>The Coffee House Vinhom Ocean Park 1Vinhom Ocean Park 1, Trâu Quỳ, Gia Lâm, Hà Nội</v>
      </c>
      <c r="J1311" s="1" t="s">
        <v>1788</v>
      </c>
      <c r="K1311" s="1" t="s">
        <v>1789</v>
      </c>
      <c r="L1311" s="2" t="str">
        <f>IF(
    F1311&lt;&gt;"Đã ký",
    "Chưa triển khai",
    IF(
        IFERROR(VLOOKUP(B1311,TCH[[Code budget]:[Ngày kết thúc thi công theo kế hoạch]],10,0),0)&gt;0,
        VLOOKUP(B1311,TCH[[Code budget]:[Ngày kết thúc thi công theo kế hoạch]],10,0),
        IFERROR(
            DATE(2026,VLOOKUP(B1311,'Plan 2026'!B:H,7,0),31),
            "Chưa triển khai"
        )
    )
)</f>
        <v>Chưa triển khai</v>
      </c>
      <c r="M1311" s="2" t="s">
        <v>6688</v>
      </c>
    </row>
    <row r="1312" spans="2:13" ht="11.25" hidden="1" customHeight="1" x14ac:dyDescent="0.25">
      <c r="B1312" s="1" t="s">
        <v>3780</v>
      </c>
      <c r="C1312" s="17" t="str">
        <f>IFERROR(LEFT(VLOOKUP(B1312,'For consider'!D:E,2,0),8),"Chưa có code")</f>
        <v>Chưa có code</v>
      </c>
      <c r="E1312" s="1" t="str">
        <f t="shared" si="5"/>
        <v>Chưa triển khai</v>
      </c>
      <c r="F1312" s="1" t="str">
        <f>IFERROR(VLOOKUP(B1312,'Plan 2026'!B:AC,28,0),"không có trong file network")</f>
        <v>Không có</v>
      </c>
      <c r="G1312" s="1" t="str">
        <f>IFERROR(IF(VLOOKUP(B1312,'TCH (append)'!C:P,14,0)="Completed","Hoàn thành thi công",
IF(VLOOKUP(B1312,'TCH (append)'!C:K,9,0)="Completed","Hoàn thành đấu thầu",
IF(VLOOKUP(B1312,'TCH (append)'!C:J,8,0)="Completed","Hoàn thành dự toán",
IF(VLOOKUP(B1312,'TCH (append)'!C:I,7,0)="Completed","Hoàn thành thiết kế",
"Chưa thiết kế")))),"Chưa có trong file PMO")</f>
        <v>Chưa có trong file PMO</v>
      </c>
      <c r="H1312" s="1" t="str">
        <f>IFERROR(VLOOKUP(B1312,'Plan 2026'!B:AW,48,0), VLOOKUP(B1312,'TCH (append)'!C:D,2,0)
)</f>
        <v>Union Pizza Số 27, Đường Cổ LinhAeon Mall Long BiênSố 27, Đường Cổ Linh, Long Biên, Long Biên, Hà Nội</v>
      </c>
      <c r="J1312" s="1" t="s">
        <v>1311</v>
      </c>
      <c r="K1312" s="1" t="s">
        <v>1312</v>
      </c>
      <c r="L1312" s="2" t="str">
        <f>IF(
    F1312&lt;&gt;"Đã ký",
    "Chưa triển khai",
    IF(
        IFERROR(VLOOKUP(B1312,TCH[[Code budget]:[Ngày kết thúc thi công theo kế hoạch]],10,0),0)&gt;0,
        VLOOKUP(B1312,TCH[[Code budget]:[Ngày kết thúc thi công theo kế hoạch]],10,0),
        IFERROR(
            DATE(2026,VLOOKUP(B1312,'Plan 2026'!B:H,7,0),31),
            "Chưa triển khai"
        )
    )
)</f>
        <v>Chưa triển khai</v>
      </c>
      <c r="M1312" s="2" t="s">
        <v>6688</v>
      </c>
    </row>
    <row r="1313" spans="2:13" ht="11.25" hidden="1" customHeight="1" x14ac:dyDescent="0.25">
      <c r="B1313" s="1" t="s">
        <v>3809</v>
      </c>
      <c r="C1313" s="17" t="str">
        <f>IFERROR(LEFT(VLOOKUP(B1313,'For consider'!D:E,2,0),8),"Chưa có code")</f>
        <v>Chưa có code</v>
      </c>
      <c r="E1313" s="1" t="str">
        <f t="shared" si="5"/>
        <v>Chưa triển khai</v>
      </c>
      <c r="F1313" s="1" t="str">
        <f>IFERROR(VLOOKUP(B1313,'Plan 2026'!B:AC,28,0),"không có trong file network")</f>
        <v>Chưa có</v>
      </c>
      <c r="G1313" s="1" t="str">
        <f>IFERROR(IF(VLOOKUP(B1313,'TCH (append)'!C:P,14,0)="Completed","Hoàn thành thi công",
IF(VLOOKUP(B1313,'TCH (append)'!C:K,9,0)="Completed","Hoàn thành đấu thầu",
IF(VLOOKUP(B1313,'TCH (append)'!C:J,8,0)="Completed","Hoàn thành dự toán",
IF(VLOOKUP(B1313,'TCH (append)'!C:I,7,0)="Completed","Hoàn thành thiết kế",
"Chưa thiết kế")))),"Chưa có trong file PMO")</f>
        <v>Chưa có trong file PMO</v>
      </c>
      <c r="H1313" s="1" t="str">
        <f>IFERROR(VLOOKUP(B1313,'Plan 2026'!B:AW,48,0), VLOOKUP(B1313,'TCH (append)'!C:D,2,0)
)</f>
        <v>Kichi Kichi Yên Sở, Hoàng Mai, Hà Nội</v>
      </c>
      <c r="J1313" s="1" t="s">
        <v>34</v>
      </c>
      <c r="K1313" s="1" t="s">
        <v>35</v>
      </c>
      <c r="L1313" s="2" t="str">
        <f>IF(
    F1313&lt;&gt;"Đã ký",
    "Chưa triển khai",
    IF(
        IFERROR(VLOOKUP(B1313,TCH[[Code budget]:[Ngày kết thúc thi công theo kế hoạch]],10,0),0)&gt;0,
        VLOOKUP(B1313,TCH[[Code budget]:[Ngày kết thúc thi công theo kế hoạch]],10,0),
        IFERROR(
            DATE(2026,VLOOKUP(B1313,'Plan 2026'!B:H,7,0),31),
            "Chưa triển khai"
        )
    )
)</f>
        <v>Chưa triển khai</v>
      </c>
      <c r="M1313" s="2" t="s">
        <v>6688</v>
      </c>
    </row>
    <row r="1314" spans="2:13" ht="11.25" hidden="1" customHeight="1" x14ac:dyDescent="0.25">
      <c r="B1314" s="1" t="s">
        <v>3817</v>
      </c>
      <c r="C1314" s="17" t="str">
        <f>IFERROR(LEFT(VLOOKUP(B1314,'For consider'!D:E,2,0),8),"Chưa có code")</f>
        <v>Chưa có code</v>
      </c>
      <c r="E1314" s="1" t="str">
        <f t="shared" si="5"/>
        <v>Chưa triển khai</v>
      </c>
      <c r="F1314" s="1" t="str">
        <f>IFERROR(VLOOKUP(B1314,'Plan 2026'!B:AC,28,0),"không có trong file network")</f>
        <v>Chưa có</v>
      </c>
      <c r="G1314" s="1" t="str">
        <f>IFERROR(IF(VLOOKUP(B1314,'TCH (append)'!C:P,14,0)="Completed","Hoàn thành thi công",
IF(VLOOKUP(B1314,'TCH (append)'!C:K,9,0)="Completed","Hoàn thành đấu thầu",
IF(VLOOKUP(B1314,'TCH (append)'!C:J,8,0)="Completed","Hoàn thành dự toán",
IF(VLOOKUP(B1314,'TCH (append)'!C:I,7,0)="Completed","Hoàn thành thiết kế",
"Chưa thiết kế")))),"Chưa có trong file PMO")</f>
        <v>Chưa có trong file PMO</v>
      </c>
      <c r="H1314" s="1" t="str">
        <f>IFERROR(VLOOKUP(B1314,'Plan 2026'!B:AW,48,0), VLOOKUP(B1314,'TCH (append)'!C:D,2,0)
)</f>
        <v>Isushi 201 Phố Minh KhaiHinode City Mall201 Phố Minh Khai, Minh Khai, Hai Bà Trưng, Hà Nội</v>
      </c>
      <c r="J1314" s="1" t="s">
        <v>61</v>
      </c>
      <c r="K1314" s="1" t="s">
        <v>62</v>
      </c>
      <c r="L1314" s="2" t="str">
        <f>IF(
    F1314&lt;&gt;"Đã ký",
    "Chưa triển khai",
    IF(
        IFERROR(VLOOKUP(B1314,TCH[[Code budget]:[Ngày kết thúc thi công theo kế hoạch]],10,0),0)&gt;0,
        VLOOKUP(B1314,TCH[[Code budget]:[Ngày kết thúc thi công theo kế hoạch]],10,0),
        IFERROR(
            DATE(2026,VLOOKUP(B1314,'Plan 2026'!B:H,7,0),31),
            "Chưa triển khai"
        )
    )
)</f>
        <v>Chưa triển khai</v>
      </c>
      <c r="M1314" s="2" t="s">
        <v>6688</v>
      </c>
    </row>
    <row r="1315" spans="2:13" ht="11.25" hidden="1" customHeight="1" x14ac:dyDescent="0.25">
      <c r="B1315" s="1" t="s">
        <v>3849</v>
      </c>
      <c r="C1315" s="17" t="str">
        <f>IFERROR(LEFT(VLOOKUP(B1315,'For consider'!D:E,2,0),8),"Chưa có code")</f>
        <v>Chưa có code</v>
      </c>
      <c r="E1315" s="1" t="str">
        <f t="shared" si="5"/>
        <v>Chưa triển khai</v>
      </c>
      <c r="F1315" s="1" t="str">
        <f>IFERROR(VLOOKUP(B1315,'Plan 2026'!B:AC,28,0),"không có trong file network")</f>
        <v>Hủy bỏ</v>
      </c>
      <c r="G1315" s="1" t="str">
        <f>IFERROR(IF(VLOOKUP(B1315,'TCH (append)'!C:P,14,0)="Completed","Hoàn thành thi công",
IF(VLOOKUP(B1315,'TCH (append)'!C:K,9,0)="Completed","Hoàn thành đấu thầu",
IF(VLOOKUP(B1315,'TCH (append)'!C:J,8,0)="Completed","Hoàn thành dự toán",
IF(VLOOKUP(B1315,'TCH (append)'!C:I,7,0)="Completed","Hoàn thành thiết kế",
"Chưa thiết kế")))),"Chưa có trong file PMO")</f>
        <v>Chưa có trong file PMO</v>
      </c>
      <c r="H1315" s="1" t="str">
        <f>IFERROR(VLOOKUP(B1315,'Plan 2026'!B:AW,48,0), VLOOKUP(B1315,'TCH (append)'!C:D,2,0)
)</f>
        <v>Universal Tea Vincom Mega Mall Times CityVĩnh Tuy, Hai Bà Trưng, Hà Nội</v>
      </c>
      <c r="J1315" s="1" t="s">
        <v>1446</v>
      </c>
      <c r="K1315" s="1" t="s">
        <v>1447</v>
      </c>
      <c r="L1315" s="2" t="str">
        <f>IF(
    F1315&lt;&gt;"Đã ký",
    "Chưa triển khai",
    IF(
        IFERROR(VLOOKUP(B1315,TCH[[Code budget]:[Ngày kết thúc thi công theo kế hoạch]],10,0),0)&gt;0,
        VLOOKUP(B1315,TCH[[Code budget]:[Ngày kết thúc thi công theo kế hoạch]],10,0),
        IFERROR(
            DATE(2026,VLOOKUP(B1315,'Plan 2026'!B:H,7,0),31),
            "Chưa triển khai"
        )
    )
)</f>
        <v>Chưa triển khai</v>
      </c>
      <c r="M1315" s="2" t="s">
        <v>6688</v>
      </c>
    </row>
    <row r="1316" spans="2:13" ht="11.25" hidden="1" customHeight="1" x14ac:dyDescent="0.25">
      <c r="B1316" s="1" t="s">
        <v>3854</v>
      </c>
      <c r="C1316" s="17" t="str">
        <f>IFERROR(LEFT(VLOOKUP(B1316,'For consider'!D:E,2,0),8),"Chưa có code")</f>
        <v>Chưa có code</v>
      </c>
      <c r="E1316" s="1" t="str">
        <f t="shared" si="5"/>
        <v>Chưa triển khai</v>
      </c>
      <c r="F1316" s="1" t="str">
        <f>IFERROR(VLOOKUP(B1316,'Plan 2026'!B:AC,28,0),"không có trong file network")</f>
        <v>Chưa có</v>
      </c>
      <c r="G1316" s="1" t="str">
        <f>IFERROR(IF(VLOOKUP(B1316,'TCH (append)'!C:P,14,0)="Completed","Hoàn thành thi công",
IF(VLOOKUP(B1316,'TCH (append)'!C:K,9,0)="Completed","Hoàn thành đấu thầu",
IF(VLOOKUP(B1316,'TCH (append)'!C:J,8,0)="Completed","Hoàn thành dự toán",
IF(VLOOKUP(B1316,'TCH (append)'!C:I,7,0)="Completed","Hoàn thành thiết kế",
"Chưa thiết kế")))),"Chưa có trong file PMO")</f>
        <v>Chưa có trong file PMO</v>
      </c>
      <c r="H1316" s="1" t="str">
        <f>IFERROR(VLOOKUP(B1316,'Plan 2026'!B:AW,48,0), VLOOKUP(B1316,'TCH (append)'!C:D,2,0)
)</f>
        <v>Kichi Kichi Vĩnh Tuy, Hai Bà Trưng, Hà Nội</v>
      </c>
      <c r="J1316" s="1" t="s">
        <v>34</v>
      </c>
      <c r="K1316" s="1" t="s">
        <v>35</v>
      </c>
      <c r="L1316" s="2" t="str">
        <f>IF(
    F1316&lt;&gt;"Đã ký",
    "Chưa triển khai",
    IF(
        IFERROR(VLOOKUP(B1316,TCH[[Code budget]:[Ngày kết thúc thi công theo kế hoạch]],10,0),0)&gt;0,
        VLOOKUP(B1316,TCH[[Code budget]:[Ngày kết thúc thi công theo kế hoạch]],10,0),
        IFERROR(
            DATE(2026,VLOOKUP(B1316,'Plan 2026'!B:H,7,0),31),
            "Chưa triển khai"
        )
    )
)</f>
        <v>Chưa triển khai</v>
      </c>
      <c r="M1316" s="2" t="s">
        <v>6688</v>
      </c>
    </row>
    <row r="1317" spans="2:13" ht="11.25" hidden="1" customHeight="1" x14ac:dyDescent="0.25">
      <c r="B1317" s="1" t="s">
        <v>3869</v>
      </c>
      <c r="C1317" s="17" t="str">
        <f>IFERROR(LEFT(VLOOKUP(B1317,'For consider'!D:E,2,0),8),"Chưa có code")</f>
        <v>Chưa có code</v>
      </c>
      <c r="E1317" s="1" t="str">
        <f t="shared" si="5"/>
        <v>Chưa triển khai</v>
      </c>
      <c r="F1317" s="1" t="str">
        <f>IFERROR(VLOOKUP(B1317,'Plan 2026'!B:AC,28,0),"không có trong file network")</f>
        <v>Reject</v>
      </c>
      <c r="G1317" s="1" t="str">
        <f>IFERROR(IF(VLOOKUP(B1317,'TCH (append)'!C:P,14,0)="Completed","Hoàn thành thi công",
IF(VLOOKUP(B1317,'TCH (append)'!C:K,9,0)="Completed","Hoàn thành đấu thầu",
IF(VLOOKUP(B1317,'TCH (append)'!C:J,8,0)="Completed","Hoàn thành dự toán",
IF(VLOOKUP(B1317,'TCH (append)'!C:I,7,0)="Completed","Hoàn thành thiết kế",
"Chưa thiết kế")))),"Chưa có trong file PMO")</f>
        <v>Chưa có trong file PMO</v>
      </c>
      <c r="H1317" s="1" t="str">
        <f>IFERROR(VLOOKUP(B1317,'Plan 2026'!B:AW,48,0), VLOOKUP(B1317,'TCH (append)'!C:D,2,0)
)</f>
        <v>Universal Tea 458 Đường Minh KhaiVincom Mega Mall Times City458 Đường Minh Khai, Vĩnh Tuy, Hai Bà Trưng, Hà Nội</v>
      </c>
      <c r="J1317" s="1" t="s">
        <v>1446</v>
      </c>
      <c r="K1317" s="1" t="s">
        <v>1447</v>
      </c>
      <c r="L1317" s="2" t="str">
        <f>IF(
    F1317&lt;&gt;"Đã ký",
    "Chưa triển khai",
    IF(
        IFERROR(VLOOKUP(B1317,TCH[[Code budget]:[Ngày kết thúc thi công theo kế hoạch]],10,0),0)&gt;0,
        VLOOKUP(B1317,TCH[[Code budget]:[Ngày kết thúc thi công theo kế hoạch]],10,0),
        IFERROR(
            DATE(2026,VLOOKUP(B1317,'Plan 2026'!B:H,7,0),31),
            "Chưa triển khai"
        )
    )
)</f>
        <v>Chưa triển khai</v>
      </c>
      <c r="M1317" s="2" t="s">
        <v>6688</v>
      </c>
    </row>
    <row r="1318" spans="2:13" ht="11.25" hidden="1" customHeight="1" x14ac:dyDescent="0.25">
      <c r="B1318" s="1" t="s">
        <v>3883</v>
      </c>
      <c r="C1318" s="17" t="str">
        <f>IFERROR(LEFT(VLOOKUP(B1318,'For consider'!D:E,2,0),8),"Chưa có code")</f>
        <v>Chưa có code</v>
      </c>
      <c r="E1318" s="1" t="str">
        <f t="shared" si="5"/>
        <v>Chưa triển khai</v>
      </c>
      <c r="F1318" s="1" t="str">
        <f>IFERROR(VLOOKUP(B1318,'Plan 2026'!B:AC,28,0),"không có trong file network")</f>
        <v>Reject</v>
      </c>
      <c r="G1318" s="1" t="str">
        <f>IFERROR(IF(VLOOKUP(B1318,'TCH (append)'!C:P,14,0)="Completed","Hoàn thành thi công",
IF(VLOOKUP(B1318,'TCH (append)'!C:K,9,0)="Completed","Hoàn thành đấu thầu",
IF(VLOOKUP(B1318,'TCH (append)'!C:J,8,0)="Completed","Hoàn thành dự toán",
IF(VLOOKUP(B1318,'TCH (append)'!C:I,7,0)="Completed","Hoàn thành thiết kế",
"Chưa thiết kế")))),"Chưa có trong file PMO")</f>
        <v>Chưa có trong file PMO</v>
      </c>
      <c r="H1318" s="1" t="str">
        <f>IFERROR(VLOOKUP(B1318,'Plan 2026'!B:AW,48,0), VLOOKUP(B1318,'TCH (append)'!C:D,2,0)
)</f>
        <v>Universal Tea 119 Đường Trần Duy HưngVincom Center Trần Duy Hưng119 Đường Trần Duy Hưng, Trung Hoà, Cầu Giấy, Hà Nội</v>
      </c>
      <c r="J1318" s="1" t="s">
        <v>1446</v>
      </c>
      <c r="K1318" s="1" t="s">
        <v>1447</v>
      </c>
      <c r="L1318" s="2" t="str">
        <f>IF(
    F1318&lt;&gt;"Đã ký",
    "Chưa triển khai",
    IF(
        IFERROR(VLOOKUP(B1318,TCH[[Code budget]:[Ngày kết thúc thi công theo kế hoạch]],10,0),0)&gt;0,
        VLOOKUP(B1318,TCH[[Code budget]:[Ngày kết thúc thi công theo kế hoạch]],10,0),
        IFERROR(
            DATE(2026,VLOOKUP(B1318,'Plan 2026'!B:H,7,0),31),
            "Chưa triển khai"
        )
    )
)</f>
        <v>Chưa triển khai</v>
      </c>
      <c r="M1318" s="2" t="s">
        <v>6688</v>
      </c>
    </row>
    <row r="1319" spans="2:13" ht="11.25" hidden="1" customHeight="1" x14ac:dyDescent="0.25">
      <c r="B1319" s="1" t="s">
        <v>3908</v>
      </c>
      <c r="C1319" s="17" t="str">
        <f>IFERROR(LEFT(VLOOKUP(B1319,'For consider'!D:E,2,0),8),"Chưa có code")</f>
        <v>Chưa có code</v>
      </c>
      <c r="E1319" s="1" t="str">
        <f t="shared" si="5"/>
        <v>Chưa triển khai</v>
      </c>
      <c r="F1319" s="1" t="str">
        <f>IFERROR(VLOOKUP(B1319,'Plan 2026'!B:AC,28,0),"không có trong file network")</f>
        <v>Reject</v>
      </c>
      <c r="G1319" s="1" t="str">
        <f>IFERROR(IF(VLOOKUP(B1319,'TCH (append)'!C:P,14,0)="Completed","Hoàn thành thi công",
IF(VLOOKUP(B1319,'TCH (append)'!C:K,9,0)="Completed","Hoàn thành đấu thầu",
IF(VLOOKUP(B1319,'TCH (append)'!C:J,8,0)="Completed","Hoàn thành dự toán",
IF(VLOOKUP(B1319,'TCH (append)'!C:I,7,0)="Completed","Hoàn thành thiết kế",
"Chưa thiết kế")))),"Chưa có trong file PMO")</f>
        <v>Chưa có trong file PMO</v>
      </c>
      <c r="H1319" s="1" t="str">
        <f>IFERROR(VLOOKUP(B1319,'Plan 2026'!B:AW,48,0), VLOOKUP(B1319,'TCH (append)'!C:D,2,0)
)</f>
        <v>Man Tang Guo UDic Hoàng Đạo ThúyUDic Hoàng Đạo Thúy, Trung Hoà, Cầu Giấy, Hà Nội</v>
      </c>
      <c r="J1319" s="1" t="s">
        <v>1561</v>
      </c>
      <c r="K1319" s="1" t="s">
        <v>1562</v>
      </c>
      <c r="L1319" s="2" t="str">
        <f>IF(
    F1319&lt;&gt;"Đã ký",
    "Chưa triển khai",
    IF(
        IFERROR(VLOOKUP(B1319,TCH[[Code budget]:[Ngày kết thúc thi công theo kế hoạch]],10,0),0)&gt;0,
        VLOOKUP(B1319,TCH[[Code budget]:[Ngày kết thúc thi công theo kế hoạch]],10,0),
        IFERROR(
            DATE(2026,VLOOKUP(B1319,'Plan 2026'!B:H,7,0),31),
            "Chưa triển khai"
        )
    )
)</f>
        <v>Chưa triển khai</v>
      </c>
      <c r="M1319" s="2" t="s">
        <v>6688</v>
      </c>
    </row>
    <row r="1320" spans="2:13" ht="11.25" hidden="1" customHeight="1" x14ac:dyDescent="0.25">
      <c r="B1320" s="1" t="s">
        <v>3915</v>
      </c>
      <c r="C1320" s="17" t="str">
        <f>IFERROR(LEFT(VLOOKUP(B1320,'For consider'!D:E,2,0),8),"Chưa có code")</f>
        <v>10KK4987</v>
      </c>
      <c r="E1320" s="1" t="str">
        <f t="shared" si="5"/>
        <v>Lock mb chưa thi công</v>
      </c>
      <c r="F1320" s="1" t="str">
        <f>IFERROR(VLOOKUP(B1320,'Plan 2026'!B:AC,28,0),"không có trong file network")</f>
        <v>Đã ký</v>
      </c>
      <c r="G1320" s="1" t="str">
        <f>IFERROR(IF(VLOOKUP(B1320,'TCH (append)'!C:P,14,0)="Completed","Hoàn thành thi công",
IF(VLOOKUP(B1320,'TCH (append)'!C:K,9,0)="Completed","Hoàn thành đấu thầu",
IF(VLOOKUP(B1320,'TCH (append)'!C:J,8,0)="Completed","Hoàn thành dự toán",
IF(VLOOKUP(B1320,'TCH (append)'!C:I,7,0)="Completed","Hoàn thành thiết kế",
"Chưa thiết kế")))),"Chưa có trong file PMO")</f>
        <v>Chưa có trong file PMO</v>
      </c>
      <c r="H1320" s="1" t="str">
        <f>IFERROR(VLOOKUP(B1320,'Plan 2026'!B:AW,48,0), VLOOKUP(B1320,'TCH (append)'!C:D,2,0)
)</f>
        <v>Kichi Kichi Hoàng Đạo ThúyHoàng Đạo Thúy, Trung Hoà, Cầu Giấy, Hà Nội</v>
      </c>
      <c r="J1320" s="1" t="s">
        <v>34</v>
      </c>
      <c r="K1320" s="1" t="s">
        <v>35</v>
      </c>
      <c r="L1320" s="2">
        <f>IF(
    F1320&lt;&gt;"Đã ký",
    "Chưa triển khai",
    IF(
        IFERROR(VLOOKUP(B1320,TCH[[Code budget]:[Ngày kết thúc thi công theo kế hoạch]],10,0),0)&gt;0,
        VLOOKUP(B1320,TCH[[Code budget]:[Ngày kết thúc thi công theo kế hoạch]],10,0),
        IFERROR(
            DATE(2026,VLOOKUP(B1320,'Plan 2026'!B:H,7,0),31),
            "Chưa triển khai"
        )
    )
)</f>
        <v>46053</v>
      </c>
      <c r="M1320" s="2" t="s">
        <v>6688</v>
      </c>
    </row>
    <row r="1321" spans="2:13" ht="11.25" hidden="1" customHeight="1" x14ac:dyDescent="0.25">
      <c r="B1321" s="1" t="s">
        <v>3920</v>
      </c>
      <c r="C1321" s="17" t="str">
        <f>IFERROR(LEFT(VLOOKUP(B1321,'For consider'!D:E,2,0),8),"Chưa có code")</f>
        <v>Chưa có code</v>
      </c>
      <c r="E1321" s="1" t="str">
        <f t="shared" si="5"/>
        <v>Chưa triển khai</v>
      </c>
      <c r="F1321" s="1" t="str">
        <f>IFERROR(VLOOKUP(B1321,'Plan 2026'!B:AC,28,0),"không có trong file network")</f>
        <v>Hủy bỏ</v>
      </c>
      <c r="G1321" s="1" t="str">
        <f>IFERROR(IF(VLOOKUP(B1321,'TCH (append)'!C:P,14,0)="Completed","Hoàn thành thi công",
IF(VLOOKUP(B1321,'TCH (append)'!C:K,9,0)="Completed","Hoàn thành đấu thầu",
IF(VLOOKUP(B1321,'TCH (append)'!C:J,8,0)="Completed","Hoàn thành dự toán",
IF(VLOOKUP(B1321,'TCH (append)'!C:I,7,0)="Completed","Hoàn thành thiết kế",
"Chưa thiết kế")))),"Chưa có trong file PMO")</f>
        <v>Chưa có trong file PMO</v>
      </c>
      <c r="H1321" s="1" t="str">
        <f>IFERROR(VLOOKUP(B1321,'Plan 2026'!B:AW,48,0), VLOOKUP(B1321,'TCH (append)'!C:D,2,0)
)</f>
        <v>Kichi Kichi Bạch Đằng, Hai Bà Trưng, Hà Nội</v>
      </c>
      <c r="J1321" s="1" t="s">
        <v>34</v>
      </c>
      <c r="K1321" s="1" t="s">
        <v>35</v>
      </c>
      <c r="L1321" s="2" t="str">
        <f>IF(
    F1321&lt;&gt;"Đã ký",
    "Chưa triển khai",
    IF(
        IFERROR(VLOOKUP(B1321,TCH[[Code budget]:[Ngày kết thúc thi công theo kế hoạch]],10,0),0)&gt;0,
        VLOOKUP(B1321,TCH[[Code budget]:[Ngày kết thúc thi công theo kế hoạch]],10,0),
        IFERROR(
            DATE(2026,VLOOKUP(B1321,'Plan 2026'!B:H,7,0),31),
            "Chưa triển khai"
        )
    )
)</f>
        <v>Chưa triển khai</v>
      </c>
      <c r="M1321" s="2" t="s">
        <v>6688</v>
      </c>
    </row>
    <row r="1322" spans="2:13" ht="11.25" hidden="1" customHeight="1" x14ac:dyDescent="0.25">
      <c r="B1322" s="1" t="s">
        <v>3945</v>
      </c>
      <c r="C1322" s="17" t="str">
        <f>IFERROR(LEFT(VLOOKUP(B1322,'For consider'!D:E,2,0),8),"Chưa có code")</f>
        <v>Chưa có code</v>
      </c>
      <c r="E1322" s="1" t="str">
        <f t="shared" si="5"/>
        <v>Chưa triển khai</v>
      </c>
      <c r="F1322" s="1" t="str">
        <f>IFERROR(VLOOKUP(B1322,'Plan 2026'!B:AC,28,0),"không có trong file network")</f>
        <v>Chưa có</v>
      </c>
      <c r="G1322" s="1" t="str">
        <f>IFERROR(IF(VLOOKUP(B1322,'TCH (append)'!C:P,14,0)="Completed","Hoàn thành thi công",
IF(VLOOKUP(B1322,'TCH (append)'!C:K,9,0)="Completed","Hoàn thành đấu thầu",
IF(VLOOKUP(B1322,'TCH (append)'!C:J,8,0)="Completed","Hoàn thành dự toán",
IF(VLOOKUP(B1322,'TCH (append)'!C:I,7,0)="Completed","Hoàn thành thiết kế",
"Chưa thiết kế")))),"Chưa có trong file PMO")</f>
        <v>Chưa có trong file PMO</v>
      </c>
      <c r="H1322" s="1" t="str">
        <f>IFERROR(VLOOKUP(B1322,'Plan 2026'!B:AW,48,0), VLOOKUP(B1322,'TCH (append)'!C:D,2,0)
)</f>
        <v>Manwah Kim Chung/Di Trạch
QL 21/ thế giới DĐKim Chung/Di Trạch
QL 21/ thế giới DĐ, Thạch Hoà, Thạch Thất, Hà Nội</v>
      </c>
      <c r="J1322" s="1" t="s">
        <v>112</v>
      </c>
      <c r="K1322" s="1" t="s">
        <v>113</v>
      </c>
      <c r="L1322" s="2" t="str">
        <f>IF(
    F1322&lt;&gt;"Đã ký",
    "Chưa triển khai",
    IF(
        IFERROR(VLOOKUP(B1322,TCH[[Code budget]:[Ngày kết thúc thi công theo kế hoạch]],10,0),0)&gt;0,
        VLOOKUP(B1322,TCH[[Code budget]:[Ngày kết thúc thi công theo kế hoạch]],10,0),
        IFERROR(
            DATE(2026,VLOOKUP(B1322,'Plan 2026'!B:H,7,0),31),
            "Chưa triển khai"
        )
    )
)</f>
        <v>Chưa triển khai</v>
      </c>
      <c r="M1322" s="2" t="s">
        <v>6688</v>
      </c>
    </row>
    <row r="1323" spans="2:13" ht="11.25" hidden="1" customHeight="1" x14ac:dyDescent="0.25">
      <c r="B1323" s="1" t="s">
        <v>3983</v>
      </c>
      <c r="C1323" s="17" t="str">
        <f>IFERROR(LEFT(VLOOKUP(B1323,'For consider'!D:E,2,0),8),"Chưa có code")</f>
        <v>Chưa có code</v>
      </c>
      <c r="E1323" s="1" t="str">
        <f t="shared" si="5"/>
        <v>Chưa triển khai</v>
      </c>
      <c r="F1323" s="1" t="str">
        <f>IFERROR(VLOOKUP(B1323,'Plan 2026'!B:AC,28,0),"không có trong file network")</f>
        <v>Reject</v>
      </c>
      <c r="G1323" s="1" t="str">
        <f>IFERROR(IF(VLOOKUP(B1323,'TCH (append)'!C:P,14,0)="Completed","Hoàn thành thi công",
IF(VLOOKUP(B1323,'TCH (append)'!C:K,9,0)="Completed","Hoàn thành đấu thầu",
IF(VLOOKUP(B1323,'TCH (append)'!C:J,8,0)="Completed","Hoàn thành dự toán",
IF(VLOOKUP(B1323,'TCH (append)'!C:I,7,0)="Completed","Hoàn thành thiết kế",
"Chưa thiết kế")))),"Chưa có trong file PMO")</f>
        <v>Chưa có trong file PMO</v>
      </c>
      <c r="H1323" s="1" t="str">
        <f>IFERROR(VLOOKUP(B1323,'Plan 2026'!B:AW,48,0), VLOOKUP(B1323,'TCH (append)'!C:D,2,0)
)</f>
        <v>Man Tang Guo Huỳnh Thúc KhángHuỳnh Thúc Kháng, Thành Công, Ba Đình, Hà Nội</v>
      </c>
      <c r="J1323" s="1" t="s">
        <v>1561</v>
      </c>
      <c r="K1323" s="1" t="s">
        <v>1562</v>
      </c>
      <c r="L1323" s="2" t="str">
        <f>IF(
    F1323&lt;&gt;"Đã ký",
    "Chưa triển khai",
    IF(
        IFERROR(VLOOKUP(B1323,TCH[[Code budget]:[Ngày kết thúc thi công theo kế hoạch]],10,0),0)&gt;0,
        VLOOKUP(B1323,TCH[[Code budget]:[Ngày kết thúc thi công theo kế hoạch]],10,0),
        IFERROR(
            DATE(2026,VLOOKUP(B1323,'Plan 2026'!B:H,7,0),31),
            "Chưa triển khai"
        )
    )
)</f>
        <v>Chưa triển khai</v>
      </c>
      <c r="M1323" s="2" t="s">
        <v>6688</v>
      </c>
    </row>
    <row r="1324" spans="2:13" ht="11.25" hidden="1" customHeight="1" x14ac:dyDescent="0.25">
      <c r="B1324" s="1" t="s">
        <v>4004</v>
      </c>
      <c r="C1324" s="17" t="str">
        <f>IFERROR(LEFT(VLOOKUP(B1324,'For consider'!D:E,2,0),8),"Chưa có code")</f>
        <v>Chưa có code</v>
      </c>
      <c r="E1324" s="1" t="str">
        <f t="shared" si="5"/>
        <v>Chưa triển khai</v>
      </c>
      <c r="F1324" s="1" t="str">
        <f>IFERROR(VLOOKUP(B1324,'Plan 2026'!B:AC,28,0),"không có trong file network")</f>
        <v>Chưa có</v>
      </c>
      <c r="G1324" s="1" t="str">
        <f>IFERROR(IF(VLOOKUP(B1324,'TCH (append)'!C:P,14,0)="Completed","Hoàn thành thi công",
IF(VLOOKUP(B1324,'TCH (append)'!C:K,9,0)="Completed","Hoàn thành đấu thầu",
IF(VLOOKUP(B1324,'TCH (append)'!C:J,8,0)="Completed","Hoàn thành dự toán",
IF(VLOOKUP(B1324,'TCH (append)'!C:I,7,0)="Completed","Hoàn thành thiết kế",
"Chưa thiết kế")))),"Chưa có trong file PMO")</f>
        <v>Chưa có trong file PMO</v>
      </c>
      <c r="H1324" s="1" t="str">
        <f>IFERROR(VLOOKUP(B1324,'Plan 2026'!B:AW,48,0), VLOOKUP(B1324,'TCH (append)'!C:D,2,0)
)</f>
        <v>Kichi Kichi 272 Đường Võ Chí CôngLotte Mall West Lake Hanoi272 Đường Võ Chí Công, Phú Thượng, Tây Hồ, Hà Nội</v>
      </c>
      <c r="J1324" s="1" t="s">
        <v>34</v>
      </c>
      <c r="K1324" s="1" t="s">
        <v>35</v>
      </c>
      <c r="L1324" s="2" t="str">
        <f>IF(
    F1324&lt;&gt;"Đã ký",
    "Chưa triển khai",
    IF(
        IFERROR(VLOOKUP(B1324,TCH[[Code budget]:[Ngày kết thúc thi công theo kế hoạch]],10,0),0)&gt;0,
        VLOOKUP(B1324,TCH[[Code budget]:[Ngày kết thúc thi công theo kế hoạch]],10,0),
        IFERROR(
            DATE(2026,VLOOKUP(B1324,'Plan 2026'!B:H,7,0),31),
            "Chưa triển khai"
        )
    )
)</f>
        <v>Chưa triển khai</v>
      </c>
      <c r="M1324" s="2" t="s">
        <v>6688</v>
      </c>
    </row>
    <row r="1325" spans="2:13" ht="11.25" hidden="1" customHeight="1" x14ac:dyDescent="0.25">
      <c r="B1325" s="1" t="s">
        <v>4018</v>
      </c>
      <c r="C1325" s="17" t="str">
        <f>IFERROR(LEFT(VLOOKUP(B1325,'For consider'!D:E,2,0),8),"Chưa có code")</f>
        <v>Chưa có code</v>
      </c>
      <c r="E1325" s="1" t="str">
        <f t="shared" si="5"/>
        <v>Chưa triển khai</v>
      </c>
      <c r="F1325" s="1" t="str">
        <f>IFERROR(VLOOKUP(B1325,'Plan 2026'!B:AC,28,0),"không có trong file network")</f>
        <v>Chưa có</v>
      </c>
      <c r="G1325" s="1" t="str">
        <f>IFERROR(IF(VLOOKUP(B1325,'TCH (append)'!C:P,14,0)="Completed","Hoàn thành thi công",
IF(VLOOKUP(B1325,'TCH (append)'!C:K,9,0)="Completed","Hoàn thành đấu thầu",
IF(VLOOKUP(B1325,'TCH (append)'!C:J,8,0)="Completed","Hoàn thành dự toán",
IF(VLOOKUP(B1325,'TCH (append)'!C:I,7,0)="Completed","Hoàn thành thiết kế",
"Chưa thiết kế")))),"Chưa có trong file PMO")</f>
        <v>Chưa có trong file PMO</v>
      </c>
      <c r="H1325" s="1" t="str">
        <f>IFERROR(VLOOKUP(B1325,'Plan 2026'!B:AW,48,0), VLOOKUP(B1325,'TCH (append)'!C:D,2,0)
)</f>
        <v>Union Pizza Số 272, Đường Võ Chí CôngLotte Mall West Lake HanoiSố 272, Đường Võ Chí Công, Phú Thượng, Tây Hồ, Hà Nội</v>
      </c>
      <c r="J1325" s="1" t="s">
        <v>1311</v>
      </c>
      <c r="K1325" s="1" t="s">
        <v>1312</v>
      </c>
      <c r="L1325" s="2" t="str">
        <f>IF(
    F1325&lt;&gt;"Đã ký",
    "Chưa triển khai",
    IF(
        IFERROR(VLOOKUP(B1325,TCH[[Code budget]:[Ngày kết thúc thi công theo kế hoạch]],10,0),0)&gt;0,
        VLOOKUP(B1325,TCH[[Code budget]:[Ngày kết thúc thi công theo kế hoạch]],10,0),
        IFERROR(
            DATE(2026,VLOOKUP(B1325,'Plan 2026'!B:H,7,0),31),
            "Chưa triển khai"
        )
    )
)</f>
        <v>Chưa triển khai</v>
      </c>
      <c r="M1325" s="2" t="s">
        <v>6688</v>
      </c>
    </row>
    <row r="1326" spans="2:13" ht="11.25" hidden="1" customHeight="1" x14ac:dyDescent="0.25">
      <c r="B1326" s="1" t="s">
        <v>4030</v>
      </c>
      <c r="C1326" s="17" t="str">
        <f>IFERROR(LEFT(VLOOKUP(B1326,'For consider'!D:E,2,0),8),"Chưa có code")</f>
        <v>Chưa có code</v>
      </c>
      <c r="E1326" s="1" t="str">
        <f t="shared" si="5"/>
        <v>Chưa triển khai</v>
      </c>
      <c r="F1326" s="1" t="str">
        <f>IFERROR(VLOOKUP(B1326,'Plan 2026'!B:AC,28,0),"không có trong file network")</f>
        <v>Hủy bỏ</v>
      </c>
      <c r="G1326" s="1" t="str">
        <f>IFERROR(IF(VLOOKUP(B1326,'TCH (append)'!C:P,14,0)="Completed","Hoàn thành thi công",
IF(VLOOKUP(B1326,'TCH (append)'!C:K,9,0)="Completed","Hoàn thành đấu thầu",
IF(VLOOKUP(B1326,'TCH (append)'!C:J,8,0)="Completed","Hoàn thành dự toán",
IF(VLOOKUP(B1326,'TCH (append)'!C:I,7,0)="Completed","Hoàn thành thiết kế",
"Chưa thiết kế")))),"Chưa có trong file PMO")</f>
        <v>Chưa có trong file PMO</v>
      </c>
      <c r="H1326" s="1" t="str">
        <f>IFERROR(VLOOKUP(B1326,'Plan 2026'!B:AW,48,0), VLOOKUP(B1326,'TCH (append)'!C:D,2,0)
)</f>
        <v>Gogi House Tô HiệuTô Hiệu, Nghĩa Đô, Cầu Giấy, Hà Nội</v>
      </c>
      <c r="J1326" s="1" t="s">
        <v>76</v>
      </c>
      <c r="K1326" s="1" t="s">
        <v>77</v>
      </c>
      <c r="L1326" s="2" t="str">
        <f>IF(
    F1326&lt;&gt;"Đã ký",
    "Chưa triển khai",
    IF(
        IFERROR(VLOOKUP(B1326,TCH[[Code budget]:[Ngày kết thúc thi công theo kế hoạch]],10,0),0)&gt;0,
        VLOOKUP(B1326,TCH[[Code budget]:[Ngày kết thúc thi công theo kế hoạch]],10,0),
        IFERROR(
            DATE(2026,VLOOKUP(B1326,'Plan 2026'!B:H,7,0),31),
            "Chưa triển khai"
        )
    )
)</f>
        <v>Chưa triển khai</v>
      </c>
      <c r="M1326" s="2" t="s">
        <v>6688</v>
      </c>
    </row>
    <row r="1327" spans="2:13" ht="11.25" hidden="1" customHeight="1" x14ac:dyDescent="0.25">
      <c r="B1327" s="1" t="s">
        <v>4046</v>
      </c>
      <c r="C1327" s="17" t="str">
        <f>IFERROR(LEFT(VLOOKUP(B1327,'For consider'!D:E,2,0),8),"Chưa có code")</f>
        <v>Chưa có code</v>
      </c>
      <c r="E1327" s="1" t="str">
        <f t="shared" si="5"/>
        <v>Chưa triển khai</v>
      </c>
      <c r="F1327" s="1" t="str">
        <f>IFERROR(VLOOKUP(B1327,'Plan 2026'!B:AC,28,0),"không có trong file network")</f>
        <v>Chưa có</v>
      </c>
      <c r="G1327" s="1" t="str">
        <f>IFERROR(IF(VLOOKUP(B1327,'TCH (append)'!C:P,14,0)="Completed","Hoàn thành thi công",
IF(VLOOKUP(B1327,'TCH (append)'!C:K,9,0)="Completed","Hoàn thành đấu thầu",
IF(VLOOKUP(B1327,'TCH (append)'!C:J,8,0)="Completed","Hoàn thành dự toán",
IF(VLOOKUP(B1327,'TCH (append)'!C:I,7,0)="Completed","Hoàn thành thiết kế",
"Chưa thiết kế")))),"Chưa có trong file PMO")</f>
        <v>Chưa có trong file PMO</v>
      </c>
      <c r="H1327" s="1" t="str">
        <f>IFERROR(VLOOKUP(B1327,'Plan 2026'!B:AW,48,0), VLOOKUP(B1327,'TCH (append)'!C:D,2,0)
)</f>
        <v>Chibo Xuân DiệuXuân Diệu, Quảng An, Tây Hồ, Hà Nội</v>
      </c>
      <c r="J1327" s="1" t="s">
        <v>1506</v>
      </c>
      <c r="K1327" s="1" t="s">
        <v>1507</v>
      </c>
      <c r="L1327" s="2" t="str">
        <f>IF(
    F1327&lt;&gt;"Đã ký",
    "Chưa triển khai",
    IF(
        IFERROR(VLOOKUP(B1327,TCH[[Code budget]:[Ngày kết thúc thi công theo kế hoạch]],10,0),0)&gt;0,
        VLOOKUP(B1327,TCH[[Code budget]:[Ngày kết thúc thi công theo kế hoạch]],10,0),
        IFERROR(
            DATE(2026,VLOOKUP(B1327,'Plan 2026'!B:H,7,0),31),
            "Chưa triển khai"
        )
    )
)</f>
        <v>Chưa triển khai</v>
      </c>
      <c r="M1327" s="2" t="s">
        <v>6688</v>
      </c>
    </row>
    <row r="1328" spans="2:13" ht="11.25" hidden="1" customHeight="1" x14ac:dyDescent="0.25">
      <c r="B1328" s="1" t="s">
        <v>4074</v>
      </c>
      <c r="C1328" s="17" t="str">
        <f>IFERROR(LEFT(VLOOKUP(B1328,'For consider'!D:E,2,0),8),"Chưa có code")</f>
        <v>Chưa có code</v>
      </c>
      <c r="E1328" s="1" t="str">
        <f t="shared" si="5"/>
        <v>Chưa triển khai</v>
      </c>
      <c r="F1328" s="1" t="str">
        <f>IFERROR(VLOOKUP(B1328,'Plan 2026'!B:AC,28,0),"không có trong file network")</f>
        <v>Reject</v>
      </c>
      <c r="G1328" s="1" t="str">
        <f>IFERROR(IF(VLOOKUP(B1328,'TCH (append)'!C:P,14,0)="Completed","Hoàn thành thi công",
IF(VLOOKUP(B1328,'TCH (append)'!C:K,9,0)="Completed","Hoàn thành đấu thầu",
IF(VLOOKUP(B1328,'TCH (append)'!C:J,8,0)="Completed","Hoàn thành dự toán",
IF(VLOOKUP(B1328,'TCH (append)'!C:I,7,0)="Completed","Hoàn thành thiết kế",
"Chưa thiết kế")))),"Chưa có trong file PMO")</f>
        <v>Chưa có trong file PMO</v>
      </c>
      <c r="H1328" s="1" t="str">
        <f>IFERROR(VLOOKUP(B1328,'Plan 2026'!B:AW,48,0), VLOOKUP(B1328,'TCH (append)'!C:D,2,0)
)</f>
        <v>Gogi House Ngọc LâmNgọc Lâm, Ngọc Lâm, Long Biên, Hà Nội</v>
      </c>
      <c r="J1328" s="1" t="s">
        <v>76</v>
      </c>
      <c r="K1328" s="1" t="s">
        <v>77</v>
      </c>
      <c r="L1328" s="2" t="str">
        <f>IF(
    F1328&lt;&gt;"Đã ký",
    "Chưa triển khai",
    IF(
        IFERROR(VLOOKUP(B1328,TCH[[Code budget]:[Ngày kết thúc thi công theo kế hoạch]],10,0),0)&gt;0,
        VLOOKUP(B1328,TCH[[Code budget]:[Ngày kết thúc thi công theo kế hoạch]],10,0),
        IFERROR(
            DATE(2026,VLOOKUP(B1328,'Plan 2026'!B:H,7,0),31),
            "Chưa triển khai"
        )
    )
)</f>
        <v>Chưa triển khai</v>
      </c>
      <c r="M1328" s="2" t="s">
        <v>6688</v>
      </c>
    </row>
    <row r="1329" spans="2:13" ht="11.25" hidden="1" customHeight="1" x14ac:dyDescent="0.25">
      <c r="B1329" s="1" t="s">
        <v>4079</v>
      </c>
      <c r="C1329" s="17" t="str">
        <f>IFERROR(LEFT(VLOOKUP(B1329,'For consider'!D:E,2,0),8),"Chưa có code")</f>
        <v>Chưa có code</v>
      </c>
      <c r="E1329" s="1" t="str">
        <f t="shared" si="5"/>
        <v>Chưa triển khai</v>
      </c>
      <c r="F1329" s="1" t="str">
        <f>IFERROR(VLOOKUP(B1329,'Plan 2026'!B:AC,28,0),"không có trong file network")</f>
        <v>Chưa có</v>
      </c>
      <c r="G1329" s="1" t="str">
        <f>IFERROR(IF(VLOOKUP(B1329,'TCH (append)'!C:P,14,0)="Completed","Hoàn thành thi công",
IF(VLOOKUP(B1329,'TCH (append)'!C:K,9,0)="Completed","Hoàn thành đấu thầu",
IF(VLOOKUP(B1329,'TCH (append)'!C:J,8,0)="Completed","Hoàn thành dự toán",
IF(VLOOKUP(B1329,'TCH (append)'!C:I,7,0)="Completed","Hoàn thành thiết kế",
"Chưa thiết kế")))),"Chưa có trong file PMO")</f>
        <v>Chưa có trong file PMO</v>
      </c>
      <c r="H1329" s="1" t="str">
        <f>IFERROR(VLOOKUP(B1329,'Plan 2026'!B:AW,48,0), VLOOKUP(B1329,'TCH (append)'!C:D,2,0)
)</f>
        <v>Kichi Kichi Vĩnh Phúc, Ba Đình, Hà Nội</v>
      </c>
      <c r="J1329" s="1" t="s">
        <v>34</v>
      </c>
      <c r="K1329" s="1" t="s">
        <v>35</v>
      </c>
      <c r="L1329" s="2" t="str">
        <f>IF(
    F1329&lt;&gt;"Đã ký",
    "Chưa triển khai",
    IF(
        IFERROR(VLOOKUP(B1329,TCH[[Code budget]:[Ngày kết thúc thi công theo kế hoạch]],10,0),0)&gt;0,
        VLOOKUP(B1329,TCH[[Code budget]:[Ngày kết thúc thi công theo kế hoạch]],10,0),
        IFERROR(
            DATE(2026,VLOOKUP(B1329,'Plan 2026'!B:H,7,0),31),
            "Chưa triển khai"
        )
    )
)</f>
        <v>Chưa triển khai</v>
      </c>
      <c r="M1329" s="2" t="s">
        <v>6688</v>
      </c>
    </row>
    <row r="1330" spans="2:13" ht="11.25" hidden="1" customHeight="1" x14ac:dyDescent="0.25">
      <c r="B1330" s="1" t="s">
        <v>4086</v>
      </c>
      <c r="C1330" s="17" t="str">
        <f>IFERROR(LEFT(VLOOKUP(B1330,'For consider'!D:E,2,0),8),"Chưa có code")</f>
        <v>Chưa có code</v>
      </c>
      <c r="E1330" s="1" t="str">
        <f t="shared" si="5"/>
        <v>Chưa triển khai</v>
      </c>
      <c r="F1330" s="1" t="str">
        <f>IFERROR(VLOOKUP(B1330,'Plan 2026'!B:AC,28,0),"không có trong file network")</f>
        <v>Chưa có</v>
      </c>
      <c r="G1330" s="1" t="str">
        <f>IFERROR(IF(VLOOKUP(B1330,'TCH (append)'!C:P,14,0)="Completed","Hoàn thành thi công",
IF(VLOOKUP(B1330,'TCH (append)'!C:K,9,0)="Completed","Hoàn thành đấu thầu",
IF(VLOOKUP(B1330,'TCH (append)'!C:J,8,0)="Completed","Hoàn thành dự toán",
IF(VLOOKUP(B1330,'TCH (append)'!C:I,7,0)="Completed","Hoàn thành thiết kế",
"Chưa thiết kế")))),"Chưa có trong file PMO")</f>
        <v>Chưa có trong file PMO</v>
      </c>
      <c r="H1330" s="1" t="str">
        <f>IFERROR(VLOOKUP(B1330,'Plan 2026'!B:AW,48,0), VLOOKUP(B1330,'TCH (append)'!C:D,2,0)
)</f>
        <v>Mama's Bakery Quan Hoa, Cầu Giấy, Hà Nội</v>
      </c>
      <c r="J1330" s="1" t="s">
        <v>1611</v>
      </c>
      <c r="K1330" s="1" t="s">
        <v>1612</v>
      </c>
      <c r="L1330" s="2" t="str">
        <f>IF(
    F1330&lt;&gt;"Đã ký",
    "Chưa triển khai",
    IF(
        IFERROR(VLOOKUP(B1330,TCH[[Code budget]:[Ngày kết thúc thi công theo kế hoạch]],10,0),0)&gt;0,
        VLOOKUP(B1330,TCH[[Code budget]:[Ngày kết thúc thi công theo kế hoạch]],10,0),
        IFERROR(
            DATE(2026,VLOOKUP(B1330,'Plan 2026'!B:H,7,0),31),
            "Chưa triển khai"
        )
    )
)</f>
        <v>Chưa triển khai</v>
      </c>
      <c r="M1330" s="2" t="s">
        <v>6688</v>
      </c>
    </row>
    <row r="1331" spans="2:13" ht="11.25" hidden="1" customHeight="1" x14ac:dyDescent="0.25">
      <c r="B1331" s="1" t="s">
        <v>4095</v>
      </c>
      <c r="C1331" s="17" t="str">
        <f>IFERROR(LEFT(VLOOKUP(B1331,'For consider'!D:E,2,0),8),"Chưa có code")</f>
        <v>Chưa có code</v>
      </c>
      <c r="E1331" s="1" t="str">
        <f t="shared" si="5"/>
        <v>Chưa triển khai</v>
      </c>
      <c r="F1331" s="1" t="str">
        <f>IFERROR(VLOOKUP(B1331,'Plan 2026'!B:AC,28,0),"không có trong file network")</f>
        <v>Chưa có</v>
      </c>
      <c r="G1331" s="1" t="str">
        <f>IFERROR(IF(VLOOKUP(B1331,'TCH (append)'!C:P,14,0)="Completed","Hoàn thành thi công",
IF(VLOOKUP(B1331,'TCH (append)'!C:K,9,0)="Completed","Hoàn thành đấu thầu",
IF(VLOOKUP(B1331,'TCH (append)'!C:J,8,0)="Completed","Hoàn thành dự toán",
IF(VLOOKUP(B1331,'TCH (append)'!C:I,7,0)="Completed","Hoàn thành thiết kế",
"Chưa thiết kế")))),"Chưa có trong file PMO")</f>
        <v>Chưa có trong file PMO</v>
      </c>
      <c r="H1331" s="1" t="str">
        <f>IFERROR(VLOOKUP(B1331,'Plan 2026'!B:AW,48,0), VLOOKUP(B1331,'TCH (append)'!C:D,2,0)
)</f>
        <v>Union Pizza Quỳnh Mai, Hai Bà Trưng, Hà Nội</v>
      </c>
      <c r="J1331" s="1" t="s">
        <v>1311</v>
      </c>
      <c r="K1331" s="1" t="s">
        <v>1312</v>
      </c>
      <c r="L1331" s="2" t="str">
        <f>IF(
    F1331&lt;&gt;"Đã ký",
    "Chưa triển khai",
    IF(
        IFERROR(VLOOKUP(B1331,TCH[[Code budget]:[Ngày kết thúc thi công theo kế hoạch]],10,0),0)&gt;0,
        VLOOKUP(B1331,TCH[[Code budget]:[Ngày kết thúc thi công theo kế hoạch]],10,0),
        IFERROR(
            DATE(2026,VLOOKUP(B1331,'Plan 2026'!B:H,7,0),31),
            "Chưa triển khai"
        )
    )
)</f>
        <v>Chưa triển khai</v>
      </c>
      <c r="M1331" s="2" t="s">
        <v>6688</v>
      </c>
    </row>
    <row r="1332" spans="2:13" ht="11.25" hidden="1" customHeight="1" x14ac:dyDescent="0.25">
      <c r="B1332" s="1" t="s">
        <v>4103</v>
      </c>
      <c r="C1332" s="17" t="str">
        <f>IFERROR(LEFT(VLOOKUP(B1332,'For consider'!D:E,2,0),8),"Chưa có code")</f>
        <v>Chưa có code</v>
      </c>
      <c r="E1332" s="1" t="str">
        <f t="shared" si="5"/>
        <v>Chưa triển khai</v>
      </c>
      <c r="F1332" s="1" t="str">
        <f>IFERROR(VLOOKUP(B1332,'Plan 2026'!B:AC,28,0),"không có trong file network")</f>
        <v>Reject</v>
      </c>
      <c r="G1332" s="1" t="str">
        <f>IFERROR(IF(VLOOKUP(B1332,'TCH (append)'!C:P,14,0)="Completed","Hoàn thành thi công",
IF(VLOOKUP(B1332,'TCH (append)'!C:K,9,0)="Completed","Hoàn thành đấu thầu",
IF(VLOOKUP(B1332,'TCH (append)'!C:J,8,0)="Completed","Hoàn thành dự toán",
IF(VLOOKUP(B1332,'TCH (append)'!C:I,7,0)="Completed","Hoàn thành thiết kế",
"Chưa thiết kế")))),"Chưa có trong file PMO")</f>
        <v>Chưa có trong file PMO</v>
      </c>
      <c r="H1332" s="1" t="str">
        <f>IFERROR(VLOOKUP(B1332,'Plan 2026'!B:AW,48,0), VLOOKUP(B1332,'TCH (append)'!C:D,2,0)
)</f>
        <v>Dao Niu Guo 19 Đặng Dung19 Đặng Dung, Quán Thánh, Ba Đình, Hà Nội</v>
      </c>
      <c r="J1332" s="1" t="s">
        <v>2044</v>
      </c>
      <c r="K1332" s="1" t="s">
        <v>2045</v>
      </c>
      <c r="L1332" s="2" t="str">
        <f>IF(
    F1332&lt;&gt;"Đã ký",
    "Chưa triển khai",
    IF(
        IFERROR(VLOOKUP(B1332,TCH[[Code budget]:[Ngày kết thúc thi công theo kế hoạch]],10,0),0)&gt;0,
        VLOOKUP(B1332,TCH[[Code budget]:[Ngày kết thúc thi công theo kế hoạch]],10,0),
        IFERROR(
            DATE(2026,VLOOKUP(B1332,'Plan 2026'!B:H,7,0),31),
            "Chưa triển khai"
        )
    )
)</f>
        <v>Chưa triển khai</v>
      </c>
      <c r="M1332" s="2" t="s">
        <v>6688</v>
      </c>
    </row>
    <row r="1333" spans="2:13" ht="11.25" hidden="1" customHeight="1" x14ac:dyDescent="0.25">
      <c r="B1333" s="1" t="s">
        <v>4113</v>
      </c>
      <c r="C1333" s="17" t="str">
        <f>IFERROR(LEFT(VLOOKUP(B1333,'For consider'!D:E,2,0),8),"Chưa có code")</f>
        <v>Chưa có code</v>
      </c>
      <c r="E1333" s="1" t="str">
        <f t="shared" si="5"/>
        <v>Chưa triển khai</v>
      </c>
      <c r="F1333" s="1" t="str">
        <f>IFERROR(VLOOKUP(B1333,'Plan 2026'!B:AC,28,0),"không có trong file network")</f>
        <v>Reject</v>
      </c>
      <c r="G1333" s="1" t="str">
        <f>IFERROR(IF(VLOOKUP(B1333,'TCH (append)'!C:P,14,0)="Completed","Hoàn thành thi công",
IF(VLOOKUP(B1333,'TCH (append)'!C:K,9,0)="Completed","Hoàn thành đấu thầu",
IF(VLOOKUP(B1333,'TCH (append)'!C:J,8,0)="Completed","Hoàn thành dự toán",
IF(VLOOKUP(B1333,'TCH (append)'!C:I,7,0)="Completed","Hoàn thành thiết kế",
"Chưa thiết kế")))),"Chưa có trong file PMO")</f>
        <v>Chưa có trong file PMO</v>
      </c>
      <c r="H1333" s="1" t="str">
        <f>IFERROR(VLOOKUP(B1333,'Plan 2026'!B:AW,48,0), VLOOKUP(B1333,'TCH (append)'!C:D,2,0)
)</f>
        <v>Isushi 62 BT4X2 Bắc Linh Đàm62 BT4X2 Bắc Linh Đàm, Đại Kim, Hoàng Mai, Hà Nội</v>
      </c>
      <c r="J1333" s="1" t="s">
        <v>61</v>
      </c>
      <c r="K1333" s="1" t="s">
        <v>62</v>
      </c>
      <c r="L1333" s="2" t="str">
        <f>IF(
    F1333&lt;&gt;"Đã ký",
    "Chưa triển khai",
    IF(
        IFERROR(VLOOKUP(B1333,TCH[[Code budget]:[Ngày kết thúc thi công theo kế hoạch]],10,0),0)&gt;0,
        VLOOKUP(B1333,TCH[[Code budget]:[Ngày kết thúc thi công theo kế hoạch]],10,0),
        IFERROR(
            DATE(2026,VLOOKUP(B1333,'Plan 2026'!B:H,7,0),31),
            "Chưa triển khai"
        )
    )
)</f>
        <v>Chưa triển khai</v>
      </c>
      <c r="M1333" s="2" t="s">
        <v>6688</v>
      </c>
    </row>
    <row r="1334" spans="2:13" ht="11.25" hidden="1" customHeight="1" x14ac:dyDescent="0.25">
      <c r="B1334" s="1" t="s">
        <v>4126</v>
      </c>
      <c r="C1334" s="17" t="str">
        <f>IFERROR(LEFT(VLOOKUP(B1334,'For consider'!D:E,2,0),8),"Chưa có code")</f>
        <v>10PZ5047</v>
      </c>
      <c r="E1334" s="1" t="str">
        <f t="shared" si="5"/>
        <v>Lock mb chưa thi công</v>
      </c>
      <c r="F1334" s="1" t="str">
        <f>IFERROR(VLOOKUP(B1334,'Plan 2026'!B:AC,28,0),"không có trong file network")</f>
        <v>Đã ký</v>
      </c>
      <c r="G1334" s="1" t="str">
        <f>IFERROR(IF(VLOOKUP(B1334,'TCH (append)'!C:P,14,0)="Completed","Hoàn thành thi công",
IF(VLOOKUP(B1334,'TCH (append)'!C:K,9,0)="Completed","Hoàn thành đấu thầu",
IF(VLOOKUP(B1334,'TCH (append)'!C:J,8,0)="Completed","Hoàn thành dự toán",
IF(VLOOKUP(B1334,'TCH (append)'!C:I,7,0)="Completed","Hoàn thành thiết kế",
"Chưa thiết kế")))),"Chưa có trong file PMO")</f>
        <v>Chưa có trong file PMO</v>
      </c>
      <c r="H1334" s="1" t="str">
        <f>IFERROR(VLOOKUP(B1334,'Plan 2026'!B:AW,48,0), VLOOKUP(B1334,'TCH (append)'!C:D,2,0)
)</f>
        <v>Pizza360 222 đường Trần Duy HưngGo! Thăng Long</v>
      </c>
      <c r="J1334" s="1" t="s">
        <v>2132</v>
      </c>
      <c r="K1334" s="1" t="s">
        <v>2133</v>
      </c>
      <c r="L1334" s="2">
        <f>IF(
    F1334&lt;&gt;"Đã ký",
    "Chưa triển khai",
    IF(
        IFERROR(VLOOKUP(B1334,TCH[[Code budget]:[Ngày kết thúc thi công theo kế hoạch]],10,0),0)&gt;0,
        VLOOKUP(B1334,TCH[[Code budget]:[Ngày kết thúc thi công theo kế hoạch]],10,0),
        IFERROR(
            DATE(2026,VLOOKUP(B1334,'Plan 2026'!B:H,7,0),31),
            "Chưa triển khai"
        )
    )
)</f>
        <v>46204</v>
      </c>
      <c r="M1334" s="2" t="s">
        <v>6688</v>
      </c>
    </row>
    <row r="1335" spans="2:13" ht="11.25" hidden="1" customHeight="1" x14ac:dyDescent="0.25">
      <c r="B1335" s="1" t="s">
        <v>4145</v>
      </c>
      <c r="C1335" s="17" t="str">
        <f>IFERROR(LEFT(VLOOKUP(B1335,'For consider'!D:E,2,0),8),"Chưa có code")</f>
        <v>Chưa có code</v>
      </c>
      <c r="E1335" s="1" t="str">
        <f t="shared" si="5"/>
        <v>Chưa triển khai</v>
      </c>
      <c r="F1335" s="1" t="str">
        <f>IFERROR(VLOOKUP(B1335,'Plan 2026'!B:AC,28,0),"không có trong file network")</f>
        <v>Đang đàm phán</v>
      </c>
      <c r="G1335" s="1" t="str">
        <f>IFERROR(IF(VLOOKUP(B1335,'TCH (append)'!C:P,14,0)="Completed","Hoàn thành thi công",
IF(VLOOKUP(B1335,'TCH (append)'!C:K,9,0)="Completed","Hoàn thành đấu thầu",
IF(VLOOKUP(B1335,'TCH (append)'!C:J,8,0)="Completed","Hoàn thành dự toán",
IF(VLOOKUP(B1335,'TCH (append)'!C:I,7,0)="Completed","Hoàn thành thiết kế",
"Chưa thiết kế")))),"Chưa có trong file PMO")</f>
        <v>Chưa có trong file PMO</v>
      </c>
      <c r="H1335" s="1" t="str">
        <f>IFERROR(VLOOKUP(B1335,'Plan 2026'!B:AW,48,0), VLOOKUP(B1335,'TCH (append)'!C:D,2,0)
)</f>
        <v xml:space="preserve">Kichi Kichi </v>
      </c>
      <c r="J1335" s="1" t="s">
        <v>34</v>
      </c>
      <c r="K1335" s="1" t="s">
        <v>35</v>
      </c>
      <c r="L1335" s="2" t="str">
        <f>IF(
    F1335&lt;&gt;"Đã ký",
    "Chưa triển khai",
    IF(
        IFERROR(VLOOKUP(B1335,TCH[[Code budget]:[Ngày kết thúc thi công theo kế hoạch]],10,0),0)&gt;0,
        VLOOKUP(B1335,TCH[[Code budget]:[Ngày kết thúc thi công theo kế hoạch]],10,0),
        IFERROR(
            DATE(2026,VLOOKUP(B1335,'Plan 2026'!B:H,7,0),31),
            "Chưa triển khai"
        )
    )
)</f>
        <v>Chưa triển khai</v>
      </c>
      <c r="M1335" s="2" t="s">
        <v>6688</v>
      </c>
    </row>
    <row r="1336" spans="2:13" ht="11.25" hidden="1" customHeight="1" x14ac:dyDescent="0.25">
      <c r="B1336" s="1" t="s">
        <v>4149</v>
      </c>
      <c r="C1336" s="17" t="str">
        <f>IFERROR(LEFT(VLOOKUP(B1336,'For consider'!D:E,2,0),8),"Chưa có code")</f>
        <v>Chưa có code</v>
      </c>
      <c r="E1336" s="1" t="str">
        <f t="shared" si="5"/>
        <v>Chưa triển khai</v>
      </c>
      <c r="F1336" s="1" t="str">
        <f>IFERROR(VLOOKUP(B1336,'Plan 2026'!B:AC,28,0),"không có trong file network")</f>
        <v>Reject</v>
      </c>
      <c r="G1336" s="1" t="str">
        <f>IFERROR(IF(VLOOKUP(B1336,'TCH (append)'!C:P,14,0)="Completed","Hoàn thành thi công",
IF(VLOOKUP(B1336,'TCH (append)'!C:K,9,0)="Completed","Hoàn thành đấu thầu",
IF(VLOOKUP(B1336,'TCH (append)'!C:J,8,0)="Completed","Hoàn thành dự toán",
IF(VLOOKUP(B1336,'TCH (append)'!C:I,7,0)="Completed","Hoàn thành thiết kế",
"Chưa thiết kế")))),"Chưa có trong file PMO")</f>
        <v>Chưa có trong file PMO</v>
      </c>
      <c r="H1336" s="1" t="str">
        <f>IFERROR(VLOOKUP(B1336,'Plan 2026'!B:AW,48,0), VLOOKUP(B1336,'TCH (append)'!C:D,2,0)
)</f>
        <v xml:space="preserve">The Coffee House </v>
      </c>
      <c r="J1336" s="1" t="s">
        <v>1788</v>
      </c>
      <c r="K1336" s="1" t="s">
        <v>1789</v>
      </c>
      <c r="L1336" s="2" t="str">
        <f>IF(
    F1336&lt;&gt;"Đã ký",
    "Chưa triển khai",
    IF(
        IFERROR(VLOOKUP(B1336,TCH[[Code budget]:[Ngày kết thúc thi công theo kế hoạch]],10,0),0)&gt;0,
        VLOOKUP(B1336,TCH[[Code budget]:[Ngày kết thúc thi công theo kế hoạch]],10,0),
        IFERROR(
            DATE(2026,VLOOKUP(B1336,'Plan 2026'!B:H,7,0),31),
            "Chưa triển khai"
        )
    )
)</f>
        <v>Chưa triển khai</v>
      </c>
      <c r="M1336" s="2" t="s">
        <v>6688</v>
      </c>
    </row>
    <row r="1337" spans="2:13" ht="11.25" hidden="1" customHeight="1" x14ac:dyDescent="0.25">
      <c r="B1337" s="1" t="s">
        <v>4171</v>
      </c>
      <c r="C1337" s="17" t="str">
        <f>IFERROR(LEFT(VLOOKUP(B1337,'For consider'!D:E,2,0),8),"Chưa có code")</f>
        <v>Chưa có code</v>
      </c>
      <c r="E1337" s="1" t="str">
        <f t="shared" si="5"/>
        <v>Chưa triển khai</v>
      </c>
      <c r="F1337" s="1" t="str">
        <f>IFERROR(VLOOKUP(B1337,'Plan 2026'!B:AC,28,0),"không có trong file network")</f>
        <v>Đang offer</v>
      </c>
      <c r="G1337" s="1" t="str">
        <f>IFERROR(IF(VLOOKUP(B1337,'TCH (append)'!C:P,14,0)="Completed","Hoàn thành thi công",
IF(VLOOKUP(B1337,'TCH (append)'!C:K,9,0)="Completed","Hoàn thành đấu thầu",
IF(VLOOKUP(B1337,'TCH (append)'!C:J,8,0)="Completed","Hoàn thành dự toán",
IF(VLOOKUP(B1337,'TCH (append)'!C:I,7,0)="Completed","Hoàn thành thiết kế",
"Chưa thiết kế")))),"Chưa có trong file PMO")</f>
        <v>Chưa có trong file PMO</v>
      </c>
      <c r="H1337" s="1" t="str">
        <f>IFERROR(VLOOKUP(B1337,'Plan 2026'!B:AW,48,0), VLOOKUP(B1337,'TCH (append)'!C:D,2,0)
)</f>
        <v>Yutang Đại lộ Võ Nguyên GiápAeon Mall Hải DươngĐại lộ Võ Nguyên Giáp, Thạch Khôi, Hải Dương, Hải Dương</v>
      </c>
      <c r="J1337" s="1" t="s">
        <v>228</v>
      </c>
      <c r="K1337" s="1" t="s">
        <v>229</v>
      </c>
      <c r="L1337" s="2" t="str">
        <f>IF(
    F1337&lt;&gt;"Đã ký",
    "Chưa triển khai",
    IF(
        IFERROR(VLOOKUP(B1337,TCH[[Code budget]:[Ngày kết thúc thi công theo kế hoạch]],10,0),0)&gt;0,
        VLOOKUP(B1337,TCH[[Code budget]:[Ngày kết thúc thi công theo kế hoạch]],10,0),
        IFERROR(
            DATE(2026,VLOOKUP(B1337,'Plan 2026'!B:H,7,0),31),
            "Chưa triển khai"
        )
    )
)</f>
        <v>Chưa triển khai</v>
      </c>
      <c r="M1337" s="2" t="s">
        <v>6688</v>
      </c>
    </row>
    <row r="1338" spans="2:13" ht="11.25" hidden="1" customHeight="1" x14ac:dyDescent="0.25">
      <c r="B1338" s="1" t="s">
        <v>4184</v>
      </c>
      <c r="C1338" s="17" t="str">
        <f>IFERROR(LEFT(VLOOKUP(B1338,'For consider'!D:E,2,0),8),"Chưa có code")</f>
        <v>Chưa có code</v>
      </c>
      <c r="E1338" s="1" t="str">
        <f t="shared" si="5"/>
        <v>Chưa triển khai</v>
      </c>
      <c r="F1338" s="1" t="str">
        <f>IFERROR(VLOOKUP(B1338,'Plan 2026'!B:AC,28,0),"không có trong file network")</f>
        <v>Chưa có</v>
      </c>
      <c r="G1338" s="1" t="str">
        <f>IFERROR(IF(VLOOKUP(B1338,'TCH (append)'!C:P,14,0)="Completed","Hoàn thành thi công",
IF(VLOOKUP(B1338,'TCH (append)'!C:K,9,0)="Completed","Hoàn thành đấu thầu",
IF(VLOOKUP(B1338,'TCH (append)'!C:J,8,0)="Completed","Hoàn thành dự toán",
IF(VLOOKUP(B1338,'TCH (append)'!C:I,7,0)="Completed","Hoàn thành thiết kế",
"Chưa thiết kế")))),"Chưa có trong file PMO")</f>
        <v>Chưa có trong file PMO</v>
      </c>
      <c r="H1338" s="1" t="str">
        <f>IFERROR(VLOOKUP(B1338,'Plan 2026'!B:AW,48,0), VLOOKUP(B1338,'TCH (append)'!C:D,2,0)
)</f>
        <v>Isushi 10 Đường Võ Nguyên GiápAeon Mall Hải Phòng Lê Chân10 Đường Võ Nguyên Giáp, Dư Hàng Kênh, Lê Chân, Hải Phòng</v>
      </c>
      <c r="J1338" s="1" t="s">
        <v>61</v>
      </c>
      <c r="K1338" s="1" t="s">
        <v>62</v>
      </c>
      <c r="L1338" s="2" t="str">
        <f>IF(
    F1338&lt;&gt;"Đã ký",
    "Chưa triển khai",
    IF(
        IFERROR(VLOOKUP(B1338,TCH[[Code budget]:[Ngày kết thúc thi công theo kế hoạch]],10,0),0)&gt;0,
        VLOOKUP(B1338,TCH[[Code budget]:[Ngày kết thúc thi công theo kế hoạch]],10,0),
        IFERROR(
            DATE(2026,VLOOKUP(B1338,'Plan 2026'!B:H,7,0),31),
            "Chưa triển khai"
        )
    )
)</f>
        <v>Chưa triển khai</v>
      </c>
      <c r="M1338" s="2" t="s">
        <v>6688</v>
      </c>
    </row>
    <row r="1339" spans="2:13" ht="11.25" hidden="1" customHeight="1" x14ac:dyDescent="0.25">
      <c r="B1339" s="1" t="s">
        <v>4202</v>
      </c>
      <c r="C1339" s="17" t="str">
        <f>IFERROR(LEFT(VLOOKUP(B1339,'For consider'!D:E,2,0),8),"Chưa có code")</f>
        <v>Chưa có code</v>
      </c>
      <c r="E1339" s="1" t="str">
        <f t="shared" si="5"/>
        <v>Chưa triển khai</v>
      </c>
      <c r="F1339" s="1" t="str">
        <f>IFERROR(VLOOKUP(B1339,'Plan 2026'!B:AC,28,0),"không có trong file network")</f>
        <v>Đang offer</v>
      </c>
      <c r="G1339" s="1" t="str">
        <f>IFERROR(IF(VLOOKUP(B1339,'TCH (append)'!C:P,14,0)="Completed","Hoàn thành thi công",
IF(VLOOKUP(B1339,'TCH (append)'!C:K,9,0)="Completed","Hoàn thành đấu thầu",
IF(VLOOKUP(B1339,'TCH (append)'!C:J,8,0)="Completed","Hoàn thành dự toán",
IF(VLOOKUP(B1339,'TCH (append)'!C:I,7,0)="Completed","Hoàn thành thiết kế",
"Chưa thiết kế")))),"Chưa có trong file PMO")</f>
        <v>Chưa có trong file PMO</v>
      </c>
      <c r="H1339" s="1" t="str">
        <f>IFERROR(VLOOKUP(B1339,'Plan 2026'!B:AW,48,0), VLOOKUP(B1339,'TCH (append)'!C:D,2,0)
)</f>
        <v>Ashima 10 đường Võ Nguyên GiápAeon Mall Hải Phòng Lê Chân10 đường Võ Nguyên Giáp, Kênh Dương, Lê Chân, Hải Phòng</v>
      </c>
      <c r="J1339" s="1" t="s">
        <v>24</v>
      </c>
      <c r="K1339" s="1" t="s">
        <v>25</v>
      </c>
      <c r="L1339" s="2" t="str">
        <f>IF(
    F1339&lt;&gt;"Đã ký",
    "Chưa triển khai",
    IF(
        IFERROR(VLOOKUP(B1339,TCH[[Code budget]:[Ngày kết thúc thi công theo kế hoạch]],10,0),0)&gt;0,
        VLOOKUP(B1339,TCH[[Code budget]:[Ngày kết thúc thi công theo kế hoạch]],10,0),
        IFERROR(
            DATE(2026,VLOOKUP(B1339,'Plan 2026'!B:H,7,0),31),
            "Chưa triển khai"
        )
    )
)</f>
        <v>Chưa triển khai</v>
      </c>
      <c r="M1339" s="2" t="s">
        <v>6688</v>
      </c>
    </row>
    <row r="1340" spans="2:13" ht="11.25" hidden="1" customHeight="1" x14ac:dyDescent="0.25">
      <c r="B1340" s="1" t="s">
        <v>4214</v>
      </c>
      <c r="C1340" s="17" t="str">
        <f>IFERROR(LEFT(VLOOKUP(B1340,'For consider'!D:E,2,0),8),"Chưa có code")</f>
        <v>Chưa có code</v>
      </c>
      <c r="E1340" s="1" t="str">
        <f t="shared" si="5"/>
        <v>Chưa triển khai</v>
      </c>
      <c r="F1340" s="1" t="str">
        <f>IFERROR(VLOOKUP(B1340,'Plan 2026'!B:AC,28,0),"không có trong file network")</f>
        <v>Đang offer</v>
      </c>
      <c r="G1340" s="1" t="str">
        <f>IFERROR(IF(VLOOKUP(B1340,'TCH (append)'!C:P,14,0)="Completed","Hoàn thành thi công",
IF(VLOOKUP(B1340,'TCH (append)'!C:K,9,0)="Completed","Hoàn thành đấu thầu",
IF(VLOOKUP(B1340,'TCH (append)'!C:J,8,0)="Completed","Hoàn thành dự toán",
IF(VLOOKUP(B1340,'TCH (append)'!C:I,7,0)="Completed","Hoàn thành thiết kế",
"Chưa thiết kế")))),"Chưa có trong file PMO")</f>
        <v>Chưa có trong file PMO</v>
      </c>
      <c r="H1340" s="1" t="str">
        <f>IFERROR(VLOOKUP(B1340,'Plan 2026'!B:AW,48,0), VLOOKUP(B1340,'TCH (append)'!C:D,2,0)
)</f>
        <v>Yutang Số 10 Đường Võ Nguyên GiápAeon Mall Hải Phòng Lê ChânSố 10 Đường Võ Nguyên Giáp, Kênh Dương, Lê Chân, Hải Phòng</v>
      </c>
      <c r="J1340" s="1" t="s">
        <v>228</v>
      </c>
      <c r="K1340" s="1" t="s">
        <v>229</v>
      </c>
      <c r="L1340" s="2" t="str">
        <f>IF(
    F1340&lt;&gt;"Đã ký",
    "Chưa triển khai",
    IF(
        IFERROR(VLOOKUP(B1340,TCH[[Code budget]:[Ngày kết thúc thi công theo kế hoạch]],10,0),0)&gt;0,
        VLOOKUP(B1340,TCH[[Code budget]:[Ngày kết thúc thi công theo kế hoạch]],10,0),
        IFERROR(
            DATE(2026,VLOOKUP(B1340,'Plan 2026'!B:H,7,0),31),
            "Chưa triển khai"
        )
    )
)</f>
        <v>Chưa triển khai</v>
      </c>
      <c r="M1340" s="2" t="s">
        <v>6688</v>
      </c>
    </row>
    <row r="1341" spans="2:13" ht="11.25" hidden="1" customHeight="1" x14ac:dyDescent="0.25">
      <c r="B1341" s="1" t="s">
        <v>4240</v>
      </c>
      <c r="C1341" s="17" t="str">
        <f>IFERROR(LEFT(VLOOKUP(B1341,'For consider'!D:E,2,0),8),"Chưa có code")</f>
        <v>Chưa có code</v>
      </c>
      <c r="E1341" s="1" t="str">
        <f t="shared" si="5"/>
        <v>Chưa triển khai</v>
      </c>
      <c r="F1341" s="1" t="str">
        <f>IFERROR(VLOOKUP(B1341,'Plan 2026'!B:AC,28,0),"không có trong file network")</f>
        <v>Reject</v>
      </c>
      <c r="G1341" s="1" t="str">
        <f>IFERROR(IF(VLOOKUP(B1341,'TCH (append)'!C:P,14,0)="Completed","Hoàn thành thi công",
IF(VLOOKUP(B1341,'TCH (append)'!C:K,9,0)="Completed","Hoàn thành đấu thầu",
IF(VLOOKUP(B1341,'TCH (append)'!C:J,8,0)="Completed","Hoàn thành dự toán",
IF(VLOOKUP(B1341,'TCH (append)'!C:I,7,0)="Completed","Hoàn thành thiết kế",
"Chưa thiết kế")))),"Chưa có trong file PMO")</f>
        <v>Chưa có trong file PMO</v>
      </c>
      <c r="H1341" s="1" t="str">
        <f>IFERROR(VLOOKUP(B1341,'Plan 2026'!B:AW,48,0), VLOOKUP(B1341,'TCH (append)'!C:D,2,0)
)</f>
        <v>The Coffee House Hồ Sen</v>
      </c>
      <c r="J1341" s="1" t="s">
        <v>1788</v>
      </c>
      <c r="K1341" s="1" t="s">
        <v>1789</v>
      </c>
      <c r="L1341" s="2" t="str">
        <f>IF(
    F1341&lt;&gt;"Đã ký",
    "Chưa triển khai",
    IF(
        IFERROR(VLOOKUP(B1341,TCH[[Code budget]:[Ngày kết thúc thi công theo kế hoạch]],10,0),0)&gt;0,
        VLOOKUP(B1341,TCH[[Code budget]:[Ngày kết thúc thi công theo kế hoạch]],10,0),
        IFERROR(
            DATE(2026,VLOOKUP(B1341,'Plan 2026'!B:H,7,0),31),
            "Chưa triển khai"
        )
    )
)</f>
        <v>Chưa triển khai</v>
      </c>
      <c r="M1341" s="2" t="s">
        <v>6688</v>
      </c>
    </row>
    <row r="1342" spans="2:13" ht="11.25" hidden="1" customHeight="1" x14ac:dyDescent="0.25">
      <c r="B1342" s="1" t="s">
        <v>4262</v>
      </c>
      <c r="C1342" s="17" t="str">
        <f>IFERROR(LEFT(VLOOKUP(B1342,'For consider'!D:E,2,0),8),"Chưa có code")</f>
        <v>Chưa có code</v>
      </c>
      <c r="E1342" s="1" t="str">
        <f t="shared" si="5"/>
        <v>Chưa triển khai</v>
      </c>
      <c r="F1342" s="1" t="str">
        <f>IFERROR(VLOOKUP(B1342,'Plan 2026'!B:AC,28,0),"không có trong file network")</f>
        <v>Không có</v>
      </c>
      <c r="G1342" s="1" t="str">
        <f>IFERROR(IF(VLOOKUP(B1342,'TCH (append)'!C:P,14,0)="Completed","Hoàn thành thi công",
IF(VLOOKUP(B1342,'TCH (append)'!C:K,9,0)="Completed","Hoàn thành đấu thầu",
IF(VLOOKUP(B1342,'TCH (append)'!C:J,8,0)="Completed","Hoàn thành dự toán",
IF(VLOOKUP(B1342,'TCH (append)'!C:I,7,0)="Completed","Hoàn thành thiết kế",
"Chưa thiết kế")))),"Chưa có trong file PMO")</f>
        <v>Chưa có trong file PMO</v>
      </c>
      <c r="H1342" s="1" t="str">
        <f>IFERROR(VLOOKUP(B1342,'Plan 2026'!B:AW,48,0), VLOOKUP(B1342,'TCH (append)'!C:D,2,0)
)</f>
        <v>Ashima 208 đường Nguyễn Hữu CảnhVincom Center Landmark 81208 đường Nguyễn Hữu Cảnh, Phường 22, Bình Thạnh, Hồ Chí Minh</v>
      </c>
      <c r="J1342" s="1" t="s">
        <v>24</v>
      </c>
      <c r="K1342" s="1" t="s">
        <v>25</v>
      </c>
      <c r="L1342" s="2" t="str">
        <f>IF(
    F1342&lt;&gt;"Đã ký",
    "Chưa triển khai",
    IF(
        IFERROR(VLOOKUP(B1342,TCH[[Code budget]:[Ngày kết thúc thi công theo kế hoạch]],10,0),0)&gt;0,
        VLOOKUP(B1342,TCH[[Code budget]:[Ngày kết thúc thi công theo kế hoạch]],10,0),
        IFERROR(
            DATE(2026,VLOOKUP(B1342,'Plan 2026'!B:H,7,0),31),
            "Chưa triển khai"
        )
    )
)</f>
        <v>Chưa triển khai</v>
      </c>
      <c r="M1342" s="2" t="s">
        <v>6688</v>
      </c>
    </row>
    <row r="1343" spans="2:13" ht="11.25" hidden="1" customHeight="1" x14ac:dyDescent="0.25">
      <c r="B1343" s="1" t="s">
        <v>4274</v>
      </c>
      <c r="C1343" s="17" t="str">
        <f>IFERROR(LEFT(VLOOKUP(B1343,'For consider'!D:E,2,0),8),"Chưa có code")</f>
        <v>Chưa có code</v>
      </c>
      <c r="E1343" s="1" t="str">
        <f t="shared" si="5"/>
        <v>Chưa triển khai</v>
      </c>
      <c r="F1343" s="1" t="str">
        <f>IFERROR(VLOOKUP(B1343,'Plan 2026'!B:AC,28,0),"không có trong file network")</f>
        <v>Chưa có</v>
      </c>
      <c r="G1343" s="1" t="str">
        <f>IFERROR(IF(VLOOKUP(B1343,'TCH (append)'!C:P,14,0)="Completed","Hoàn thành thi công",
IF(VLOOKUP(B1343,'TCH (append)'!C:K,9,0)="Completed","Hoàn thành đấu thầu",
IF(VLOOKUP(B1343,'TCH (append)'!C:J,8,0)="Completed","Hoàn thành dự toán",
IF(VLOOKUP(B1343,'TCH (append)'!C:I,7,0)="Completed","Hoàn thành thiết kế",
"Chưa thiết kế")))),"Chưa có trong file PMO")</f>
        <v>Chưa có trong file PMO</v>
      </c>
      <c r="H1343" s="1" t="str">
        <f>IFERROR(VLOOKUP(B1343,'Plan 2026'!B:AW,48,0), VLOOKUP(B1343,'TCH (append)'!C:D,2,0)
)</f>
        <v>Crystal Jade 208 đường Nguyễn Hữu CảnhVincom Center Landmark 81208 đường Nguyễn Hữu Cảnh, Phường 22, Bình Thạnh, Hồ Chí Minh</v>
      </c>
      <c r="J1343" s="1" t="s">
        <v>379</v>
      </c>
      <c r="K1343" s="1" t="s">
        <v>380</v>
      </c>
      <c r="L1343" s="2" t="str">
        <f>IF(
    F1343&lt;&gt;"Đã ký",
    "Chưa triển khai",
    IF(
        IFERROR(VLOOKUP(B1343,TCH[[Code budget]:[Ngày kết thúc thi công theo kế hoạch]],10,0),0)&gt;0,
        VLOOKUP(B1343,TCH[[Code budget]:[Ngày kết thúc thi công theo kế hoạch]],10,0),
        IFERROR(
            DATE(2026,VLOOKUP(B1343,'Plan 2026'!B:H,7,0),31),
            "Chưa triển khai"
        )
    )
)</f>
        <v>Chưa triển khai</v>
      </c>
      <c r="M1343" s="2" t="s">
        <v>6688</v>
      </c>
    </row>
    <row r="1344" spans="2:13" ht="11.25" hidden="1" customHeight="1" x14ac:dyDescent="0.25">
      <c r="B1344" s="1" t="s">
        <v>4320</v>
      </c>
      <c r="C1344" s="17" t="str">
        <f>IFERROR(LEFT(VLOOKUP(B1344,'For consider'!D:E,2,0),8),"Chưa có code")</f>
        <v>Chưa có code</v>
      </c>
      <c r="E1344" s="1" t="str">
        <f t="shared" si="5"/>
        <v>Chưa triển khai</v>
      </c>
      <c r="F1344" s="1" t="str">
        <f>IFERROR(VLOOKUP(B1344,'Plan 2026'!B:AC,28,0),"không có trong file network")</f>
        <v>Chưa có</v>
      </c>
      <c r="G1344" s="1" t="str">
        <f>IFERROR(IF(VLOOKUP(B1344,'TCH (append)'!C:P,14,0)="Completed","Hoàn thành thi công",
IF(VLOOKUP(B1344,'TCH (append)'!C:K,9,0)="Completed","Hoàn thành đấu thầu",
IF(VLOOKUP(B1344,'TCH (append)'!C:J,8,0)="Completed","Hoàn thành dự toán",
IF(VLOOKUP(B1344,'TCH (append)'!C:I,7,0)="Completed","Hoàn thành thiết kế",
"Chưa thiết kế")))),"Chưa có trong file PMO")</f>
        <v>Chưa có trong file PMO</v>
      </c>
      <c r="H1344" s="1" t="str">
        <f>IFERROR(VLOOKUP(B1344,'Plan 2026'!B:AW,48,0), VLOOKUP(B1344,'TCH (append)'!C:D,2,0)
)</f>
        <v>The Coffee House Tam ĐảoTam Đảo, Phường 14, Quận 10, Hồ Chí Minh</v>
      </c>
      <c r="J1344" s="1" t="s">
        <v>1788</v>
      </c>
      <c r="K1344" s="1" t="s">
        <v>1789</v>
      </c>
      <c r="L1344" s="2" t="str">
        <f>IF(
    F1344&lt;&gt;"Đã ký",
    "Chưa triển khai",
    IF(
        IFERROR(VLOOKUP(B1344,TCH[[Code budget]:[Ngày kết thúc thi công theo kế hoạch]],10,0),0)&gt;0,
        VLOOKUP(B1344,TCH[[Code budget]:[Ngày kết thúc thi công theo kế hoạch]],10,0),
        IFERROR(
            DATE(2026,VLOOKUP(B1344,'Plan 2026'!B:H,7,0),31),
            "Chưa triển khai"
        )
    )
)</f>
        <v>Chưa triển khai</v>
      </c>
      <c r="M1344" s="2" t="s">
        <v>6688</v>
      </c>
    </row>
    <row r="1345" spans="2:13" ht="11.25" hidden="1" customHeight="1" x14ac:dyDescent="0.25">
      <c r="B1345" s="1" t="s">
        <v>4381</v>
      </c>
      <c r="C1345" s="17" t="str">
        <f>IFERROR(LEFT(VLOOKUP(B1345,'For consider'!D:E,2,0),8),"Chưa có code")</f>
        <v>Chưa có code</v>
      </c>
      <c r="E1345" s="1" t="str">
        <f t="shared" si="5"/>
        <v>Chưa triển khai</v>
      </c>
      <c r="F1345" s="1" t="str">
        <f>IFERROR(VLOOKUP(B1345,'Plan 2026'!B:AC,28,0),"không có trong file network")</f>
        <v>Chưa có</v>
      </c>
      <c r="G1345" s="1" t="str">
        <f>IFERROR(IF(VLOOKUP(B1345,'TCH (append)'!C:P,14,0)="Completed","Hoàn thành thi công",
IF(VLOOKUP(B1345,'TCH (append)'!C:K,9,0)="Completed","Hoàn thành đấu thầu",
IF(VLOOKUP(B1345,'TCH (append)'!C:J,8,0)="Completed","Hoàn thành dự toán",
IF(VLOOKUP(B1345,'TCH (append)'!C:I,7,0)="Completed","Hoàn thành thiết kế",
"Chưa thiết kế")))),"Chưa có trong file PMO")</f>
        <v>Chưa có trong file PMO</v>
      </c>
      <c r="H1345" s="1" t="str">
        <f>IFERROR(VLOOKUP(B1345,'Plan 2026'!B:AW,48,0), VLOOKUP(B1345,'TCH (append)'!C:D,2,0)
)</f>
        <v>Shogun Phạm Viết ChánhPhạm Viết Chánh, Nguyễn Cư Trinh, Quận 1, Hồ Chí Minh</v>
      </c>
      <c r="J1345" s="1" t="s">
        <v>183</v>
      </c>
      <c r="K1345" s="1" t="s">
        <v>184</v>
      </c>
      <c r="L1345" s="2" t="str">
        <f>IF(
    F1345&lt;&gt;"Đã ký",
    "Chưa triển khai",
    IF(
        IFERROR(VLOOKUP(B1345,TCH[[Code budget]:[Ngày kết thúc thi công theo kế hoạch]],10,0),0)&gt;0,
        VLOOKUP(B1345,TCH[[Code budget]:[Ngày kết thúc thi công theo kế hoạch]],10,0),
        IFERROR(
            DATE(2026,VLOOKUP(B1345,'Plan 2026'!B:H,7,0),31),
            "Chưa triển khai"
        )
    )
)</f>
        <v>Chưa triển khai</v>
      </c>
      <c r="M1345" s="2" t="s">
        <v>6688</v>
      </c>
    </row>
    <row r="1346" spans="2:13" ht="11.25" hidden="1" customHeight="1" x14ac:dyDescent="0.25">
      <c r="B1346" s="1" t="s">
        <v>4430</v>
      </c>
      <c r="C1346" s="17" t="str">
        <f>IFERROR(LEFT(VLOOKUP(B1346,'For consider'!D:E,2,0),8),"Chưa có code")</f>
        <v>Check</v>
      </c>
      <c r="E1346" s="1" t="str">
        <f t="shared" si="5"/>
        <v>Lock mb chưa thi công</v>
      </c>
      <c r="F1346" s="1" t="str">
        <f>IFERROR(VLOOKUP(B1346,'Plan 2026'!B:AC,28,0),"không có trong file network")</f>
        <v>Đã ký</v>
      </c>
      <c r="G1346" s="1" t="str">
        <f>IFERROR(IF(VLOOKUP(B1346,'TCH (append)'!C:P,14,0)="Completed","Hoàn thành thi công",
IF(VLOOKUP(B1346,'TCH (append)'!C:K,9,0)="Completed","Hoàn thành đấu thầu",
IF(VLOOKUP(B1346,'TCH (append)'!C:J,8,0)="Completed","Hoàn thành dự toán",
IF(VLOOKUP(B1346,'TCH (append)'!C:I,7,0)="Completed","Hoàn thành thiết kế",
"Chưa thiết kế")))),"Chưa có trong file PMO")</f>
        <v>Chưa có trong file PMO</v>
      </c>
      <c r="H1346" s="1" t="str">
        <f>IFERROR(VLOOKUP(B1346,'Plan 2026'!B:AW,48,0), VLOOKUP(B1346,'TCH (append)'!C:D,2,0)
)</f>
        <v>Gogi House Pandora Trường Chinh SS</v>
      </c>
      <c r="J1346" s="1" t="s">
        <v>76</v>
      </c>
      <c r="K1346" s="1" t="s">
        <v>77</v>
      </c>
      <c r="L1346" s="2">
        <f>IF(
    F1346&lt;&gt;"Đã ký",
    "Chưa triển khai",
    IF(
        IFERROR(VLOOKUP(B1346,TCH[[Code budget]:[Ngày kết thúc thi công theo kế hoạch]],10,0),0)&gt;0,
        VLOOKUP(B1346,TCH[[Code budget]:[Ngày kết thúc thi công theo kế hoạch]],10,0),
        IFERROR(
            DATE(2026,VLOOKUP(B1346,'Plan 2026'!B:H,7,0),31),
            "Chưa triển khai"
        )
    )
)</f>
        <v>46173</v>
      </c>
      <c r="M1346" s="2" t="s">
        <v>6688</v>
      </c>
    </row>
    <row r="1347" spans="2:13" ht="11.25" hidden="1" customHeight="1" x14ac:dyDescent="0.25">
      <c r="B1347" s="1" t="s">
        <v>4438</v>
      </c>
      <c r="C1347" s="17" t="str">
        <f>IFERROR(LEFT(VLOOKUP(B1347,'For consider'!D:E,2,0),8),"Chưa có code")</f>
        <v>Chưa có code</v>
      </c>
      <c r="E1347" s="1" t="str">
        <f t="shared" si="5"/>
        <v>Chưa triển khai</v>
      </c>
      <c r="F1347" s="1" t="str">
        <f>IFERROR(VLOOKUP(B1347,'Plan 2026'!B:AC,28,0),"không có trong file network")</f>
        <v>Không có</v>
      </c>
      <c r="G1347" s="1" t="str">
        <f>IFERROR(IF(VLOOKUP(B1347,'TCH (append)'!C:P,14,0)="Completed","Hoàn thành thi công",
IF(VLOOKUP(B1347,'TCH (append)'!C:K,9,0)="Completed","Hoàn thành đấu thầu",
IF(VLOOKUP(B1347,'TCH (append)'!C:J,8,0)="Completed","Hoàn thành dự toán",
IF(VLOOKUP(B1347,'TCH (append)'!C:I,7,0)="Completed","Hoàn thành thiết kế",
"Chưa thiết kế")))),"Chưa có trong file PMO")</f>
        <v>Chưa có trong file PMO</v>
      </c>
      <c r="H1347" s="1" t="str">
        <f>IFERROR(VLOOKUP(B1347,'Plan 2026'!B:AW,48,0), VLOOKUP(B1347,'TCH (append)'!C:D,2,0)
)</f>
        <v>Ashima 547 – 549 Tạ Quang BửuParc Mall Q8</v>
      </c>
      <c r="J1347" s="1" t="s">
        <v>24</v>
      </c>
      <c r="K1347" s="1" t="s">
        <v>25</v>
      </c>
      <c r="L1347" s="2" t="str">
        <f>IF(
    F1347&lt;&gt;"Đã ký",
    "Chưa triển khai",
    IF(
        IFERROR(VLOOKUP(B1347,TCH[[Code budget]:[Ngày kết thúc thi công theo kế hoạch]],10,0),0)&gt;0,
        VLOOKUP(B1347,TCH[[Code budget]:[Ngày kết thúc thi công theo kế hoạch]],10,0),
        IFERROR(
            DATE(2026,VLOOKUP(B1347,'Plan 2026'!B:H,7,0),31),
            "Chưa triển khai"
        )
    )
)</f>
        <v>Chưa triển khai</v>
      </c>
      <c r="M1347" s="2" t="s">
        <v>6688</v>
      </c>
    </row>
    <row r="1348" spans="2:13" ht="11.25" hidden="1" customHeight="1" x14ac:dyDescent="0.25">
      <c r="B1348" s="1" t="s">
        <v>4451</v>
      </c>
      <c r="C1348" s="17" t="str">
        <f>IFERROR(LEFT(VLOOKUP(B1348,'For consider'!D:E,2,0),8),"Chưa có code")</f>
        <v>Chưa có code</v>
      </c>
      <c r="E1348" s="1" t="str">
        <f t="shared" si="5"/>
        <v>Chưa triển khai</v>
      </c>
      <c r="F1348" s="1" t="str">
        <f>IFERROR(VLOOKUP(B1348,'Plan 2026'!B:AC,28,0),"không có trong file network")</f>
        <v>Chưa có</v>
      </c>
      <c r="G1348" s="1" t="str">
        <f>IFERROR(IF(VLOOKUP(B1348,'TCH (append)'!C:P,14,0)="Completed","Hoàn thành thi công",
IF(VLOOKUP(B1348,'TCH (append)'!C:K,9,0)="Completed","Hoàn thành đấu thầu",
IF(VLOOKUP(B1348,'TCH (append)'!C:J,8,0)="Completed","Hoàn thành dự toán",
IF(VLOOKUP(B1348,'TCH (append)'!C:I,7,0)="Completed","Hoàn thành thiết kế",
"Chưa thiết kế")))),"Chưa có trong file PMO")</f>
        <v>Chưa có trong file PMO</v>
      </c>
      <c r="H1348" s="1" t="str">
        <f>IFERROR(VLOOKUP(B1348,'Plan 2026'!B:AW,48,0), VLOOKUP(B1348,'TCH (append)'!C:D,2,0)
)</f>
        <v>Manwah Trần Bình Trọng</v>
      </c>
      <c r="J1348" s="1" t="s">
        <v>112</v>
      </c>
      <c r="K1348" s="1" t="s">
        <v>113</v>
      </c>
      <c r="L1348" s="2" t="str">
        <f>IF(
    F1348&lt;&gt;"Đã ký",
    "Chưa triển khai",
    IF(
        IFERROR(VLOOKUP(B1348,TCH[[Code budget]:[Ngày kết thúc thi công theo kế hoạch]],10,0),0)&gt;0,
        VLOOKUP(B1348,TCH[[Code budget]:[Ngày kết thúc thi công theo kế hoạch]],10,0),
        IFERROR(
            DATE(2026,VLOOKUP(B1348,'Plan 2026'!B:H,7,0),31),
            "Chưa triển khai"
        )
    )
)</f>
        <v>Chưa triển khai</v>
      </c>
      <c r="M1348" s="2" t="s">
        <v>6688</v>
      </c>
    </row>
    <row r="1349" spans="2:13" ht="11.25" hidden="1" customHeight="1" x14ac:dyDescent="0.25">
      <c r="B1349" s="1" t="s">
        <v>4461</v>
      </c>
      <c r="C1349" s="17" t="str">
        <f>IFERROR(LEFT(VLOOKUP(B1349,'For consider'!D:E,2,0),8),"Chưa có code")</f>
        <v>Chưa có code</v>
      </c>
      <c r="E1349" s="1" t="str">
        <f t="shared" si="5"/>
        <v>Chưa triển khai</v>
      </c>
      <c r="F1349" s="1" t="str">
        <f>IFERROR(VLOOKUP(B1349,'Plan 2026'!B:AC,28,0),"không có trong file network")</f>
        <v>Không có</v>
      </c>
      <c r="G1349" s="1" t="str">
        <f>IFERROR(IF(VLOOKUP(B1349,'TCH (append)'!C:P,14,0)="Completed","Hoàn thành thi công",
IF(VLOOKUP(B1349,'TCH (append)'!C:K,9,0)="Completed","Hoàn thành đấu thầu",
IF(VLOOKUP(B1349,'TCH (append)'!C:J,8,0)="Completed","Hoàn thành dự toán",
IF(VLOOKUP(B1349,'TCH (append)'!C:I,7,0)="Completed","Hoàn thành thiết kế",
"Chưa thiết kế")))),"Chưa có trong file PMO")</f>
        <v>Chưa có trong file PMO</v>
      </c>
      <c r="H1349" s="1" t="str">
        <f>IFERROR(VLOOKUP(B1349,'Plan 2026'!B:AW,48,0), VLOOKUP(B1349,'TCH (append)'!C:D,2,0)
)</f>
        <v>Sumogoya Số 498, Đường Tạ Quang BửuParc Mall Q8</v>
      </c>
      <c r="J1349" s="1" t="s">
        <v>51</v>
      </c>
      <c r="K1349" s="1" t="s">
        <v>52</v>
      </c>
      <c r="L1349" s="2" t="str">
        <f>IF(
    F1349&lt;&gt;"Đã ký",
    "Chưa triển khai",
    IF(
        IFERROR(VLOOKUP(B1349,TCH[[Code budget]:[Ngày kết thúc thi công theo kế hoạch]],10,0),0)&gt;0,
        VLOOKUP(B1349,TCH[[Code budget]:[Ngày kết thúc thi công theo kế hoạch]],10,0),
        IFERROR(
            DATE(2026,VLOOKUP(B1349,'Plan 2026'!B:H,7,0),31),
            "Chưa triển khai"
        )
    )
)</f>
        <v>Chưa triển khai</v>
      </c>
      <c r="M1349" s="2" t="s">
        <v>6688</v>
      </c>
    </row>
    <row r="1350" spans="2:13" ht="11.25" hidden="1" customHeight="1" x14ac:dyDescent="0.25">
      <c r="B1350" s="1" t="s">
        <v>4482</v>
      </c>
      <c r="C1350" s="17" t="str">
        <f>IFERROR(LEFT(VLOOKUP(B1350,'For consider'!D:E,2,0),8),"Chưa có code")</f>
        <v>Chưa có code</v>
      </c>
      <c r="E1350" s="1" t="str">
        <f t="shared" si="5"/>
        <v>Chưa triển khai</v>
      </c>
      <c r="F1350" s="1" t="str">
        <f>IFERROR(VLOOKUP(B1350,'Plan 2026'!B:AC,28,0),"không có trong file network")</f>
        <v>Hủy bỏ</v>
      </c>
      <c r="G1350" s="1" t="str">
        <f>IFERROR(IF(VLOOKUP(B1350,'TCH (append)'!C:P,14,0)="Completed","Hoàn thành thi công",
IF(VLOOKUP(B1350,'TCH (append)'!C:K,9,0)="Completed","Hoàn thành đấu thầu",
IF(VLOOKUP(B1350,'TCH (append)'!C:J,8,0)="Completed","Hoàn thành dự toán",
IF(VLOOKUP(B1350,'TCH (append)'!C:I,7,0)="Completed","Hoàn thành thiết kế",
"Chưa thiết kế")))),"Chưa có trong file PMO")</f>
        <v>Chưa có trong file PMO</v>
      </c>
      <c r="H1350" s="1" t="str">
        <f>IFERROR(VLOOKUP(B1350,'Plan 2026'!B:AW,48,0), VLOOKUP(B1350,'TCH (append)'!C:D,2,0)
)</f>
        <v xml:space="preserve">Universal Tea </v>
      </c>
      <c r="J1350" s="1" t="s">
        <v>1446</v>
      </c>
      <c r="K1350" s="1" t="s">
        <v>1447</v>
      </c>
      <c r="L1350" s="2" t="str">
        <f>IF(
    F1350&lt;&gt;"Đã ký",
    "Chưa triển khai",
    IF(
        IFERROR(VLOOKUP(B1350,TCH[[Code budget]:[Ngày kết thúc thi công theo kế hoạch]],10,0),0)&gt;0,
        VLOOKUP(B1350,TCH[[Code budget]:[Ngày kết thúc thi công theo kế hoạch]],10,0),
        IFERROR(
            DATE(2026,VLOOKUP(B1350,'Plan 2026'!B:H,7,0),31),
            "Chưa triển khai"
        )
    )
)</f>
        <v>Chưa triển khai</v>
      </c>
      <c r="M1350" s="2" t="s">
        <v>6688</v>
      </c>
    </row>
    <row r="1351" spans="2:13" ht="11.25" hidden="1" customHeight="1" x14ac:dyDescent="0.25">
      <c r="B1351" s="1" t="s">
        <v>4486</v>
      </c>
      <c r="C1351" s="17" t="str">
        <f>IFERROR(LEFT(VLOOKUP(B1351,'For consider'!D:E,2,0),8),"Chưa có code")</f>
        <v>Chưa có code</v>
      </c>
      <c r="E1351" s="1" t="str">
        <f t="shared" si="5"/>
        <v>Chưa triển khai</v>
      </c>
      <c r="F1351" s="1" t="str">
        <f>IFERROR(VLOOKUP(B1351,'Plan 2026'!B:AC,28,0),"không có trong file network")</f>
        <v>Reject</v>
      </c>
      <c r="G1351" s="1" t="str">
        <f>IFERROR(IF(VLOOKUP(B1351,'TCH (append)'!C:P,14,0)="Completed","Hoàn thành thi công",
IF(VLOOKUP(B1351,'TCH (append)'!C:K,9,0)="Completed","Hoàn thành đấu thầu",
IF(VLOOKUP(B1351,'TCH (append)'!C:J,8,0)="Completed","Hoàn thành dự toán",
IF(VLOOKUP(B1351,'TCH (append)'!C:I,7,0)="Completed","Hoàn thành thiết kế",
"Chưa thiết kế")))),"Chưa có trong file PMO")</f>
        <v>Chưa có trong file PMO</v>
      </c>
      <c r="H1351" s="1" t="str">
        <f>IFERROR(VLOOKUP(B1351,'Plan 2026'!B:AW,48,0), VLOOKUP(B1351,'TCH (append)'!C:D,2,0)
)</f>
        <v>Gogi House Cách Mạng Tháng 8</v>
      </c>
      <c r="J1351" s="1" t="s">
        <v>76</v>
      </c>
      <c r="K1351" s="1" t="s">
        <v>77</v>
      </c>
      <c r="L1351" s="2" t="str">
        <f>IF(
    F1351&lt;&gt;"Đã ký",
    "Chưa triển khai",
    IF(
        IFERROR(VLOOKUP(B1351,TCH[[Code budget]:[Ngày kết thúc thi công theo kế hoạch]],10,0),0)&gt;0,
        VLOOKUP(B1351,TCH[[Code budget]:[Ngày kết thúc thi công theo kế hoạch]],10,0),
        IFERROR(
            DATE(2026,VLOOKUP(B1351,'Plan 2026'!B:H,7,0),31),
            "Chưa triển khai"
        )
    )
)</f>
        <v>Chưa triển khai</v>
      </c>
      <c r="M1351" s="2" t="s">
        <v>6688</v>
      </c>
    </row>
    <row r="1352" spans="2:13" ht="11.25" hidden="1" customHeight="1" x14ac:dyDescent="0.25">
      <c r="B1352" s="1" t="s">
        <v>4497</v>
      </c>
      <c r="C1352" s="17" t="str">
        <f>IFERROR(LEFT(VLOOKUP(B1352,'For consider'!D:E,2,0),8),"Chưa có code")</f>
        <v>Chưa có code</v>
      </c>
      <c r="E1352" s="1" t="str">
        <f t="shared" si="5"/>
        <v>Chưa triển khai</v>
      </c>
      <c r="F1352" s="1" t="str">
        <f>IFERROR(VLOOKUP(B1352,'Plan 2026'!B:AC,28,0),"không có trong file network")</f>
        <v>Không có</v>
      </c>
      <c r="G1352" s="1" t="str">
        <f>IFERROR(IF(VLOOKUP(B1352,'TCH (append)'!C:P,14,0)="Completed","Hoàn thành thi công",
IF(VLOOKUP(B1352,'TCH (append)'!C:K,9,0)="Completed","Hoàn thành đấu thầu",
IF(VLOOKUP(B1352,'TCH (append)'!C:J,8,0)="Completed","Hoàn thành dự toán",
IF(VLOOKUP(B1352,'TCH (append)'!C:I,7,0)="Completed","Hoàn thành thiết kế",
"Chưa thiết kế")))),"Chưa có trong file PMO")</f>
        <v>Chưa có trong file PMO</v>
      </c>
      <c r="H1352" s="1" t="str">
        <f>IFERROR(VLOOKUP(B1352,'Plan 2026'!B:AW,48,0), VLOOKUP(B1352,'TCH (append)'!C:D,2,0)
)</f>
        <v>Chix Max 240 - 242 đường Phạm Văn ĐồngGiga Mall</v>
      </c>
      <c r="J1352" s="1" t="s">
        <v>1319</v>
      </c>
      <c r="K1352" s="1" t="s">
        <v>1320</v>
      </c>
      <c r="L1352" s="2" t="str">
        <f>IF(
    F1352&lt;&gt;"Đã ký",
    "Chưa triển khai",
    IF(
        IFERROR(VLOOKUP(B1352,TCH[[Code budget]:[Ngày kết thúc thi công theo kế hoạch]],10,0),0)&gt;0,
        VLOOKUP(B1352,TCH[[Code budget]:[Ngày kết thúc thi công theo kế hoạch]],10,0),
        IFERROR(
            DATE(2026,VLOOKUP(B1352,'Plan 2026'!B:H,7,0),31),
            "Chưa triển khai"
        )
    )
)</f>
        <v>Chưa triển khai</v>
      </c>
      <c r="M1352" s="2" t="s">
        <v>6688</v>
      </c>
    </row>
    <row r="1353" spans="2:13" ht="11.25" hidden="1" customHeight="1" x14ac:dyDescent="0.25">
      <c r="B1353" s="1" t="s">
        <v>4512</v>
      </c>
      <c r="C1353" s="17" t="str">
        <f>IFERROR(LEFT(VLOOKUP(B1353,'For consider'!D:E,2,0),8),"Chưa có code")</f>
        <v>Chưa có code</v>
      </c>
      <c r="E1353" s="1" t="str">
        <f t="shared" si="5"/>
        <v>Chưa triển khai</v>
      </c>
      <c r="F1353" s="1" t="str">
        <f>IFERROR(VLOOKUP(B1353,'Plan 2026'!B:AC,28,0),"không có trong file network")</f>
        <v>Hủy bỏ</v>
      </c>
      <c r="G1353" s="1" t="str">
        <f>IFERROR(IF(VLOOKUP(B1353,'TCH (append)'!C:P,14,0)="Completed","Hoàn thành thi công",
IF(VLOOKUP(B1353,'TCH (append)'!C:K,9,0)="Completed","Hoàn thành đấu thầu",
IF(VLOOKUP(B1353,'TCH (append)'!C:J,8,0)="Completed","Hoàn thành dự toán",
IF(VLOOKUP(B1353,'TCH (append)'!C:I,7,0)="Completed","Hoàn thành thiết kế",
"Chưa thiết kế")))),"Chưa có trong file PMO")</f>
        <v>Chưa có trong file PMO</v>
      </c>
      <c r="H1353" s="1" t="str">
        <f>IFERROR(VLOOKUP(B1353,'Plan 2026'!B:AW,48,0), VLOOKUP(B1353,'TCH (append)'!C:D,2,0)
)</f>
        <v>Wow!Yakiniku 240 - 242 đường Phạm Văn ĐồngGiga Mall</v>
      </c>
      <c r="J1353" s="1" t="s">
        <v>1771</v>
      </c>
      <c r="K1353" s="1" t="s">
        <v>1772</v>
      </c>
      <c r="L1353" s="2" t="str">
        <f>IF(
    F1353&lt;&gt;"Đã ký",
    "Chưa triển khai",
    IF(
        IFERROR(VLOOKUP(B1353,TCH[[Code budget]:[Ngày kết thúc thi công theo kế hoạch]],10,0),0)&gt;0,
        VLOOKUP(B1353,TCH[[Code budget]:[Ngày kết thúc thi công theo kế hoạch]],10,0),
        IFERROR(
            DATE(2026,VLOOKUP(B1353,'Plan 2026'!B:H,7,0),31),
            "Chưa triển khai"
        )
    )
)</f>
        <v>Chưa triển khai</v>
      </c>
      <c r="M1353" s="2" t="s">
        <v>6688</v>
      </c>
    </row>
    <row r="1354" spans="2:13" ht="11.25" hidden="1" customHeight="1" x14ac:dyDescent="0.25">
      <c r="B1354" s="1" t="s">
        <v>4561</v>
      </c>
      <c r="C1354" s="17" t="str">
        <f>IFERROR(LEFT(VLOOKUP(B1354,'For consider'!D:E,2,0),8),"Chưa có code")</f>
        <v>Chưa có code</v>
      </c>
      <c r="E1354" s="1" t="str">
        <f t="shared" si="5"/>
        <v>Chưa triển khai</v>
      </c>
      <c r="F1354" s="1" t="str">
        <f>IFERROR(VLOOKUP(B1354,'Plan 2026'!B:AC,28,0),"không có trong file network")</f>
        <v>Chưa có</v>
      </c>
      <c r="G1354" s="1" t="str">
        <f>IFERROR(IF(VLOOKUP(B1354,'TCH (append)'!C:P,14,0)="Completed","Hoàn thành thi công",
IF(VLOOKUP(B1354,'TCH (append)'!C:K,9,0)="Completed","Hoàn thành đấu thầu",
IF(VLOOKUP(B1354,'TCH (append)'!C:J,8,0)="Completed","Hoàn thành dự toán",
IF(VLOOKUP(B1354,'TCH (append)'!C:I,7,0)="Completed","Hoàn thành thiết kế",
"Chưa thiết kế")))),"Chưa có trong file PMO")</f>
        <v>Chưa có trong file PMO</v>
      </c>
      <c r="H1354" s="1" t="str">
        <f>IFERROR(VLOOKUP(B1354,'Plan 2026'!B:AW,48,0), VLOOKUP(B1354,'TCH (append)'!C:D,2,0)
)</f>
        <v>Sakura Yakiniku Võ Nguyên Giáp</v>
      </c>
      <c r="J1354" s="1" t="s">
        <v>1603</v>
      </c>
      <c r="K1354" s="1" t="s">
        <v>1604</v>
      </c>
      <c r="L1354" s="2" t="str">
        <f>IF(
    F1354&lt;&gt;"Đã ký",
    "Chưa triển khai",
    IF(
        IFERROR(VLOOKUP(B1354,TCH[[Code budget]:[Ngày kết thúc thi công theo kế hoạch]],10,0),0)&gt;0,
        VLOOKUP(B1354,TCH[[Code budget]:[Ngày kết thúc thi công theo kế hoạch]],10,0),
        IFERROR(
            DATE(2026,VLOOKUP(B1354,'Plan 2026'!B:H,7,0),31),
            "Chưa triển khai"
        )
    )
)</f>
        <v>Chưa triển khai</v>
      </c>
      <c r="M1354" s="2" t="s">
        <v>6688</v>
      </c>
    </row>
    <row r="1355" spans="2:13" ht="11.25" hidden="1" customHeight="1" x14ac:dyDescent="0.25">
      <c r="B1355" s="1" t="s">
        <v>4581</v>
      </c>
      <c r="C1355" s="17" t="str">
        <f>IFERROR(LEFT(VLOOKUP(B1355,'For consider'!D:E,2,0),8),"Chưa có code")</f>
        <v>Chưa có code</v>
      </c>
      <c r="E1355" s="1" t="str">
        <f t="shared" si="5"/>
        <v>Chưa triển khai</v>
      </c>
      <c r="F1355" s="1" t="str">
        <f>IFERROR(VLOOKUP(B1355,'Plan 2026'!B:AC,28,0),"không có trong file network")</f>
        <v>Không có</v>
      </c>
      <c r="G1355" s="1" t="str">
        <f>IFERROR(IF(VLOOKUP(B1355,'TCH (append)'!C:P,14,0)="Completed","Hoàn thành thi công",
IF(VLOOKUP(B1355,'TCH (append)'!C:K,9,0)="Completed","Hoàn thành đấu thầu",
IF(VLOOKUP(B1355,'TCH (append)'!C:J,8,0)="Completed","Hoàn thành dự toán",
IF(VLOOKUP(B1355,'TCH (append)'!C:I,7,0)="Completed","Hoàn thành thiết kế",
"Chưa thiết kế")))),"Chưa có trong file PMO")</f>
        <v>Chưa có trong file PMO</v>
      </c>
      <c r="H1355" s="1" t="str">
        <f>IFERROR(VLOOKUP(B1355,'Plan 2026'!B:AW,48,0), VLOOKUP(B1355,'TCH (append)'!C:D,2,0)
)</f>
        <v>Ashima 72 Lê Thánh TônVincom Center Đồng Khởi</v>
      </c>
      <c r="J1355" s="1" t="s">
        <v>24</v>
      </c>
      <c r="K1355" s="1" t="s">
        <v>25</v>
      </c>
      <c r="L1355" s="2" t="str">
        <f>IF(
    F1355&lt;&gt;"Đã ký",
    "Chưa triển khai",
    IF(
        IFERROR(VLOOKUP(B1355,TCH[[Code budget]:[Ngày kết thúc thi công theo kế hoạch]],10,0),0)&gt;0,
        VLOOKUP(B1355,TCH[[Code budget]:[Ngày kết thúc thi công theo kế hoạch]],10,0),
        IFERROR(
            DATE(2026,VLOOKUP(B1355,'Plan 2026'!B:H,7,0),31),
            "Chưa triển khai"
        )
    )
)</f>
        <v>Chưa triển khai</v>
      </c>
      <c r="M1355" s="2" t="s">
        <v>6688</v>
      </c>
    </row>
    <row r="1356" spans="2:13" ht="11.25" hidden="1" customHeight="1" x14ac:dyDescent="0.25">
      <c r="B1356" s="1" t="s">
        <v>4596</v>
      </c>
      <c r="C1356" s="17" t="str">
        <f>IFERROR(LEFT(VLOOKUP(B1356,'For consider'!D:E,2,0),8),"Chưa có code")</f>
        <v>Chưa có code</v>
      </c>
      <c r="E1356" s="1" t="str">
        <f t="shared" ref="E1356:E1408" si="6">IF(AND(F1356="Đã ký",G1356&lt;&gt;"Chưa có trong file PMO"),"Waiting for open",IF(F1356="Đã ký","Lock mb chưa thi công","Chưa triển khai"))</f>
        <v>Chưa triển khai</v>
      </c>
      <c r="F1356" s="1" t="str">
        <f>IFERROR(VLOOKUP(B1356,'Plan 2026'!B:AC,28,0),"không có trong file network")</f>
        <v>Chưa có</v>
      </c>
      <c r="G1356" s="1" t="str">
        <f>IFERROR(IF(VLOOKUP(B1356,'TCH (append)'!C:P,14,0)="Completed","Hoàn thành thi công",
IF(VLOOKUP(B1356,'TCH (append)'!C:K,9,0)="Completed","Hoàn thành đấu thầu",
IF(VLOOKUP(B1356,'TCH (append)'!C:J,8,0)="Completed","Hoàn thành dự toán",
IF(VLOOKUP(B1356,'TCH (append)'!C:I,7,0)="Completed","Hoàn thành thiết kế",
"Chưa thiết kế")))),"Chưa có trong file PMO")</f>
        <v>Chưa có trong file PMO</v>
      </c>
      <c r="H1356" s="1" t="str">
        <f>IFERROR(VLOOKUP(B1356,'Plan 2026'!B:AW,48,0), VLOOKUP(B1356,'TCH (append)'!C:D,2,0)
)</f>
        <v>Crystal Jade 72 Lê Thánh TônVincom Center Đồng Khởi</v>
      </c>
      <c r="J1356" s="1" t="s">
        <v>379</v>
      </c>
      <c r="K1356" s="1" t="s">
        <v>380</v>
      </c>
      <c r="L1356" s="2" t="str">
        <f>IF(
    F1356&lt;&gt;"Đã ký",
    "Chưa triển khai",
    IF(
        IFERROR(VLOOKUP(B1356,TCH[[Code budget]:[Ngày kết thúc thi công theo kế hoạch]],10,0),0)&gt;0,
        VLOOKUP(B1356,TCH[[Code budget]:[Ngày kết thúc thi công theo kế hoạch]],10,0),
        IFERROR(
            DATE(2026,VLOOKUP(B1356,'Plan 2026'!B:H,7,0),31),
            "Chưa triển khai"
        )
    )
)</f>
        <v>Chưa triển khai</v>
      </c>
      <c r="M1356" s="2" t="s">
        <v>6688</v>
      </c>
    </row>
    <row r="1357" spans="2:13" ht="11.25" hidden="1" customHeight="1" x14ac:dyDescent="0.25">
      <c r="B1357" s="1" t="s">
        <v>4601</v>
      </c>
      <c r="C1357" s="17" t="str">
        <f>IFERROR(LEFT(VLOOKUP(B1357,'For consider'!D:E,2,0),8),"Chưa có code")</f>
        <v>Chưa có code</v>
      </c>
      <c r="E1357" s="1" t="str">
        <f t="shared" si="6"/>
        <v>Chưa triển khai</v>
      </c>
      <c r="F1357" s="1" t="str">
        <f>IFERROR(VLOOKUP(B1357,'Plan 2026'!B:AC,28,0),"không có trong file network")</f>
        <v>Hủy bỏ</v>
      </c>
      <c r="G1357" s="1" t="str">
        <f>IFERROR(IF(VLOOKUP(B1357,'TCH (append)'!C:P,14,0)="Completed","Hoàn thành thi công",
IF(VLOOKUP(B1357,'TCH (append)'!C:K,9,0)="Completed","Hoàn thành đấu thầu",
IF(VLOOKUP(B1357,'TCH (append)'!C:J,8,0)="Completed","Hoàn thành dự toán",
IF(VLOOKUP(B1357,'TCH (append)'!C:I,7,0)="Completed","Hoàn thành thiết kế",
"Chưa thiết kế")))),"Chưa có trong file PMO")</f>
        <v>Chưa có trong file PMO</v>
      </c>
      <c r="H1357" s="1" t="str">
        <f>IFERROR(VLOOKUP(B1357,'Plan 2026'!B:AW,48,0), VLOOKUP(B1357,'TCH (append)'!C:D,2,0)
)</f>
        <v xml:space="preserve">Universal Tea </v>
      </c>
      <c r="J1357" s="1" t="s">
        <v>1446</v>
      </c>
      <c r="K1357" s="1" t="s">
        <v>1447</v>
      </c>
      <c r="L1357" s="2" t="str">
        <f>IF(
    F1357&lt;&gt;"Đã ký",
    "Chưa triển khai",
    IF(
        IFERROR(VLOOKUP(B1357,TCH[[Code budget]:[Ngày kết thúc thi công theo kế hoạch]],10,0),0)&gt;0,
        VLOOKUP(B1357,TCH[[Code budget]:[Ngày kết thúc thi công theo kế hoạch]],10,0),
        IFERROR(
            DATE(2026,VLOOKUP(B1357,'Plan 2026'!B:H,7,0),31),
            "Chưa triển khai"
        )
    )
)</f>
        <v>Chưa triển khai</v>
      </c>
      <c r="M1357" s="2" t="s">
        <v>6688</v>
      </c>
    </row>
    <row r="1358" spans="2:13" ht="11.25" hidden="1" customHeight="1" x14ac:dyDescent="0.25">
      <c r="B1358" s="1" t="s">
        <v>4603</v>
      </c>
      <c r="C1358" s="17" t="str">
        <f>IFERROR(LEFT(VLOOKUP(B1358,'For consider'!D:E,2,0),8),"Chưa có code")</f>
        <v>Chưa có code</v>
      </c>
      <c r="E1358" s="1" t="str">
        <f t="shared" si="6"/>
        <v>Chưa triển khai</v>
      </c>
      <c r="F1358" s="1" t="str">
        <f>IFERROR(VLOOKUP(B1358,'Plan 2026'!B:AC,28,0),"không có trong file network")</f>
        <v>Không có</v>
      </c>
      <c r="G1358" s="1" t="str">
        <f>IFERROR(IF(VLOOKUP(B1358,'TCH (append)'!C:P,14,0)="Completed","Hoàn thành thi công",
IF(VLOOKUP(B1358,'TCH (append)'!C:K,9,0)="Completed","Hoàn thành đấu thầu",
IF(VLOOKUP(B1358,'TCH (append)'!C:J,8,0)="Completed","Hoàn thành dự toán",
IF(VLOOKUP(B1358,'TCH (append)'!C:I,7,0)="Completed","Hoàn thành thiết kế",
"Chưa thiết kế")))),"Chưa có trong file PMO")</f>
        <v>Chưa có trong file PMO</v>
      </c>
      <c r="H1358" s="1" t="str">
        <f>IFERROR(VLOOKUP(B1358,'Plan 2026'!B:AW,48,0), VLOOKUP(B1358,'TCH (append)'!C:D,2,0)
)</f>
        <v>CloudPot 65 Lê LợiSaigon Centre</v>
      </c>
      <c r="J1358" s="1" t="s">
        <v>1019</v>
      </c>
      <c r="K1358" s="1" t="s">
        <v>1020</v>
      </c>
      <c r="L1358" s="2" t="str">
        <f>IF(
    F1358&lt;&gt;"Đã ký",
    "Chưa triển khai",
    IF(
        IFERROR(VLOOKUP(B1358,TCH[[Code budget]:[Ngày kết thúc thi công theo kế hoạch]],10,0),0)&gt;0,
        VLOOKUP(B1358,TCH[[Code budget]:[Ngày kết thúc thi công theo kế hoạch]],10,0),
        IFERROR(
            DATE(2026,VLOOKUP(B1358,'Plan 2026'!B:H,7,0),31),
            "Chưa triển khai"
        )
    )
)</f>
        <v>Chưa triển khai</v>
      </c>
      <c r="M1358" s="2" t="s">
        <v>6688</v>
      </c>
    </row>
    <row r="1359" spans="2:13" ht="11.25" hidden="1" customHeight="1" x14ac:dyDescent="0.25">
      <c r="B1359" s="1" t="s">
        <v>4607</v>
      </c>
      <c r="C1359" s="17" t="str">
        <f>IFERROR(LEFT(VLOOKUP(B1359,'For consider'!D:E,2,0),8),"Chưa có code")</f>
        <v>Chưa có code</v>
      </c>
      <c r="E1359" s="1" t="str">
        <f t="shared" si="6"/>
        <v>Chưa triển khai</v>
      </c>
      <c r="F1359" s="1" t="str">
        <f>IFERROR(VLOOKUP(B1359,'Plan 2026'!B:AC,28,0),"không có trong file network")</f>
        <v>Chưa có</v>
      </c>
      <c r="G1359" s="1" t="str">
        <f>IFERROR(IF(VLOOKUP(B1359,'TCH (append)'!C:P,14,0)="Completed","Hoàn thành thi công",
IF(VLOOKUP(B1359,'TCH (append)'!C:K,9,0)="Completed","Hoàn thành đấu thầu",
IF(VLOOKUP(B1359,'TCH (append)'!C:J,8,0)="Completed","Hoàn thành dự toán",
IF(VLOOKUP(B1359,'TCH (append)'!C:I,7,0)="Completed","Hoàn thành thiết kế",
"Chưa thiết kế")))),"Chưa có trong file PMO")</f>
        <v>Chưa có trong file PMO</v>
      </c>
      <c r="H1359" s="1" t="str">
        <f>IFERROR(VLOOKUP(B1359,'Plan 2026'!B:AW,48,0), VLOOKUP(B1359,'TCH (append)'!C:D,2,0)
)</f>
        <v xml:space="preserve">The Coffee House Hai Bà Trưng </v>
      </c>
      <c r="J1359" s="1" t="s">
        <v>1788</v>
      </c>
      <c r="K1359" s="1" t="s">
        <v>1789</v>
      </c>
      <c r="L1359" s="2" t="str">
        <f>IF(
    F1359&lt;&gt;"Đã ký",
    "Chưa triển khai",
    IF(
        IFERROR(VLOOKUP(B1359,TCH[[Code budget]:[Ngày kết thúc thi công theo kế hoạch]],10,0),0)&gt;0,
        VLOOKUP(B1359,TCH[[Code budget]:[Ngày kết thúc thi công theo kế hoạch]],10,0),
        IFERROR(
            DATE(2026,VLOOKUP(B1359,'Plan 2026'!B:H,7,0),31),
            "Chưa triển khai"
        )
    )
)</f>
        <v>Chưa triển khai</v>
      </c>
      <c r="M1359" s="2" t="s">
        <v>6688</v>
      </c>
    </row>
    <row r="1360" spans="2:13" ht="11.25" hidden="1" customHeight="1" x14ac:dyDescent="0.25">
      <c r="B1360" s="1" t="s">
        <v>4610</v>
      </c>
      <c r="C1360" s="17" t="str">
        <f>IFERROR(LEFT(VLOOKUP(B1360,'For consider'!D:E,2,0),8),"Chưa có code")</f>
        <v>Chưa có code</v>
      </c>
      <c r="E1360" s="1" t="str">
        <f t="shared" si="6"/>
        <v>Chưa triển khai</v>
      </c>
      <c r="F1360" s="1" t="str">
        <f>IFERROR(VLOOKUP(B1360,'Plan 2026'!B:AC,28,0),"không có trong file network")</f>
        <v>Không có</v>
      </c>
      <c r="G1360" s="1" t="str">
        <f>IFERROR(IF(VLOOKUP(B1360,'TCH (append)'!C:P,14,0)="Completed","Hoàn thành thi công",
IF(VLOOKUP(B1360,'TCH (append)'!C:K,9,0)="Completed","Hoàn thành đấu thầu",
IF(VLOOKUP(B1360,'TCH (append)'!C:J,8,0)="Completed","Hoàn thành dự toán",
IF(VLOOKUP(B1360,'TCH (append)'!C:I,7,0)="Completed","Hoàn thành thiết kế",
"Chưa thiết kế")))),"Chưa có trong file PMO")</f>
        <v>Chưa có trong file PMO</v>
      </c>
      <c r="H1360" s="1" t="str">
        <f>IFERROR(VLOOKUP(B1360,'Plan 2026'!B:AW,48,0), VLOOKUP(B1360,'TCH (append)'!C:D,2,0)
)</f>
        <v>Pizza360 Số 1 Đường số 17A, Khu phố 11Aeon Mall Bình Tân</v>
      </c>
      <c r="J1360" s="1" t="s">
        <v>2132</v>
      </c>
      <c r="K1360" s="1" t="s">
        <v>2133</v>
      </c>
      <c r="L1360" s="2" t="str">
        <f>IF(
    F1360&lt;&gt;"Đã ký",
    "Chưa triển khai",
    IF(
        IFERROR(VLOOKUP(B1360,TCH[[Code budget]:[Ngày kết thúc thi công theo kế hoạch]],10,0),0)&gt;0,
        VLOOKUP(B1360,TCH[[Code budget]:[Ngày kết thúc thi công theo kế hoạch]],10,0),
        IFERROR(
            DATE(2026,VLOOKUP(B1360,'Plan 2026'!B:H,7,0),31),
            "Chưa triển khai"
        )
    )
)</f>
        <v>Chưa triển khai</v>
      </c>
      <c r="M1360" s="2" t="s">
        <v>6688</v>
      </c>
    </row>
    <row r="1361" spans="2:13" ht="11.25" hidden="1" customHeight="1" x14ac:dyDescent="0.25">
      <c r="B1361" s="1" t="s">
        <v>4623</v>
      </c>
      <c r="C1361" s="17" t="str">
        <f>IFERROR(LEFT(VLOOKUP(B1361,'For consider'!D:E,2,0),8),"Chưa có code")</f>
        <v>Chưa có code</v>
      </c>
      <c r="E1361" s="1" t="str">
        <f t="shared" si="6"/>
        <v>Chưa triển khai</v>
      </c>
      <c r="F1361" s="1" t="str">
        <f>IFERROR(VLOOKUP(B1361,'Plan 2026'!B:AC,28,0),"không có trong file network")</f>
        <v>Không có</v>
      </c>
      <c r="G1361" s="1" t="str">
        <f>IFERROR(IF(VLOOKUP(B1361,'TCH (append)'!C:P,14,0)="Completed","Hoàn thành thi công",
IF(VLOOKUP(B1361,'TCH (append)'!C:K,9,0)="Completed","Hoàn thành đấu thầu",
IF(VLOOKUP(B1361,'TCH (append)'!C:J,8,0)="Completed","Hoàn thành dự toán",
IF(VLOOKUP(B1361,'TCH (append)'!C:I,7,0)="Completed","Hoàn thành thiết kế",
"Chưa thiết kế")))),"Chưa có trong file PMO")</f>
        <v>Chưa có trong file PMO</v>
      </c>
      <c r="H1361" s="1" t="str">
        <f>IFERROR(VLOOKUP(B1361,'Plan 2026'!B:AW,48,0), VLOOKUP(B1361,'TCH (append)'!C:D,2,0)
)</f>
        <v>Ashima Đường số 17AAeon Mall Bình Tân</v>
      </c>
      <c r="J1361" s="1" t="s">
        <v>24</v>
      </c>
      <c r="K1361" s="1" t="s">
        <v>25</v>
      </c>
      <c r="L1361" s="2" t="str">
        <f>IF(
    F1361&lt;&gt;"Đã ký",
    "Chưa triển khai",
    IF(
        IFERROR(VLOOKUP(B1361,TCH[[Code budget]:[Ngày kết thúc thi công theo kế hoạch]],10,0),0)&gt;0,
        VLOOKUP(B1361,TCH[[Code budget]:[Ngày kết thúc thi công theo kế hoạch]],10,0),
        IFERROR(
            DATE(2026,VLOOKUP(B1361,'Plan 2026'!B:H,7,0),31),
            "Chưa triển khai"
        )
    )
)</f>
        <v>Chưa triển khai</v>
      </c>
      <c r="M1361" s="2" t="s">
        <v>6688</v>
      </c>
    </row>
    <row r="1362" spans="2:13" ht="11.25" hidden="1" customHeight="1" x14ac:dyDescent="0.25">
      <c r="B1362" s="1" t="s">
        <v>4640</v>
      </c>
      <c r="C1362" s="17" t="str">
        <f>IFERROR(LEFT(VLOOKUP(B1362,'For consider'!D:E,2,0),8),"Chưa có code")</f>
        <v>Chưa có code</v>
      </c>
      <c r="E1362" s="1" t="str">
        <f t="shared" si="6"/>
        <v>Chưa triển khai</v>
      </c>
      <c r="F1362" s="1" t="str">
        <f>IFERROR(VLOOKUP(B1362,'Plan 2026'!B:AC,28,0),"không có trong file network")</f>
        <v>Chưa có</v>
      </c>
      <c r="G1362" s="1" t="str">
        <f>IFERROR(IF(VLOOKUP(B1362,'TCH (append)'!C:P,14,0)="Completed","Hoàn thành thi công",
IF(VLOOKUP(B1362,'TCH (append)'!C:K,9,0)="Completed","Hoàn thành đấu thầu",
IF(VLOOKUP(B1362,'TCH (append)'!C:J,8,0)="Completed","Hoàn thành dự toán",
IF(VLOOKUP(B1362,'TCH (append)'!C:I,7,0)="Completed","Hoàn thành thiết kế",
"Chưa thiết kế")))),"Chưa có trong file PMO")</f>
        <v>Chưa có trong file PMO</v>
      </c>
      <c r="H1362" s="1" t="str">
        <f>IFERROR(VLOOKUP(B1362,'Plan 2026'!B:AW,48,0), VLOOKUP(B1362,'TCH (append)'!C:D,2,0)
)</f>
        <v xml:space="preserve">Manwah </v>
      </c>
      <c r="J1362" s="1" t="s">
        <v>112</v>
      </c>
      <c r="K1362" s="1" t="s">
        <v>113</v>
      </c>
      <c r="L1362" s="2" t="str">
        <f>IF(
    F1362&lt;&gt;"Đã ký",
    "Chưa triển khai",
    IF(
        IFERROR(VLOOKUP(B1362,TCH[[Code budget]:[Ngày kết thúc thi công theo kế hoạch]],10,0),0)&gt;0,
        VLOOKUP(B1362,TCH[[Code budget]:[Ngày kết thúc thi công theo kế hoạch]],10,0),
        IFERROR(
            DATE(2026,VLOOKUP(B1362,'Plan 2026'!B:H,7,0),31),
            "Chưa triển khai"
        )
    )
)</f>
        <v>Chưa triển khai</v>
      </c>
      <c r="M1362" s="2" t="s">
        <v>6688</v>
      </c>
    </row>
    <row r="1363" spans="2:13" ht="11.25" hidden="1" customHeight="1" x14ac:dyDescent="0.25">
      <c r="B1363" s="1" t="s">
        <v>4663</v>
      </c>
      <c r="C1363" s="17" t="str">
        <f>IFERROR(LEFT(VLOOKUP(B1363,'For consider'!D:E,2,0),8),"Chưa có code")</f>
        <v>Chưa có code</v>
      </c>
      <c r="E1363" s="1" t="str">
        <f t="shared" si="6"/>
        <v>Chưa triển khai</v>
      </c>
      <c r="F1363" s="1" t="str">
        <f>IFERROR(VLOOKUP(B1363,'Plan 2026'!B:AC,28,0),"không có trong file network")</f>
        <v>Reject</v>
      </c>
      <c r="G1363" s="1" t="str">
        <f>IFERROR(IF(VLOOKUP(B1363,'TCH (append)'!C:P,14,0)="Completed","Hoàn thành thi công",
IF(VLOOKUP(B1363,'TCH (append)'!C:K,9,0)="Completed","Hoàn thành đấu thầu",
IF(VLOOKUP(B1363,'TCH (append)'!C:J,8,0)="Completed","Hoàn thành dự toán",
IF(VLOOKUP(B1363,'TCH (append)'!C:I,7,0)="Completed","Hoàn thành thiết kế",
"Chưa thiết kế")))),"Chưa có trong file PMO")</f>
        <v>Chưa có trong file PMO</v>
      </c>
      <c r="H1363" s="1" t="str">
        <f>IFERROR(VLOOKUP(B1363,'Plan 2026'!B:AW,48,0), VLOOKUP(B1363,'TCH (append)'!C:D,2,0)
)</f>
        <v>Gogi House Nguyễn Thị Tú</v>
      </c>
      <c r="J1363" s="1" t="s">
        <v>76</v>
      </c>
      <c r="K1363" s="1" t="s">
        <v>77</v>
      </c>
      <c r="L1363" s="2" t="str">
        <f>IF(
    F1363&lt;&gt;"Đã ký",
    "Chưa triển khai",
    IF(
        IFERROR(VLOOKUP(B1363,TCH[[Code budget]:[Ngày kết thúc thi công theo kế hoạch]],10,0),0)&gt;0,
        VLOOKUP(B1363,TCH[[Code budget]:[Ngày kết thúc thi công theo kế hoạch]],10,0),
        IFERROR(
            DATE(2026,VLOOKUP(B1363,'Plan 2026'!B:H,7,0),31),
            "Chưa triển khai"
        )
    )
)</f>
        <v>Chưa triển khai</v>
      </c>
      <c r="M1363" s="2" t="s">
        <v>6688</v>
      </c>
    </row>
    <row r="1364" spans="2:13" ht="11.25" hidden="1" customHeight="1" x14ac:dyDescent="0.25">
      <c r="B1364" s="1" t="s">
        <v>4675</v>
      </c>
      <c r="C1364" s="17" t="str">
        <f>IFERROR(LEFT(VLOOKUP(B1364,'For consider'!D:E,2,0),8),"Chưa có code")</f>
        <v>Chưa có code</v>
      </c>
      <c r="E1364" s="1" t="str">
        <f t="shared" si="6"/>
        <v>Chưa triển khai</v>
      </c>
      <c r="F1364" s="1" t="str">
        <f>IFERROR(VLOOKUP(B1364,'Plan 2026'!B:AC,28,0),"không có trong file network")</f>
        <v>Đang offer</v>
      </c>
      <c r="G1364" s="1" t="str">
        <f>IFERROR(IF(VLOOKUP(B1364,'TCH (append)'!C:P,14,0)="Completed","Hoàn thành thi công",
IF(VLOOKUP(B1364,'TCH (append)'!C:K,9,0)="Completed","Hoàn thành đấu thầu",
IF(VLOOKUP(B1364,'TCH (append)'!C:J,8,0)="Completed","Hoàn thành dự toán",
IF(VLOOKUP(B1364,'TCH (append)'!C:I,7,0)="Completed","Hoàn thành thiết kế",
"Chưa thiết kế")))),"Chưa có trong file PMO")</f>
        <v>Chưa có trong file PMO</v>
      </c>
      <c r="H1364" s="1" t="str">
        <f>IFERROR(VLOOKUP(B1364,'Plan 2026'!B:AW,48,0), VLOOKUP(B1364,'TCH (append)'!C:D,2,0)
)</f>
        <v>Kichi Kichi Nguyễn Thị Tú</v>
      </c>
      <c r="J1364" s="1" t="s">
        <v>34</v>
      </c>
      <c r="K1364" s="1" t="s">
        <v>35</v>
      </c>
      <c r="L1364" s="2" t="str">
        <f>IF(
    F1364&lt;&gt;"Đã ký",
    "Chưa triển khai",
    IF(
        IFERROR(VLOOKUP(B1364,TCH[[Code budget]:[Ngày kết thúc thi công theo kế hoạch]],10,0),0)&gt;0,
        VLOOKUP(B1364,TCH[[Code budget]:[Ngày kết thúc thi công theo kế hoạch]],10,0),
        IFERROR(
            DATE(2026,VLOOKUP(B1364,'Plan 2026'!B:H,7,0),31),
            "Chưa triển khai"
        )
    )
)</f>
        <v>Chưa triển khai</v>
      </c>
      <c r="M1364" s="2" t="s">
        <v>6688</v>
      </c>
    </row>
    <row r="1365" spans="2:13" ht="11.25" hidden="1" customHeight="1" x14ac:dyDescent="0.25">
      <c r="B1365" s="1" t="s">
        <v>4685</v>
      </c>
      <c r="C1365" s="17" t="str">
        <f>IFERROR(LEFT(VLOOKUP(B1365,'For consider'!D:E,2,0),8),"Chưa có code")</f>
        <v>Chưa có code</v>
      </c>
      <c r="E1365" s="1" t="str">
        <f t="shared" si="6"/>
        <v>Chưa triển khai</v>
      </c>
      <c r="F1365" s="1" t="str">
        <f>IFERROR(VLOOKUP(B1365,'Plan 2026'!B:AC,28,0),"không có trong file network")</f>
        <v>Chưa có</v>
      </c>
      <c r="G1365" s="1" t="str">
        <f>IFERROR(IF(VLOOKUP(B1365,'TCH (append)'!C:P,14,0)="Completed","Hoàn thành thi công",
IF(VLOOKUP(B1365,'TCH (append)'!C:K,9,0)="Completed","Hoàn thành đấu thầu",
IF(VLOOKUP(B1365,'TCH (append)'!C:J,8,0)="Completed","Hoàn thành dự toán",
IF(VLOOKUP(B1365,'TCH (append)'!C:I,7,0)="Completed","Hoàn thành thiết kế",
"Chưa thiết kế")))),"Chưa có trong file PMO")</f>
        <v>Chưa có trong file PMO</v>
      </c>
      <c r="H1365" s="1" t="str">
        <f>IFERROR(VLOOKUP(B1365,'Plan 2026'!B:AW,48,0), VLOOKUP(B1365,'TCH (append)'!C:D,2,0)
)</f>
        <v>Sumogoya Mai Chí ThoThiso Mall Sala</v>
      </c>
      <c r="J1365" s="1" t="s">
        <v>51</v>
      </c>
      <c r="K1365" s="1" t="s">
        <v>52</v>
      </c>
      <c r="L1365" s="2" t="str">
        <f>IF(
    F1365&lt;&gt;"Đã ký",
    "Chưa triển khai",
    IF(
        IFERROR(VLOOKUP(B1365,TCH[[Code budget]:[Ngày kết thúc thi công theo kế hoạch]],10,0),0)&gt;0,
        VLOOKUP(B1365,TCH[[Code budget]:[Ngày kết thúc thi công theo kế hoạch]],10,0),
        IFERROR(
            DATE(2026,VLOOKUP(B1365,'Plan 2026'!B:H,7,0),31),
            "Chưa triển khai"
        )
    )
)</f>
        <v>Chưa triển khai</v>
      </c>
      <c r="M1365" s="2" t="s">
        <v>6688</v>
      </c>
    </row>
    <row r="1366" spans="2:13" ht="11.25" hidden="1" customHeight="1" x14ac:dyDescent="0.25">
      <c r="B1366" s="1" t="s">
        <v>4707</v>
      </c>
      <c r="C1366" s="17" t="str">
        <f>IFERROR(LEFT(VLOOKUP(B1366,'For consider'!D:E,2,0),8),"Chưa có code")</f>
        <v>Chưa có code</v>
      </c>
      <c r="E1366" s="1" t="str">
        <f t="shared" si="6"/>
        <v>Chưa triển khai</v>
      </c>
      <c r="F1366" s="1" t="str">
        <f>IFERROR(VLOOKUP(B1366,'Plan 2026'!B:AC,28,0),"không có trong file network")</f>
        <v>Không có</v>
      </c>
      <c r="G1366" s="1" t="str">
        <f>IFERROR(IF(VLOOKUP(B1366,'TCH (append)'!C:P,14,0)="Completed","Hoàn thành thi công",
IF(VLOOKUP(B1366,'TCH (append)'!C:K,9,0)="Completed","Hoàn thành đấu thầu",
IF(VLOOKUP(B1366,'TCH (append)'!C:J,8,0)="Completed","Hoàn thành dự toán",
IF(VLOOKUP(B1366,'TCH (append)'!C:I,7,0)="Completed","Hoàn thành thiết kế",
"Chưa thiết kế")))),"Chưa có trong file PMO")</f>
        <v>Chưa có trong file PMO</v>
      </c>
      <c r="H1366" s="1" t="str">
        <f>IFERROR(VLOOKUP(B1366,'Plan 2026'!B:AW,48,0), VLOOKUP(B1366,'TCH (append)'!C:D,2,0)
)</f>
        <v>Shogun Số 242, Đường Nguyễn Văn LượngLotte Mart Gò Vấp</v>
      </c>
      <c r="J1366" s="1" t="s">
        <v>183</v>
      </c>
      <c r="K1366" s="1" t="s">
        <v>184</v>
      </c>
      <c r="L1366" s="2" t="str">
        <f>IF(
    F1366&lt;&gt;"Đã ký",
    "Chưa triển khai",
    IF(
        IFERROR(VLOOKUP(B1366,TCH[[Code budget]:[Ngày kết thúc thi công theo kế hoạch]],10,0),0)&gt;0,
        VLOOKUP(B1366,TCH[[Code budget]:[Ngày kết thúc thi công theo kế hoạch]],10,0),
        IFERROR(
            DATE(2026,VLOOKUP(B1366,'Plan 2026'!B:H,7,0),31),
            "Chưa triển khai"
        )
    )
)</f>
        <v>Chưa triển khai</v>
      </c>
      <c r="M1366" s="2" t="s">
        <v>6688</v>
      </c>
    </row>
    <row r="1367" spans="2:13" ht="11.25" hidden="1" customHeight="1" x14ac:dyDescent="0.25">
      <c r="B1367" s="1" t="s">
        <v>4721</v>
      </c>
      <c r="C1367" s="17" t="str">
        <f>IFERROR(LEFT(VLOOKUP(B1367,'For consider'!D:E,2,0),8),"Chưa có code")</f>
        <v>Chưa có code</v>
      </c>
      <c r="E1367" s="1" t="str">
        <f t="shared" si="6"/>
        <v>Chưa triển khai</v>
      </c>
      <c r="F1367" s="1" t="str">
        <f>IFERROR(VLOOKUP(B1367,'Plan 2026'!B:AC,28,0),"không có trong file network")</f>
        <v>Đang offer</v>
      </c>
      <c r="G1367" s="1" t="str">
        <f>IFERROR(IF(VLOOKUP(B1367,'TCH (append)'!C:P,14,0)="Completed","Hoàn thành thi công",
IF(VLOOKUP(B1367,'TCH (append)'!C:K,9,0)="Completed","Hoàn thành đấu thầu",
IF(VLOOKUP(B1367,'TCH (append)'!C:J,8,0)="Completed","Hoàn thành dự toán",
IF(VLOOKUP(B1367,'TCH (append)'!C:I,7,0)="Completed","Hoàn thành thiết kế",
"Chưa thiết kế")))),"Chưa có trong file PMO")</f>
        <v>Chưa có trong file PMO</v>
      </c>
      <c r="H1367" s="1" t="str">
        <f>IFERROR(VLOOKUP(B1367,'Plan 2026'!B:AW,48,0), VLOOKUP(B1367,'TCH (append)'!C:D,2,0)
)</f>
        <v xml:space="preserve">Gogi House </v>
      </c>
      <c r="J1367" s="1" t="s">
        <v>76</v>
      </c>
      <c r="K1367" s="1" t="s">
        <v>77</v>
      </c>
      <c r="L1367" s="2" t="str">
        <f>IF(
    F1367&lt;&gt;"Đã ký",
    "Chưa triển khai",
    IF(
        IFERROR(VLOOKUP(B1367,TCH[[Code budget]:[Ngày kết thúc thi công theo kế hoạch]],10,0),0)&gt;0,
        VLOOKUP(B1367,TCH[[Code budget]:[Ngày kết thúc thi công theo kế hoạch]],10,0),
        IFERROR(
            DATE(2026,VLOOKUP(B1367,'Plan 2026'!B:H,7,0),31),
            "Chưa triển khai"
        )
    )
)</f>
        <v>Chưa triển khai</v>
      </c>
      <c r="M1367" s="2" t="s">
        <v>6688</v>
      </c>
    </row>
    <row r="1368" spans="2:13" ht="11.25" hidden="1" customHeight="1" x14ac:dyDescent="0.25">
      <c r="B1368" s="1" t="s">
        <v>4732</v>
      </c>
      <c r="C1368" s="17" t="str">
        <f>IFERROR(LEFT(VLOOKUP(B1368,'For consider'!D:E,2,0),8),"Chưa có code")</f>
        <v>Chưa có code</v>
      </c>
      <c r="E1368" s="1" t="str">
        <f t="shared" si="6"/>
        <v>Lock mb chưa thi công</v>
      </c>
      <c r="F1368" s="1" t="str">
        <f>IFERROR(VLOOKUP(B1368,'Plan 2026'!B:AC,28,0),"không có trong file network")</f>
        <v>Đã ký</v>
      </c>
      <c r="G1368" s="1" t="str">
        <f>IFERROR(IF(VLOOKUP(B1368,'TCH (append)'!C:P,14,0)="Completed","Hoàn thành thi công",
IF(VLOOKUP(B1368,'TCH (append)'!C:K,9,0)="Completed","Hoàn thành đấu thầu",
IF(VLOOKUP(B1368,'TCH (append)'!C:J,8,0)="Completed","Hoàn thành dự toán",
IF(VLOOKUP(B1368,'TCH (append)'!C:I,7,0)="Completed","Hoàn thành thiết kế",
"Chưa thiết kế")))),"Chưa có trong file PMO")</f>
        <v>Chưa có trong file PMO</v>
      </c>
      <c r="H1368" s="1" t="str">
        <f>IFERROR(VLOOKUP(B1368,'Plan 2026'!B:AW,48,0), VLOOKUP(B1368,'TCH (append)'!C:D,2,0)
)</f>
        <v>Dao Niu Guo DNG Lê Quý Đôn Q3</v>
      </c>
      <c r="J1368" s="1" t="s">
        <v>2044</v>
      </c>
      <c r="K1368" s="1" t="s">
        <v>2045</v>
      </c>
      <c r="L1368" s="2">
        <f>IF(
    F1368&lt;&gt;"Đã ký",
    "Chưa triển khai",
    IF(
        IFERROR(VLOOKUP(B1368,TCH[[Code budget]:[Ngày kết thúc thi công theo kế hoạch]],10,0),0)&gt;0,
        VLOOKUP(B1368,TCH[[Code budget]:[Ngày kết thúc thi công theo kế hoạch]],10,0),
        IFERROR(
            DATE(2026,VLOOKUP(B1368,'Plan 2026'!B:H,7,0),31),
            "Chưa triển khai"
        )
    )
)</f>
        <v>46173</v>
      </c>
      <c r="M1368" s="2" t="s">
        <v>6688</v>
      </c>
    </row>
    <row r="1369" spans="2:13" ht="11.25" hidden="1" customHeight="1" x14ac:dyDescent="0.25">
      <c r="B1369" s="1" t="s">
        <v>4751</v>
      </c>
      <c r="C1369" s="17" t="str">
        <f>IFERROR(LEFT(VLOOKUP(B1369,'For consider'!D:E,2,0),8),"Chưa có code")</f>
        <v>Chưa có code</v>
      </c>
      <c r="E1369" s="1" t="str">
        <f t="shared" si="6"/>
        <v>Chưa triển khai</v>
      </c>
      <c r="F1369" s="1" t="str">
        <f>IFERROR(VLOOKUP(B1369,'Plan 2026'!B:AC,28,0),"không có trong file network")</f>
        <v>Hủy bỏ</v>
      </c>
      <c r="G1369" s="1" t="str">
        <f>IFERROR(IF(VLOOKUP(B1369,'TCH (append)'!C:P,14,0)="Completed","Hoàn thành thi công",
IF(VLOOKUP(B1369,'TCH (append)'!C:K,9,0)="Completed","Hoàn thành đấu thầu",
IF(VLOOKUP(B1369,'TCH (append)'!C:J,8,0)="Completed","Hoàn thành dự toán",
IF(VLOOKUP(B1369,'TCH (append)'!C:I,7,0)="Completed","Hoàn thành thiết kế",
"Chưa thiết kế")))),"Chưa có trong file PMO")</f>
        <v>Chưa có trong file PMO</v>
      </c>
      <c r="H1369" s="1" t="str">
        <f>IFERROR(VLOOKUP(B1369,'Plan 2026'!B:AW,48,0), VLOOKUP(B1369,'TCH (append)'!C:D,2,0)
)</f>
        <v>Universal Tea Võ Thị Sáu</v>
      </c>
      <c r="J1369" s="1" t="s">
        <v>1446</v>
      </c>
      <c r="K1369" s="1" t="s">
        <v>1447</v>
      </c>
      <c r="L1369" s="2" t="str">
        <f>IF(
    F1369&lt;&gt;"Đã ký",
    "Chưa triển khai",
    IF(
        IFERROR(VLOOKUP(B1369,TCH[[Code budget]:[Ngày kết thúc thi công theo kế hoạch]],10,0),0)&gt;0,
        VLOOKUP(B1369,TCH[[Code budget]:[Ngày kết thúc thi công theo kế hoạch]],10,0),
        IFERROR(
            DATE(2026,VLOOKUP(B1369,'Plan 2026'!B:H,7,0),31),
            "Chưa triển khai"
        )
    )
)</f>
        <v>Chưa triển khai</v>
      </c>
      <c r="M1369" s="2" t="s">
        <v>6688</v>
      </c>
    </row>
    <row r="1370" spans="2:13" ht="11.25" hidden="1" customHeight="1" x14ac:dyDescent="0.25">
      <c r="B1370" s="1" t="s">
        <v>4768</v>
      </c>
      <c r="C1370" s="17" t="str">
        <f>IFERROR(LEFT(VLOOKUP(B1370,'For consider'!D:E,2,0),8),"Chưa có code")</f>
        <v>Chưa có code</v>
      </c>
      <c r="E1370" s="1" t="str">
        <f t="shared" si="6"/>
        <v>Chưa triển khai</v>
      </c>
      <c r="F1370" s="1" t="str">
        <f>IFERROR(VLOOKUP(B1370,'Plan 2026'!B:AC,28,0),"không có trong file network")</f>
        <v>Đang offer</v>
      </c>
      <c r="G1370" s="1" t="str">
        <f>IFERROR(IF(VLOOKUP(B1370,'TCH (append)'!C:P,14,0)="Completed","Hoàn thành thi công",
IF(VLOOKUP(B1370,'TCH (append)'!C:K,9,0)="Completed","Hoàn thành đấu thầu",
IF(VLOOKUP(B1370,'TCH (append)'!C:J,8,0)="Completed","Hoàn thành dự toán",
IF(VLOOKUP(B1370,'TCH (append)'!C:I,7,0)="Completed","Hoàn thành thiết kế",
"Chưa thiết kế")))),"Chưa có trong file PMO")</f>
        <v>Chưa có trong file PMO</v>
      </c>
      <c r="H1370" s="1" t="str">
        <f>IFERROR(VLOOKUP(B1370,'Plan 2026'!B:AW,48,0), VLOOKUP(B1370,'TCH (append)'!C:D,2,0)
)</f>
        <v>Kichi Kichi Lê Văn Lương</v>
      </c>
      <c r="J1370" s="1" t="s">
        <v>34</v>
      </c>
      <c r="K1370" s="1" t="s">
        <v>35</v>
      </c>
      <c r="L1370" s="2" t="str">
        <f>IF(
    F1370&lt;&gt;"Đã ký",
    "Chưa triển khai",
    IF(
        IFERROR(VLOOKUP(B1370,TCH[[Code budget]:[Ngày kết thúc thi công theo kế hoạch]],10,0),0)&gt;0,
        VLOOKUP(B1370,TCH[[Code budget]:[Ngày kết thúc thi công theo kế hoạch]],10,0),
        IFERROR(
            DATE(2026,VLOOKUP(B1370,'Plan 2026'!B:H,7,0),31),
            "Chưa triển khai"
        )
    )
)</f>
        <v>Chưa triển khai</v>
      </c>
      <c r="M1370" s="2" t="s">
        <v>6688</v>
      </c>
    </row>
    <row r="1371" spans="2:13" ht="11.25" hidden="1" customHeight="1" x14ac:dyDescent="0.25">
      <c r="B1371" s="1" t="s">
        <v>4804</v>
      </c>
      <c r="C1371" s="17" t="str">
        <f>IFERROR(LEFT(VLOOKUP(B1371,'For consider'!D:E,2,0),8),"Chưa có code")</f>
        <v>Chưa có code</v>
      </c>
      <c r="E1371" s="1" t="str">
        <f t="shared" si="6"/>
        <v>Chưa triển khai</v>
      </c>
      <c r="F1371" s="1" t="str">
        <f>IFERROR(VLOOKUP(B1371,'Plan 2026'!B:AC,28,0),"không có trong file network")</f>
        <v>Đang offer</v>
      </c>
      <c r="G1371" s="1" t="str">
        <f>IFERROR(IF(VLOOKUP(B1371,'TCH (append)'!C:P,14,0)="Completed","Hoàn thành thi công",
IF(VLOOKUP(B1371,'TCH (append)'!C:K,9,0)="Completed","Hoàn thành đấu thầu",
IF(VLOOKUP(B1371,'TCH (append)'!C:J,8,0)="Completed","Hoàn thành dự toán",
IF(VLOOKUP(B1371,'TCH (append)'!C:I,7,0)="Completed","Hoàn thành thiết kế",
"Chưa thiết kế")))),"Chưa có trong file PMO")</f>
        <v>Chưa có trong file PMO</v>
      </c>
      <c r="H1371" s="1" t="str">
        <f>IFERROR(VLOOKUP(B1371,'Plan 2026'!B:AW,48,0), VLOOKUP(B1371,'TCH (append)'!C:D,2,0)
)</f>
        <v>Ashima 512 đường Nguyễn XiểnVincom Mega Mall Grand Park</v>
      </c>
      <c r="J1371" s="1" t="s">
        <v>24</v>
      </c>
      <c r="K1371" s="1" t="s">
        <v>25</v>
      </c>
      <c r="L1371" s="2" t="str">
        <f>IF(
    F1371&lt;&gt;"Đã ký",
    "Chưa triển khai",
    IF(
        IFERROR(VLOOKUP(B1371,TCH[[Code budget]:[Ngày kết thúc thi công theo kế hoạch]],10,0),0)&gt;0,
        VLOOKUP(B1371,TCH[[Code budget]:[Ngày kết thúc thi công theo kế hoạch]],10,0),
        IFERROR(
            DATE(2026,VLOOKUP(B1371,'Plan 2026'!B:H,7,0),31),
            "Chưa triển khai"
        )
    )
)</f>
        <v>Chưa triển khai</v>
      </c>
      <c r="M1371" s="2" t="s">
        <v>6688</v>
      </c>
    </row>
    <row r="1372" spans="2:13" ht="11.25" hidden="1" customHeight="1" x14ac:dyDescent="0.25">
      <c r="B1372" s="1" t="s">
        <v>4817</v>
      </c>
      <c r="C1372" s="17" t="str">
        <f>IFERROR(LEFT(VLOOKUP(B1372,'For consider'!D:E,2,0),8),"Chưa có code")</f>
        <v>Chưa có code</v>
      </c>
      <c r="E1372" s="1" t="str">
        <f t="shared" si="6"/>
        <v>Lock mb chưa thi công</v>
      </c>
      <c r="F1372" s="1" t="str">
        <f>IFERROR(VLOOKUP(B1372,'Plan 2026'!B:AC,28,0),"không có trong file network")</f>
        <v>Đã ký</v>
      </c>
      <c r="G1372" s="1" t="str">
        <f>IFERROR(IF(VLOOKUP(B1372,'TCH (append)'!C:P,14,0)="Completed","Hoàn thành thi công",
IF(VLOOKUP(B1372,'TCH (append)'!C:K,9,0)="Completed","Hoàn thành đấu thầu",
IF(VLOOKUP(B1372,'TCH (append)'!C:J,8,0)="Completed","Hoàn thành dự toán",
IF(VLOOKUP(B1372,'TCH (append)'!C:I,7,0)="Completed","Hoàn thành thiết kế",
"Chưa thiết kế")))),"Chưa có trong file PMO")</f>
        <v>Chưa có trong file PMO</v>
      </c>
      <c r="H1372" s="1" t="str">
        <f>IFERROR(VLOOKUP(B1372,'Plan 2026'!B:AW,48,0), VLOOKUP(B1372,'TCH (append)'!C:D,2,0)
)</f>
        <v>Manwah Nguyễn XiểnVincom Mega Mall Grand Park</v>
      </c>
      <c r="J1372" s="1" t="s">
        <v>112</v>
      </c>
      <c r="K1372" s="1" t="s">
        <v>113</v>
      </c>
      <c r="L1372" s="2">
        <f>IF(
    F1372&lt;&gt;"Đã ký",
    "Chưa triển khai",
    IF(
        IFERROR(VLOOKUP(B1372,TCH[[Code budget]:[Ngày kết thúc thi công theo kế hoạch]],10,0),0)&gt;0,
        VLOOKUP(B1372,TCH[[Code budget]:[Ngày kết thúc thi công theo kế hoạch]],10,0),
        IFERROR(
            DATE(2026,VLOOKUP(B1372,'Plan 2026'!B:H,7,0),31),
            "Chưa triển khai"
        )
    )
)</f>
        <v>46173</v>
      </c>
      <c r="M1372" s="2" t="s">
        <v>6688</v>
      </c>
    </row>
    <row r="1373" spans="2:13" ht="11.25" hidden="1" customHeight="1" x14ac:dyDescent="0.25">
      <c r="B1373" s="1" t="s">
        <v>4829</v>
      </c>
      <c r="C1373" s="17" t="str">
        <f>IFERROR(LEFT(VLOOKUP(B1373,'For consider'!D:E,2,0),8),"Chưa có code")</f>
        <v>Chưa có code</v>
      </c>
      <c r="E1373" s="1" t="str">
        <f t="shared" si="6"/>
        <v>Lock mb chưa thi công</v>
      </c>
      <c r="F1373" s="1" t="str">
        <f>IFERROR(VLOOKUP(B1373,'Plan 2026'!B:AC,28,0),"không có trong file network")</f>
        <v>Đã ký</v>
      </c>
      <c r="G1373" s="1" t="str">
        <f>IFERROR(IF(VLOOKUP(B1373,'TCH (append)'!C:P,14,0)="Completed","Hoàn thành thi công",
IF(VLOOKUP(B1373,'TCH (append)'!C:K,9,0)="Completed","Hoàn thành đấu thầu",
IF(VLOOKUP(B1373,'TCH (append)'!C:J,8,0)="Completed","Hoàn thành dự toán",
IF(VLOOKUP(B1373,'TCH (append)'!C:I,7,0)="Completed","Hoàn thành thiết kế",
"Chưa thiết kế")))),"Chưa có trong file PMO")</f>
        <v>Chưa có trong file PMO</v>
      </c>
      <c r="H1373" s="1" t="str">
        <f>IFERROR(VLOOKUP(B1373,'Plan 2026'!B:AW,48,0), VLOOKUP(B1373,'TCH (append)'!C:D,2,0)
)</f>
        <v>The Coffee House Techcombank GrandPark HCMSố 6, Đường D1, Khu đô thị Vinhomes Grand Park, Phường Long Bình, Quận 9, TP. Hồ Chí Minh</v>
      </c>
      <c r="J1373" s="1" t="s">
        <v>1788</v>
      </c>
      <c r="K1373" s="1" t="s">
        <v>1789</v>
      </c>
      <c r="L1373" s="2">
        <f>IF(
    F1373&lt;&gt;"Đã ký",
    "Chưa triển khai",
    IF(
        IFERROR(VLOOKUP(B1373,TCH[[Code budget]:[Ngày kết thúc thi công theo kế hoạch]],10,0),0)&gt;0,
        VLOOKUP(B1373,TCH[[Code budget]:[Ngày kết thúc thi công theo kế hoạch]],10,0),
        IFERROR(
            DATE(2026,VLOOKUP(B1373,'Plan 2026'!B:H,7,0),31),
            "Chưa triển khai"
        )
    )
)</f>
        <v>46357</v>
      </c>
      <c r="M1373" s="2" t="s">
        <v>6688</v>
      </c>
    </row>
    <row r="1374" spans="2:13" ht="11.25" hidden="1" customHeight="1" x14ac:dyDescent="0.25">
      <c r="B1374" s="1" t="s">
        <v>4856</v>
      </c>
      <c r="C1374" s="17" t="str">
        <f>IFERROR(LEFT(VLOOKUP(B1374,'For consider'!D:E,2,0),8),"Chưa có code")</f>
        <v>Chưa có code</v>
      </c>
      <c r="E1374" s="1" t="str">
        <f t="shared" si="6"/>
        <v>Chưa triển khai</v>
      </c>
      <c r="F1374" s="1" t="str">
        <f>IFERROR(VLOOKUP(B1374,'Plan 2026'!B:AC,28,0),"không có trong file network")</f>
        <v>Chưa có</v>
      </c>
      <c r="G1374" s="1" t="str">
        <f>IFERROR(IF(VLOOKUP(B1374,'TCH (append)'!C:P,14,0)="Completed","Hoàn thành thi công",
IF(VLOOKUP(B1374,'TCH (append)'!C:K,9,0)="Completed","Hoàn thành đấu thầu",
IF(VLOOKUP(B1374,'TCH (append)'!C:J,8,0)="Completed","Hoàn thành dự toán",
IF(VLOOKUP(B1374,'TCH (append)'!C:I,7,0)="Completed","Hoàn thành thiết kế",
"Chưa thiết kế")))),"Chưa có trong file PMO")</f>
        <v>Chưa có trong file PMO</v>
      </c>
      <c r="H1374" s="1" t="str">
        <f>IFERROR(VLOOKUP(B1374,'Plan 2026'!B:AW,48,0), VLOOKUP(B1374,'TCH (append)'!C:D,2,0)
)</f>
        <v>CloudPot 1058 Đại lộ Nguyễn Văn LinhSc Vivocity</v>
      </c>
      <c r="J1374" s="1" t="s">
        <v>1019</v>
      </c>
      <c r="K1374" s="1" t="s">
        <v>1020</v>
      </c>
      <c r="L1374" s="2" t="str">
        <f>IF(
    F1374&lt;&gt;"Đã ký",
    "Chưa triển khai",
    IF(
        IFERROR(VLOOKUP(B1374,TCH[[Code budget]:[Ngày kết thúc thi công theo kế hoạch]],10,0),0)&gt;0,
        VLOOKUP(B1374,TCH[[Code budget]:[Ngày kết thúc thi công theo kế hoạch]],10,0),
        IFERROR(
            DATE(2026,VLOOKUP(B1374,'Plan 2026'!B:H,7,0),31),
            "Chưa triển khai"
        )
    )
)</f>
        <v>Chưa triển khai</v>
      </c>
      <c r="M1374" s="2" t="s">
        <v>6688</v>
      </c>
    </row>
    <row r="1375" spans="2:13" ht="11.25" hidden="1" customHeight="1" x14ac:dyDescent="0.25">
      <c r="B1375" s="1" t="s">
        <v>4890</v>
      </c>
      <c r="C1375" s="17" t="str">
        <f>IFERROR(LEFT(VLOOKUP(B1375,'For consider'!D:E,2,0),8),"Chưa có code")</f>
        <v>Chưa có code</v>
      </c>
      <c r="E1375" s="1" t="str">
        <f t="shared" si="6"/>
        <v>Chưa triển khai</v>
      </c>
      <c r="F1375" s="1" t="str">
        <f>IFERROR(VLOOKUP(B1375,'Plan 2026'!B:AC,28,0),"không có trong file network")</f>
        <v>Chưa có</v>
      </c>
      <c r="G1375" s="1" t="str">
        <f>IFERROR(IF(VLOOKUP(B1375,'TCH (append)'!C:P,14,0)="Completed","Hoàn thành thi công",
IF(VLOOKUP(B1375,'TCH (append)'!C:K,9,0)="Completed","Hoàn thành đấu thầu",
IF(VLOOKUP(B1375,'TCH (append)'!C:J,8,0)="Completed","Hoàn thành dự toán",
IF(VLOOKUP(B1375,'TCH (append)'!C:I,7,0)="Completed","Hoàn thành thiết kế",
"Chưa thiết kế")))),"Chưa có trong file PMO")</f>
        <v>Chưa có trong file PMO</v>
      </c>
      <c r="H1375" s="1" t="str">
        <f>IFERROR(VLOOKUP(B1375,'Plan 2026'!B:AW,48,0), VLOOKUP(B1375,'TCH (append)'!C:D,2,0)
)</f>
        <v>Isushi Sư Vạn HạnhVạn Hạnh Mall</v>
      </c>
      <c r="J1375" s="1" t="s">
        <v>61</v>
      </c>
      <c r="K1375" s="1" t="s">
        <v>62</v>
      </c>
      <c r="L1375" s="2" t="str">
        <f>IF(
    F1375&lt;&gt;"Đã ký",
    "Chưa triển khai",
    IF(
        IFERROR(VLOOKUP(B1375,TCH[[Code budget]:[Ngày kết thúc thi công theo kế hoạch]],10,0),0)&gt;0,
        VLOOKUP(B1375,TCH[[Code budget]:[Ngày kết thúc thi công theo kế hoạch]],10,0),
        IFERROR(
            DATE(2026,VLOOKUP(B1375,'Plan 2026'!B:H,7,0),31),
            "Chưa triển khai"
        )
    )
)</f>
        <v>Chưa triển khai</v>
      </c>
      <c r="M1375" s="2" t="s">
        <v>6688</v>
      </c>
    </row>
    <row r="1376" spans="2:13" ht="11.25" hidden="1" customHeight="1" x14ac:dyDescent="0.25">
      <c r="B1376" s="1" t="s">
        <v>4906</v>
      </c>
      <c r="C1376" s="17" t="str">
        <f>IFERROR(LEFT(VLOOKUP(B1376,'For consider'!D:E,2,0),8),"Chưa có code")</f>
        <v>Chưa có code</v>
      </c>
      <c r="E1376" s="1" t="str">
        <f t="shared" si="6"/>
        <v>Chưa triển khai</v>
      </c>
      <c r="F1376" s="1" t="str">
        <f>IFERROR(VLOOKUP(B1376,'Plan 2026'!B:AC,28,0),"không có trong file network")</f>
        <v>Không có</v>
      </c>
      <c r="G1376" s="1" t="str">
        <f>IFERROR(IF(VLOOKUP(B1376,'TCH (append)'!C:P,14,0)="Completed","Hoàn thành thi công",
IF(VLOOKUP(B1376,'TCH (append)'!C:K,9,0)="Completed","Hoàn thành đấu thầu",
IF(VLOOKUP(B1376,'TCH (append)'!C:J,8,0)="Completed","Hoàn thành dự toán",
IF(VLOOKUP(B1376,'TCH (append)'!C:I,7,0)="Completed","Hoàn thành thiết kế",
"Chưa thiết kế")))),"Chưa có trong file PMO")</f>
        <v>Chưa có trong file PMO</v>
      </c>
      <c r="H1376" s="1" t="str">
        <f>IFERROR(VLOOKUP(B1376,'Plan 2026'!B:AW,48,0), VLOOKUP(B1376,'TCH (append)'!C:D,2,0)
)</f>
        <v>Shogun Số 11, Đường Sư Vạn HạnhVạn Hạnh Mall</v>
      </c>
      <c r="J1376" s="1" t="s">
        <v>183</v>
      </c>
      <c r="K1376" s="1" t="s">
        <v>184</v>
      </c>
      <c r="L1376" s="2" t="str">
        <f>IF(
    F1376&lt;&gt;"Đã ký",
    "Chưa triển khai",
    IF(
        IFERROR(VLOOKUP(B1376,TCH[[Code budget]:[Ngày kết thúc thi công theo kế hoạch]],10,0),0)&gt;0,
        VLOOKUP(B1376,TCH[[Code budget]:[Ngày kết thúc thi công theo kế hoạch]],10,0),
        IFERROR(
            DATE(2026,VLOOKUP(B1376,'Plan 2026'!B:H,7,0),31),
            "Chưa triển khai"
        )
    )
)</f>
        <v>Chưa triển khai</v>
      </c>
      <c r="M1376" s="2" t="s">
        <v>6688</v>
      </c>
    </row>
    <row r="1377" spans="2:13" ht="11.25" hidden="1" customHeight="1" x14ac:dyDescent="0.25">
      <c r="B1377" s="1" t="s">
        <v>4945</v>
      </c>
      <c r="C1377" s="17" t="str">
        <f>IFERROR(LEFT(VLOOKUP(B1377,'For consider'!D:E,2,0),8),"Chưa có code")</f>
        <v>Chưa có code</v>
      </c>
      <c r="E1377" s="1" t="str">
        <f t="shared" si="6"/>
        <v>Chưa triển khai</v>
      </c>
      <c r="F1377" s="1" t="str">
        <f>IFERROR(VLOOKUP(B1377,'Plan 2026'!B:AC,28,0),"không có trong file network")</f>
        <v>Chưa có</v>
      </c>
      <c r="G1377" s="1" t="str">
        <f>IFERROR(IF(VLOOKUP(B1377,'TCH (append)'!C:P,14,0)="Completed","Hoàn thành thi công",
IF(VLOOKUP(B1377,'TCH (append)'!C:K,9,0)="Completed","Hoàn thành đấu thầu",
IF(VLOOKUP(B1377,'TCH (append)'!C:J,8,0)="Completed","Hoàn thành dự toán",
IF(VLOOKUP(B1377,'TCH (append)'!C:I,7,0)="Completed","Hoàn thành thiết kế",
"Chưa thiết kế")))),"Chưa có trong file PMO")</f>
        <v>Chưa có trong file PMO</v>
      </c>
      <c r="H1377" s="1" t="str">
        <f>IFERROR(VLOOKUP(B1377,'Plan 2026'!B:AW,48,0), VLOOKUP(B1377,'TCH (append)'!C:D,2,0)
)</f>
        <v xml:space="preserve">Manwah </v>
      </c>
      <c r="J1377" s="1" t="s">
        <v>112</v>
      </c>
      <c r="K1377" s="1" t="s">
        <v>113</v>
      </c>
      <c r="L1377" s="2" t="str">
        <f>IF(
    F1377&lt;&gt;"Đã ký",
    "Chưa triển khai",
    IF(
        IFERROR(VLOOKUP(B1377,TCH[[Code budget]:[Ngày kết thúc thi công theo kế hoạch]],10,0),0)&gt;0,
        VLOOKUP(B1377,TCH[[Code budget]:[Ngày kết thúc thi công theo kế hoạch]],10,0),
        IFERROR(
            DATE(2026,VLOOKUP(B1377,'Plan 2026'!B:H,7,0),31),
            "Chưa triển khai"
        )
    )
)</f>
        <v>Chưa triển khai</v>
      </c>
      <c r="M1377" s="2" t="s">
        <v>6688</v>
      </c>
    </row>
    <row r="1378" spans="2:13" ht="11.25" hidden="1" customHeight="1" x14ac:dyDescent="0.25">
      <c r="B1378" s="1" t="s">
        <v>4961</v>
      </c>
      <c r="C1378" s="17" t="str">
        <f>IFERROR(LEFT(VLOOKUP(B1378,'For consider'!D:E,2,0),8),"Chưa có code")</f>
        <v>Chưa có code</v>
      </c>
      <c r="E1378" s="1" t="str">
        <f t="shared" si="6"/>
        <v>Chưa triển khai</v>
      </c>
      <c r="F1378" s="1" t="str">
        <f>IFERROR(VLOOKUP(B1378,'Plan 2026'!B:AC,28,0),"không có trong file network")</f>
        <v>Chưa có</v>
      </c>
      <c r="G1378" s="1" t="str">
        <f>IFERROR(IF(VLOOKUP(B1378,'TCH (append)'!C:P,14,0)="Completed","Hoàn thành thi công",
IF(VLOOKUP(B1378,'TCH (append)'!C:K,9,0)="Completed","Hoàn thành đấu thầu",
IF(VLOOKUP(B1378,'TCH (append)'!C:J,8,0)="Completed","Hoàn thành dự toán",
IF(VLOOKUP(B1378,'TCH (append)'!C:I,7,0)="Completed","Hoàn thành thiết kế",
"Chưa thiết kế")))),"Chưa có trong file PMO")</f>
        <v>Chưa có trong file PMO</v>
      </c>
      <c r="H1378" s="1" t="str">
        <f>IFERROR(VLOOKUP(B1378,'Plan 2026'!B:AW,48,0), VLOOKUP(B1378,'TCH (append)'!C:D,2,0)
)</f>
        <v xml:space="preserve">The Coffee House </v>
      </c>
      <c r="J1378" s="1" t="s">
        <v>1788</v>
      </c>
      <c r="K1378" s="1" t="s">
        <v>1789</v>
      </c>
      <c r="L1378" s="2" t="str">
        <f>IF(
    F1378&lt;&gt;"Đã ký",
    "Chưa triển khai",
    IF(
        IFERROR(VLOOKUP(B1378,TCH[[Code budget]:[Ngày kết thúc thi công theo kế hoạch]],10,0),0)&gt;0,
        VLOOKUP(B1378,TCH[[Code budget]:[Ngày kết thúc thi công theo kế hoạch]],10,0),
        IFERROR(
            DATE(2026,VLOOKUP(B1378,'Plan 2026'!B:H,7,0),31),
            "Chưa triển khai"
        )
    )
)</f>
        <v>Chưa triển khai</v>
      </c>
      <c r="M1378" s="2" t="s">
        <v>6688</v>
      </c>
    </row>
    <row r="1379" spans="2:13" ht="11.25" hidden="1" customHeight="1" x14ac:dyDescent="0.25">
      <c r="B1379" s="1" t="s">
        <v>4964</v>
      </c>
      <c r="C1379" s="17" t="str">
        <f>IFERROR(LEFT(VLOOKUP(B1379,'For consider'!D:E,2,0),8),"Chưa có code")</f>
        <v>Chưa có code</v>
      </c>
      <c r="E1379" s="1" t="str">
        <f t="shared" si="6"/>
        <v>Lock mb chưa thi công</v>
      </c>
      <c r="F1379" s="1" t="str">
        <f>IFERROR(VLOOKUP(B1379,'Plan 2026'!B:AC,28,0),"không có trong file network")</f>
        <v>Đã ký</v>
      </c>
      <c r="G1379" s="1" t="str">
        <f>IFERROR(IF(VLOOKUP(B1379,'TCH (append)'!C:P,14,0)="Completed","Hoàn thành thi công",
IF(VLOOKUP(B1379,'TCH (append)'!C:K,9,0)="Completed","Hoàn thành đấu thầu",
IF(VLOOKUP(B1379,'TCH (append)'!C:J,8,0)="Completed","Hoàn thành dự toán",
IF(VLOOKUP(B1379,'TCH (append)'!C:I,7,0)="Completed","Hoàn thành thiết kế",
"Chưa thiết kế")))),"Chưa có trong file PMO")</f>
        <v>Chưa có trong file PMO</v>
      </c>
      <c r="H1379" s="1" t="str">
        <f>IFERROR(VLOOKUP(B1379,'Plan 2026'!B:AW,48,0), VLOOKUP(B1379,'TCH (append)'!C:D,2,0)
)</f>
        <v>Wow!Yakiniku 88 Song HànhEstella Place</v>
      </c>
      <c r="J1379" s="1" t="s">
        <v>1771</v>
      </c>
      <c r="K1379" s="1" t="s">
        <v>1772</v>
      </c>
      <c r="L1379" s="2">
        <f>IF(
    F1379&lt;&gt;"Đã ký",
    "Chưa triển khai",
    IF(
        IFERROR(VLOOKUP(B1379,TCH[[Code budget]:[Ngày kết thúc thi công theo kế hoạch]],10,0),0)&gt;0,
        VLOOKUP(B1379,TCH[[Code budget]:[Ngày kết thúc thi công theo kế hoạch]],10,0),
        IFERROR(
            DATE(2026,VLOOKUP(B1379,'Plan 2026'!B:H,7,0),31),
            "Chưa triển khai"
        )
    )
)</f>
        <v>46173</v>
      </c>
      <c r="M1379" s="2" t="s">
        <v>6688</v>
      </c>
    </row>
    <row r="1380" spans="2:13" ht="11.25" hidden="1" customHeight="1" x14ac:dyDescent="0.25">
      <c r="B1380" s="1" t="s">
        <v>4967</v>
      </c>
      <c r="C1380" s="17" t="str">
        <f>IFERROR(LEFT(VLOOKUP(B1380,'For consider'!D:E,2,0),8),"Chưa có code")</f>
        <v>Chưa có code</v>
      </c>
      <c r="E1380" s="1" t="str">
        <f t="shared" si="6"/>
        <v>Chưa triển khai</v>
      </c>
      <c r="F1380" s="1" t="str">
        <f>IFERROR(VLOOKUP(B1380,'Plan 2026'!B:AC,28,0),"không có trong file network")</f>
        <v>Chưa có</v>
      </c>
      <c r="G1380" s="1" t="str">
        <f>IFERROR(IF(VLOOKUP(B1380,'TCH (append)'!C:P,14,0)="Completed","Hoàn thành thi công",
IF(VLOOKUP(B1380,'TCH (append)'!C:K,9,0)="Completed","Hoàn thành đấu thầu",
IF(VLOOKUP(B1380,'TCH (append)'!C:J,8,0)="Completed","Hoàn thành dự toán",
IF(VLOOKUP(B1380,'TCH (append)'!C:I,7,0)="Completed","Hoàn thành thiết kế",
"Chưa thiết kế")))),"Chưa có trong file PMO")</f>
        <v>Chưa có trong file PMO</v>
      </c>
      <c r="H1380" s="1" t="str">
        <f>IFERROR(VLOOKUP(B1380,'Plan 2026'!B:AW,48,0), VLOOKUP(B1380,'TCH (append)'!C:D,2,0)
)</f>
        <v>Kichi Kichi Tôn Dật Tiên</v>
      </c>
      <c r="J1380" s="1" t="s">
        <v>34</v>
      </c>
      <c r="K1380" s="1" t="s">
        <v>35</v>
      </c>
      <c r="L1380" s="2" t="str">
        <f>IF(
    F1380&lt;&gt;"Đã ký",
    "Chưa triển khai",
    IF(
        IFERROR(VLOOKUP(B1380,TCH[[Code budget]:[Ngày kết thúc thi công theo kế hoạch]],10,0),0)&gt;0,
        VLOOKUP(B1380,TCH[[Code budget]:[Ngày kết thúc thi công theo kế hoạch]],10,0),
        IFERROR(
            DATE(2026,VLOOKUP(B1380,'Plan 2026'!B:H,7,0),31),
            "Chưa triển khai"
        )
    )
)</f>
        <v>Chưa triển khai</v>
      </c>
      <c r="M1380" s="2" t="s">
        <v>6688</v>
      </c>
    </row>
    <row r="1381" spans="2:13" ht="11.25" hidden="1" customHeight="1" x14ac:dyDescent="0.25">
      <c r="B1381" s="1" t="s">
        <v>4971</v>
      </c>
      <c r="C1381" s="17" t="str">
        <f>IFERROR(LEFT(VLOOKUP(B1381,'For consider'!D:E,2,0),8),"Chưa có code")</f>
        <v>Chưa có code</v>
      </c>
      <c r="E1381" s="1" t="str">
        <f t="shared" si="6"/>
        <v>Chưa triển khai</v>
      </c>
      <c r="F1381" s="1" t="str">
        <f>IFERROR(VLOOKUP(B1381,'Plan 2026'!B:AC,28,0),"không có trong file network")</f>
        <v>Không có</v>
      </c>
      <c r="G1381" s="1" t="str">
        <f>IFERROR(IF(VLOOKUP(B1381,'TCH (append)'!C:P,14,0)="Completed","Hoàn thành thi công",
IF(VLOOKUP(B1381,'TCH (append)'!C:K,9,0)="Completed","Hoàn thành đấu thầu",
IF(VLOOKUP(B1381,'TCH (append)'!C:J,8,0)="Completed","Hoàn thành dự toán",
IF(VLOOKUP(B1381,'TCH (append)'!C:I,7,0)="Completed","Hoàn thành thiết kế",
"Chưa thiết kế")))),"Chưa có trong file PMO")</f>
        <v>Chưa có trong file PMO</v>
      </c>
      <c r="H1381" s="1" t="str">
        <f>IFERROR(VLOOKUP(B1381,'Plan 2026'!B:AW,48,0), VLOOKUP(B1381,'TCH (append)'!C:D,2,0)
)</f>
        <v>Ashima Tân ThắngAeon Mall Tân Phú Celadon</v>
      </c>
      <c r="J1381" s="1" t="s">
        <v>24</v>
      </c>
      <c r="K1381" s="1" t="s">
        <v>25</v>
      </c>
      <c r="L1381" s="2" t="str">
        <f>IF(
    F1381&lt;&gt;"Đã ký",
    "Chưa triển khai",
    IF(
        IFERROR(VLOOKUP(B1381,TCH[[Code budget]:[Ngày kết thúc thi công theo kế hoạch]],10,0),0)&gt;0,
        VLOOKUP(B1381,TCH[[Code budget]:[Ngày kết thúc thi công theo kế hoạch]],10,0),
        IFERROR(
            DATE(2026,VLOOKUP(B1381,'Plan 2026'!B:H,7,0),31),
            "Chưa triển khai"
        )
    )
)</f>
        <v>Chưa triển khai</v>
      </c>
      <c r="M1381" s="2" t="s">
        <v>6688</v>
      </c>
    </row>
    <row r="1382" spans="2:13" ht="11.25" hidden="1" customHeight="1" x14ac:dyDescent="0.25">
      <c r="B1382" s="1" t="s">
        <v>4984</v>
      </c>
      <c r="C1382" s="17" t="str">
        <f>IFERROR(LEFT(VLOOKUP(B1382,'For consider'!D:E,2,0),8),"Chưa có code")</f>
        <v>Chưa có code</v>
      </c>
      <c r="E1382" s="1" t="str">
        <f t="shared" si="6"/>
        <v>Chưa triển khai</v>
      </c>
      <c r="F1382" s="1" t="str">
        <f>IFERROR(VLOOKUP(B1382,'Plan 2026'!B:AC,28,0),"không có trong file network")</f>
        <v>Không có</v>
      </c>
      <c r="G1382" s="1" t="str">
        <f>IFERROR(IF(VLOOKUP(B1382,'TCH (append)'!C:P,14,0)="Completed","Hoàn thành thi công",
IF(VLOOKUP(B1382,'TCH (append)'!C:K,9,0)="Completed","Hoàn thành đấu thầu",
IF(VLOOKUP(B1382,'TCH (append)'!C:J,8,0)="Completed","Hoàn thành dự toán",
IF(VLOOKUP(B1382,'TCH (append)'!C:I,7,0)="Completed","Hoàn thành thiết kế",
"Chưa thiết kế")))),"Chưa có trong file PMO")</f>
        <v>Chưa có trong file PMO</v>
      </c>
      <c r="H1382" s="1" t="str">
        <f>IFERROR(VLOOKUP(B1382,'Plan 2026'!B:AW,48,0), VLOOKUP(B1382,'TCH (append)'!C:D,2,0)
)</f>
        <v>Shogun Số 30, Đường Tân ThắngAeon Mall Tân Phú Celadon</v>
      </c>
      <c r="J1382" s="1" t="s">
        <v>183</v>
      </c>
      <c r="K1382" s="1" t="s">
        <v>184</v>
      </c>
      <c r="L1382" s="2" t="str">
        <f>IF(
    F1382&lt;&gt;"Đã ký",
    "Chưa triển khai",
    IF(
        IFERROR(VLOOKUP(B1382,TCH[[Code budget]:[Ngày kết thúc thi công theo kế hoạch]],10,0),0)&gt;0,
        VLOOKUP(B1382,TCH[[Code budget]:[Ngày kết thúc thi công theo kế hoạch]],10,0),
        IFERROR(
            DATE(2026,VLOOKUP(B1382,'Plan 2026'!B:H,7,0),31),
            "Chưa triển khai"
        )
    )
)</f>
        <v>Chưa triển khai</v>
      </c>
      <c r="M1382" s="2" t="s">
        <v>6688</v>
      </c>
    </row>
    <row r="1383" spans="2:13" ht="11.25" hidden="1" customHeight="1" x14ac:dyDescent="0.25">
      <c r="B1383" s="1" t="s">
        <v>4994</v>
      </c>
      <c r="C1383" s="17" t="str">
        <f>IFERROR(LEFT(VLOOKUP(B1383,'For consider'!D:E,2,0),8),"Chưa có code")</f>
        <v>Chưa có code</v>
      </c>
      <c r="E1383" s="1" t="str">
        <f t="shared" si="6"/>
        <v>Chưa triển khai</v>
      </c>
      <c r="F1383" s="1" t="str">
        <f>IFERROR(VLOOKUP(B1383,'Plan 2026'!B:AC,28,0),"không có trong file network")</f>
        <v>Đang đàm phán</v>
      </c>
      <c r="G1383" s="1" t="str">
        <f>IFERROR(IF(VLOOKUP(B1383,'TCH (append)'!C:P,14,0)="Completed","Hoàn thành thi công",
IF(VLOOKUP(B1383,'TCH (append)'!C:K,9,0)="Completed","Hoàn thành đấu thầu",
IF(VLOOKUP(B1383,'TCH (append)'!C:J,8,0)="Completed","Hoàn thành dự toán",
IF(VLOOKUP(B1383,'TCH (append)'!C:I,7,0)="Completed","Hoàn thành thiết kế",
"Chưa thiết kế")))),"Chưa có trong file PMO")</f>
        <v>Chưa có trong file PMO</v>
      </c>
      <c r="H1383" s="1" t="str">
        <f>IFERROR(VLOOKUP(B1383,'Plan 2026'!B:AW,48,0), VLOOKUP(B1383,'TCH (append)'!C:D,2,0)
)</f>
        <v>Yutang Tân ThắngAeon Mall Tân Phú Celadon</v>
      </c>
      <c r="J1383" s="1" t="s">
        <v>228</v>
      </c>
      <c r="K1383" s="1" t="s">
        <v>229</v>
      </c>
      <c r="L1383" s="2" t="str">
        <f>IF(
    F1383&lt;&gt;"Đã ký",
    "Chưa triển khai",
    IF(
        IFERROR(VLOOKUP(B1383,TCH[[Code budget]:[Ngày kết thúc thi công theo kế hoạch]],10,0),0)&gt;0,
        VLOOKUP(B1383,TCH[[Code budget]:[Ngày kết thúc thi công theo kế hoạch]],10,0),
        IFERROR(
            DATE(2026,VLOOKUP(B1383,'Plan 2026'!B:H,7,0),31),
            "Chưa triển khai"
        )
    )
)</f>
        <v>Chưa triển khai</v>
      </c>
      <c r="M1383" s="2" t="s">
        <v>6688</v>
      </c>
    </row>
    <row r="1384" spans="2:13" ht="11.25" hidden="1" customHeight="1" x14ac:dyDescent="0.25">
      <c r="B1384" s="1" t="s">
        <v>4997</v>
      </c>
      <c r="C1384" s="17" t="str">
        <f>IFERROR(LEFT(VLOOKUP(B1384,'For consider'!D:E,2,0),8),"Chưa có code")</f>
        <v>Chưa có code</v>
      </c>
      <c r="E1384" s="1" t="str">
        <f t="shared" si="6"/>
        <v>Chưa triển khai</v>
      </c>
      <c r="F1384" s="1" t="str">
        <f>IFERROR(VLOOKUP(B1384,'Plan 2026'!B:AC,28,0),"không có trong file network")</f>
        <v>Chưa có</v>
      </c>
      <c r="G1384" s="1" t="str">
        <f>IFERROR(IF(VLOOKUP(B1384,'TCH (append)'!C:P,14,0)="Completed","Hoàn thành thi công",
IF(VLOOKUP(B1384,'TCH (append)'!C:K,9,0)="Completed","Hoàn thành đấu thầu",
IF(VLOOKUP(B1384,'TCH (append)'!C:J,8,0)="Completed","Hoàn thành dự toán",
IF(VLOOKUP(B1384,'TCH (append)'!C:I,7,0)="Completed","Hoàn thành thiết kế",
"Chưa thiết kế")))),"Chưa có trong file PMO")</f>
        <v>Chưa có trong file PMO</v>
      </c>
      <c r="H1384" s="1" t="str">
        <f>IFERROR(VLOOKUP(B1384,'Plan 2026'!B:AW,48,0), VLOOKUP(B1384,'TCH (append)'!C:D,2,0)
)</f>
        <v>Manwah Lãnh Binh Thăng/Minh Phụng/Bình Thới</v>
      </c>
      <c r="J1384" s="1" t="s">
        <v>112</v>
      </c>
      <c r="K1384" s="1" t="s">
        <v>113</v>
      </c>
      <c r="L1384" s="2" t="str">
        <f>IF(
    F1384&lt;&gt;"Đã ký",
    "Chưa triển khai",
    IF(
        IFERROR(VLOOKUP(B1384,TCH[[Code budget]:[Ngày kết thúc thi công theo kế hoạch]],10,0),0)&gt;0,
        VLOOKUP(B1384,TCH[[Code budget]:[Ngày kết thúc thi công theo kế hoạch]],10,0),
        IFERROR(
            DATE(2026,VLOOKUP(B1384,'Plan 2026'!B:H,7,0),31),
            "Chưa triển khai"
        )
    )
)</f>
        <v>Chưa triển khai</v>
      </c>
      <c r="M1384" s="2" t="s">
        <v>6688</v>
      </c>
    </row>
    <row r="1385" spans="2:13" ht="11.25" hidden="1" customHeight="1" x14ac:dyDescent="0.25">
      <c r="B1385" s="1" t="s">
        <v>5002</v>
      </c>
      <c r="C1385" s="17" t="str">
        <f>IFERROR(LEFT(VLOOKUP(B1385,'For consider'!D:E,2,0),8),"Chưa có code")</f>
        <v>Chưa có code</v>
      </c>
      <c r="E1385" s="1" t="str">
        <f t="shared" si="6"/>
        <v>Chưa triển khai</v>
      </c>
      <c r="F1385" s="1" t="str">
        <f>IFERROR(VLOOKUP(B1385,'Plan 2026'!B:AC,28,0),"không có trong file network")</f>
        <v>Chưa có</v>
      </c>
      <c r="G1385" s="1" t="str">
        <f>IFERROR(IF(VLOOKUP(B1385,'TCH (append)'!C:P,14,0)="Completed","Hoàn thành thi công",
IF(VLOOKUP(B1385,'TCH (append)'!C:K,9,0)="Completed","Hoàn thành đấu thầu",
IF(VLOOKUP(B1385,'TCH (append)'!C:J,8,0)="Completed","Hoàn thành dự toán",
IF(VLOOKUP(B1385,'TCH (append)'!C:I,7,0)="Completed","Hoàn thành thiết kế",
"Chưa thiết kế")))),"Chưa có trong file PMO")</f>
        <v>Chưa có trong file PMO</v>
      </c>
      <c r="H1385" s="1" t="str">
        <f>IFERROR(VLOOKUP(B1385,'Plan 2026'!B:AW,48,0), VLOOKUP(B1385,'TCH (append)'!C:D,2,0)
)</f>
        <v xml:space="preserve">Shogun </v>
      </c>
      <c r="J1385" s="1" t="s">
        <v>183</v>
      </c>
      <c r="K1385" s="1" t="s">
        <v>184</v>
      </c>
      <c r="L1385" s="2" t="str">
        <f>IF(
    F1385&lt;&gt;"Đã ký",
    "Chưa triển khai",
    IF(
        IFERROR(VLOOKUP(B1385,TCH[[Code budget]:[Ngày kết thúc thi công theo kế hoạch]],10,0),0)&gt;0,
        VLOOKUP(B1385,TCH[[Code budget]:[Ngày kết thúc thi công theo kế hoạch]],10,0),
        IFERROR(
            DATE(2026,VLOOKUP(B1385,'Plan 2026'!B:H,7,0),31),
            "Chưa triển khai"
        )
    )
)</f>
        <v>Chưa triển khai</v>
      </c>
      <c r="M1385" s="2" t="s">
        <v>6688</v>
      </c>
    </row>
    <row r="1386" spans="2:13" ht="11.25" hidden="1" customHeight="1" x14ac:dyDescent="0.25">
      <c r="B1386" s="1" t="s">
        <v>5010</v>
      </c>
      <c r="C1386" s="17" t="str">
        <f>IFERROR(LEFT(VLOOKUP(B1386,'For consider'!D:E,2,0),8),"Chưa có code")</f>
        <v>Chưa có code</v>
      </c>
      <c r="E1386" s="1" t="str">
        <f t="shared" si="6"/>
        <v>Chưa triển khai</v>
      </c>
      <c r="F1386" s="1" t="str">
        <f>IFERROR(VLOOKUP(B1386,'Plan 2026'!B:AC,28,0),"không có trong file network")</f>
        <v>Chưa có</v>
      </c>
      <c r="G1386" s="1" t="str">
        <f>IFERROR(IF(VLOOKUP(B1386,'TCH (append)'!C:P,14,0)="Completed","Hoàn thành thi công",
IF(VLOOKUP(B1386,'TCH (append)'!C:K,9,0)="Completed","Hoàn thành đấu thầu",
IF(VLOOKUP(B1386,'TCH (append)'!C:J,8,0)="Completed","Hoàn thành dự toán",
IF(VLOOKUP(B1386,'TCH (append)'!C:I,7,0)="Completed","Hoàn thành thiết kế",
"Chưa thiết kế")))),"Chưa có trong file PMO")</f>
        <v>Chưa có trong file PMO</v>
      </c>
      <c r="H1386" s="1" t="str">
        <f>IFERROR(VLOOKUP(B1386,'Plan 2026'!B:AW,48,0), VLOOKUP(B1386,'TCH (append)'!C:D,2,0)
)</f>
        <v xml:space="preserve">Sumogoya </v>
      </c>
      <c r="J1386" s="1" t="s">
        <v>51</v>
      </c>
      <c r="K1386" s="1" t="s">
        <v>52</v>
      </c>
      <c r="L1386" s="2" t="str">
        <f>IF(
    F1386&lt;&gt;"Đã ký",
    "Chưa triển khai",
    IF(
        IFERROR(VLOOKUP(B1386,TCH[[Code budget]:[Ngày kết thúc thi công theo kế hoạch]],10,0),0)&gt;0,
        VLOOKUP(B1386,TCH[[Code budget]:[Ngày kết thúc thi công theo kế hoạch]],10,0),
        IFERROR(
            DATE(2026,VLOOKUP(B1386,'Plan 2026'!B:H,7,0),31),
            "Chưa triển khai"
        )
    )
)</f>
        <v>Chưa triển khai</v>
      </c>
      <c r="M1386" s="2" t="s">
        <v>6688</v>
      </c>
    </row>
    <row r="1387" spans="2:13" ht="11.25" hidden="1" customHeight="1" x14ac:dyDescent="0.25">
      <c r="B1387" s="1" t="s">
        <v>5022</v>
      </c>
      <c r="C1387" s="17" t="str">
        <f>IFERROR(LEFT(VLOOKUP(B1387,'For consider'!D:E,2,0),8),"Chưa có code")</f>
        <v>Chưa có code</v>
      </c>
      <c r="E1387" s="1" t="str">
        <f t="shared" si="6"/>
        <v>Lock mb chưa thi công</v>
      </c>
      <c r="F1387" s="1" t="str">
        <f>IFERROR(VLOOKUP(B1387,'Plan 2026'!B:AC,28,0),"không có trong file network")</f>
        <v>Đã ký</v>
      </c>
      <c r="G1387" s="1" t="str">
        <f>IFERROR(IF(VLOOKUP(B1387,'TCH (append)'!C:P,14,0)="Completed","Hoàn thành thi công",
IF(VLOOKUP(B1387,'TCH (append)'!C:K,9,0)="Completed","Hoàn thành đấu thầu",
IF(VLOOKUP(B1387,'TCH (append)'!C:J,8,0)="Completed","Hoàn thành dự toán",
IF(VLOOKUP(B1387,'TCH (append)'!C:I,7,0)="Completed","Hoàn thành thiết kế",
"Chưa thiết kế")))),"Chưa có trong file PMO")</f>
        <v>Chưa có trong file PMO</v>
      </c>
      <c r="H1387" s="1" t="str">
        <f>IFERROR(VLOOKUP(B1387,'Plan 2026'!B:AW,48,0), VLOOKUP(B1387,'TCH (append)'!C:D,2,0)
)</f>
        <v>Dao Niu Guo 136 Hàm Nghi</v>
      </c>
      <c r="J1387" s="1" t="s">
        <v>2044</v>
      </c>
      <c r="K1387" s="1" t="s">
        <v>2045</v>
      </c>
      <c r="L1387" s="2">
        <f>IF(
    F1387&lt;&gt;"Đã ký",
    "Chưa triển khai",
    IF(
        IFERROR(VLOOKUP(B1387,TCH[[Code budget]:[Ngày kết thúc thi công theo kế hoạch]],10,0),0)&gt;0,
        VLOOKUP(B1387,TCH[[Code budget]:[Ngày kết thúc thi công theo kế hoạch]],10,0),
        IFERROR(
            DATE(2026,VLOOKUP(B1387,'Plan 2026'!B:H,7,0),31),
            "Chưa triển khai"
        )
    )
)</f>
        <v>46387</v>
      </c>
      <c r="M1387" s="2" t="s">
        <v>6688</v>
      </c>
    </row>
    <row r="1388" spans="2:13" ht="11.25" hidden="1" customHeight="1" x14ac:dyDescent="0.25">
      <c r="B1388" s="1" t="s">
        <v>5030</v>
      </c>
      <c r="C1388" s="17" t="str">
        <f>IFERROR(LEFT(VLOOKUP(B1388,'For consider'!D:E,2,0),8),"Chưa có code")</f>
        <v>Chưa có code</v>
      </c>
      <c r="E1388" s="1" t="str">
        <f t="shared" si="6"/>
        <v>Lock mb chưa thi công</v>
      </c>
      <c r="F1388" s="1" t="str">
        <f>IFERROR(VLOOKUP(B1388,'Plan 2026'!B:AC,28,0),"không có trong file network")</f>
        <v>Đã ký</v>
      </c>
      <c r="G1388" s="1" t="str">
        <f>IFERROR(IF(VLOOKUP(B1388,'TCH (append)'!C:P,14,0)="Completed","Hoàn thành thi công",
IF(VLOOKUP(B1388,'TCH (append)'!C:K,9,0)="Completed","Hoàn thành đấu thầu",
IF(VLOOKUP(B1388,'TCH (append)'!C:J,8,0)="Completed","Hoàn thành dự toán",
IF(VLOOKUP(B1388,'TCH (append)'!C:I,7,0)="Completed","Hoàn thành thiết kế",
"Chưa thiết kế")))),"Chưa có trong file PMO")</f>
        <v>Chưa có trong file PMO</v>
      </c>
      <c r="H1388" s="1" t="str">
        <f>IFERROR(VLOOKUP(B1388,'Plan 2026'!B:AW,48,0), VLOOKUP(B1388,'TCH (append)'!C:D,2,0)
)</f>
        <v>Dao Niu Guo Phan Xích Long</v>
      </c>
      <c r="J1388" s="1" t="s">
        <v>2044</v>
      </c>
      <c r="K1388" s="1" t="s">
        <v>2045</v>
      </c>
      <c r="L1388" s="2">
        <f>IF(
    F1388&lt;&gt;"Đã ký",
    "Chưa triển khai",
    IF(
        IFERROR(VLOOKUP(B1388,TCH[[Code budget]:[Ngày kết thúc thi công theo kế hoạch]],10,0),0)&gt;0,
        VLOOKUP(B1388,TCH[[Code budget]:[Ngày kết thúc thi công theo kế hoạch]],10,0),
        IFERROR(
            DATE(2026,VLOOKUP(B1388,'Plan 2026'!B:H,7,0),31),
            "Chưa triển khai"
        )
    )
)</f>
        <v>46204</v>
      </c>
      <c r="M1388" s="2" t="s">
        <v>6688</v>
      </c>
    </row>
    <row r="1389" spans="2:13" ht="11.25" hidden="1" customHeight="1" x14ac:dyDescent="0.25">
      <c r="B1389" s="1" t="s">
        <v>5056</v>
      </c>
      <c r="C1389" s="17" t="str">
        <f>IFERROR(LEFT(VLOOKUP(B1389,'For consider'!D:E,2,0),8),"Chưa có code")</f>
        <v>Chưa có code</v>
      </c>
      <c r="E1389" s="1" t="str">
        <f t="shared" si="6"/>
        <v>Chưa triển khai</v>
      </c>
      <c r="F1389" s="1" t="str">
        <f>IFERROR(VLOOKUP(B1389,'Plan 2026'!B:AC,28,0),"không có trong file network")</f>
        <v>Chưa có</v>
      </c>
      <c r="G1389" s="1" t="str">
        <f>IFERROR(IF(VLOOKUP(B1389,'TCH (append)'!C:P,14,0)="Completed","Hoàn thành thi công",
IF(VLOOKUP(B1389,'TCH (append)'!C:K,9,0)="Completed","Hoàn thành đấu thầu",
IF(VLOOKUP(B1389,'TCH (append)'!C:J,8,0)="Completed","Hoàn thành dự toán",
IF(VLOOKUP(B1389,'TCH (append)'!C:I,7,0)="Completed","Hoàn thành thiết kế",
"Chưa thiết kế")))),"Chưa có trong file PMO")</f>
        <v>Chưa có trong file PMO</v>
      </c>
      <c r="H1389" s="1" t="str">
        <f>IFERROR(VLOOKUP(B1389,'Plan 2026'!B:AW,48,0), VLOOKUP(B1389,'TCH (append)'!C:D,2,0)
)</f>
        <v>Isushi Xuân Thủy, Thảo Điền, Sông Hàn, Trần Mão</v>
      </c>
      <c r="J1389" s="1" t="s">
        <v>61</v>
      </c>
      <c r="K1389" s="1" t="s">
        <v>62</v>
      </c>
      <c r="L1389" s="2" t="str">
        <f>IF(
    F1389&lt;&gt;"Đã ký",
    "Chưa triển khai",
    IF(
        IFERROR(VLOOKUP(B1389,TCH[[Code budget]:[Ngày kết thúc thi công theo kế hoạch]],10,0),0)&gt;0,
        VLOOKUP(B1389,TCH[[Code budget]:[Ngày kết thúc thi công theo kế hoạch]],10,0),
        IFERROR(
            DATE(2026,VLOOKUP(B1389,'Plan 2026'!B:H,7,0),31),
            "Chưa triển khai"
        )
    )
)</f>
        <v>Chưa triển khai</v>
      </c>
      <c r="M1389" s="2" t="s">
        <v>6688</v>
      </c>
    </row>
    <row r="1390" spans="2:13" ht="11.25" hidden="1" customHeight="1" x14ac:dyDescent="0.25">
      <c r="B1390" s="1" t="s">
        <v>5068</v>
      </c>
      <c r="C1390" s="17" t="str">
        <f>IFERROR(LEFT(VLOOKUP(B1390,'For consider'!D:E,2,0),8),"Chưa có code")</f>
        <v>Chưa có code</v>
      </c>
      <c r="E1390" s="1" t="str">
        <f t="shared" si="6"/>
        <v>Chưa triển khai</v>
      </c>
      <c r="F1390" s="1" t="str">
        <f>IFERROR(VLOOKUP(B1390,'Plan 2026'!B:AC,28,0),"không có trong file network")</f>
        <v>Đang đàm phán</v>
      </c>
      <c r="G1390" s="1" t="str">
        <f>IFERROR(IF(VLOOKUP(B1390,'TCH (append)'!C:P,14,0)="Completed","Hoàn thành thi công",
IF(VLOOKUP(B1390,'TCH (append)'!C:K,9,0)="Completed","Hoàn thành đấu thầu",
IF(VLOOKUP(B1390,'TCH (append)'!C:J,8,0)="Completed","Hoàn thành dự toán",
IF(VLOOKUP(B1390,'TCH (append)'!C:I,7,0)="Completed","Hoàn thành thiết kế",
"Chưa thiết kế")))),"Chưa có trong file PMO")</f>
        <v>Chưa có trong file PMO</v>
      </c>
      <c r="H1390" s="1" t="str">
        <f>IFERROR(VLOOKUP(B1390,'Plan 2026'!B:AW,48,0), VLOOKUP(B1390,'TCH (append)'!C:D,2,0)
)</f>
        <v>The Coffee House Nam Á Bank, đường cách mạng T8</v>
      </c>
      <c r="J1390" s="1" t="s">
        <v>1788</v>
      </c>
      <c r="K1390" s="1" t="s">
        <v>1789</v>
      </c>
      <c r="L1390" s="2" t="str">
        <f>IF(
    F1390&lt;&gt;"Đã ký",
    "Chưa triển khai",
    IF(
        IFERROR(VLOOKUP(B1390,TCH[[Code budget]:[Ngày kết thúc thi công theo kế hoạch]],10,0),0)&gt;0,
        VLOOKUP(B1390,TCH[[Code budget]:[Ngày kết thúc thi công theo kế hoạch]],10,0),
        IFERROR(
            DATE(2026,VLOOKUP(B1390,'Plan 2026'!B:H,7,0),31),
            "Chưa triển khai"
        )
    )
)</f>
        <v>Chưa triển khai</v>
      </c>
      <c r="M1390" s="2" t="s">
        <v>6688</v>
      </c>
    </row>
    <row r="1391" spans="2:13" ht="11.25" hidden="1" customHeight="1" x14ac:dyDescent="0.25">
      <c r="B1391" s="1" t="s">
        <v>5085</v>
      </c>
      <c r="C1391" s="17" t="str">
        <f>IFERROR(LEFT(VLOOKUP(B1391,'For consider'!D:E,2,0),8),"Chưa có code")</f>
        <v>Chưa có code</v>
      </c>
      <c r="E1391" s="1" t="str">
        <f t="shared" si="6"/>
        <v>Chưa triển khai</v>
      </c>
      <c r="F1391" s="1" t="str">
        <f>IFERROR(VLOOKUP(B1391,'Plan 2026'!B:AC,28,0),"không có trong file network")</f>
        <v>Đang offer</v>
      </c>
      <c r="G1391" s="1" t="str">
        <f>IFERROR(IF(VLOOKUP(B1391,'TCH (append)'!C:P,14,0)="Completed","Hoàn thành thi công",
IF(VLOOKUP(B1391,'TCH (append)'!C:K,9,0)="Completed","Hoàn thành đấu thầu",
IF(VLOOKUP(B1391,'TCH (append)'!C:J,8,0)="Completed","Hoàn thành dự toán",
IF(VLOOKUP(B1391,'TCH (append)'!C:I,7,0)="Completed","Hoàn thành thiết kế",
"Chưa thiết kế")))),"Chưa có trong file PMO")</f>
        <v>Chưa có trong file PMO</v>
      </c>
      <c r="H1391" s="1" t="str">
        <f>IFERROR(VLOOKUP(B1391,'Plan 2026'!B:AW,48,0), VLOOKUP(B1391,'TCH (append)'!C:D,2,0)
)</f>
        <v xml:space="preserve">Kichi Kichi </v>
      </c>
      <c r="J1391" s="1" t="s">
        <v>34</v>
      </c>
      <c r="K1391" s="1" t="s">
        <v>35</v>
      </c>
      <c r="L1391" s="2" t="str">
        <f>IF(
    F1391&lt;&gt;"Đã ký",
    "Chưa triển khai",
    IF(
        IFERROR(VLOOKUP(B1391,TCH[[Code budget]:[Ngày kết thúc thi công theo kế hoạch]],10,0),0)&gt;0,
        VLOOKUP(B1391,TCH[[Code budget]:[Ngày kết thúc thi công theo kế hoạch]],10,0),
        IFERROR(
            DATE(2026,VLOOKUP(B1391,'Plan 2026'!B:H,7,0),31),
            "Chưa triển khai"
        )
    )
)</f>
        <v>Chưa triển khai</v>
      </c>
      <c r="M1391" s="2" t="s">
        <v>6688</v>
      </c>
    </row>
    <row r="1392" spans="2:13" ht="11.25" hidden="1" customHeight="1" x14ac:dyDescent="0.25">
      <c r="B1392" s="1" t="s">
        <v>5092</v>
      </c>
      <c r="C1392" s="17" t="str">
        <f>IFERROR(LEFT(VLOOKUP(B1392,'For consider'!D:E,2,0),8),"Chưa có code")</f>
        <v>Chưa có code</v>
      </c>
      <c r="E1392" s="1" t="str">
        <f t="shared" si="6"/>
        <v>Chưa triển khai</v>
      </c>
      <c r="F1392" s="1" t="str">
        <f>IFERROR(VLOOKUP(B1392,'Plan 2026'!B:AC,28,0),"không có trong file network")</f>
        <v>Đang offer</v>
      </c>
      <c r="G1392" s="1" t="str">
        <f>IFERROR(IF(VLOOKUP(B1392,'TCH (append)'!C:P,14,0)="Completed","Hoàn thành thi công",
IF(VLOOKUP(B1392,'TCH (append)'!C:K,9,0)="Completed","Hoàn thành đấu thầu",
IF(VLOOKUP(B1392,'TCH (append)'!C:J,8,0)="Completed","Hoàn thành dự toán",
IF(VLOOKUP(B1392,'TCH (append)'!C:I,7,0)="Completed","Hoàn thành thiết kế",
"Chưa thiết kế")))),"Chưa có trong file PMO")</f>
        <v>Chưa có trong file PMO</v>
      </c>
      <c r="H1392" s="1" t="str">
        <f>IFERROR(VLOOKUP(B1392,'Plan 2026'!B:AW,48,0), VLOOKUP(B1392,'TCH (append)'!C:D,2,0)
)</f>
        <v xml:space="preserve">Kichi Kichi </v>
      </c>
      <c r="J1392" s="1" t="s">
        <v>34</v>
      </c>
      <c r="K1392" s="1" t="s">
        <v>35</v>
      </c>
      <c r="L1392" s="2" t="str">
        <f>IF(
    F1392&lt;&gt;"Đã ký",
    "Chưa triển khai",
    IF(
        IFERROR(VLOOKUP(B1392,TCH[[Code budget]:[Ngày kết thúc thi công theo kế hoạch]],10,0),0)&gt;0,
        VLOOKUP(B1392,TCH[[Code budget]:[Ngày kết thúc thi công theo kế hoạch]],10,0),
        IFERROR(
            DATE(2026,VLOOKUP(B1392,'Plan 2026'!B:H,7,0),31),
            "Chưa triển khai"
        )
    )
)</f>
        <v>Chưa triển khai</v>
      </c>
      <c r="M1392" s="2" t="s">
        <v>6688</v>
      </c>
    </row>
    <row r="1393" spans="2:22" ht="11.25" hidden="1" customHeight="1" x14ac:dyDescent="0.25">
      <c r="B1393" s="1" t="s">
        <v>5095</v>
      </c>
      <c r="C1393" s="17" t="str">
        <f>IFERROR(LEFT(VLOOKUP(B1393,'For consider'!D:E,2,0),8),"Chưa có code")</f>
        <v>Chưa có code</v>
      </c>
      <c r="E1393" s="1" t="str">
        <f t="shared" si="6"/>
        <v>Chưa triển khai</v>
      </c>
      <c r="F1393" s="1" t="str">
        <f>IFERROR(VLOOKUP(B1393,'Plan 2026'!B:AC,28,0),"không có trong file network")</f>
        <v>Đang offer</v>
      </c>
      <c r="G1393" s="1" t="str">
        <f>IFERROR(IF(VLOOKUP(B1393,'TCH (append)'!C:P,14,0)="Completed","Hoàn thành thi công",
IF(VLOOKUP(B1393,'TCH (append)'!C:K,9,0)="Completed","Hoàn thành đấu thầu",
IF(VLOOKUP(B1393,'TCH (append)'!C:J,8,0)="Completed","Hoàn thành dự toán",
IF(VLOOKUP(B1393,'TCH (append)'!C:I,7,0)="Completed","Hoàn thành thiết kế",
"Chưa thiết kế")))),"Chưa có trong file PMO")</f>
        <v>Chưa có trong file PMO</v>
      </c>
      <c r="H1393" s="1" t="str">
        <f>IFERROR(VLOOKUP(B1393,'Plan 2026'!B:AW,48,0), VLOOKUP(B1393,'TCH (append)'!C:D,2,0)
)</f>
        <v xml:space="preserve">Kichi Kichi </v>
      </c>
      <c r="J1393" s="1" t="s">
        <v>34</v>
      </c>
      <c r="K1393" s="1" t="s">
        <v>35</v>
      </c>
      <c r="L1393" s="2" t="str">
        <f>IF(
    F1393&lt;&gt;"Đã ký",
    "Chưa triển khai",
    IF(
        IFERROR(VLOOKUP(B1393,TCH[[Code budget]:[Ngày kết thúc thi công theo kế hoạch]],10,0),0)&gt;0,
        VLOOKUP(B1393,TCH[[Code budget]:[Ngày kết thúc thi công theo kế hoạch]],10,0),
        IFERROR(
            DATE(2026,VLOOKUP(B1393,'Plan 2026'!B:H,7,0),31),
            "Chưa triển khai"
        )
    )
)</f>
        <v>Chưa triển khai</v>
      </c>
      <c r="M1393" s="2" t="s">
        <v>6688</v>
      </c>
    </row>
    <row r="1394" spans="2:22" ht="11.25" hidden="1" customHeight="1" x14ac:dyDescent="0.25">
      <c r="B1394" s="1" t="s">
        <v>5104</v>
      </c>
      <c r="C1394" s="17" t="str">
        <f>IFERROR(LEFT(VLOOKUP(B1394,'For consider'!D:E,2,0),8),"Chưa có code")</f>
        <v>Chưa có code</v>
      </c>
      <c r="E1394" s="1" t="str">
        <f t="shared" si="6"/>
        <v>Chưa triển khai</v>
      </c>
      <c r="F1394" s="1" t="str">
        <f>IFERROR(VLOOKUP(B1394,'Plan 2026'!B:AC,28,0),"không có trong file network")</f>
        <v>Reject</v>
      </c>
      <c r="G1394" s="1" t="str">
        <f>IFERROR(IF(VLOOKUP(B1394,'TCH (append)'!C:P,14,0)="Completed","Hoàn thành thi công",
IF(VLOOKUP(B1394,'TCH (append)'!C:K,9,0)="Completed","Hoàn thành đấu thầu",
IF(VLOOKUP(B1394,'TCH (append)'!C:J,8,0)="Completed","Hoàn thành dự toán",
IF(VLOOKUP(B1394,'TCH (append)'!C:I,7,0)="Completed","Hoàn thành thiết kế",
"Chưa thiết kế")))),"Chưa có trong file PMO")</f>
        <v>Chưa có trong file PMO</v>
      </c>
      <c r="H1394" s="1" t="str">
        <f>IFERROR(VLOOKUP(B1394,'Plan 2026'!B:AW,48,0), VLOOKUP(B1394,'TCH (append)'!C:D,2,0)
)</f>
        <v xml:space="preserve">Gogi House </v>
      </c>
      <c r="J1394" s="1" t="s">
        <v>76</v>
      </c>
      <c r="K1394" s="1" t="s">
        <v>77</v>
      </c>
      <c r="L1394" s="2" t="str">
        <f>IF(
    F1394&lt;&gt;"Đã ký",
    "Chưa triển khai",
    IF(
        IFERROR(VLOOKUP(B1394,TCH[[Code budget]:[Ngày kết thúc thi công theo kế hoạch]],10,0),0)&gt;0,
        VLOOKUP(B1394,TCH[[Code budget]:[Ngày kết thúc thi công theo kế hoạch]],10,0),
        IFERROR(
            DATE(2026,VLOOKUP(B1394,'Plan 2026'!B:H,7,0),31),
            "Chưa triển khai"
        )
    )
)</f>
        <v>Chưa triển khai</v>
      </c>
      <c r="M1394" s="2" t="s">
        <v>6688</v>
      </c>
    </row>
    <row r="1395" spans="2:22" ht="11.25" hidden="1" customHeight="1" x14ac:dyDescent="0.25">
      <c r="B1395" s="1" t="s">
        <v>5134</v>
      </c>
      <c r="C1395" s="17" t="str">
        <f>IFERROR(LEFT(VLOOKUP(B1395,'For consider'!D:E,2,0),8),"Chưa có code")</f>
        <v>Chưa có code</v>
      </c>
      <c r="E1395" s="1" t="str">
        <f t="shared" si="6"/>
        <v>Chưa triển khai</v>
      </c>
      <c r="F1395" s="1" t="str">
        <f>IFERROR(VLOOKUP(B1395,'Plan 2026'!B:AC,28,0),"không có trong file network")</f>
        <v>Reject</v>
      </c>
      <c r="G1395" s="1" t="str">
        <f>IFERROR(IF(VLOOKUP(B1395,'TCH (append)'!C:P,14,0)="Completed","Hoàn thành thi công",
IF(VLOOKUP(B1395,'TCH (append)'!C:K,9,0)="Completed","Hoàn thành đấu thầu",
IF(VLOOKUP(B1395,'TCH (append)'!C:J,8,0)="Completed","Hoàn thành dự toán",
IF(VLOOKUP(B1395,'TCH (append)'!C:I,7,0)="Completed","Hoàn thành thiết kế",
"Chưa thiết kế")))),"Chưa có trong file PMO")</f>
        <v>Chưa có trong file PMO</v>
      </c>
      <c r="H1395" s="1" t="str">
        <f>IFERROR(VLOOKUP(B1395,'Plan 2026'!B:AW,48,0), VLOOKUP(B1395,'TCH (append)'!C:D,2,0)
)</f>
        <v xml:space="preserve">Kichi Kichi </v>
      </c>
      <c r="J1395" s="1" t="s">
        <v>34</v>
      </c>
      <c r="K1395" s="1" t="s">
        <v>35</v>
      </c>
      <c r="L1395" s="2" t="str">
        <f>IF(
    F1395&lt;&gt;"Đã ký",
    "Chưa triển khai",
    IF(
        IFERROR(VLOOKUP(B1395,TCH[[Code budget]:[Ngày kết thúc thi công theo kế hoạch]],10,0),0)&gt;0,
        VLOOKUP(B1395,TCH[[Code budget]:[Ngày kết thúc thi công theo kế hoạch]],10,0),
        IFERROR(
            DATE(2026,VLOOKUP(B1395,'Plan 2026'!B:H,7,0),31),
            "Chưa triển khai"
        )
    )
)</f>
        <v>Chưa triển khai</v>
      </c>
      <c r="M1395" s="2" t="s">
        <v>6688</v>
      </c>
    </row>
    <row r="1396" spans="2:22" ht="11.25" hidden="1" customHeight="1" x14ac:dyDescent="0.25">
      <c r="B1396" s="1" t="s">
        <v>5161</v>
      </c>
      <c r="C1396" s="17" t="str">
        <f>IFERROR(LEFT(VLOOKUP(B1396,'For consider'!D:E,2,0),8),"Chưa có code")</f>
        <v>Chưa có code</v>
      </c>
      <c r="E1396" s="1" t="str">
        <f t="shared" si="6"/>
        <v>Chưa triển khai</v>
      </c>
      <c r="F1396" s="1" t="str">
        <f>IFERROR(VLOOKUP(B1396,'Plan 2026'!B:AC,28,0),"không có trong file network")</f>
        <v>Đang offer</v>
      </c>
      <c r="G1396" s="1" t="str">
        <f>IFERROR(IF(VLOOKUP(B1396,'TCH (append)'!C:P,14,0)="Completed","Hoàn thành thi công",
IF(VLOOKUP(B1396,'TCH (append)'!C:K,9,0)="Completed","Hoàn thành đấu thầu",
IF(VLOOKUP(B1396,'TCH (append)'!C:J,8,0)="Completed","Hoàn thành dự toán",
IF(VLOOKUP(B1396,'TCH (append)'!C:I,7,0)="Completed","Hoàn thành thiết kế",
"Chưa thiết kế")))),"Chưa có trong file PMO")</f>
        <v>Chưa có trong file PMO</v>
      </c>
      <c r="H1396" s="1" t="str">
        <f>IFERROR(VLOOKUP(B1396,'Plan 2026'!B:AW,48,0), VLOOKUP(B1396,'TCH (append)'!C:D,2,0)
)</f>
        <v>Gogi House Khu đô thị Vinhomes Smart CityVincom Mega Mall Smart CityKhu đô thị Vinhomes Smart City, Đại Mỗ, Nam Từ Liêm, Hà Nội</v>
      </c>
      <c r="J1396" s="1" t="s">
        <v>76</v>
      </c>
      <c r="K1396" s="1" t="s">
        <v>77</v>
      </c>
      <c r="L1396" s="2" t="str">
        <f>IF(
    F1396&lt;&gt;"Đã ký",
    "Chưa triển khai",
    IF(
        IFERROR(VLOOKUP(B1396,TCH[[Code budget]:[Ngày kết thúc thi công theo kế hoạch]],10,0),0)&gt;0,
        VLOOKUP(B1396,TCH[[Code budget]:[Ngày kết thúc thi công theo kế hoạch]],10,0),
        IFERROR(
            DATE(2026,VLOOKUP(B1396,'Plan 2026'!B:H,7,0),31),
            "Chưa triển khai"
        )
    )
)</f>
        <v>Chưa triển khai</v>
      </c>
      <c r="M1396" s="2" t="s">
        <v>6688</v>
      </c>
    </row>
    <row r="1397" spans="2:22" ht="11.25" hidden="1" customHeight="1" x14ac:dyDescent="0.25">
      <c r="B1397" s="1" t="s">
        <v>5165</v>
      </c>
      <c r="C1397" s="17" t="str">
        <f>IFERROR(LEFT(VLOOKUP(B1397,'For consider'!D:E,2,0),8),"Chưa có code")</f>
        <v>Chưa có code</v>
      </c>
      <c r="E1397" s="1" t="str">
        <f t="shared" si="6"/>
        <v>Chưa triển khai</v>
      </c>
      <c r="F1397" s="1" t="str">
        <f>IFERROR(VLOOKUP(B1397,'Plan 2026'!B:AC,28,0),"không có trong file network")</f>
        <v>Chưa có</v>
      </c>
      <c r="G1397" s="1" t="str">
        <f>IFERROR(IF(VLOOKUP(B1397,'TCH (append)'!C:P,14,0)="Completed","Hoàn thành thi công",
IF(VLOOKUP(B1397,'TCH (append)'!C:K,9,0)="Completed","Hoàn thành đấu thầu",
IF(VLOOKUP(B1397,'TCH (append)'!C:J,8,0)="Completed","Hoàn thành dự toán",
IF(VLOOKUP(B1397,'TCH (append)'!C:I,7,0)="Completed","Hoàn thành thiết kế",
"Chưa thiết kế")))),"Chưa có trong file PMO")</f>
        <v>Chưa có trong file PMO</v>
      </c>
      <c r="H1397" s="1" t="str">
        <f>IFERROR(VLOOKUP(B1397,'Plan 2026'!B:AW,48,0), VLOOKUP(B1397,'TCH (append)'!C:D,2,0)
)</f>
        <v>Gogi House Lý Thường Kiệt hoặc khu vực vincom</v>
      </c>
      <c r="J1397" s="1" t="s">
        <v>76</v>
      </c>
      <c r="K1397" s="1" t="s">
        <v>77</v>
      </c>
      <c r="L1397" s="2" t="str">
        <f>IF(
    F1397&lt;&gt;"Đã ký",
    "Chưa triển khai",
    IF(
        IFERROR(VLOOKUP(B1397,TCH[[Code budget]:[Ngày kết thúc thi công theo kế hoạch]],10,0),0)&gt;0,
        VLOOKUP(B1397,TCH[[Code budget]:[Ngày kết thúc thi công theo kế hoạch]],10,0),
        IFERROR(
            DATE(2026,VLOOKUP(B1397,'Plan 2026'!B:H,7,0),31),
            "Chưa triển khai"
        )
    )
)</f>
        <v>Chưa triển khai</v>
      </c>
      <c r="M1397" s="2" t="s">
        <v>6688</v>
      </c>
    </row>
    <row r="1398" spans="2:22" ht="11.25" hidden="1" customHeight="1" x14ac:dyDescent="0.25">
      <c r="B1398" s="1" t="s">
        <v>5179</v>
      </c>
      <c r="C1398" s="17" t="str">
        <f>IFERROR(LEFT(VLOOKUP(B1398,'For consider'!D:E,2,0),8),"Chưa có code")</f>
        <v>Chưa có code</v>
      </c>
      <c r="E1398" s="1" t="str">
        <f t="shared" si="6"/>
        <v>Chưa triển khai</v>
      </c>
      <c r="F1398" s="1" t="str">
        <f>IFERROR(VLOOKUP(B1398,'Plan 2026'!B:AC,28,0),"không có trong file network")</f>
        <v>Hủy bỏ</v>
      </c>
      <c r="G1398" s="1" t="str">
        <f>IFERROR(IF(VLOOKUP(B1398,'TCH (append)'!C:P,14,0)="Completed","Hoàn thành thi công",
IF(VLOOKUP(B1398,'TCH (append)'!C:K,9,0)="Completed","Hoàn thành đấu thầu",
IF(VLOOKUP(B1398,'TCH (append)'!C:J,8,0)="Completed","Hoàn thành dự toán",
IF(VLOOKUP(B1398,'TCH (append)'!C:I,7,0)="Completed","Hoàn thành thiết kế",
"Chưa thiết kế")))),"Chưa có trong file PMO")</f>
        <v>Chưa có trong file PMO</v>
      </c>
      <c r="H1398" s="1" t="str">
        <f>IFERROR(VLOOKUP(B1398,'Plan 2026'!B:AW,48,0), VLOOKUP(B1398,'TCH (append)'!C:D,2,0)
)</f>
        <v>Gogi House An Dương Vương</v>
      </c>
      <c r="J1398" s="1" t="s">
        <v>76</v>
      </c>
      <c r="K1398" s="1" t="s">
        <v>77</v>
      </c>
      <c r="L1398" s="2" t="str">
        <f>IF(
    F1398&lt;&gt;"Đã ký",
    "Chưa triển khai",
    IF(
        IFERROR(VLOOKUP(B1398,TCH[[Code budget]:[Ngày kết thúc thi công theo kế hoạch]],10,0),0)&gt;0,
        VLOOKUP(B1398,TCH[[Code budget]:[Ngày kết thúc thi công theo kế hoạch]],10,0),
        IFERROR(
            DATE(2026,VLOOKUP(B1398,'Plan 2026'!B:H,7,0),31),
            "Chưa triển khai"
        )
    )
)</f>
        <v>Chưa triển khai</v>
      </c>
      <c r="M1398" s="2" t="s">
        <v>6688</v>
      </c>
    </row>
    <row r="1399" spans="2:22" ht="11.25" hidden="1" customHeight="1" x14ac:dyDescent="0.25">
      <c r="B1399" s="1" t="s">
        <v>5192</v>
      </c>
      <c r="C1399" s="17" t="str">
        <f>IFERROR(LEFT(VLOOKUP(B1399,'For consider'!D:E,2,0),8),"Chưa có code")</f>
        <v>Chưa có code</v>
      </c>
      <c r="E1399" s="1" t="str">
        <f t="shared" si="6"/>
        <v>Chưa triển khai</v>
      </c>
      <c r="F1399" s="1" t="str">
        <f>IFERROR(VLOOKUP(B1399,'Plan 2026'!B:AC,28,0),"không có trong file network")</f>
        <v>Reject</v>
      </c>
      <c r="G1399" s="1" t="str">
        <f>IFERROR(IF(VLOOKUP(B1399,'TCH (append)'!C:P,14,0)="Completed","Hoàn thành thi công",
IF(VLOOKUP(B1399,'TCH (append)'!C:K,9,0)="Completed","Hoàn thành đấu thầu",
IF(VLOOKUP(B1399,'TCH (append)'!C:J,8,0)="Completed","Hoàn thành dự toán",
IF(VLOOKUP(B1399,'TCH (append)'!C:I,7,0)="Completed","Hoàn thành thiết kế",
"Chưa thiết kế")))),"Chưa có trong file PMO")</f>
        <v>Chưa có trong file PMO</v>
      </c>
      <c r="H1399" s="1" t="str">
        <f>IFERROR(VLOOKUP(B1399,'Plan 2026'!B:AW,48,0), VLOOKUP(B1399,'TCH (append)'!C:D,2,0)
)</f>
        <v xml:space="preserve">Gogi House </v>
      </c>
      <c r="J1399" s="1" t="s">
        <v>76</v>
      </c>
      <c r="K1399" s="1" t="s">
        <v>77</v>
      </c>
      <c r="L1399" s="2" t="str">
        <f>IF(
    F1399&lt;&gt;"Đã ký",
    "Chưa triển khai",
    IF(
        IFERROR(VLOOKUP(B1399,TCH[[Code budget]:[Ngày kết thúc thi công theo kế hoạch]],10,0),0)&gt;0,
        VLOOKUP(B1399,TCH[[Code budget]:[Ngày kết thúc thi công theo kế hoạch]],10,0),
        IFERROR(
            DATE(2026,VLOOKUP(B1399,'Plan 2026'!B:H,7,0),31),
            "Chưa triển khai"
        )
    )
)</f>
        <v>Chưa triển khai</v>
      </c>
      <c r="M1399" s="2" t="s">
        <v>6688</v>
      </c>
    </row>
    <row r="1400" spans="2:22" ht="11.25" hidden="1" customHeight="1" x14ac:dyDescent="0.25">
      <c r="B1400" s="1" t="s">
        <v>5201</v>
      </c>
      <c r="C1400" s="17" t="str">
        <f>IFERROR(LEFT(VLOOKUP(B1400,'For consider'!D:E,2,0),8),"Chưa có code")</f>
        <v>Chưa có code</v>
      </c>
      <c r="E1400" s="1" t="str">
        <f t="shared" si="6"/>
        <v>Chưa triển khai</v>
      </c>
      <c r="F1400" s="1" t="str">
        <f>IFERROR(VLOOKUP(B1400,'Plan 2026'!B:AC,28,0),"không có trong file network")</f>
        <v>Chưa có</v>
      </c>
      <c r="G1400" s="1" t="str">
        <f>IFERROR(IF(VLOOKUP(B1400,'TCH (append)'!C:P,14,0)="Completed","Hoàn thành thi công",
IF(VLOOKUP(B1400,'TCH (append)'!C:K,9,0)="Completed","Hoàn thành đấu thầu",
IF(VLOOKUP(B1400,'TCH (append)'!C:J,8,0)="Completed","Hoàn thành dự toán",
IF(VLOOKUP(B1400,'TCH (append)'!C:I,7,0)="Completed","Hoàn thành thiết kế",
"Chưa thiết kế")))),"Chưa có trong file PMO")</f>
        <v>Chưa có trong file PMO</v>
      </c>
      <c r="H1400" s="1" t="str">
        <f>IFERROR(VLOOKUP(B1400,'Plan 2026'!B:AW,48,0), VLOOKUP(B1400,'TCH (append)'!C:D,2,0)
)</f>
        <v xml:space="preserve">Gogi House </v>
      </c>
      <c r="J1400" s="1" t="s">
        <v>76</v>
      </c>
      <c r="K1400" s="1" t="s">
        <v>77</v>
      </c>
      <c r="L1400" s="2" t="str">
        <f>IF(
    F1400&lt;&gt;"Đã ký",
    "Chưa triển khai",
    IF(
        IFERROR(VLOOKUP(B1400,TCH[[Code budget]:[Ngày kết thúc thi công theo kế hoạch]],10,0),0)&gt;0,
        VLOOKUP(B1400,TCH[[Code budget]:[Ngày kết thúc thi công theo kế hoạch]],10,0),
        IFERROR(
            DATE(2026,VLOOKUP(B1400,'Plan 2026'!B:H,7,0),31),
            "Chưa triển khai"
        )
    )
)</f>
        <v>Chưa triển khai</v>
      </c>
      <c r="M1400" s="2" t="s">
        <v>6688</v>
      </c>
    </row>
    <row r="1401" spans="2:22" ht="11.25" hidden="1" customHeight="1" x14ac:dyDescent="0.25">
      <c r="B1401" s="1" t="s">
        <v>5258</v>
      </c>
      <c r="C1401" s="17" t="str">
        <f>IFERROR(LEFT(VLOOKUP(B1401,'For consider'!D:E,2,0),8),"Chưa có code")</f>
        <v>Chưa có code</v>
      </c>
      <c r="E1401" s="1" t="str">
        <f t="shared" si="6"/>
        <v>Chưa triển khai</v>
      </c>
      <c r="F1401" s="1" t="str">
        <f>IFERROR(VLOOKUP(B1401,'Plan 2026'!B:AC,28,0),"không có trong file network")</f>
        <v>Đang offer</v>
      </c>
      <c r="G1401" s="1" t="str">
        <f>IFERROR(IF(VLOOKUP(B1401,'TCH (append)'!C:P,14,0)="Completed","Hoàn thành thi công",
IF(VLOOKUP(B1401,'TCH (append)'!C:K,9,0)="Completed","Hoàn thành đấu thầu",
IF(VLOOKUP(B1401,'TCH (append)'!C:J,8,0)="Completed","Hoàn thành dự toán",
IF(VLOOKUP(B1401,'TCH (append)'!C:I,7,0)="Completed","Hoàn thành thiết kế",
"Chưa thiết kế")))),"Chưa có trong file PMO")</f>
        <v>Chưa có trong file PMO</v>
      </c>
      <c r="H1401" s="1" t="str">
        <f>IFERROR(VLOOKUP(B1401,'Plan 2026'!B:AW,48,0), VLOOKUP(B1401,'TCH (append)'!C:D,2,0)
)</f>
        <v>Gogi House Satra - Centre Mall Võ Văn Kiệt</v>
      </c>
      <c r="J1401" s="1" t="s">
        <v>76</v>
      </c>
      <c r="K1401" s="1" t="s">
        <v>77</v>
      </c>
      <c r="L1401" s="2" t="str">
        <f>IF(
    F1401&lt;&gt;"Đã ký",
    "Chưa triển khai",
    IF(
        IFERROR(VLOOKUP(B1401,TCH[[Code budget]:[Ngày kết thúc thi công theo kế hoạch]],10,0),0)&gt;0,
        VLOOKUP(B1401,TCH[[Code budget]:[Ngày kết thúc thi công theo kế hoạch]],10,0),
        IFERROR(
            DATE(2026,VLOOKUP(B1401,'Plan 2026'!B:H,7,0),31),
            "Chưa triển khai"
        )
    )
)</f>
        <v>Chưa triển khai</v>
      </c>
      <c r="M1401" s="2" t="s">
        <v>6688</v>
      </c>
    </row>
    <row r="1402" spans="2:22" ht="11.25" hidden="1" customHeight="1" x14ac:dyDescent="0.25">
      <c r="B1402" s="1" t="s">
        <v>5276</v>
      </c>
      <c r="C1402" s="17" t="str">
        <f>IFERROR(LEFT(VLOOKUP(B1402,'For consider'!D:E,2,0),8),"Chưa có code")</f>
        <v>Chưa có code</v>
      </c>
      <c r="E1402" s="1" t="str">
        <f t="shared" si="6"/>
        <v>Chưa triển khai</v>
      </c>
      <c r="F1402" s="1" t="str">
        <f>IFERROR(VLOOKUP(B1402,'Plan 2026'!B:AC,28,0),"không có trong file network")</f>
        <v>Reject</v>
      </c>
      <c r="G1402" s="1" t="str">
        <f>IFERROR(IF(VLOOKUP(B1402,'TCH (append)'!C:P,14,0)="Completed","Hoàn thành thi công",
IF(VLOOKUP(B1402,'TCH (append)'!C:K,9,0)="Completed","Hoàn thành đấu thầu",
IF(VLOOKUP(B1402,'TCH (append)'!C:J,8,0)="Completed","Hoàn thành dự toán",
IF(VLOOKUP(B1402,'TCH (append)'!C:I,7,0)="Completed","Hoàn thành thiết kế",
"Chưa thiết kế")))),"Chưa có trong file PMO")</f>
        <v>Chưa có trong file PMO</v>
      </c>
      <c r="H1402" s="1" t="str">
        <f>IFERROR(VLOOKUP(B1402,'Plan 2026'!B:AW,48,0), VLOOKUP(B1402,'TCH (append)'!C:D,2,0)
)</f>
        <v xml:space="preserve">Gogi House </v>
      </c>
      <c r="J1402" s="1" t="s">
        <v>76</v>
      </c>
      <c r="K1402" s="1" t="s">
        <v>77</v>
      </c>
      <c r="L1402" s="2" t="str">
        <f>IF(
    F1402&lt;&gt;"Đã ký",
    "Chưa triển khai",
    IF(
        IFERROR(VLOOKUP(B1402,TCH[[Code budget]:[Ngày kết thúc thi công theo kế hoạch]],10,0),0)&gt;0,
        VLOOKUP(B1402,TCH[[Code budget]:[Ngày kết thúc thi công theo kế hoạch]],10,0),
        IFERROR(
            DATE(2026,VLOOKUP(B1402,'Plan 2026'!B:H,7,0),31),
            "Chưa triển khai"
        )
    )
)</f>
        <v>Chưa triển khai</v>
      </c>
      <c r="M1402" s="2" t="s">
        <v>6688</v>
      </c>
    </row>
    <row r="1403" spans="2:22" ht="11.25" hidden="1" customHeight="1" x14ac:dyDescent="0.25">
      <c r="B1403" s="1" t="s">
        <v>5287</v>
      </c>
      <c r="C1403" s="17" t="str">
        <f>IFERROR(LEFT(VLOOKUP(B1403,'For consider'!D:E,2,0),8),"Chưa có code")</f>
        <v>Chưa có code</v>
      </c>
      <c r="E1403" s="1" t="str">
        <f t="shared" si="6"/>
        <v>Chưa triển khai</v>
      </c>
      <c r="F1403" s="1" t="str">
        <f>IFERROR(VLOOKUP(B1403,'Plan 2026'!B:AC,28,0),"không có trong file network")</f>
        <v>Đang đàm phán</v>
      </c>
      <c r="G1403" s="1" t="str">
        <f>IFERROR(IF(VLOOKUP(B1403,'TCH (append)'!C:P,14,0)="Completed","Hoàn thành thi công",
IF(VLOOKUP(B1403,'TCH (append)'!C:K,9,0)="Completed","Hoàn thành đấu thầu",
IF(VLOOKUP(B1403,'TCH (append)'!C:J,8,0)="Completed","Hoàn thành dự toán",
IF(VLOOKUP(B1403,'TCH (append)'!C:I,7,0)="Completed","Hoàn thành thiết kế",
"Chưa thiết kế")))),"Chưa có trong file PMO")</f>
        <v>Chưa có trong file PMO</v>
      </c>
      <c r="H1403" s="1" t="str">
        <f>IFERROR(VLOOKUP(B1403,'Plan 2026'!B:AW,48,0), VLOOKUP(B1403,'TCH (append)'!C:D,2,0)
)</f>
        <v xml:space="preserve">Gogi House </v>
      </c>
      <c r="J1403" s="1" t="s">
        <v>76</v>
      </c>
      <c r="K1403" s="1" t="s">
        <v>77</v>
      </c>
      <c r="L1403" s="2" t="str">
        <f>IF(
    F1403&lt;&gt;"Đã ký",
    "Chưa triển khai",
    IF(
        IFERROR(VLOOKUP(B1403,TCH[[Code budget]:[Ngày kết thúc thi công theo kế hoạch]],10,0),0)&gt;0,
        VLOOKUP(B1403,TCH[[Code budget]:[Ngày kết thúc thi công theo kế hoạch]],10,0),
        IFERROR(
            DATE(2026,VLOOKUP(B1403,'Plan 2026'!B:H,7,0),31),
            "Chưa triển khai"
        )
    )
)</f>
        <v>Chưa triển khai</v>
      </c>
      <c r="M1403" s="2" t="s">
        <v>6688</v>
      </c>
    </row>
    <row r="1404" spans="2:22" ht="11.25" hidden="1" customHeight="1" x14ac:dyDescent="0.25">
      <c r="B1404" s="1" t="s">
        <v>5296</v>
      </c>
      <c r="C1404" s="17" t="str">
        <f>IFERROR(LEFT(VLOOKUP(B1404,'For consider'!D:E,2,0),8),"Chưa có code")</f>
        <v>Chưa có code</v>
      </c>
      <c r="E1404" s="1" t="str">
        <f t="shared" si="6"/>
        <v>Chưa triển khai</v>
      </c>
      <c r="F1404" s="1" t="str">
        <f>IFERROR(VLOOKUP(B1404,'Plan 2026'!B:AC,28,0),"không có trong file network")</f>
        <v>Chưa có</v>
      </c>
      <c r="G1404" s="1" t="str">
        <f>IFERROR(IF(VLOOKUP(B1404,'TCH (append)'!C:P,14,0)="Completed","Hoàn thành thi công",
IF(VLOOKUP(B1404,'TCH (append)'!C:K,9,0)="Completed","Hoàn thành đấu thầu",
IF(VLOOKUP(B1404,'TCH (append)'!C:J,8,0)="Completed","Hoàn thành dự toán",
IF(VLOOKUP(B1404,'TCH (append)'!C:I,7,0)="Completed","Hoàn thành thiết kế",
"Chưa thiết kế")))),"Chưa có trong file PMO")</f>
        <v>Chưa có trong file PMO</v>
      </c>
      <c r="H1404" s="1" t="str">
        <f>IFERROR(VLOOKUP(B1404,'Plan 2026'!B:AW,48,0), VLOOKUP(B1404,'TCH (append)'!C:D,2,0)
)</f>
        <v>Gogi House Lê Quý Đôn, Lê Lợi, Hai Bà Trưng</v>
      </c>
      <c r="J1404" s="1" t="s">
        <v>76</v>
      </c>
      <c r="K1404" s="1" t="s">
        <v>77</v>
      </c>
      <c r="L1404" s="2" t="str">
        <f>IF(
    F1404&lt;&gt;"Đã ký",
    "Chưa triển khai",
    IF(
        IFERROR(VLOOKUP(B1404,TCH[[Code budget]:[Ngày kết thúc thi công theo kế hoạch]],10,0),0)&gt;0,
        VLOOKUP(B1404,TCH[[Code budget]:[Ngày kết thúc thi công theo kế hoạch]],10,0),
        IFERROR(
            DATE(2026,VLOOKUP(B1404,'Plan 2026'!B:H,7,0),31),
            "Chưa triển khai"
        )
    )
)</f>
        <v>Chưa triển khai</v>
      </c>
      <c r="M1404" s="2" t="s">
        <v>6688</v>
      </c>
    </row>
    <row r="1405" spans="2:22" ht="11.25" hidden="1" customHeight="1" x14ac:dyDescent="0.25">
      <c r="B1405" s="1" t="s">
        <v>5325</v>
      </c>
      <c r="C1405" s="17" t="str">
        <f>IFERROR(LEFT(VLOOKUP(B1405,'For consider'!D:E,2,0),8),"Chưa có code")</f>
        <v>Chưa có code</v>
      </c>
      <c r="E1405" s="1" t="str">
        <f t="shared" si="6"/>
        <v>Chưa triển khai</v>
      </c>
      <c r="F1405" s="1" t="str">
        <f>IFERROR(VLOOKUP(B1405,'Plan 2026'!B:AC,28,0),"không có trong file network")</f>
        <v>Không có</v>
      </c>
      <c r="G1405" s="1" t="str">
        <f>IFERROR(IF(VLOOKUP(B1405,'TCH (append)'!C:P,14,0)="Completed","Hoàn thành thi công",
IF(VLOOKUP(B1405,'TCH (append)'!C:K,9,0)="Completed","Hoàn thành đấu thầu",
IF(VLOOKUP(B1405,'TCH (append)'!C:J,8,0)="Completed","Hoàn thành dự toán",
IF(VLOOKUP(B1405,'TCH (append)'!C:I,7,0)="Completed","Hoàn thành thiết kế",
"Chưa thiết kế")))),"Chưa có trong file PMO")</f>
        <v>Chưa có trong file PMO</v>
      </c>
      <c r="H1405" s="1" t="str">
        <f>IFERROR(VLOOKUP(B1405,'Plan 2026'!B:AW,48,0), VLOOKUP(B1405,'TCH (append)'!C:D,2,0)
)</f>
        <v>Gogi House Liễu GiaiVincom Center MetropolisLiễu Giai, Cống Vị, Ba Đình, Hà Nội</v>
      </c>
      <c r="J1405" s="1" t="s">
        <v>76</v>
      </c>
      <c r="K1405" s="1" t="s">
        <v>77</v>
      </c>
      <c r="L1405" s="2" t="str">
        <f>IF(
    F1405&lt;&gt;"Đã ký",
    "Chưa triển khai",
    IF(
        IFERROR(VLOOKUP(B1405,TCH[[Code budget]:[Ngày kết thúc thi công theo kế hoạch]],10,0),0)&gt;0,
        VLOOKUP(B1405,TCH[[Code budget]:[Ngày kết thúc thi công theo kế hoạch]],10,0),
        IFERROR(
            DATE(2026,VLOOKUP(B1405,'Plan 2026'!B:H,7,0),31),
            "Chưa triển khai"
        )
    )
)</f>
        <v>Chưa triển khai</v>
      </c>
      <c r="M1405" s="2" t="s">
        <v>6688</v>
      </c>
    </row>
    <row r="1406" spans="2:22" ht="11.25" hidden="1" customHeight="1" x14ac:dyDescent="0.25">
      <c r="B1406" s="1" t="s">
        <v>5359</v>
      </c>
      <c r="C1406" s="17" t="str">
        <f>IFERROR(LEFT(VLOOKUP(B1406,'For consider'!D:E,2,0),8),"Chưa có code")</f>
        <v>Chưa có code</v>
      </c>
      <c r="E1406" s="1" t="str">
        <f t="shared" si="6"/>
        <v>Chưa triển khai</v>
      </c>
      <c r="F1406" s="1" t="str">
        <f>IFERROR(VLOOKUP(B1406,'Plan 2026'!B:AC,28,0),"không có trong file network")</f>
        <v>Chưa có</v>
      </c>
      <c r="G1406" s="1" t="str">
        <f>IFERROR(IF(VLOOKUP(B1406,'TCH (append)'!C:P,14,0)="Completed","Hoàn thành thi công",
IF(VLOOKUP(B1406,'TCH (append)'!C:K,9,0)="Completed","Hoàn thành đấu thầu",
IF(VLOOKUP(B1406,'TCH (append)'!C:J,8,0)="Completed","Hoàn thành dự toán",
IF(VLOOKUP(B1406,'TCH (append)'!C:I,7,0)="Completed","Hoàn thành thiết kế",
"Chưa thiết kế")))),"Chưa có trong file PMO")</f>
        <v>Chưa có trong file PMO</v>
      </c>
      <c r="H1406" s="1" t="str">
        <f>IFERROR(VLOOKUP(B1406,'Plan 2026'!B:AW,48,0), VLOOKUP(B1406,'TCH (append)'!C:D,2,0)
)</f>
        <v>CloudPot Quảng trường Mỹ ThoAeon Mall Mỹ Tho</v>
      </c>
      <c r="J1406" s="1" t="s">
        <v>1019</v>
      </c>
      <c r="K1406" s="1" t="s">
        <v>1020</v>
      </c>
      <c r="L1406" s="2" t="str">
        <f>IF(
    F1406&lt;&gt;"Đã ký",
    "Chưa triển khai",
    IF(
        IFERROR(VLOOKUP(B1406,TCH[[Code budget]:[Ngày kết thúc thi công theo kế hoạch]],10,0),0)&gt;0,
        VLOOKUP(B1406,TCH[[Code budget]:[Ngày kết thúc thi công theo kế hoạch]],10,0),
        IFERROR(
            DATE(2026,VLOOKUP(B1406,'Plan 2026'!B:H,7,0),31),
            "Chưa triển khai"
        )
    )
)</f>
        <v>Chưa triển khai</v>
      </c>
      <c r="M1406" s="2" t="s">
        <v>6688</v>
      </c>
    </row>
    <row r="1407" spans="2:22" ht="11.25" hidden="1" customHeight="1" x14ac:dyDescent="0.25">
      <c r="B1407" s="1" t="s">
        <v>5388</v>
      </c>
      <c r="C1407" s="17" t="str">
        <f>IFERROR(LEFT(VLOOKUP(B1407,'For consider'!D:E,2,0),8),"Chưa có code")</f>
        <v>10DN4993</v>
      </c>
      <c r="E1407" s="1" t="str">
        <f t="shared" si="6"/>
        <v>Lock mb chưa thi công</v>
      </c>
      <c r="F1407" s="1" t="str">
        <f>IFERROR(VLOOKUP(B1407,'Plan 2026'!B:AC,28,0),"không có trong file network")</f>
        <v>Đã ký</v>
      </c>
      <c r="G1407" s="1" t="str">
        <f>IFERROR(IF(VLOOKUP(B1407,'TCH (append)'!C:P,14,0)="Completed","Hoàn thành thi công",
IF(VLOOKUP(B1407,'TCH (append)'!C:K,9,0)="Completed","Hoàn thành đấu thầu",
IF(VLOOKUP(B1407,'TCH (append)'!C:J,8,0)="Completed","Hoàn thành dự toán",
IF(VLOOKUP(B1407,'TCH (append)'!C:I,7,0)="Completed","Hoàn thành thiết kế",
"Chưa thiết kế")))),"Chưa có trong file PMO")</f>
        <v>Chưa có trong file PMO</v>
      </c>
      <c r="H1407" s="1" t="str">
        <f>IFERROR(VLOOKUP(B1407,'Plan 2026'!B:AW,48,0), VLOOKUP(B1407,'TCH (append)'!C:D,2,0)
)</f>
        <v>Dao Niu Guo 136 Tôn Đức Thắng</v>
      </c>
      <c r="J1407" s="1" t="s">
        <v>2044</v>
      </c>
      <c r="K1407" s="1" t="s">
        <v>2045</v>
      </c>
      <c r="L1407" s="2">
        <f>IF(
    F1407&lt;&gt;"Đã ký",
    "Chưa triển khai",
    IF(
        IFERROR(VLOOKUP(B1407,TCH[[Code budget]:[Ngày kết thúc thi công theo kế hoạch]],10,0),0)&gt;0,
        VLOOKUP(B1407,TCH[[Code budget]:[Ngày kết thúc thi công theo kế hoạch]],10,0),
        IFERROR(
            DATE(2026,VLOOKUP(B1407,'Plan 2026'!B:H,7,0),31),
            "Chưa triển khai"
        )
    )
)</f>
        <v>46112</v>
      </c>
      <c r="M1407" s="2" t="s">
        <v>6688</v>
      </c>
    </row>
    <row r="1408" spans="2:22" ht="11.25" customHeight="1" x14ac:dyDescent="0.25">
      <c r="B1408" s="1" t="s">
        <v>5941</v>
      </c>
      <c r="C1408" s="17" t="str">
        <f>IFERROR(LEFT(VLOOKUP(B1408,'For consider'!D:E,2,0),8),"Chưa có code")</f>
        <v>10KK5063</v>
      </c>
      <c r="E1408" s="1" t="str">
        <f t="shared" si="6"/>
        <v>Lock mb chưa thi công</v>
      </c>
      <c r="F1408" s="1" t="str">
        <f>IFERROR(VLOOKUP(B1408,'Plan 2026'!B:AC,28,0),"không có trong file network")</f>
        <v>Đã ký</v>
      </c>
      <c r="G1408" s="1" t="str">
        <f>IFERROR(IF(VLOOKUP(B1408,'TCH (append)'!C:P,14,0)="Completed","Hoàn thành thi công",
IF(VLOOKUP(B1408,'TCH (append)'!C:K,9,0)="Completed","Hoàn thành đấu thầu",
IF(VLOOKUP(B1408,'TCH (append)'!C:J,8,0)="Completed","Hoàn thành dự toán",
IF(VLOOKUP(B1408,'TCH (append)'!C:I,7,0)="Completed","Hoàn thành thiết kế",
"Chưa thiết kế")))),"Chưa có trong file PMO")</f>
        <v>Chưa có trong file PMO</v>
      </c>
      <c r="H1408" s="1" t="str">
        <f>IFERROR(VLOOKUP(B1408,'Plan 2026'!B:AW,48,0), VLOOKUP(B1408,'TCH (append)'!C:D,2,0)
)</f>
        <v xml:space="preserve">Kichi Kichi </v>
      </c>
      <c r="J1408" s="1" t="s">
        <v>34</v>
      </c>
      <c r="K1408" s="1" t="s">
        <v>35</v>
      </c>
      <c r="L1408" s="2">
        <f>IF(
    F1408&lt;&gt;"Đã ký",
    "Chưa triển khai",
    IF(
        IFERROR(VLOOKUP(B1408,TCH[[Code budget]:[Ngày kết thúc thi công theo kế hoạch]],10,0),0)&gt;0,
        VLOOKUP(B1408,TCH[[Code budget]:[Ngày kết thúc thi công theo kế hoạch]],10,0),
        IFERROR(
            DATE(2026,VLOOKUP(B1408,'Plan 2026'!B:H,7,0),31),
            "Chưa triển khai"
        )
    )
)</f>
        <v>46357</v>
      </c>
      <c r="M1408" s="2" t="s">
        <v>6688</v>
      </c>
      <c r="N1408" s="1"/>
      <c r="O1408" s="1"/>
      <c r="P1408" s="1"/>
      <c r="Q1408" s="1"/>
      <c r="R1408" s="1"/>
      <c r="S1408" s="1"/>
      <c r="T1408" s="1"/>
      <c r="U1408" s="1"/>
      <c r="V1408" s="1"/>
    </row>
    <row r="1409" ht="11.25" customHeight="1" x14ac:dyDescent="0.25"/>
    <row r="1410" ht="11.25" customHeight="1" x14ac:dyDescent="0.25"/>
    <row r="1411" ht="11.25" customHeight="1" x14ac:dyDescent="0.25"/>
    <row r="1412" ht="11.25" customHeight="1" x14ac:dyDescent="0.25"/>
    <row r="1413" ht="11.25" customHeight="1" x14ac:dyDescent="0.25"/>
    <row r="1414" ht="11.25" customHeight="1" x14ac:dyDescent="0.25"/>
    <row r="1415" ht="11.25" customHeight="1" x14ac:dyDescent="0.25"/>
    <row r="1416" ht="11.25" customHeight="1" x14ac:dyDescent="0.25"/>
    <row r="1417" ht="11.25" customHeight="1" x14ac:dyDescent="0.25"/>
    <row r="1418" ht="11.25" customHeight="1" x14ac:dyDescent="0.25"/>
    <row r="1419" ht="11.25" customHeight="1" x14ac:dyDescent="0.25"/>
    <row r="1420" ht="11.25" customHeight="1" x14ac:dyDescent="0.25"/>
    <row r="1421" ht="11.25" customHeight="1" x14ac:dyDescent="0.25"/>
    <row r="1422" ht="11.25" customHeight="1" x14ac:dyDescent="0.25"/>
    <row r="1423" ht="11.25" customHeight="1" x14ac:dyDescent="0.25"/>
    <row r="1424" ht="11.25" customHeight="1" x14ac:dyDescent="0.25"/>
    <row r="1425" spans="3:3" ht="11.25" customHeight="1" x14ac:dyDescent="0.25"/>
    <row r="1426" spans="3:3" ht="11.25" customHeight="1" x14ac:dyDescent="0.25"/>
    <row r="1427" spans="3:3" ht="11.25" customHeight="1" x14ac:dyDescent="0.25"/>
    <row r="1428" spans="3:3" ht="11.25" customHeight="1" x14ac:dyDescent="0.25"/>
    <row r="1429" spans="3:3" ht="11.25" customHeight="1" x14ac:dyDescent="0.25"/>
    <row r="1430" spans="3:3" ht="11.25" customHeight="1" x14ac:dyDescent="0.25"/>
    <row r="1431" spans="3:3" ht="11.25" customHeight="1" x14ac:dyDescent="0.25"/>
    <row r="1432" spans="3:3" ht="11.25" customHeight="1" x14ac:dyDescent="0.25"/>
    <row r="1433" spans="3:3" ht="11.25" customHeight="1" x14ac:dyDescent="0.25"/>
    <row r="1434" spans="3:3" ht="11.25" customHeight="1" x14ac:dyDescent="0.25"/>
    <row r="1435" spans="3:3" ht="11.25" customHeight="1" x14ac:dyDescent="0.25"/>
    <row r="1436" spans="3:3" ht="11.25" customHeight="1" x14ac:dyDescent="0.25"/>
    <row r="1439" spans="3:3" x14ac:dyDescent="0.25">
      <c r="C1439" s="49"/>
    </row>
    <row r="1440" spans="3:3" x14ac:dyDescent="0.25">
      <c r="C1440" s="49"/>
    </row>
    <row r="1441" spans="3:3" x14ac:dyDescent="0.25">
      <c r="C1441" s="49"/>
    </row>
    <row r="1442" spans="3:3" x14ac:dyDescent="0.25">
      <c r="C1442" s="49"/>
    </row>
    <row r="1443" spans="3:3" x14ac:dyDescent="0.25">
      <c r="C1443" s="49"/>
    </row>
    <row r="1444" spans="3:3" x14ac:dyDescent="0.25">
      <c r="C1444" s="49"/>
    </row>
    <row r="1445" spans="3:3" x14ac:dyDescent="0.25">
      <c r="C1445" s="49"/>
    </row>
    <row r="1446" spans="3:3" x14ac:dyDescent="0.25">
      <c r="C1446" s="49"/>
    </row>
    <row r="1447" spans="3:3" x14ac:dyDescent="0.25">
      <c r="C1447" s="49"/>
    </row>
  </sheetData>
  <autoFilter ref="A5:Y1408" xr:uid="{DE37A616-F03C-4DE6-9250-6BEBF81259EA}">
    <filterColumn colId="1">
      <filters>
        <filter val="10KKNOBUD13"/>
      </filters>
    </filterColumn>
  </autoFilter>
  <conditionalFormatting sqref="B956:B958 B967:B979 B981:B1048576 B4:B954">
    <cfRule type="duplicateValues" dxfId="97" priority="95"/>
  </conditionalFormatting>
  <conditionalFormatting sqref="B462:B465">
    <cfRule type="duplicateValues" dxfId="96" priority="94"/>
  </conditionalFormatting>
  <conditionalFormatting sqref="B474:B475">
    <cfRule type="duplicateValues" dxfId="95" priority="93"/>
  </conditionalFormatting>
  <conditionalFormatting sqref="B487">
    <cfRule type="duplicateValues" dxfId="94" priority="92"/>
  </conditionalFormatting>
  <conditionalFormatting sqref="B512:B517">
    <cfRule type="duplicateValues" dxfId="93" priority="88"/>
    <cfRule type="duplicateValues" dxfId="92" priority="89"/>
    <cfRule type="duplicateValues" dxfId="91" priority="90"/>
    <cfRule type="duplicateValues" dxfId="90" priority="91"/>
  </conditionalFormatting>
  <conditionalFormatting sqref="B565:B571">
    <cfRule type="duplicateValues" dxfId="89" priority="86"/>
  </conditionalFormatting>
  <conditionalFormatting sqref="C620:C628">
    <cfRule type="duplicateValues" dxfId="88" priority="85"/>
  </conditionalFormatting>
  <conditionalFormatting sqref="C945:C953 C925:C926 C878:C893 C629:C687 C6:C619 C690:C719 C721:C869 C896 C898:C899 C903:C904 C909:C911 C922:C923 C968:C978 C981:C1210 C1212:C1048576">
    <cfRule type="duplicateValues" dxfId="87" priority="87"/>
  </conditionalFormatting>
  <conditionalFormatting sqref="C688">
    <cfRule type="duplicateValues" dxfId="86" priority="84"/>
  </conditionalFormatting>
  <conditionalFormatting sqref="C689">
    <cfRule type="duplicateValues" dxfId="85" priority="83"/>
  </conditionalFormatting>
  <conditionalFormatting sqref="C720">
    <cfRule type="duplicateValues" dxfId="84" priority="82"/>
  </conditionalFormatting>
  <conditionalFormatting sqref="C870">
    <cfRule type="duplicateValues" dxfId="83" priority="81"/>
  </conditionalFormatting>
  <conditionalFormatting sqref="C871">
    <cfRule type="duplicateValues" dxfId="82" priority="80"/>
  </conditionalFormatting>
  <conditionalFormatting sqref="C872:C876">
    <cfRule type="duplicateValues" dxfId="81" priority="96"/>
  </conditionalFormatting>
  <conditionalFormatting sqref="C894">
    <cfRule type="duplicateValues" dxfId="80" priority="79"/>
  </conditionalFormatting>
  <conditionalFormatting sqref="C897">
    <cfRule type="duplicateValues" dxfId="79" priority="78"/>
  </conditionalFormatting>
  <conditionalFormatting sqref="S443">
    <cfRule type="duplicateValues" dxfId="78" priority="77"/>
  </conditionalFormatting>
  <conditionalFormatting sqref="S745">
    <cfRule type="duplicateValues" dxfId="77" priority="76"/>
  </conditionalFormatting>
  <conditionalFormatting sqref="S612">
    <cfRule type="duplicateValues" dxfId="76" priority="75"/>
  </conditionalFormatting>
  <conditionalFormatting sqref="C906">
    <cfRule type="duplicateValues" dxfId="75" priority="74"/>
  </conditionalFormatting>
  <conditionalFormatting sqref="C907">
    <cfRule type="duplicateValues" dxfId="74" priority="73"/>
  </conditionalFormatting>
  <conditionalFormatting sqref="C908">
    <cfRule type="duplicateValues" dxfId="73" priority="72"/>
  </conditionalFormatting>
  <conditionalFormatting sqref="C912">
    <cfRule type="duplicateValues" dxfId="72" priority="71"/>
  </conditionalFormatting>
  <conditionalFormatting sqref="C913">
    <cfRule type="duplicateValues" dxfId="71" priority="70"/>
  </conditionalFormatting>
  <conditionalFormatting sqref="C914:C916">
    <cfRule type="duplicateValues" dxfId="70" priority="69"/>
  </conditionalFormatting>
  <conditionalFormatting sqref="T866">
    <cfRule type="duplicateValues" dxfId="69" priority="68"/>
  </conditionalFormatting>
  <conditionalFormatting sqref="C917">
    <cfRule type="duplicateValues" dxfId="68" priority="67"/>
  </conditionalFormatting>
  <conditionalFormatting sqref="C918">
    <cfRule type="duplicateValues" dxfId="67" priority="66"/>
  </conditionalFormatting>
  <conditionalFormatting sqref="C919">
    <cfRule type="duplicateValues" dxfId="66" priority="65"/>
  </conditionalFormatting>
  <conditionalFormatting sqref="C920">
    <cfRule type="duplicateValues" dxfId="65" priority="64"/>
  </conditionalFormatting>
  <conditionalFormatting sqref="C921">
    <cfRule type="duplicateValues" dxfId="64" priority="63"/>
  </conditionalFormatting>
  <conditionalFormatting sqref="C924">
    <cfRule type="duplicateValues" dxfId="63" priority="62"/>
  </conditionalFormatting>
  <conditionalFormatting sqref="C927">
    <cfRule type="duplicateValues" dxfId="62" priority="61"/>
  </conditionalFormatting>
  <conditionalFormatting sqref="C928">
    <cfRule type="duplicateValues" dxfId="61" priority="60"/>
  </conditionalFormatting>
  <conditionalFormatting sqref="C929">
    <cfRule type="duplicateValues" dxfId="60" priority="59"/>
  </conditionalFormatting>
  <conditionalFormatting sqref="C930">
    <cfRule type="duplicateValues" dxfId="59" priority="58"/>
  </conditionalFormatting>
  <conditionalFormatting sqref="C931">
    <cfRule type="duplicateValues" dxfId="58" priority="57"/>
  </conditionalFormatting>
  <conditionalFormatting sqref="C932">
    <cfRule type="duplicateValues" dxfId="57" priority="56"/>
  </conditionalFormatting>
  <conditionalFormatting sqref="C933">
    <cfRule type="duplicateValues" dxfId="56" priority="55"/>
  </conditionalFormatting>
  <conditionalFormatting sqref="C934">
    <cfRule type="duplicateValues" dxfId="55" priority="54"/>
  </conditionalFormatting>
  <conditionalFormatting sqref="C935">
    <cfRule type="duplicateValues" dxfId="54" priority="53"/>
  </conditionalFormatting>
  <conditionalFormatting sqref="C936">
    <cfRule type="duplicateValues" dxfId="53" priority="52"/>
  </conditionalFormatting>
  <conditionalFormatting sqref="C937">
    <cfRule type="duplicateValues" dxfId="52" priority="51"/>
  </conditionalFormatting>
  <conditionalFormatting sqref="C938">
    <cfRule type="duplicateValues" dxfId="51" priority="50"/>
  </conditionalFormatting>
  <conditionalFormatting sqref="C939">
    <cfRule type="duplicateValues" dxfId="50" priority="49"/>
  </conditionalFormatting>
  <conditionalFormatting sqref="C940">
    <cfRule type="duplicateValues" dxfId="49" priority="48"/>
  </conditionalFormatting>
  <conditionalFormatting sqref="C941">
    <cfRule type="duplicateValues" dxfId="48" priority="47"/>
  </conditionalFormatting>
  <conditionalFormatting sqref="C942">
    <cfRule type="duplicateValues" dxfId="47" priority="46"/>
  </conditionalFormatting>
  <conditionalFormatting sqref="C943">
    <cfRule type="duplicateValues" dxfId="46" priority="45"/>
  </conditionalFormatting>
  <conditionalFormatting sqref="C944">
    <cfRule type="duplicateValues" dxfId="45" priority="44"/>
  </conditionalFormatting>
  <conditionalFormatting sqref="S644">
    <cfRule type="duplicateValues" dxfId="44" priority="43"/>
  </conditionalFormatting>
  <conditionalFormatting sqref="S295">
    <cfRule type="duplicateValues" dxfId="43" priority="42"/>
  </conditionalFormatting>
  <conditionalFormatting sqref="S586">
    <cfRule type="duplicateValues" dxfId="42" priority="41"/>
  </conditionalFormatting>
  <conditionalFormatting sqref="S119">
    <cfRule type="duplicateValues" dxfId="41" priority="40"/>
  </conditionalFormatting>
  <conditionalFormatting sqref="S814">
    <cfRule type="duplicateValues" dxfId="40" priority="39"/>
  </conditionalFormatting>
  <conditionalFormatting sqref="S774">
    <cfRule type="duplicateValues" dxfId="39" priority="38"/>
  </conditionalFormatting>
  <conditionalFormatting sqref="C954">
    <cfRule type="duplicateValues" dxfId="38" priority="37"/>
  </conditionalFormatting>
  <conditionalFormatting sqref="T942">
    <cfRule type="duplicateValues" dxfId="37" priority="36"/>
  </conditionalFormatting>
  <conditionalFormatting sqref="C955">
    <cfRule type="duplicateValues" dxfId="36" priority="35"/>
  </conditionalFormatting>
  <conditionalFormatting sqref="C956:C957">
    <cfRule type="duplicateValues" dxfId="35" priority="34"/>
  </conditionalFormatting>
  <conditionalFormatting sqref="C958">
    <cfRule type="duplicateValues" dxfId="34" priority="33"/>
  </conditionalFormatting>
  <conditionalFormatting sqref="C959">
    <cfRule type="duplicateValues" dxfId="33" priority="32"/>
  </conditionalFormatting>
  <conditionalFormatting sqref="C960:C961">
    <cfRule type="duplicateValues" dxfId="32" priority="31"/>
  </conditionalFormatting>
  <conditionalFormatting sqref="C964">
    <cfRule type="duplicateValues" dxfId="31" priority="30"/>
  </conditionalFormatting>
  <conditionalFormatting sqref="C965">
    <cfRule type="duplicateValues" dxfId="30" priority="29"/>
  </conditionalFormatting>
  <conditionalFormatting sqref="C966">
    <cfRule type="duplicateValues" dxfId="29" priority="28"/>
  </conditionalFormatting>
  <conditionalFormatting sqref="T967">
    <cfRule type="duplicateValues" dxfId="28" priority="27"/>
  </conditionalFormatting>
  <conditionalFormatting sqref="B955">
    <cfRule type="duplicateValues" dxfId="27" priority="26"/>
  </conditionalFormatting>
  <conditionalFormatting sqref="B959">
    <cfRule type="duplicateValues" dxfId="26" priority="25"/>
  </conditionalFormatting>
  <conditionalFormatting sqref="B960">
    <cfRule type="duplicateValues" dxfId="25" priority="24"/>
  </conditionalFormatting>
  <conditionalFormatting sqref="B961">
    <cfRule type="duplicateValues" dxfId="24" priority="23"/>
  </conditionalFormatting>
  <conditionalFormatting sqref="B964">
    <cfRule type="duplicateValues" dxfId="23" priority="22"/>
  </conditionalFormatting>
  <conditionalFormatting sqref="B965">
    <cfRule type="duplicateValues" dxfId="22" priority="21"/>
  </conditionalFormatting>
  <conditionalFormatting sqref="S798">
    <cfRule type="duplicateValues" dxfId="21" priority="20"/>
  </conditionalFormatting>
  <conditionalFormatting sqref="T976">
    <cfRule type="duplicateValues" dxfId="20" priority="19"/>
  </conditionalFormatting>
  <conditionalFormatting sqref="S813">
    <cfRule type="duplicateValues" dxfId="19" priority="18"/>
  </conditionalFormatting>
  <conditionalFormatting sqref="T977">
    <cfRule type="duplicateValues" dxfId="18" priority="17"/>
  </conditionalFormatting>
  <conditionalFormatting sqref="B953">
    <cfRule type="duplicateValues" dxfId="17" priority="16"/>
  </conditionalFormatting>
  <conditionalFormatting sqref="B944">
    <cfRule type="duplicateValues" dxfId="16" priority="15"/>
  </conditionalFormatting>
  <conditionalFormatting sqref="B945">
    <cfRule type="duplicateValues" dxfId="15" priority="14"/>
  </conditionalFormatting>
  <conditionalFormatting sqref="B946">
    <cfRule type="duplicateValues" dxfId="14" priority="13"/>
  </conditionalFormatting>
  <conditionalFormatting sqref="B948">
    <cfRule type="duplicateValues" dxfId="13" priority="12"/>
  </conditionalFormatting>
  <conditionalFormatting sqref="B949">
    <cfRule type="duplicateValues" dxfId="12" priority="11"/>
  </conditionalFormatting>
  <conditionalFormatting sqref="T968">
    <cfRule type="duplicateValues" dxfId="11" priority="10"/>
  </conditionalFormatting>
  <conditionalFormatting sqref="T969">
    <cfRule type="duplicateValues" dxfId="10" priority="9"/>
  </conditionalFormatting>
  <conditionalFormatting sqref="B877">
    <cfRule type="duplicateValues" dxfId="9" priority="8"/>
  </conditionalFormatting>
  <conditionalFormatting sqref="C877">
    <cfRule type="duplicateValues" dxfId="8" priority="7"/>
  </conditionalFormatting>
  <conditionalFormatting sqref="C979">
    <cfRule type="duplicateValues" dxfId="7" priority="6"/>
  </conditionalFormatting>
  <conditionalFormatting sqref="C980">
    <cfRule type="duplicateValues" dxfId="6" priority="5"/>
  </conditionalFormatting>
  <conditionalFormatting sqref="C4:C5">
    <cfRule type="duplicateValues" dxfId="5" priority="97"/>
  </conditionalFormatting>
  <conditionalFormatting sqref="B966">
    <cfRule type="duplicateValues" dxfId="4" priority="4"/>
  </conditionalFormatting>
  <conditionalFormatting sqref="B1:B1048576">
    <cfRule type="duplicateValues" dxfId="3" priority="3"/>
  </conditionalFormatting>
  <conditionalFormatting sqref="C1211">
    <cfRule type="duplicateValues" dxfId="2" priority="2"/>
  </conditionalFormatting>
  <conditionalFormatting sqref="C1211">
    <cfRule type="duplicateValues" dxfId="1"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F5DF-D2C8-4BE9-97CE-1FE05D2D211C}">
  <dimension ref="A1:Q1006"/>
  <sheetViews>
    <sheetView tabSelected="1" workbookViewId="0">
      <pane xSplit="4" ySplit="2" topLeftCell="E624" activePane="bottomRight" state="frozen"/>
      <selection pane="topRight" activeCell="E1" sqref="E1"/>
      <selection pane="bottomLeft" activeCell="A2" sqref="A2"/>
      <selection pane="bottomRight" activeCell="G640" sqref="G640"/>
    </sheetView>
  </sheetViews>
  <sheetFormatPr defaultRowHeight="14.5" x14ac:dyDescent="0.35"/>
  <cols>
    <col min="1" max="1" width="8.453125" bestFit="1" customWidth="1"/>
    <col min="2" max="2" width="15.7265625" style="56" customWidth="1"/>
    <col min="3" max="3" width="15.81640625" bestFit="1" customWidth="1"/>
    <col min="4" max="5" width="15.81640625" customWidth="1"/>
    <col min="6" max="6" width="17.54296875" customWidth="1"/>
    <col min="7" max="7" width="17.6328125" bestFit="1" customWidth="1"/>
    <col min="8" max="17" width="8.453125" bestFit="1" customWidth="1"/>
  </cols>
  <sheetData>
    <row r="1" spans="1:17" x14ac:dyDescent="0.35">
      <c r="B1" s="39"/>
      <c r="C1" s="64"/>
      <c r="D1" s="64"/>
      <c r="E1" s="64"/>
      <c r="F1" s="65">
        <v>46053</v>
      </c>
      <c r="G1" s="65">
        <v>46081</v>
      </c>
      <c r="H1" s="65">
        <v>46112</v>
      </c>
      <c r="I1" s="65">
        <v>46142</v>
      </c>
      <c r="J1" s="65">
        <v>46173</v>
      </c>
      <c r="K1" s="65">
        <v>46203</v>
      </c>
      <c r="L1" s="65">
        <v>46234</v>
      </c>
      <c r="M1" s="65">
        <v>46265</v>
      </c>
      <c r="N1" s="65">
        <v>46295</v>
      </c>
      <c r="O1" s="65">
        <v>46326</v>
      </c>
      <c r="P1" s="65">
        <v>46356</v>
      </c>
      <c r="Q1" s="65">
        <v>46387</v>
      </c>
    </row>
    <row r="2" spans="1:17" x14ac:dyDescent="0.35">
      <c r="A2" s="55"/>
      <c r="B2" s="66" t="s">
        <v>6704</v>
      </c>
      <c r="C2" s="66" t="s">
        <v>1425</v>
      </c>
      <c r="D2" s="66" t="s">
        <v>6697</v>
      </c>
      <c r="E2" s="66" t="s">
        <v>12</v>
      </c>
      <c r="F2" s="66" t="s">
        <v>6690</v>
      </c>
      <c r="G2" s="66" t="s">
        <v>6691</v>
      </c>
      <c r="H2" s="67" t="s">
        <v>6692</v>
      </c>
      <c r="I2" s="67" t="s">
        <v>6693</v>
      </c>
      <c r="J2" s="67" t="s">
        <v>6703</v>
      </c>
      <c r="K2" s="67" t="s">
        <v>6694</v>
      </c>
      <c r="L2" s="67" t="s">
        <v>6695</v>
      </c>
      <c r="M2" s="67" t="s">
        <v>6696</v>
      </c>
      <c r="N2" s="67" t="s">
        <v>6698</v>
      </c>
      <c r="O2" s="67" t="s">
        <v>6699</v>
      </c>
      <c r="P2" s="67" t="s">
        <v>6700</v>
      </c>
      <c r="Q2" s="67" t="s">
        <v>6701</v>
      </c>
    </row>
    <row r="3" spans="1:17" x14ac:dyDescent="0.35">
      <c r="A3" s="57"/>
      <c r="B3" s="68" t="str" cm="1">
        <f t="array" ref="B3:B639">_xlfn._xlws.FILTER(
    Master!B:B,
    (
        (Master!M:M="Actual")*(Master!E:E="Active")*ISNUMBER(Master!L:L)*(Master!L:L&gt;0)
        +
        (Master!M:M="Forecast")*ISNUMBER(Master!L:L)*(Master!L:L&gt;0)
    )
)</f>
        <v>10AS5701</v>
      </c>
      <c r="C3" s="68" t="str">
        <f>VLOOKUP(B3,Master!B:C,2,0)</f>
        <v>10AS5701</v>
      </c>
      <c r="D3" s="69">
        <f>VLOOKUP(B3,Master!B:L,11,0)</f>
        <v>39022</v>
      </c>
      <c r="E3" s="69">
        <f>VLOOKUP(B3,Master!B:P,15,0)</f>
        <v>0</v>
      </c>
      <c r="F3" s="68" t="str">
        <f>IF($E3&gt;0,"CLOSED",IF($D3&lt;F$1,"ACTIVE","WAITING FOR OPEN"))</f>
        <v>ACTIVE</v>
      </c>
      <c r="G3" s="68" t="str">
        <f t="shared" ref="G3:Q18" si="0">IF($E3&gt;0,"CLOSED",IF($D3&lt;G$1,"ACTIVE","WAITING FOR OPEN"))</f>
        <v>ACTIVE</v>
      </c>
      <c r="H3" s="68" t="str">
        <f t="shared" si="0"/>
        <v>ACTIVE</v>
      </c>
      <c r="I3" s="68" t="str">
        <f t="shared" si="0"/>
        <v>ACTIVE</v>
      </c>
      <c r="J3" s="68" t="str">
        <f t="shared" si="0"/>
        <v>ACTIVE</v>
      </c>
      <c r="K3" s="68" t="str">
        <f t="shared" si="0"/>
        <v>ACTIVE</v>
      </c>
      <c r="L3" s="68" t="str">
        <f t="shared" si="0"/>
        <v>ACTIVE</v>
      </c>
      <c r="M3" s="68" t="str">
        <f t="shared" si="0"/>
        <v>ACTIVE</v>
      </c>
      <c r="N3" s="68" t="str">
        <f t="shared" si="0"/>
        <v>ACTIVE</v>
      </c>
      <c r="O3" s="68" t="str">
        <f t="shared" si="0"/>
        <v>ACTIVE</v>
      </c>
      <c r="P3" s="68" t="str">
        <f t="shared" si="0"/>
        <v>ACTIVE</v>
      </c>
      <c r="Q3" s="68" t="str">
        <f t="shared" si="0"/>
        <v>ACTIVE</v>
      </c>
    </row>
    <row r="4" spans="1:17" x14ac:dyDescent="0.35">
      <c r="A4" s="58"/>
      <c r="B4" s="70" t="str">
        <v>10AS5702</v>
      </c>
      <c r="C4" s="68" t="str">
        <f>VLOOKUP(B4,Master!B:C,2,0)</f>
        <v>10AS5702</v>
      </c>
      <c r="D4" s="69">
        <f>VLOOKUP(B4,Master!B:L,11,0)</f>
        <v>39479</v>
      </c>
      <c r="E4" s="69">
        <f>VLOOKUP(B4,Master!B:P,15,0)</f>
        <v>0</v>
      </c>
      <c r="F4" s="68" t="str">
        <f t="shared" ref="F4:Q19" si="1">IF($E4&gt;0,"CLOSED",IF($D4&lt;F$1,"ACTIVE","WAITING FOR OPEN"))</f>
        <v>ACTIVE</v>
      </c>
      <c r="G4" s="68" t="str">
        <f t="shared" si="0"/>
        <v>ACTIVE</v>
      </c>
      <c r="H4" s="68" t="str">
        <f t="shared" si="0"/>
        <v>ACTIVE</v>
      </c>
      <c r="I4" s="68" t="str">
        <f t="shared" si="0"/>
        <v>ACTIVE</v>
      </c>
      <c r="J4" s="68" t="str">
        <f t="shared" si="0"/>
        <v>ACTIVE</v>
      </c>
      <c r="K4" s="68" t="str">
        <f t="shared" si="0"/>
        <v>ACTIVE</v>
      </c>
      <c r="L4" s="68" t="str">
        <f t="shared" si="0"/>
        <v>ACTIVE</v>
      </c>
      <c r="M4" s="68" t="str">
        <f t="shared" si="0"/>
        <v>ACTIVE</v>
      </c>
      <c r="N4" s="68" t="str">
        <f t="shared" si="0"/>
        <v>ACTIVE</v>
      </c>
      <c r="O4" s="68" t="str">
        <f t="shared" si="0"/>
        <v>ACTIVE</v>
      </c>
      <c r="P4" s="68" t="str">
        <f t="shared" si="0"/>
        <v>ACTIVE</v>
      </c>
      <c r="Q4" s="68" t="str">
        <f t="shared" si="0"/>
        <v>ACTIVE</v>
      </c>
    </row>
    <row r="5" spans="1:17" x14ac:dyDescent="0.35">
      <c r="A5" s="58"/>
      <c r="B5" s="71" t="str">
        <v>10KK4400</v>
      </c>
      <c r="C5" s="68" t="str">
        <f>VLOOKUP(B5,Master!B:C,2,0)</f>
        <v>10KK4400</v>
      </c>
      <c r="D5" s="69">
        <f>VLOOKUP(B5,Master!B:L,11,0)</f>
        <v>39845</v>
      </c>
      <c r="E5" s="69">
        <f>VLOOKUP(B5,Master!B:P,15,0)</f>
        <v>0</v>
      </c>
      <c r="F5" s="68" t="str">
        <f t="shared" si="1"/>
        <v>ACTIVE</v>
      </c>
      <c r="G5" s="68" t="str">
        <f t="shared" si="0"/>
        <v>ACTIVE</v>
      </c>
      <c r="H5" s="68" t="str">
        <f t="shared" si="0"/>
        <v>ACTIVE</v>
      </c>
      <c r="I5" s="68" t="str">
        <f t="shared" si="0"/>
        <v>ACTIVE</v>
      </c>
      <c r="J5" s="68" t="str">
        <f t="shared" si="0"/>
        <v>ACTIVE</v>
      </c>
      <c r="K5" s="68" t="str">
        <f t="shared" si="0"/>
        <v>ACTIVE</v>
      </c>
      <c r="L5" s="68" t="str">
        <f t="shared" si="0"/>
        <v>ACTIVE</v>
      </c>
      <c r="M5" s="68" t="str">
        <f t="shared" si="0"/>
        <v>ACTIVE</v>
      </c>
      <c r="N5" s="68" t="str">
        <f t="shared" si="0"/>
        <v>ACTIVE</v>
      </c>
      <c r="O5" s="68" t="str">
        <f t="shared" si="0"/>
        <v>ACTIVE</v>
      </c>
      <c r="P5" s="68" t="str">
        <f t="shared" si="0"/>
        <v>ACTIVE</v>
      </c>
      <c r="Q5" s="68" t="str">
        <f t="shared" si="0"/>
        <v>ACTIVE</v>
      </c>
    </row>
    <row r="6" spans="1:17" x14ac:dyDescent="0.35">
      <c r="A6" s="58"/>
      <c r="B6" s="70" t="str">
        <v>10KK4403</v>
      </c>
      <c r="C6" s="68" t="str">
        <f>VLOOKUP(B6,Master!B:C,2,0)</f>
        <v>10KK4403</v>
      </c>
      <c r="D6" s="69">
        <f>VLOOKUP(B6,Master!B:L,11,0)</f>
        <v>40087</v>
      </c>
      <c r="E6" s="69">
        <f>VLOOKUP(B6,Master!B:P,15,0)</f>
        <v>0</v>
      </c>
      <c r="F6" s="68" t="str">
        <f t="shared" si="1"/>
        <v>ACTIVE</v>
      </c>
      <c r="G6" s="68" t="str">
        <f t="shared" si="0"/>
        <v>ACTIVE</v>
      </c>
      <c r="H6" s="68" t="str">
        <f t="shared" si="0"/>
        <v>ACTIVE</v>
      </c>
      <c r="I6" s="68" t="str">
        <f t="shared" si="0"/>
        <v>ACTIVE</v>
      </c>
      <c r="J6" s="68" t="str">
        <f t="shared" si="0"/>
        <v>ACTIVE</v>
      </c>
      <c r="K6" s="68" t="str">
        <f t="shared" si="0"/>
        <v>ACTIVE</v>
      </c>
      <c r="L6" s="68" t="str">
        <f t="shared" si="0"/>
        <v>ACTIVE</v>
      </c>
      <c r="M6" s="68" t="str">
        <f t="shared" si="0"/>
        <v>ACTIVE</v>
      </c>
      <c r="N6" s="68" t="str">
        <f t="shared" si="0"/>
        <v>ACTIVE</v>
      </c>
      <c r="O6" s="68" t="str">
        <f t="shared" si="0"/>
        <v>ACTIVE</v>
      </c>
      <c r="P6" s="68" t="str">
        <f t="shared" si="0"/>
        <v>ACTIVE</v>
      </c>
      <c r="Q6" s="68" t="str">
        <f t="shared" si="0"/>
        <v>ACTIVE</v>
      </c>
    </row>
    <row r="7" spans="1:17" x14ac:dyDescent="0.35">
      <c r="A7" s="58"/>
      <c r="B7" s="70" t="str">
        <v>10SM4901</v>
      </c>
      <c r="C7" s="68" t="str">
        <f>VLOOKUP(B7,Master!B:C,2,0)</f>
        <v>10SM4901</v>
      </c>
      <c r="D7" s="69">
        <f>VLOOKUP(B7,Master!B:L,11,0)</f>
        <v>40555</v>
      </c>
      <c r="E7" s="69">
        <f>VLOOKUP(B7,Master!B:P,15,0)</f>
        <v>0</v>
      </c>
      <c r="F7" s="68" t="str">
        <f t="shared" si="1"/>
        <v>ACTIVE</v>
      </c>
      <c r="G7" s="68" t="str">
        <f t="shared" si="0"/>
        <v>ACTIVE</v>
      </c>
      <c r="H7" s="68" t="str">
        <f t="shared" si="0"/>
        <v>ACTIVE</v>
      </c>
      <c r="I7" s="68" t="str">
        <f t="shared" si="0"/>
        <v>ACTIVE</v>
      </c>
      <c r="J7" s="68" t="str">
        <f t="shared" si="0"/>
        <v>ACTIVE</v>
      </c>
      <c r="K7" s="68" t="str">
        <f t="shared" si="0"/>
        <v>ACTIVE</v>
      </c>
      <c r="L7" s="68" t="str">
        <f t="shared" si="0"/>
        <v>ACTIVE</v>
      </c>
      <c r="M7" s="68" t="str">
        <f t="shared" si="0"/>
        <v>ACTIVE</v>
      </c>
      <c r="N7" s="68" t="str">
        <f t="shared" si="0"/>
        <v>ACTIVE</v>
      </c>
      <c r="O7" s="68" t="str">
        <f t="shared" si="0"/>
        <v>ACTIVE</v>
      </c>
      <c r="P7" s="68" t="str">
        <f t="shared" si="0"/>
        <v>ACTIVE</v>
      </c>
      <c r="Q7" s="68" t="str">
        <f t="shared" si="0"/>
        <v>ACTIVE</v>
      </c>
    </row>
    <row r="8" spans="1:17" x14ac:dyDescent="0.35">
      <c r="A8" s="58"/>
      <c r="B8" s="70" t="str">
        <v>10SS5900</v>
      </c>
      <c r="C8" s="68" t="str">
        <f>VLOOKUP(B8,Master!B:C,2,0)</f>
        <v>10SS5900</v>
      </c>
      <c r="D8" s="69">
        <f>VLOOKUP(B8,Master!B:L,11,0)</f>
        <v>40990</v>
      </c>
      <c r="E8" s="69">
        <f>VLOOKUP(B8,Master!B:P,15,0)</f>
        <v>0</v>
      </c>
      <c r="F8" s="68" t="str">
        <f t="shared" si="1"/>
        <v>ACTIVE</v>
      </c>
      <c r="G8" s="68" t="str">
        <f t="shared" si="0"/>
        <v>ACTIVE</v>
      </c>
      <c r="H8" s="68" t="str">
        <f t="shared" si="0"/>
        <v>ACTIVE</v>
      </c>
      <c r="I8" s="68" t="str">
        <f t="shared" si="0"/>
        <v>ACTIVE</v>
      </c>
      <c r="J8" s="68" t="str">
        <f t="shared" si="0"/>
        <v>ACTIVE</v>
      </c>
      <c r="K8" s="68" t="str">
        <f t="shared" si="0"/>
        <v>ACTIVE</v>
      </c>
      <c r="L8" s="68" t="str">
        <f t="shared" si="0"/>
        <v>ACTIVE</v>
      </c>
      <c r="M8" s="68" t="str">
        <f t="shared" si="0"/>
        <v>ACTIVE</v>
      </c>
      <c r="N8" s="68" t="str">
        <f t="shared" si="0"/>
        <v>ACTIVE</v>
      </c>
      <c r="O8" s="68" t="str">
        <f t="shared" si="0"/>
        <v>ACTIVE</v>
      </c>
      <c r="P8" s="68" t="str">
        <f t="shared" si="0"/>
        <v>ACTIVE</v>
      </c>
      <c r="Q8" s="68" t="str">
        <f t="shared" si="0"/>
        <v>ACTIVE</v>
      </c>
    </row>
    <row r="9" spans="1:17" x14ac:dyDescent="0.35">
      <c r="A9" s="59"/>
      <c r="B9" s="70" t="str">
        <v>10GG4100</v>
      </c>
      <c r="C9" s="68" t="str">
        <f>VLOOKUP(B9,Master!B:C,2,0)</f>
        <v>10GG4100</v>
      </c>
      <c r="D9" s="69">
        <f>VLOOKUP(B9,Master!B:L,11,0)</f>
        <v>41438</v>
      </c>
      <c r="E9" s="69">
        <f>VLOOKUP(B9,Master!B:P,15,0)</f>
        <v>0</v>
      </c>
      <c r="F9" s="68" t="str">
        <f t="shared" si="1"/>
        <v>ACTIVE</v>
      </c>
      <c r="G9" s="68" t="str">
        <f t="shared" si="0"/>
        <v>ACTIVE</v>
      </c>
      <c r="H9" s="68" t="str">
        <f t="shared" si="0"/>
        <v>ACTIVE</v>
      </c>
      <c r="I9" s="68" t="str">
        <f t="shared" si="0"/>
        <v>ACTIVE</v>
      </c>
      <c r="J9" s="68" t="str">
        <f t="shared" si="0"/>
        <v>ACTIVE</v>
      </c>
      <c r="K9" s="68" t="str">
        <f t="shared" si="0"/>
        <v>ACTIVE</v>
      </c>
      <c r="L9" s="68" t="str">
        <f t="shared" si="0"/>
        <v>ACTIVE</v>
      </c>
      <c r="M9" s="68" t="str">
        <f t="shared" si="0"/>
        <v>ACTIVE</v>
      </c>
      <c r="N9" s="68" t="str">
        <f t="shared" si="0"/>
        <v>ACTIVE</v>
      </c>
      <c r="O9" s="68" t="str">
        <f t="shared" si="0"/>
        <v>ACTIVE</v>
      </c>
      <c r="P9" s="68" t="str">
        <f t="shared" si="0"/>
        <v>ACTIVE</v>
      </c>
      <c r="Q9" s="68" t="str">
        <f t="shared" si="0"/>
        <v>ACTIVE</v>
      </c>
    </row>
    <row r="10" spans="1:17" x14ac:dyDescent="0.35">
      <c r="A10" s="58"/>
      <c r="B10" s="70" t="str">
        <v>10GG4102</v>
      </c>
      <c r="C10" s="68" t="str">
        <f>VLOOKUP(B10,Master!B:C,2,0)</f>
        <v>10GG4102</v>
      </c>
      <c r="D10" s="69">
        <f>VLOOKUP(B10,Master!B:L,11,0)</f>
        <v>41544</v>
      </c>
      <c r="E10" s="69">
        <f>VLOOKUP(B10,Master!B:P,15,0)</f>
        <v>0</v>
      </c>
      <c r="F10" s="68" t="str">
        <f t="shared" si="1"/>
        <v>ACTIVE</v>
      </c>
      <c r="G10" s="68" t="str">
        <f t="shared" si="0"/>
        <v>ACTIVE</v>
      </c>
      <c r="H10" s="68" t="str">
        <f t="shared" si="0"/>
        <v>ACTIVE</v>
      </c>
      <c r="I10" s="68" t="str">
        <f t="shared" si="0"/>
        <v>ACTIVE</v>
      </c>
      <c r="J10" s="68" t="str">
        <f t="shared" si="0"/>
        <v>ACTIVE</v>
      </c>
      <c r="K10" s="68" t="str">
        <f t="shared" si="0"/>
        <v>ACTIVE</v>
      </c>
      <c r="L10" s="68" t="str">
        <f t="shared" si="0"/>
        <v>ACTIVE</v>
      </c>
      <c r="M10" s="68" t="str">
        <f t="shared" si="0"/>
        <v>ACTIVE</v>
      </c>
      <c r="N10" s="68" t="str">
        <f t="shared" si="0"/>
        <v>ACTIVE</v>
      </c>
      <c r="O10" s="68" t="str">
        <f t="shared" si="0"/>
        <v>ACTIVE</v>
      </c>
      <c r="P10" s="68" t="str">
        <f t="shared" si="0"/>
        <v>ACTIVE</v>
      </c>
      <c r="Q10" s="68" t="str">
        <f t="shared" si="0"/>
        <v>ACTIVE</v>
      </c>
    </row>
    <row r="11" spans="1:17" x14ac:dyDescent="0.35">
      <c r="A11" s="58"/>
      <c r="B11" s="68" t="str">
        <v>10KK4407</v>
      </c>
      <c r="C11" s="68" t="str">
        <f>VLOOKUP(B11,Master!B:C,2,0)</f>
        <v>10KK4407</v>
      </c>
      <c r="D11" s="69">
        <f>VLOOKUP(B11,Master!B:L,11,0)</f>
        <v>41557</v>
      </c>
      <c r="E11" s="69">
        <f>VLOOKUP(B11,Master!B:P,15,0)</f>
        <v>0</v>
      </c>
      <c r="F11" s="68" t="str">
        <f t="shared" si="1"/>
        <v>ACTIVE</v>
      </c>
      <c r="G11" s="68" t="str">
        <f t="shared" si="0"/>
        <v>ACTIVE</v>
      </c>
      <c r="H11" s="68" t="str">
        <f t="shared" si="0"/>
        <v>ACTIVE</v>
      </c>
      <c r="I11" s="68" t="str">
        <f t="shared" si="0"/>
        <v>ACTIVE</v>
      </c>
      <c r="J11" s="68" t="str">
        <f t="shared" si="0"/>
        <v>ACTIVE</v>
      </c>
      <c r="K11" s="68" t="str">
        <f t="shared" si="0"/>
        <v>ACTIVE</v>
      </c>
      <c r="L11" s="68" t="str">
        <f t="shared" si="0"/>
        <v>ACTIVE</v>
      </c>
      <c r="M11" s="68" t="str">
        <f t="shared" si="0"/>
        <v>ACTIVE</v>
      </c>
      <c r="N11" s="68" t="str">
        <f t="shared" si="0"/>
        <v>ACTIVE</v>
      </c>
      <c r="O11" s="68" t="str">
        <f t="shared" si="0"/>
        <v>ACTIVE</v>
      </c>
      <c r="P11" s="68" t="str">
        <f t="shared" si="0"/>
        <v>ACTIVE</v>
      </c>
      <c r="Q11" s="68" t="str">
        <f t="shared" si="0"/>
        <v>ACTIVE</v>
      </c>
    </row>
    <row r="12" spans="1:17" x14ac:dyDescent="0.35">
      <c r="A12" s="58"/>
      <c r="B12" s="70" t="str">
        <v>10GG4101</v>
      </c>
      <c r="C12" s="68" t="str">
        <f>VLOOKUP(B12,Master!B:C,2,0)</f>
        <v>10GG4101</v>
      </c>
      <c r="D12" s="69">
        <f>VLOOKUP(B12,Master!B:L,11,0)</f>
        <v>41639</v>
      </c>
      <c r="E12" s="69">
        <f>VLOOKUP(B12,Master!B:P,15,0)</f>
        <v>0</v>
      </c>
      <c r="F12" s="68" t="str">
        <f t="shared" si="1"/>
        <v>ACTIVE</v>
      </c>
      <c r="G12" s="68" t="str">
        <f t="shared" si="0"/>
        <v>ACTIVE</v>
      </c>
      <c r="H12" s="68" t="str">
        <f t="shared" si="0"/>
        <v>ACTIVE</v>
      </c>
      <c r="I12" s="68" t="str">
        <f t="shared" si="0"/>
        <v>ACTIVE</v>
      </c>
      <c r="J12" s="68" t="str">
        <f t="shared" si="0"/>
        <v>ACTIVE</v>
      </c>
      <c r="K12" s="68" t="str">
        <f t="shared" si="0"/>
        <v>ACTIVE</v>
      </c>
      <c r="L12" s="68" t="str">
        <f t="shared" si="0"/>
        <v>ACTIVE</v>
      </c>
      <c r="M12" s="68" t="str">
        <f t="shared" si="0"/>
        <v>ACTIVE</v>
      </c>
      <c r="N12" s="68" t="str">
        <f t="shared" si="0"/>
        <v>ACTIVE</v>
      </c>
      <c r="O12" s="68" t="str">
        <f t="shared" si="0"/>
        <v>ACTIVE</v>
      </c>
      <c r="P12" s="68" t="str">
        <f t="shared" si="0"/>
        <v>ACTIVE</v>
      </c>
      <c r="Q12" s="68" t="str">
        <f t="shared" si="0"/>
        <v>ACTIVE</v>
      </c>
    </row>
    <row r="13" spans="1:17" x14ac:dyDescent="0.35">
      <c r="A13" s="58"/>
      <c r="B13" s="70" t="str">
        <v>10VV5300</v>
      </c>
      <c r="C13" s="68" t="str">
        <f>VLOOKUP(B13,Master!B:C,2,0)</f>
        <v>10VV5300</v>
      </c>
      <c r="D13" s="69">
        <f>VLOOKUP(B13,Master!B:L,11,0)</f>
        <v>41679</v>
      </c>
      <c r="E13" s="69">
        <f>VLOOKUP(B13,Master!B:P,15,0)</f>
        <v>0</v>
      </c>
      <c r="F13" s="68" t="str">
        <f t="shared" si="1"/>
        <v>ACTIVE</v>
      </c>
      <c r="G13" s="68" t="str">
        <f t="shared" si="0"/>
        <v>ACTIVE</v>
      </c>
      <c r="H13" s="68" t="str">
        <f t="shared" si="0"/>
        <v>ACTIVE</v>
      </c>
      <c r="I13" s="68" t="str">
        <f t="shared" si="0"/>
        <v>ACTIVE</v>
      </c>
      <c r="J13" s="68" t="str">
        <f t="shared" si="0"/>
        <v>ACTIVE</v>
      </c>
      <c r="K13" s="68" t="str">
        <f t="shared" si="0"/>
        <v>ACTIVE</v>
      </c>
      <c r="L13" s="68" t="str">
        <f t="shared" si="0"/>
        <v>ACTIVE</v>
      </c>
      <c r="M13" s="68" t="str">
        <f t="shared" si="0"/>
        <v>ACTIVE</v>
      </c>
      <c r="N13" s="68" t="str">
        <f t="shared" si="0"/>
        <v>ACTIVE</v>
      </c>
      <c r="O13" s="68" t="str">
        <f t="shared" si="0"/>
        <v>ACTIVE</v>
      </c>
      <c r="P13" s="68" t="str">
        <f t="shared" si="0"/>
        <v>ACTIVE</v>
      </c>
      <c r="Q13" s="68" t="str">
        <f t="shared" si="0"/>
        <v>ACTIVE</v>
      </c>
    </row>
    <row r="14" spans="1:17" x14ac:dyDescent="0.35">
      <c r="A14" s="58"/>
      <c r="B14" s="70" t="str">
        <v>10GG4128</v>
      </c>
      <c r="C14" s="68" t="str">
        <f>VLOOKUP(B14,Master!B:C,2,0)</f>
        <v>10GG4128</v>
      </c>
      <c r="D14" s="69">
        <f>VLOOKUP(B14,Master!B:L,11,0)</f>
        <v>41931</v>
      </c>
      <c r="E14" s="69">
        <f>VLOOKUP(B14,Master!B:P,15,0)</f>
        <v>0</v>
      </c>
      <c r="F14" s="68" t="str">
        <f t="shared" si="1"/>
        <v>ACTIVE</v>
      </c>
      <c r="G14" s="68" t="str">
        <f t="shared" si="0"/>
        <v>ACTIVE</v>
      </c>
      <c r="H14" s="68" t="str">
        <f t="shared" si="0"/>
        <v>ACTIVE</v>
      </c>
      <c r="I14" s="68" t="str">
        <f t="shared" si="0"/>
        <v>ACTIVE</v>
      </c>
      <c r="J14" s="68" t="str">
        <f t="shared" si="0"/>
        <v>ACTIVE</v>
      </c>
      <c r="K14" s="68" t="str">
        <f t="shared" si="0"/>
        <v>ACTIVE</v>
      </c>
      <c r="L14" s="68" t="str">
        <f t="shared" si="0"/>
        <v>ACTIVE</v>
      </c>
      <c r="M14" s="68" t="str">
        <f t="shared" si="0"/>
        <v>ACTIVE</v>
      </c>
      <c r="N14" s="68" t="str">
        <f t="shared" si="0"/>
        <v>ACTIVE</v>
      </c>
      <c r="O14" s="68" t="str">
        <f t="shared" si="0"/>
        <v>ACTIVE</v>
      </c>
      <c r="P14" s="68" t="str">
        <f t="shared" si="0"/>
        <v>ACTIVE</v>
      </c>
      <c r="Q14" s="68" t="str">
        <f t="shared" si="0"/>
        <v>ACTIVE</v>
      </c>
    </row>
    <row r="15" spans="1:17" x14ac:dyDescent="0.35">
      <c r="A15" s="58"/>
      <c r="B15" s="70" t="str">
        <v>10GG4105</v>
      </c>
      <c r="C15" s="68" t="str">
        <f>VLOOKUP(B15,Master!B:C,2,0)</f>
        <v>10GG4105</v>
      </c>
      <c r="D15" s="69">
        <f>VLOOKUP(B15,Master!B:L,11,0)</f>
        <v>42000</v>
      </c>
      <c r="E15" s="69">
        <f>VLOOKUP(B15,Master!B:P,15,0)</f>
        <v>0</v>
      </c>
      <c r="F15" s="68" t="str">
        <f t="shared" si="1"/>
        <v>ACTIVE</v>
      </c>
      <c r="G15" s="68" t="str">
        <f t="shared" si="0"/>
        <v>ACTIVE</v>
      </c>
      <c r="H15" s="68" t="str">
        <f t="shared" si="0"/>
        <v>ACTIVE</v>
      </c>
      <c r="I15" s="68" t="str">
        <f t="shared" si="0"/>
        <v>ACTIVE</v>
      </c>
      <c r="J15" s="68" t="str">
        <f t="shared" si="0"/>
        <v>ACTIVE</v>
      </c>
      <c r="K15" s="68" t="str">
        <f t="shared" si="0"/>
        <v>ACTIVE</v>
      </c>
      <c r="L15" s="68" t="str">
        <f t="shared" si="0"/>
        <v>ACTIVE</v>
      </c>
      <c r="M15" s="68" t="str">
        <f t="shared" si="0"/>
        <v>ACTIVE</v>
      </c>
      <c r="N15" s="68" t="str">
        <f t="shared" si="0"/>
        <v>ACTIVE</v>
      </c>
      <c r="O15" s="68" t="str">
        <f t="shared" si="0"/>
        <v>ACTIVE</v>
      </c>
      <c r="P15" s="68" t="str">
        <f t="shared" si="0"/>
        <v>ACTIVE</v>
      </c>
      <c r="Q15" s="68" t="str">
        <f t="shared" si="0"/>
        <v>ACTIVE</v>
      </c>
    </row>
    <row r="16" spans="1:17" x14ac:dyDescent="0.35">
      <c r="A16" s="58"/>
      <c r="B16" s="70" t="str">
        <v>10VV5308</v>
      </c>
      <c r="C16" s="68" t="str">
        <f>VLOOKUP(B16,Master!B:C,2,0)</f>
        <v>10VV5308</v>
      </c>
      <c r="D16" s="69">
        <f>VLOOKUP(B16,Master!B:L,11,0)</f>
        <v>42017</v>
      </c>
      <c r="E16" s="69">
        <f>VLOOKUP(B16,Master!B:P,15,0)</f>
        <v>0</v>
      </c>
      <c r="F16" s="68" t="str">
        <f t="shared" si="1"/>
        <v>ACTIVE</v>
      </c>
      <c r="G16" s="68" t="str">
        <f t="shared" si="0"/>
        <v>ACTIVE</v>
      </c>
      <c r="H16" s="68" t="str">
        <f t="shared" si="0"/>
        <v>ACTIVE</v>
      </c>
      <c r="I16" s="68" t="str">
        <f t="shared" si="0"/>
        <v>ACTIVE</v>
      </c>
      <c r="J16" s="68" t="str">
        <f t="shared" si="0"/>
        <v>ACTIVE</v>
      </c>
      <c r="K16" s="68" t="str">
        <f t="shared" si="0"/>
        <v>ACTIVE</v>
      </c>
      <c r="L16" s="68" t="str">
        <f t="shared" si="0"/>
        <v>ACTIVE</v>
      </c>
      <c r="M16" s="68" t="str">
        <f t="shared" si="0"/>
        <v>ACTIVE</v>
      </c>
      <c r="N16" s="68" t="str">
        <f t="shared" si="0"/>
        <v>ACTIVE</v>
      </c>
      <c r="O16" s="68" t="str">
        <f t="shared" si="0"/>
        <v>ACTIVE</v>
      </c>
      <c r="P16" s="68" t="str">
        <f t="shared" si="0"/>
        <v>ACTIVE</v>
      </c>
      <c r="Q16" s="68" t="str">
        <f t="shared" si="0"/>
        <v>ACTIVE</v>
      </c>
    </row>
    <row r="17" spans="1:17" x14ac:dyDescent="0.35">
      <c r="A17" s="58"/>
      <c r="B17" s="70" t="str">
        <v>10GG4106</v>
      </c>
      <c r="C17" s="68" t="str">
        <f>VLOOKUP(B17,Master!B:C,2,0)</f>
        <v>10GG4106</v>
      </c>
      <c r="D17" s="69">
        <f>VLOOKUP(B17,Master!B:L,11,0)</f>
        <v>42035</v>
      </c>
      <c r="E17" s="69">
        <f>VLOOKUP(B17,Master!B:P,15,0)</f>
        <v>0</v>
      </c>
      <c r="F17" s="68" t="str">
        <f t="shared" si="1"/>
        <v>ACTIVE</v>
      </c>
      <c r="G17" s="68" t="str">
        <f t="shared" si="0"/>
        <v>ACTIVE</v>
      </c>
      <c r="H17" s="68" t="str">
        <f t="shared" si="0"/>
        <v>ACTIVE</v>
      </c>
      <c r="I17" s="68" t="str">
        <f t="shared" si="0"/>
        <v>ACTIVE</v>
      </c>
      <c r="J17" s="68" t="str">
        <f t="shared" si="0"/>
        <v>ACTIVE</v>
      </c>
      <c r="K17" s="68" t="str">
        <f t="shared" si="0"/>
        <v>ACTIVE</v>
      </c>
      <c r="L17" s="68" t="str">
        <f t="shared" si="0"/>
        <v>ACTIVE</v>
      </c>
      <c r="M17" s="68" t="str">
        <f t="shared" si="0"/>
        <v>ACTIVE</v>
      </c>
      <c r="N17" s="68" t="str">
        <f t="shared" si="0"/>
        <v>ACTIVE</v>
      </c>
      <c r="O17" s="68" t="str">
        <f t="shared" si="0"/>
        <v>ACTIVE</v>
      </c>
      <c r="P17" s="68" t="str">
        <f t="shared" si="0"/>
        <v>ACTIVE</v>
      </c>
      <c r="Q17" s="68" t="str">
        <f t="shared" si="0"/>
        <v>ACTIVE</v>
      </c>
    </row>
    <row r="18" spans="1:17" x14ac:dyDescent="0.35">
      <c r="A18" s="58"/>
      <c r="B18" s="70" t="str">
        <v>10KK4408</v>
      </c>
      <c r="C18" s="68" t="str">
        <f>VLOOKUP(B18,Master!B:C,2,0)</f>
        <v>10KK4408</v>
      </c>
      <c r="D18" s="69">
        <f>VLOOKUP(B18,Master!B:L,11,0)</f>
        <v>42305</v>
      </c>
      <c r="E18" s="69">
        <f>VLOOKUP(B18,Master!B:P,15,0)</f>
        <v>0</v>
      </c>
      <c r="F18" s="68" t="str">
        <f t="shared" si="1"/>
        <v>ACTIVE</v>
      </c>
      <c r="G18" s="68" t="str">
        <f t="shared" si="0"/>
        <v>ACTIVE</v>
      </c>
      <c r="H18" s="68" t="str">
        <f t="shared" si="0"/>
        <v>ACTIVE</v>
      </c>
      <c r="I18" s="68" t="str">
        <f t="shared" si="0"/>
        <v>ACTIVE</v>
      </c>
      <c r="J18" s="68" t="str">
        <f t="shared" si="0"/>
        <v>ACTIVE</v>
      </c>
      <c r="K18" s="68" t="str">
        <f t="shared" si="0"/>
        <v>ACTIVE</v>
      </c>
      <c r="L18" s="68" t="str">
        <f t="shared" si="0"/>
        <v>ACTIVE</v>
      </c>
      <c r="M18" s="68" t="str">
        <f t="shared" si="0"/>
        <v>ACTIVE</v>
      </c>
      <c r="N18" s="68" t="str">
        <f t="shared" si="0"/>
        <v>ACTIVE</v>
      </c>
      <c r="O18" s="68" t="str">
        <f t="shared" si="0"/>
        <v>ACTIVE</v>
      </c>
      <c r="P18" s="68" t="str">
        <f t="shared" si="0"/>
        <v>ACTIVE</v>
      </c>
      <c r="Q18" s="68" t="str">
        <f t="shared" si="0"/>
        <v>ACTIVE</v>
      </c>
    </row>
    <row r="19" spans="1:17" x14ac:dyDescent="0.35">
      <c r="A19" s="58"/>
      <c r="B19" s="70" t="str">
        <v>10GG4108</v>
      </c>
      <c r="C19" s="68" t="str">
        <f>VLOOKUP(B19,Master!B:C,2,0)</f>
        <v>10GG4108</v>
      </c>
      <c r="D19" s="69">
        <f>VLOOKUP(B19,Master!B:L,11,0)</f>
        <v>42306</v>
      </c>
      <c r="E19" s="69">
        <f>VLOOKUP(B19,Master!B:P,15,0)</f>
        <v>0</v>
      </c>
      <c r="F19" s="68" t="str">
        <f t="shared" si="1"/>
        <v>ACTIVE</v>
      </c>
      <c r="G19" s="68" t="str">
        <f t="shared" si="1"/>
        <v>ACTIVE</v>
      </c>
      <c r="H19" s="68" t="str">
        <f t="shared" si="1"/>
        <v>ACTIVE</v>
      </c>
      <c r="I19" s="68" t="str">
        <f t="shared" si="1"/>
        <v>ACTIVE</v>
      </c>
      <c r="J19" s="68" t="str">
        <f t="shared" si="1"/>
        <v>ACTIVE</v>
      </c>
      <c r="K19" s="68" t="str">
        <f t="shared" si="1"/>
        <v>ACTIVE</v>
      </c>
      <c r="L19" s="68" t="str">
        <f t="shared" si="1"/>
        <v>ACTIVE</v>
      </c>
      <c r="M19" s="68" t="str">
        <f t="shared" si="1"/>
        <v>ACTIVE</v>
      </c>
      <c r="N19" s="68" t="str">
        <f t="shared" si="1"/>
        <v>ACTIVE</v>
      </c>
      <c r="O19" s="68" t="str">
        <f t="shared" si="1"/>
        <v>ACTIVE</v>
      </c>
      <c r="P19" s="68" t="str">
        <f t="shared" si="1"/>
        <v>ACTIVE</v>
      </c>
      <c r="Q19" s="68" t="str">
        <f t="shared" si="1"/>
        <v>ACTIVE</v>
      </c>
    </row>
    <row r="20" spans="1:17" x14ac:dyDescent="0.35">
      <c r="A20" s="58"/>
      <c r="B20" s="70" t="str">
        <v>10GG4110</v>
      </c>
      <c r="C20" s="68" t="str">
        <f>VLOOKUP(B20,Master!B:C,2,0)</f>
        <v>10GG4110</v>
      </c>
      <c r="D20" s="69">
        <f>VLOOKUP(B20,Master!B:L,11,0)</f>
        <v>42318</v>
      </c>
      <c r="E20" s="69">
        <f>VLOOKUP(B20,Master!B:P,15,0)</f>
        <v>0</v>
      </c>
      <c r="F20" s="68" t="str">
        <f t="shared" ref="F20:Q35" si="2">IF($E20&gt;0,"CLOSED",IF($D20&lt;F$1,"ACTIVE","WAITING FOR OPEN"))</f>
        <v>ACTIVE</v>
      </c>
      <c r="G20" s="68" t="str">
        <f t="shared" si="2"/>
        <v>ACTIVE</v>
      </c>
      <c r="H20" s="68" t="str">
        <f t="shared" si="2"/>
        <v>ACTIVE</v>
      </c>
      <c r="I20" s="68" t="str">
        <f t="shared" si="2"/>
        <v>ACTIVE</v>
      </c>
      <c r="J20" s="68" t="str">
        <f t="shared" si="2"/>
        <v>ACTIVE</v>
      </c>
      <c r="K20" s="68" t="str">
        <f t="shared" si="2"/>
        <v>ACTIVE</v>
      </c>
      <c r="L20" s="68" t="str">
        <f t="shared" si="2"/>
        <v>ACTIVE</v>
      </c>
      <c r="M20" s="68" t="str">
        <f t="shared" si="2"/>
        <v>ACTIVE</v>
      </c>
      <c r="N20" s="68" t="str">
        <f t="shared" si="2"/>
        <v>ACTIVE</v>
      </c>
      <c r="O20" s="68" t="str">
        <f t="shared" si="2"/>
        <v>ACTIVE</v>
      </c>
      <c r="P20" s="68" t="str">
        <f t="shared" si="2"/>
        <v>ACTIVE</v>
      </c>
      <c r="Q20" s="68" t="str">
        <f t="shared" si="2"/>
        <v>ACTIVE</v>
      </c>
    </row>
    <row r="21" spans="1:17" x14ac:dyDescent="0.35">
      <c r="A21" s="58"/>
      <c r="B21" s="70" t="str">
        <v>10KK4410</v>
      </c>
      <c r="C21" s="68" t="str">
        <f>VLOOKUP(B21,Master!B:C,2,0)</f>
        <v>10KK4410</v>
      </c>
      <c r="D21" s="69">
        <f>VLOOKUP(B21,Master!B:L,11,0)</f>
        <v>42353</v>
      </c>
      <c r="E21" s="69">
        <f>VLOOKUP(B21,Master!B:P,15,0)</f>
        <v>0</v>
      </c>
      <c r="F21" s="68" t="str">
        <f t="shared" si="2"/>
        <v>ACTIVE</v>
      </c>
      <c r="G21" s="68" t="str">
        <f t="shared" si="2"/>
        <v>ACTIVE</v>
      </c>
      <c r="H21" s="68" t="str">
        <f t="shared" si="2"/>
        <v>ACTIVE</v>
      </c>
      <c r="I21" s="68" t="str">
        <f t="shared" si="2"/>
        <v>ACTIVE</v>
      </c>
      <c r="J21" s="68" t="str">
        <f t="shared" si="2"/>
        <v>ACTIVE</v>
      </c>
      <c r="K21" s="68" t="str">
        <f t="shared" si="2"/>
        <v>ACTIVE</v>
      </c>
      <c r="L21" s="68" t="str">
        <f t="shared" si="2"/>
        <v>ACTIVE</v>
      </c>
      <c r="M21" s="68" t="str">
        <f t="shared" si="2"/>
        <v>ACTIVE</v>
      </c>
      <c r="N21" s="68" t="str">
        <f t="shared" si="2"/>
        <v>ACTIVE</v>
      </c>
      <c r="O21" s="68" t="str">
        <f t="shared" si="2"/>
        <v>ACTIVE</v>
      </c>
      <c r="P21" s="68" t="str">
        <f t="shared" si="2"/>
        <v>ACTIVE</v>
      </c>
      <c r="Q21" s="68" t="str">
        <f t="shared" si="2"/>
        <v>ACTIVE</v>
      </c>
    </row>
    <row r="22" spans="1:17" x14ac:dyDescent="0.35">
      <c r="A22" s="59"/>
      <c r="B22" s="72" t="str">
        <v>10SS5901</v>
      </c>
      <c r="C22" s="68" t="str">
        <f>VLOOKUP(B22,Master!B:C,2,0)</f>
        <v>10SS5901</v>
      </c>
      <c r="D22" s="69">
        <f>VLOOKUP(B22,Master!B:L,11,0)</f>
        <v>42490</v>
      </c>
      <c r="E22" s="69">
        <f>VLOOKUP(B22,Master!B:P,15,0)</f>
        <v>0</v>
      </c>
      <c r="F22" s="68" t="str">
        <f t="shared" si="2"/>
        <v>ACTIVE</v>
      </c>
      <c r="G22" s="68" t="str">
        <f t="shared" si="2"/>
        <v>ACTIVE</v>
      </c>
      <c r="H22" s="68" t="str">
        <f t="shared" si="2"/>
        <v>ACTIVE</v>
      </c>
      <c r="I22" s="68" t="str">
        <f t="shared" si="2"/>
        <v>ACTIVE</v>
      </c>
      <c r="J22" s="68" t="str">
        <f t="shared" si="2"/>
        <v>ACTIVE</v>
      </c>
      <c r="K22" s="68" t="str">
        <f t="shared" si="2"/>
        <v>ACTIVE</v>
      </c>
      <c r="L22" s="68" t="str">
        <f t="shared" si="2"/>
        <v>ACTIVE</v>
      </c>
      <c r="M22" s="68" t="str">
        <f t="shared" si="2"/>
        <v>ACTIVE</v>
      </c>
      <c r="N22" s="68" t="str">
        <f t="shared" si="2"/>
        <v>ACTIVE</v>
      </c>
      <c r="O22" s="68" t="str">
        <f t="shared" si="2"/>
        <v>ACTIVE</v>
      </c>
      <c r="P22" s="68" t="str">
        <f t="shared" si="2"/>
        <v>ACTIVE</v>
      </c>
      <c r="Q22" s="68" t="str">
        <f t="shared" si="2"/>
        <v>ACTIVE</v>
      </c>
    </row>
    <row r="23" spans="1:17" x14ac:dyDescent="0.35">
      <c r="A23" s="59"/>
      <c r="B23" s="72" t="str">
        <v>10GG4129</v>
      </c>
      <c r="C23" s="68" t="str">
        <f>VLOOKUP(B23,Master!B:C,2,0)</f>
        <v>10GG4129</v>
      </c>
      <c r="D23" s="69">
        <f>VLOOKUP(B23,Master!B:L,11,0)</f>
        <v>42539</v>
      </c>
      <c r="E23" s="69">
        <f>VLOOKUP(B23,Master!B:P,15,0)</f>
        <v>0</v>
      </c>
      <c r="F23" s="68" t="str">
        <f t="shared" si="2"/>
        <v>ACTIVE</v>
      </c>
      <c r="G23" s="68" t="str">
        <f t="shared" si="2"/>
        <v>ACTIVE</v>
      </c>
      <c r="H23" s="68" t="str">
        <f t="shared" si="2"/>
        <v>ACTIVE</v>
      </c>
      <c r="I23" s="68" t="str">
        <f t="shared" si="2"/>
        <v>ACTIVE</v>
      </c>
      <c r="J23" s="68" t="str">
        <f t="shared" si="2"/>
        <v>ACTIVE</v>
      </c>
      <c r="K23" s="68" t="str">
        <f t="shared" si="2"/>
        <v>ACTIVE</v>
      </c>
      <c r="L23" s="68" t="str">
        <f t="shared" si="2"/>
        <v>ACTIVE</v>
      </c>
      <c r="M23" s="68" t="str">
        <f t="shared" si="2"/>
        <v>ACTIVE</v>
      </c>
      <c r="N23" s="68" t="str">
        <f t="shared" si="2"/>
        <v>ACTIVE</v>
      </c>
      <c r="O23" s="68" t="str">
        <f t="shared" si="2"/>
        <v>ACTIVE</v>
      </c>
      <c r="P23" s="68" t="str">
        <f t="shared" si="2"/>
        <v>ACTIVE</v>
      </c>
      <c r="Q23" s="68" t="str">
        <f t="shared" si="2"/>
        <v>ACTIVE</v>
      </c>
    </row>
    <row r="24" spans="1:17" x14ac:dyDescent="0.35">
      <c r="A24" s="59"/>
      <c r="B24" s="72" t="str">
        <v>10SG6301</v>
      </c>
      <c r="C24" s="68" t="str">
        <f>VLOOKUP(B24,Master!B:C,2,0)</f>
        <v>10SG6301</v>
      </c>
      <c r="D24" s="69">
        <f>VLOOKUP(B24,Master!B:L,11,0)</f>
        <v>42679</v>
      </c>
      <c r="E24" s="69">
        <f>VLOOKUP(B24,Master!B:P,15,0)</f>
        <v>0</v>
      </c>
      <c r="F24" s="68" t="str">
        <f t="shared" si="2"/>
        <v>ACTIVE</v>
      </c>
      <c r="G24" s="68" t="str">
        <f t="shared" si="2"/>
        <v>ACTIVE</v>
      </c>
      <c r="H24" s="68" t="str">
        <f t="shared" si="2"/>
        <v>ACTIVE</v>
      </c>
      <c r="I24" s="68" t="str">
        <f t="shared" si="2"/>
        <v>ACTIVE</v>
      </c>
      <c r="J24" s="68" t="str">
        <f t="shared" si="2"/>
        <v>ACTIVE</v>
      </c>
      <c r="K24" s="68" t="str">
        <f t="shared" si="2"/>
        <v>ACTIVE</v>
      </c>
      <c r="L24" s="68" t="str">
        <f t="shared" si="2"/>
        <v>ACTIVE</v>
      </c>
      <c r="M24" s="68" t="str">
        <f t="shared" si="2"/>
        <v>ACTIVE</v>
      </c>
      <c r="N24" s="68" t="str">
        <f t="shared" si="2"/>
        <v>ACTIVE</v>
      </c>
      <c r="O24" s="68" t="str">
        <f t="shared" si="2"/>
        <v>ACTIVE</v>
      </c>
      <c r="P24" s="68" t="str">
        <f t="shared" si="2"/>
        <v>ACTIVE</v>
      </c>
      <c r="Q24" s="68" t="str">
        <f t="shared" si="2"/>
        <v>ACTIVE</v>
      </c>
    </row>
    <row r="25" spans="1:17" x14ac:dyDescent="0.35">
      <c r="A25" s="59"/>
      <c r="B25" s="72" t="str">
        <v>10SG6302</v>
      </c>
      <c r="C25" s="68" t="str">
        <f>VLOOKUP(B25,Master!B:C,2,0)</f>
        <v>10SG6302</v>
      </c>
      <c r="D25" s="69">
        <f>VLOOKUP(B25,Master!B:L,11,0)</f>
        <v>44122</v>
      </c>
      <c r="E25" s="69">
        <f>VLOOKUP(B25,Master!B:P,15,0)</f>
        <v>0</v>
      </c>
      <c r="F25" s="68" t="str">
        <f t="shared" si="2"/>
        <v>ACTIVE</v>
      </c>
      <c r="G25" s="68" t="str">
        <f t="shared" si="2"/>
        <v>ACTIVE</v>
      </c>
      <c r="H25" s="68" t="str">
        <f t="shared" si="2"/>
        <v>ACTIVE</v>
      </c>
      <c r="I25" s="68" t="str">
        <f t="shared" si="2"/>
        <v>ACTIVE</v>
      </c>
      <c r="J25" s="68" t="str">
        <f t="shared" si="2"/>
        <v>ACTIVE</v>
      </c>
      <c r="K25" s="68" t="str">
        <f t="shared" si="2"/>
        <v>ACTIVE</v>
      </c>
      <c r="L25" s="68" t="str">
        <f t="shared" si="2"/>
        <v>ACTIVE</v>
      </c>
      <c r="M25" s="68" t="str">
        <f t="shared" si="2"/>
        <v>ACTIVE</v>
      </c>
      <c r="N25" s="68" t="str">
        <f t="shared" si="2"/>
        <v>ACTIVE</v>
      </c>
      <c r="O25" s="68" t="str">
        <f t="shared" si="2"/>
        <v>ACTIVE</v>
      </c>
      <c r="P25" s="68" t="str">
        <f t="shared" si="2"/>
        <v>ACTIVE</v>
      </c>
      <c r="Q25" s="68" t="str">
        <f t="shared" si="2"/>
        <v>ACTIVE</v>
      </c>
    </row>
    <row r="26" spans="1:17" x14ac:dyDescent="0.35">
      <c r="A26" s="58"/>
      <c r="B26" s="72" t="str">
        <v>10GG4127</v>
      </c>
      <c r="C26" s="68" t="str">
        <f>VLOOKUP(B26,Master!B:C,2,0)</f>
        <v>10GG4127</v>
      </c>
      <c r="D26" s="69">
        <f>VLOOKUP(B26,Master!B:L,11,0)</f>
        <v>42682</v>
      </c>
      <c r="E26" s="69">
        <f>VLOOKUP(B26,Master!B:P,15,0)</f>
        <v>0</v>
      </c>
      <c r="F26" s="68" t="str">
        <f t="shared" si="2"/>
        <v>ACTIVE</v>
      </c>
      <c r="G26" s="68" t="str">
        <f t="shared" si="2"/>
        <v>ACTIVE</v>
      </c>
      <c r="H26" s="68" t="str">
        <f t="shared" si="2"/>
        <v>ACTIVE</v>
      </c>
      <c r="I26" s="68" t="str">
        <f t="shared" si="2"/>
        <v>ACTIVE</v>
      </c>
      <c r="J26" s="68" t="str">
        <f t="shared" si="2"/>
        <v>ACTIVE</v>
      </c>
      <c r="K26" s="68" t="str">
        <f t="shared" si="2"/>
        <v>ACTIVE</v>
      </c>
      <c r="L26" s="68" t="str">
        <f t="shared" si="2"/>
        <v>ACTIVE</v>
      </c>
      <c r="M26" s="68" t="str">
        <f t="shared" si="2"/>
        <v>ACTIVE</v>
      </c>
      <c r="N26" s="68" t="str">
        <f t="shared" si="2"/>
        <v>ACTIVE</v>
      </c>
      <c r="O26" s="68" t="str">
        <f t="shared" si="2"/>
        <v>ACTIVE</v>
      </c>
      <c r="P26" s="68" t="str">
        <f t="shared" si="2"/>
        <v>ACTIVE</v>
      </c>
      <c r="Q26" s="68" t="str">
        <f t="shared" si="2"/>
        <v>ACTIVE</v>
      </c>
    </row>
    <row r="27" spans="1:17" x14ac:dyDescent="0.35">
      <c r="A27" s="58"/>
      <c r="B27" s="72" t="str">
        <v>10KK4413</v>
      </c>
      <c r="C27" s="68" t="str">
        <f>VLOOKUP(B27,Master!B:C,2,0)</f>
        <v>10KK4413</v>
      </c>
      <c r="D27" s="69">
        <f>VLOOKUP(B27,Master!B:L,11,0)</f>
        <v>42770</v>
      </c>
      <c r="E27" s="69">
        <f>VLOOKUP(B27,Master!B:P,15,0)</f>
        <v>0</v>
      </c>
      <c r="F27" s="68" t="str">
        <f t="shared" si="2"/>
        <v>ACTIVE</v>
      </c>
      <c r="G27" s="68" t="str">
        <f t="shared" si="2"/>
        <v>ACTIVE</v>
      </c>
      <c r="H27" s="68" t="str">
        <f t="shared" si="2"/>
        <v>ACTIVE</v>
      </c>
      <c r="I27" s="68" t="str">
        <f t="shared" si="2"/>
        <v>ACTIVE</v>
      </c>
      <c r="J27" s="68" t="str">
        <f t="shared" si="2"/>
        <v>ACTIVE</v>
      </c>
      <c r="K27" s="68" t="str">
        <f t="shared" si="2"/>
        <v>ACTIVE</v>
      </c>
      <c r="L27" s="68" t="str">
        <f t="shared" si="2"/>
        <v>ACTIVE</v>
      </c>
      <c r="M27" s="68" t="str">
        <f t="shared" si="2"/>
        <v>ACTIVE</v>
      </c>
      <c r="N27" s="68" t="str">
        <f t="shared" si="2"/>
        <v>ACTIVE</v>
      </c>
      <c r="O27" s="68" t="str">
        <f t="shared" si="2"/>
        <v>ACTIVE</v>
      </c>
      <c r="P27" s="68" t="str">
        <f t="shared" si="2"/>
        <v>ACTIVE</v>
      </c>
      <c r="Q27" s="68" t="str">
        <f t="shared" si="2"/>
        <v>ACTIVE</v>
      </c>
    </row>
    <row r="28" spans="1:17" x14ac:dyDescent="0.35">
      <c r="A28" s="58"/>
      <c r="B28" s="72" t="str">
        <v>10GG4117</v>
      </c>
      <c r="C28" s="68" t="str">
        <f>VLOOKUP(B28,Master!B:C,2,0)</f>
        <v>10GG4117</v>
      </c>
      <c r="D28" s="69">
        <f>VLOOKUP(B28,Master!B:L,11,0)</f>
        <v>42790</v>
      </c>
      <c r="E28" s="69">
        <f>VLOOKUP(B28,Master!B:P,15,0)</f>
        <v>0</v>
      </c>
      <c r="F28" s="68" t="str">
        <f t="shared" si="2"/>
        <v>ACTIVE</v>
      </c>
      <c r="G28" s="68" t="str">
        <f t="shared" si="2"/>
        <v>ACTIVE</v>
      </c>
      <c r="H28" s="68" t="str">
        <f t="shared" si="2"/>
        <v>ACTIVE</v>
      </c>
      <c r="I28" s="68" t="str">
        <f t="shared" si="2"/>
        <v>ACTIVE</v>
      </c>
      <c r="J28" s="68" t="str">
        <f t="shared" si="2"/>
        <v>ACTIVE</v>
      </c>
      <c r="K28" s="68" t="str">
        <f t="shared" si="2"/>
        <v>ACTIVE</v>
      </c>
      <c r="L28" s="68" t="str">
        <f t="shared" si="2"/>
        <v>ACTIVE</v>
      </c>
      <c r="M28" s="68" t="str">
        <f t="shared" si="2"/>
        <v>ACTIVE</v>
      </c>
      <c r="N28" s="68" t="str">
        <f t="shared" si="2"/>
        <v>ACTIVE</v>
      </c>
      <c r="O28" s="68" t="str">
        <f t="shared" si="2"/>
        <v>ACTIVE</v>
      </c>
      <c r="P28" s="68" t="str">
        <f t="shared" si="2"/>
        <v>ACTIVE</v>
      </c>
      <c r="Q28" s="68" t="str">
        <f t="shared" si="2"/>
        <v>ACTIVE</v>
      </c>
    </row>
    <row r="29" spans="1:17" x14ac:dyDescent="0.35">
      <c r="A29" s="58"/>
      <c r="B29" s="72" t="str">
        <v>10GG4116</v>
      </c>
      <c r="C29" s="68" t="str">
        <f>VLOOKUP(B29,Master!B:C,2,0)</f>
        <v>10GG4116</v>
      </c>
      <c r="D29" s="69">
        <f>VLOOKUP(B29,Master!B:L,11,0)</f>
        <v>42825</v>
      </c>
      <c r="E29" s="69">
        <f>VLOOKUP(B29,Master!B:P,15,0)</f>
        <v>0</v>
      </c>
      <c r="F29" s="68" t="str">
        <f t="shared" si="2"/>
        <v>ACTIVE</v>
      </c>
      <c r="G29" s="68" t="str">
        <f t="shared" si="2"/>
        <v>ACTIVE</v>
      </c>
      <c r="H29" s="68" t="str">
        <f t="shared" si="2"/>
        <v>ACTIVE</v>
      </c>
      <c r="I29" s="68" t="str">
        <f t="shared" si="2"/>
        <v>ACTIVE</v>
      </c>
      <c r="J29" s="68" t="str">
        <f t="shared" si="2"/>
        <v>ACTIVE</v>
      </c>
      <c r="K29" s="68" t="str">
        <f t="shared" si="2"/>
        <v>ACTIVE</v>
      </c>
      <c r="L29" s="68" t="str">
        <f t="shared" si="2"/>
        <v>ACTIVE</v>
      </c>
      <c r="M29" s="68" t="str">
        <f t="shared" si="2"/>
        <v>ACTIVE</v>
      </c>
      <c r="N29" s="68" t="str">
        <f t="shared" si="2"/>
        <v>ACTIVE</v>
      </c>
      <c r="O29" s="68" t="str">
        <f t="shared" si="2"/>
        <v>ACTIVE</v>
      </c>
      <c r="P29" s="68" t="str">
        <f t="shared" si="2"/>
        <v>ACTIVE</v>
      </c>
      <c r="Q29" s="68" t="str">
        <f t="shared" si="2"/>
        <v>ACTIVE</v>
      </c>
    </row>
    <row r="30" spans="1:17" x14ac:dyDescent="0.35">
      <c r="A30" s="58"/>
      <c r="B30" s="72" t="str">
        <v>10KK4414</v>
      </c>
      <c r="C30" s="68" t="str">
        <f>VLOOKUP(B30,Master!B:C,2,0)</f>
        <v>10KK4414</v>
      </c>
      <c r="D30" s="69">
        <f>VLOOKUP(B30,Master!B:L,11,0)</f>
        <v>42839</v>
      </c>
      <c r="E30" s="69">
        <f>VLOOKUP(B30,Master!B:P,15,0)</f>
        <v>0</v>
      </c>
      <c r="F30" s="68" t="str">
        <f t="shared" si="2"/>
        <v>ACTIVE</v>
      </c>
      <c r="G30" s="68" t="str">
        <f t="shared" si="2"/>
        <v>ACTIVE</v>
      </c>
      <c r="H30" s="68" t="str">
        <f t="shared" si="2"/>
        <v>ACTIVE</v>
      </c>
      <c r="I30" s="68" t="str">
        <f t="shared" si="2"/>
        <v>ACTIVE</v>
      </c>
      <c r="J30" s="68" t="str">
        <f t="shared" si="2"/>
        <v>ACTIVE</v>
      </c>
      <c r="K30" s="68" t="str">
        <f t="shared" si="2"/>
        <v>ACTIVE</v>
      </c>
      <c r="L30" s="68" t="str">
        <f t="shared" si="2"/>
        <v>ACTIVE</v>
      </c>
      <c r="M30" s="68" t="str">
        <f t="shared" si="2"/>
        <v>ACTIVE</v>
      </c>
      <c r="N30" s="68" t="str">
        <f t="shared" si="2"/>
        <v>ACTIVE</v>
      </c>
      <c r="O30" s="68" t="str">
        <f t="shared" si="2"/>
        <v>ACTIVE</v>
      </c>
      <c r="P30" s="68" t="str">
        <f t="shared" si="2"/>
        <v>ACTIVE</v>
      </c>
      <c r="Q30" s="68" t="str">
        <f t="shared" si="2"/>
        <v>ACTIVE</v>
      </c>
    </row>
    <row r="31" spans="1:17" x14ac:dyDescent="0.35">
      <c r="A31" s="58"/>
      <c r="B31" s="72" t="str">
        <v>10GG4134</v>
      </c>
      <c r="C31" s="68" t="str">
        <f>VLOOKUP(B31,Master!B:C,2,0)</f>
        <v>10GG4134</v>
      </c>
      <c r="D31" s="69">
        <f>VLOOKUP(B31,Master!B:L,11,0)</f>
        <v>42849</v>
      </c>
      <c r="E31" s="69">
        <f>VLOOKUP(B31,Master!B:P,15,0)</f>
        <v>0</v>
      </c>
      <c r="F31" s="68" t="str">
        <f t="shared" si="2"/>
        <v>ACTIVE</v>
      </c>
      <c r="G31" s="68" t="str">
        <f t="shared" si="2"/>
        <v>ACTIVE</v>
      </c>
      <c r="H31" s="68" t="str">
        <f t="shared" si="2"/>
        <v>ACTIVE</v>
      </c>
      <c r="I31" s="68" t="str">
        <f t="shared" si="2"/>
        <v>ACTIVE</v>
      </c>
      <c r="J31" s="68" t="str">
        <f t="shared" si="2"/>
        <v>ACTIVE</v>
      </c>
      <c r="K31" s="68" t="str">
        <f t="shared" si="2"/>
        <v>ACTIVE</v>
      </c>
      <c r="L31" s="68" t="str">
        <f t="shared" si="2"/>
        <v>ACTIVE</v>
      </c>
      <c r="M31" s="68" t="str">
        <f t="shared" si="2"/>
        <v>ACTIVE</v>
      </c>
      <c r="N31" s="68" t="str">
        <f t="shared" si="2"/>
        <v>ACTIVE</v>
      </c>
      <c r="O31" s="68" t="str">
        <f t="shared" si="2"/>
        <v>ACTIVE</v>
      </c>
      <c r="P31" s="68" t="str">
        <f t="shared" si="2"/>
        <v>ACTIVE</v>
      </c>
      <c r="Q31" s="68" t="str">
        <f t="shared" si="2"/>
        <v>ACTIVE</v>
      </c>
    </row>
    <row r="32" spans="1:17" x14ac:dyDescent="0.35">
      <c r="A32" s="59"/>
      <c r="B32" s="72" t="str">
        <v>10GG4125</v>
      </c>
      <c r="C32" s="68" t="str">
        <f>VLOOKUP(B32,Master!B:C,2,0)</f>
        <v>10GG4125</v>
      </c>
      <c r="D32" s="69">
        <f>VLOOKUP(B32,Master!B:L,11,0)</f>
        <v>42875</v>
      </c>
      <c r="E32" s="69">
        <f>VLOOKUP(B32,Master!B:P,15,0)</f>
        <v>0</v>
      </c>
      <c r="F32" s="68" t="str">
        <f t="shared" si="2"/>
        <v>ACTIVE</v>
      </c>
      <c r="G32" s="68" t="str">
        <f t="shared" si="2"/>
        <v>ACTIVE</v>
      </c>
      <c r="H32" s="68" t="str">
        <f t="shared" si="2"/>
        <v>ACTIVE</v>
      </c>
      <c r="I32" s="68" t="str">
        <f t="shared" si="2"/>
        <v>ACTIVE</v>
      </c>
      <c r="J32" s="68" t="str">
        <f t="shared" si="2"/>
        <v>ACTIVE</v>
      </c>
      <c r="K32" s="68" t="str">
        <f t="shared" si="2"/>
        <v>ACTIVE</v>
      </c>
      <c r="L32" s="68" t="str">
        <f t="shared" si="2"/>
        <v>ACTIVE</v>
      </c>
      <c r="M32" s="68" t="str">
        <f t="shared" si="2"/>
        <v>ACTIVE</v>
      </c>
      <c r="N32" s="68" t="str">
        <f t="shared" si="2"/>
        <v>ACTIVE</v>
      </c>
      <c r="O32" s="68" t="str">
        <f t="shared" si="2"/>
        <v>ACTIVE</v>
      </c>
      <c r="P32" s="68" t="str">
        <f t="shared" si="2"/>
        <v>ACTIVE</v>
      </c>
      <c r="Q32" s="68" t="str">
        <f t="shared" si="2"/>
        <v>ACTIVE</v>
      </c>
    </row>
    <row r="33" spans="1:17" x14ac:dyDescent="0.35">
      <c r="A33" s="59"/>
      <c r="B33" s="72" t="str">
        <v>10MW5100</v>
      </c>
      <c r="C33" s="68" t="str">
        <f>VLOOKUP(B33,Master!B:C,2,0)</f>
        <v>10MW5100</v>
      </c>
      <c r="D33" s="69">
        <f>VLOOKUP(B33,Master!B:L,11,0)</f>
        <v>43062</v>
      </c>
      <c r="E33" s="69">
        <f>VLOOKUP(B33,Master!B:P,15,0)</f>
        <v>0</v>
      </c>
      <c r="F33" s="68" t="str">
        <f t="shared" si="2"/>
        <v>ACTIVE</v>
      </c>
      <c r="G33" s="68" t="str">
        <f t="shared" si="2"/>
        <v>ACTIVE</v>
      </c>
      <c r="H33" s="68" t="str">
        <f t="shared" si="2"/>
        <v>ACTIVE</v>
      </c>
      <c r="I33" s="68" t="str">
        <f t="shared" si="2"/>
        <v>ACTIVE</v>
      </c>
      <c r="J33" s="68" t="str">
        <f t="shared" si="2"/>
        <v>ACTIVE</v>
      </c>
      <c r="K33" s="68" t="str">
        <f t="shared" si="2"/>
        <v>ACTIVE</v>
      </c>
      <c r="L33" s="68" t="str">
        <f t="shared" si="2"/>
        <v>ACTIVE</v>
      </c>
      <c r="M33" s="68" t="str">
        <f t="shared" si="2"/>
        <v>ACTIVE</v>
      </c>
      <c r="N33" s="68" t="str">
        <f t="shared" si="2"/>
        <v>ACTIVE</v>
      </c>
      <c r="O33" s="68" t="str">
        <f t="shared" si="2"/>
        <v>ACTIVE</v>
      </c>
      <c r="P33" s="68" t="str">
        <f t="shared" si="2"/>
        <v>ACTIVE</v>
      </c>
      <c r="Q33" s="68" t="str">
        <f t="shared" si="2"/>
        <v>ACTIVE</v>
      </c>
    </row>
    <row r="34" spans="1:17" x14ac:dyDescent="0.35">
      <c r="A34" s="59"/>
      <c r="B34" s="72" t="str">
        <v>10AS5703</v>
      </c>
      <c r="C34" s="68" t="str">
        <f>VLOOKUP(B34,Master!B:C,2,0)</f>
        <v>10AS5703</v>
      </c>
      <c r="D34" s="69">
        <f>VLOOKUP(B34,Master!B:L,11,0)</f>
        <v>43233</v>
      </c>
      <c r="E34" s="69">
        <f>VLOOKUP(B34,Master!B:P,15,0)</f>
        <v>0</v>
      </c>
      <c r="F34" s="68" t="str">
        <f t="shared" si="2"/>
        <v>ACTIVE</v>
      </c>
      <c r="G34" s="68" t="str">
        <f t="shared" si="2"/>
        <v>ACTIVE</v>
      </c>
      <c r="H34" s="68" t="str">
        <f t="shared" si="2"/>
        <v>ACTIVE</v>
      </c>
      <c r="I34" s="68" t="str">
        <f t="shared" si="2"/>
        <v>ACTIVE</v>
      </c>
      <c r="J34" s="68" t="str">
        <f t="shared" si="2"/>
        <v>ACTIVE</v>
      </c>
      <c r="K34" s="68" t="str">
        <f t="shared" si="2"/>
        <v>ACTIVE</v>
      </c>
      <c r="L34" s="68" t="str">
        <f t="shared" si="2"/>
        <v>ACTIVE</v>
      </c>
      <c r="M34" s="68" t="str">
        <f t="shared" si="2"/>
        <v>ACTIVE</v>
      </c>
      <c r="N34" s="68" t="str">
        <f t="shared" si="2"/>
        <v>ACTIVE</v>
      </c>
      <c r="O34" s="68" t="str">
        <f t="shared" si="2"/>
        <v>ACTIVE</v>
      </c>
      <c r="P34" s="68" t="str">
        <f t="shared" si="2"/>
        <v>ACTIVE</v>
      </c>
      <c r="Q34" s="68" t="str">
        <f t="shared" si="2"/>
        <v>ACTIVE</v>
      </c>
    </row>
    <row r="35" spans="1:17" x14ac:dyDescent="0.35">
      <c r="A35" s="59"/>
      <c r="B35" s="72" t="str">
        <v>10KK4417</v>
      </c>
      <c r="C35" s="68" t="str">
        <f>VLOOKUP(B35,Master!B:C,2,0)</f>
        <v>10KK4417</v>
      </c>
      <c r="D35" s="69">
        <f>VLOOKUP(B35,Master!B:L,11,0)</f>
        <v>43271</v>
      </c>
      <c r="E35" s="69">
        <f>VLOOKUP(B35,Master!B:P,15,0)</f>
        <v>44884</v>
      </c>
      <c r="F35" s="68" t="str">
        <f t="shared" si="2"/>
        <v>CLOSED</v>
      </c>
      <c r="G35" s="68" t="str">
        <f t="shared" si="2"/>
        <v>CLOSED</v>
      </c>
      <c r="H35" s="68" t="str">
        <f t="shared" si="2"/>
        <v>CLOSED</v>
      </c>
      <c r="I35" s="68" t="str">
        <f t="shared" si="2"/>
        <v>CLOSED</v>
      </c>
      <c r="J35" s="68" t="str">
        <f t="shared" si="2"/>
        <v>CLOSED</v>
      </c>
      <c r="K35" s="68" t="str">
        <f t="shared" si="2"/>
        <v>CLOSED</v>
      </c>
      <c r="L35" s="68" t="str">
        <f t="shared" si="2"/>
        <v>CLOSED</v>
      </c>
      <c r="M35" s="68" t="str">
        <f t="shared" si="2"/>
        <v>CLOSED</v>
      </c>
      <c r="N35" s="68" t="str">
        <f t="shared" si="2"/>
        <v>CLOSED</v>
      </c>
      <c r="O35" s="68" t="str">
        <f t="shared" si="2"/>
        <v>CLOSED</v>
      </c>
      <c r="P35" s="68" t="str">
        <f t="shared" si="2"/>
        <v>CLOSED</v>
      </c>
      <c r="Q35" s="68" t="str">
        <f t="shared" si="2"/>
        <v>CLOSED</v>
      </c>
    </row>
    <row r="36" spans="1:17" x14ac:dyDescent="0.35">
      <c r="A36" s="59"/>
      <c r="B36" s="72" t="str">
        <v>10GG4120</v>
      </c>
      <c r="C36" s="68" t="str">
        <f>VLOOKUP(B36,Master!B:C,2,0)</f>
        <v>10GG4120</v>
      </c>
      <c r="D36" s="69">
        <f>VLOOKUP(B36,Master!B:L,11,0)</f>
        <v>43273</v>
      </c>
      <c r="E36" s="69">
        <f>VLOOKUP(B36,Master!B:P,15,0)</f>
        <v>0</v>
      </c>
      <c r="F36" s="68" t="str">
        <f t="shared" ref="F36:Q51" si="3">IF($E36&gt;0,"CLOSED",IF($D36&lt;F$1,"ACTIVE","WAITING FOR OPEN"))</f>
        <v>ACTIVE</v>
      </c>
      <c r="G36" s="68" t="str">
        <f t="shared" si="3"/>
        <v>ACTIVE</v>
      </c>
      <c r="H36" s="68" t="str">
        <f t="shared" si="3"/>
        <v>ACTIVE</v>
      </c>
      <c r="I36" s="68" t="str">
        <f t="shared" si="3"/>
        <v>ACTIVE</v>
      </c>
      <c r="J36" s="68" t="str">
        <f t="shared" si="3"/>
        <v>ACTIVE</v>
      </c>
      <c r="K36" s="68" t="str">
        <f t="shared" si="3"/>
        <v>ACTIVE</v>
      </c>
      <c r="L36" s="68" t="str">
        <f t="shared" si="3"/>
        <v>ACTIVE</v>
      </c>
      <c r="M36" s="68" t="str">
        <f t="shared" si="3"/>
        <v>ACTIVE</v>
      </c>
      <c r="N36" s="68" t="str">
        <f t="shared" si="3"/>
        <v>ACTIVE</v>
      </c>
      <c r="O36" s="68" t="str">
        <f t="shared" si="3"/>
        <v>ACTIVE</v>
      </c>
      <c r="P36" s="68" t="str">
        <f t="shared" si="3"/>
        <v>ACTIVE</v>
      </c>
      <c r="Q36" s="68" t="str">
        <f t="shared" si="3"/>
        <v>ACTIVE</v>
      </c>
    </row>
    <row r="37" spans="1:17" x14ac:dyDescent="0.35">
      <c r="A37" s="59"/>
      <c r="B37" s="72" t="str">
        <v>10GG4123</v>
      </c>
      <c r="C37" s="68" t="str">
        <f>VLOOKUP(B37,Master!B:C,2,0)</f>
        <v>10GG4123</v>
      </c>
      <c r="D37" s="69">
        <f>VLOOKUP(B37,Master!B:L,11,0)</f>
        <v>43288</v>
      </c>
      <c r="E37" s="69">
        <f>VLOOKUP(B37,Master!B:P,15,0)</f>
        <v>0</v>
      </c>
      <c r="F37" s="68" t="str">
        <f t="shared" si="3"/>
        <v>ACTIVE</v>
      </c>
      <c r="G37" s="68" t="str">
        <f t="shared" si="3"/>
        <v>ACTIVE</v>
      </c>
      <c r="H37" s="68" t="str">
        <f t="shared" si="3"/>
        <v>ACTIVE</v>
      </c>
      <c r="I37" s="68" t="str">
        <f t="shared" si="3"/>
        <v>ACTIVE</v>
      </c>
      <c r="J37" s="68" t="str">
        <f t="shared" si="3"/>
        <v>ACTIVE</v>
      </c>
      <c r="K37" s="68" t="str">
        <f t="shared" si="3"/>
        <v>ACTIVE</v>
      </c>
      <c r="L37" s="68" t="str">
        <f t="shared" si="3"/>
        <v>ACTIVE</v>
      </c>
      <c r="M37" s="68" t="str">
        <f t="shared" si="3"/>
        <v>ACTIVE</v>
      </c>
      <c r="N37" s="68" t="str">
        <f t="shared" si="3"/>
        <v>ACTIVE</v>
      </c>
      <c r="O37" s="68" t="str">
        <f t="shared" si="3"/>
        <v>ACTIVE</v>
      </c>
      <c r="P37" s="68" t="str">
        <f t="shared" si="3"/>
        <v>ACTIVE</v>
      </c>
      <c r="Q37" s="68" t="str">
        <f t="shared" si="3"/>
        <v>ACTIVE</v>
      </c>
    </row>
    <row r="38" spans="1:17" x14ac:dyDescent="0.35">
      <c r="A38" s="59"/>
      <c r="B38" s="72" t="str">
        <v>10GG4131</v>
      </c>
      <c r="C38" s="68" t="str">
        <f>VLOOKUP(B38,Master!B:C,2,0)</f>
        <v>10GG4131</v>
      </c>
      <c r="D38" s="69">
        <f>VLOOKUP(B38,Master!B:L,11,0)</f>
        <v>43289</v>
      </c>
      <c r="E38" s="69">
        <f>VLOOKUP(B38,Master!B:P,15,0)</f>
        <v>0</v>
      </c>
      <c r="F38" s="68" t="str">
        <f t="shared" si="3"/>
        <v>ACTIVE</v>
      </c>
      <c r="G38" s="68" t="str">
        <f t="shared" si="3"/>
        <v>ACTIVE</v>
      </c>
      <c r="H38" s="68" t="str">
        <f t="shared" si="3"/>
        <v>ACTIVE</v>
      </c>
      <c r="I38" s="68" t="str">
        <f t="shared" si="3"/>
        <v>ACTIVE</v>
      </c>
      <c r="J38" s="68" t="str">
        <f t="shared" si="3"/>
        <v>ACTIVE</v>
      </c>
      <c r="K38" s="68" t="str">
        <f t="shared" si="3"/>
        <v>ACTIVE</v>
      </c>
      <c r="L38" s="68" t="str">
        <f t="shared" si="3"/>
        <v>ACTIVE</v>
      </c>
      <c r="M38" s="68" t="str">
        <f t="shared" si="3"/>
        <v>ACTIVE</v>
      </c>
      <c r="N38" s="68" t="str">
        <f t="shared" si="3"/>
        <v>ACTIVE</v>
      </c>
      <c r="O38" s="68" t="str">
        <f t="shared" si="3"/>
        <v>ACTIVE</v>
      </c>
      <c r="P38" s="68" t="str">
        <f t="shared" si="3"/>
        <v>ACTIVE</v>
      </c>
      <c r="Q38" s="68" t="str">
        <f t="shared" si="3"/>
        <v>ACTIVE</v>
      </c>
    </row>
    <row r="39" spans="1:17" x14ac:dyDescent="0.35">
      <c r="A39" s="59"/>
      <c r="B39" s="72" t="str">
        <v>10GG4130</v>
      </c>
      <c r="C39" s="68" t="str">
        <f>VLOOKUP(B39,Master!B:C,2,0)</f>
        <v>10GG4130</v>
      </c>
      <c r="D39" s="69">
        <f>VLOOKUP(B39,Master!B:L,11,0)</f>
        <v>43304</v>
      </c>
      <c r="E39" s="69">
        <f>VLOOKUP(B39,Master!B:P,15,0)</f>
        <v>0</v>
      </c>
      <c r="F39" s="68" t="str">
        <f t="shared" si="3"/>
        <v>ACTIVE</v>
      </c>
      <c r="G39" s="68" t="str">
        <f t="shared" si="3"/>
        <v>ACTIVE</v>
      </c>
      <c r="H39" s="68" t="str">
        <f t="shared" si="3"/>
        <v>ACTIVE</v>
      </c>
      <c r="I39" s="68" t="str">
        <f t="shared" si="3"/>
        <v>ACTIVE</v>
      </c>
      <c r="J39" s="68" t="str">
        <f t="shared" si="3"/>
        <v>ACTIVE</v>
      </c>
      <c r="K39" s="68" t="str">
        <f t="shared" si="3"/>
        <v>ACTIVE</v>
      </c>
      <c r="L39" s="68" t="str">
        <f t="shared" si="3"/>
        <v>ACTIVE</v>
      </c>
      <c r="M39" s="68" t="str">
        <f t="shared" si="3"/>
        <v>ACTIVE</v>
      </c>
      <c r="N39" s="68" t="str">
        <f t="shared" si="3"/>
        <v>ACTIVE</v>
      </c>
      <c r="O39" s="68" t="str">
        <f t="shared" si="3"/>
        <v>ACTIVE</v>
      </c>
      <c r="P39" s="68" t="str">
        <f t="shared" si="3"/>
        <v>ACTIVE</v>
      </c>
      <c r="Q39" s="68" t="str">
        <f t="shared" si="3"/>
        <v>ACTIVE</v>
      </c>
    </row>
    <row r="40" spans="1:17" x14ac:dyDescent="0.35">
      <c r="A40" s="59"/>
      <c r="B40" s="72" t="str">
        <v>10KK4420</v>
      </c>
      <c r="C40" s="68" t="str">
        <f>VLOOKUP(B40,Master!B:C,2,0)</f>
        <v>10KK4420</v>
      </c>
      <c r="D40" s="69">
        <f>VLOOKUP(B40,Master!B:L,11,0)</f>
        <v>43304</v>
      </c>
      <c r="E40" s="69">
        <f>VLOOKUP(B40,Master!B:P,15,0)</f>
        <v>0</v>
      </c>
      <c r="F40" s="68" t="str">
        <f t="shared" si="3"/>
        <v>ACTIVE</v>
      </c>
      <c r="G40" s="68" t="str">
        <f t="shared" si="3"/>
        <v>ACTIVE</v>
      </c>
      <c r="H40" s="68" t="str">
        <f t="shared" si="3"/>
        <v>ACTIVE</v>
      </c>
      <c r="I40" s="68" t="str">
        <f t="shared" si="3"/>
        <v>ACTIVE</v>
      </c>
      <c r="J40" s="68" t="str">
        <f t="shared" si="3"/>
        <v>ACTIVE</v>
      </c>
      <c r="K40" s="68" t="str">
        <f t="shared" si="3"/>
        <v>ACTIVE</v>
      </c>
      <c r="L40" s="68" t="str">
        <f t="shared" si="3"/>
        <v>ACTIVE</v>
      </c>
      <c r="M40" s="68" t="str">
        <f t="shared" si="3"/>
        <v>ACTIVE</v>
      </c>
      <c r="N40" s="68" t="str">
        <f t="shared" si="3"/>
        <v>ACTIVE</v>
      </c>
      <c r="O40" s="68" t="str">
        <f t="shared" si="3"/>
        <v>ACTIVE</v>
      </c>
      <c r="P40" s="68" t="str">
        <f t="shared" si="3"/>
        <v>ACTIVE</v>
      </c>
      <c r="Q40" s="68" t="str">
        <f t="shared" si="3"/>
        <v>ACTIVE</v>
      </c>
    </row>
    <row r="41" spans="1:17" x14ac:dyDescent="0.35">
      <c r="A41" s="59"/>
      <c r="B41" s="72" t="str">
        <v>10AS5704</v>
      </c>
      <c r="C41" s="68" t="str">
        <f>VLOOKUP(B41,Master!B:C,2,0)</f>
        <v>10AS5704</v>
      </c>
      <c r="D41" s="69">
        <f>VLOOKUP(B41,Master!B:L,11,0)</f>
        <v>43325</v>
      </c>
      <c r="E41" s="69">
        <f>VLOOKUP(B41,Master!B:P,15,0)</f>
        <v>0</v>
      </c>
      <c r="F41" s="68" t="str">
        <f t="shared" si="3"/>
        <v>ACTIVE</v>
      </c>
      <c r="G41" s="68" t="str">
        <f t="shared" si="3"/>
        <v>ACTIVE</v>
      </c>
      <c r="H41" s="68" t="str">
        <f t="shared" si="3"/>
        <v>ACTIVE</v>
      </c>
      <c r="I41" s="68" t="str">
        <f t="shared" si="3"/>
        <v>ACTIVE</v>
      </c>
      <c r="J41" s="68" t="str">
        <f t="shared" si="3"/>
        <v>ACTIVE</v>
      </c>
      <c r="K41" s="68" t="str">
        <f t="shared" si="3"/>
        <v>ACTIVE</v>
      </c>
      <c r="L41" s="68" t="str">
        <f t="shared" si="3"/>
        <v>ACTIVE</v>
      </c>
      <c r="M41" s="68" t="str">
        <f t="shared" si="3"/>
        <v>ACTIVE</v>
      </c>
      <c r="N41" s="68" t="str">
        <f t="shared" si="3"/>
        <v>ACTIVE</v>
      </c>
      <c r="O41" s="68" t="str">
        <f t="shared" si="3"/>
        <v>ACTIVE</v>
      </c>
      <c r="P41" s="68" t="str">
        <f t="shared" si="3"/>
        <v>ACTIVE</v>
      </c>
      <c r="Q41" s="68" t="str">
        <f t="shared" si="3"/>
        <v>ACTIVE</v>
      </c>
    </row>
    <row r="42" spans="1:17" x14ac:dyDescent="0.35">
      <c r="A42" s="59"/>
      <c r="B42" s="72" t="str">
        <v>10GG4121</v>
      </c>
      <c r="C42" s="68" t="str">
        <f>VLOOKUP(B42,Master!B:C,2,0)</f>
        <v>10GG4121</v>
      </c>
      <c r="D42" s="69">
        <f>VLOOKUP(B42,Master!B:L,11,0)</f>
        <v>43354</v>
      </c>
      <c r="E42" s="69">
        <f>VLOOKUP(B42,Master!B:P,15,0)</f>
        <v>0</v>
      </c>
      <c r="F42" s="68" t="str">
        <f t="shared" si="3"/>
        <v>ACTIVE</v>
      </c>
      <c r="G42" s="68" t="str">
        <f t="shared" si="3"/>
        <v>ACTIVE</v>
      </c>
      <c r="H42" s="68" t="str">
        <f t="shared" si="3"/>
        <v>ACTIVE</v>
      </c>
      <c r="I42" s="68" t="str">
        <f t="shared" si="3"/>
        <v>ACTIVE</v>
      </c>
      <c r="J42" s="68" t="str">
        <f t="shared" si="3"/>
        <v>ACTIVE</v>
      </c>
      <c r="K42" s="68" t="str">
        <f t="shared" si="3"/>
        <v>ACTIVE</v>
      </c>
      <c r="L42" s="68" t="str">
        <f t="shared" si="3"/>
        <v>ACTIVE</v>
      </c>
      <c r="M42" s="68" t="str">
        <f t="shared" si="3"/>
        <v>ACTIVE</v>
      </c>
      <c r="N42" s="68" t="str">
        <f t="shared" si="3"/>
        <v>ACTIVE</v>
      </c>
      <c r="O42" s="68" t="str">
        <f t="shared" si="3"/>
        <v>ACTIVE</v>
      </c>
      <c r="P42" s="68" t="str">
        <f t="shared" si="3"/>
        <v>ACTIVE</v>
      </c>
      <c r="Q42" s="68" t="str">
        <f t="shared" si="3"/>
        <v>ACTIVE</v>
      </c>
    </row>
    <row r="43" spans="1:17" x14ac:dyDescent="0.35">
      <c r="A43" s="59"/>
      <c r="B43" s="72" t="str">
        <v>10MW5101</v>
      </c>
      <c r="C43" s="68" t="str">
        <f>VLOOKUP(B43,Master!B:C,2,0)</f>
        <v>10MW5101</v>
      </c>
      <c r="D43" s="69">
        <f>VLOOKUP(B43,Master!B:L,11,0)</f>
        <v>43381</v>
      </c>
      <c r="E43" s="69">
        <f>VLOOKUP(B43,Master!B:P,15,0)</f>
        <v>0</v>
      </c>
      <c r="F43" s="68" t="str">
        <f t="shared" si="3"/>
        <v>ACTIVE</v>
      </c>
      <c r="G43" s="68" t="str">
        <f t="shared" si="3"/>
        <v>ACTIVE</v>
      </c>
      <c r="H43" s="68" t="str">
        <f t="shared" si="3"/>
        <v>ACTIVE</v>
      </c>
      <c r="I43" s="68" t="str">
        <f t="shared" si="3"/>
        <v>ACTIVE</v>
      </c>
      <c r="J43" s="68" t="str">
        <f t="shared" si="3"/>
        <v>ACTIVE</v>
      </c>
      <c r="K43" s="68" t="str">
        <f t="shared" si="3"/>
        <v>ACTIVE</v>
      </c>
      <c r="L43" s="68" t="str">
        <f t="shared" si="3"/>
        <v>ACTIVE</v>
      </c>
      <c r="M43" s="68" t="str">
        <f t="shared" si="3"/>
        <v>ACTIVE</v>
      </c>
      <c r="N43" s="68" t="str">
        <f t="shared" si="3"/>
        <v>ACTIVE</v>
      </c>
      <c r="O43" s="68" t="str">
        <f t="shared" si="3"/>
        <v>ACTIVE</v>
      </c>
      <c r="P43" s="68" t="str">
        <f t="shared" si="3"/>
        <v>ACTIVE</v>
      </c>
      <c r="Q43" s="68" t="str">
        <f t="shared" si="3"/>
        <v>ACTIVE</v>
      </c>
    </row>
    <row r="44" spans="1:17" x14ac:dyDescent="0.35">
      <c r="A44" s="59"/>
      <c r="B44" s="72" t="str">
        <v>10SS5903</v>
      </c>
      <c r="C44" s="68" t="str">
        <f>VLOOKUP(B44,Master!B:C,2,0)</f>
        <v>10SS5903</v>
      </c>
      <c r="D44" s="69">
        <f>VLOOKUP(B44,Master!B:L,11,0)</f>
        <v>43381</v>
      </c>
      <c r="E44" s="69">
        <f>VLOOKUP(B44,Master!B:P,15,0)</f>
        <v>0</v>
      </c>
      <c r="F44" s="68" t="str">
        <f t="shared" si="3"/>
        <v>ACTIVE</v>
      </c>
      <c r="G44" s="68" t="str">
        <f t="shared" si="3"/>
        <v>ACTIVE</v>
      </c>
      <c r="H44" s="68" t="str">
        <f t="shared" si="3"/>
        <v>ACTIVE</v>
      </c>
      <c r="I44" s="68" t="str">
        <f t="shared" si="3"/>
        <v>ACTIVE</v>
      </c>
      <c r="J44" s="68" t="str">
        <f t="shared" si="3"/>
        <v>ACTIVE</v>
      </c>
      <c r="K44" s="68" t="str">
        <f t="shared" si="3"/>
        <v>ACTIVE</v>
      </c>
      <c r="L44" s="68" t="str">
        <f t="shared" si="3"/>
        <v>ACTIVE</v>
      </c>
      <c r="M44" s="68" t="str">
        <f t="shared" si="3"/>
        <v>ACTIVE</v>
      </c>
      <c r="N44" s="68" t="str">
        <f t="shared" si="3"/>
        <v>ACTIVE</v>
      </c>
      <c r="O44" s="68" t="str">
        <f t="shared" si="3"/>
        <v>ACTIVE</v>
      </c>
      <c r="P44" s="68" t="str">
        <f t="shared" si="3"/>
        <v>ACTIVE</v>
      </c>
      <c r="Q44" s="68" t="str">
        <f t="shared" si="3"/>
        <v>ACTIVE</v>
      </c>
    </row>
    <row r="45" spans="1:17" x14ac:dyDescent="0.35">
      <c r="A45" s="59"/>
      <c r="B45" s="72" t="str">
        <v>10GG4132</v>
      </c>
      <c r="C45" s="68" t="str">
        <f>VLOOKUP(B45,Master!B:C,2,0)</f>
        <v>10GG4132</v>
      </c>
      <c r="D45" s="69">
        <f>VLOOKUP(B45,Master!B:L,11,0)</f>
        <v>43432</v>
      </c>
      <c r="E45" s="69">
        <f>VLOOKUP(B45,Master!B:P,15,0)</f>
        <v>0</v>
      </c>
      <c r="F45" s="68" t="str">
        <f t="shared" si="3"/>
        <v>ACTIVE</v>
      </c>
      <c r="G45" s="68" t="str">
        <f t="shared" si="3"/>
        <v>ACTIVE</v>
      </c>
      <c r="H45" s="68" t="str">
        <f t="shared" si="3"/>
        <v>ACTIVE</v>
      </c>
      <c r="I45" s="68" t="str">
        <f t="shared" si="3"/>
        <v>ACTIVE</v>
      </c>
      <c r="J45" s="68" t="str">
        <f t="shared" si="3"/>
        <v>ACTIVE</v>
      </c>
      <c r="K45" s="68" t="str">
        <f t="shared" si="3"/>
        <v>ACTIVE</v>
      </c>
      <c r="L45" s="68" t="str">
        <f t="shared" si="3"/>
        <v>ACTIVE</v>
      </c>
      <c r="M45" s="68" t="str">
        <f t="shared" si="3"/>
        <v>ACTIVE</v>
      </c>
      <c r="N45" s="68" t="str">
        <f t="shared" si="3"/>
        <v>ACTIVE</v>
      </c>
      <c r="O45" s="68" t="str">
        <f t="shared" si="3"/>
        <v>ACTIVE</v>
      </c>
      <c r="P45" s="68" t="str">
        <f t="shared" si="3"/>
        <v>ACTIVE</v>
      </c>
      <c r="Q45" s="68" t="str">
        <f t="shared" si="3"/>
        <v>ACTIVE</v>
      </c>
    </row>
    <row r="46" spans="1:17" x14ac:dyDescent="0.35">
      <c r="A46" s="59"/>
      <c r="B46" s="72" t="str">
        <v>10MW5102</v>
      </c>
      <c r="C46" s="68" t="str">
        <f>VLOOKUP(B46,Master!B:C,2,0)</f>
        <v>10MW5102</v>
      </c>
      <c r="D46" s="69">
        <f>VLOOKUP(B46,Master!B:L,11,0)</f>
        <v>43437</v>
      </c>
      <c r="E46" s="69">
        <f>VLOOKUP(B46,Master!B:P,15,0)</f>
        <v>0</v>
      </c>
      <c r="F46" s="68" t="str">
        <f t="shared" si="3"/>
        <v>ACTIVE</v>
      </c>
      <c r="G46" s="68" t="str">
        <f t="shared" si="3"/>
        <v>ACTIVE</v>
      </c>
      <c r="H46" s="68" t="str">
        <f t="shared" si="3"/>
        <v>ACTIVE</v>
      </c>
      <c r="I46" s="68" t="str">
        <f t="shared" si="3"/>
        <v>ACTIVE</v>
      </c>
      <c r="J46" s="68" t="str">
        <f t="shared" si="3"/>
        <v>ACTIVE</v>
      </c>
      <c r="K46" s="68" t="str">
        <f t="shared" si="3"/>
        <v>ACTIVE</v>
      </c>
      <c r="L46" s="68" t="str">
        <f t="shared" si="3"/>
        <v>ACTIVE</v>
      </c>
      <c r="M46" s="68" t="str">
        <f t="shared" si="3"/>
        <v>ACTIVE</v>
      </c>
      <c r="N46" s="68" t="str">
        <f t="shared" si="3"/>
        <v>ACTIVE</v>
      </c>
      <c r="O46" s="68" t="str">
        <f t="shared" si="3"/>
        <v>ACTIVE</v>
      </c>
      <c r="P46" s="68" t="str">
        <f t="shared" si="3"/>
        <v>ACTIVE</v>
      </c>
      <c r="Q46" s="68" t="str">
        <f t="shared" si="3"/>
        <v>ACTIVE</v>
      </c>
    </row>
    <row r="47" spans="1:17" x14ac:dyDescent="0.35">
      <c r="A47" s="59"/>
      <c r="B47" s="72" t="str">
        <v>10YT5500</v>
      </c>
      <c r="C47" s="68" t="str">
        <f>VLOOKUP(B47,Master!B:C,2,0)</f>
        <v>10YT5500</v>
      </c>
      <c r="D47" s="69">
        <f>VLOOKUP(B47,Master!B:L,11,0)</f>
        <v>43462</v>
      </c>
      <c r="E47" s="69">
        <f>VLOOKUP(B47,Master!B:P,15,0)</f>
        <v>0</v>
      </c>
      <c r="F47" s="68" t="str">
        <f t="shared" si="3"/>
        <v>ACTIVE</v>
      </c>
      <c r="G47" s="68" t="str">
        <f t="shared" si="3"/>
        <v>ACTIVE</v>
      </c>
      <c r="H47" s="68" t="str">
        <f t="shared" si="3"/>
        <v>ACTIVE</v>
      </c>
      <c r="I47" s="68" t="str">
        <f t="shared" si="3"/>
        <v>ACTIVE</v>
      </c>
      <c r="J47" s="68" t="str">
        <f t="shared" si="3"/>
        <v>ACTIVE</v>
      </c>
      <c r="K47" s="68" t="str">
        <f t="shared" si="3"/>
        <v>ACTIVE</v>
      </c>
      <c r="L47" s="68" t="str">
        <f t="shared" si="3"/>
        <v>ACTIVE</v>
      </c>
      <c r="M47" s="68" t="str">
        <f t="shared" si="3"/>
        <v>ACTIVE</v>
      </c>
      <c r="N47" s="68" t="str">
        <f t="shared" si="3"/>
        <v>ACTIVE</v>
      </c>
      <c r="O47" s="68" t="str">
        <f t="shared" si="3"/>
        <v>ACTIVE</v>
      </c>
      <c r="P47" s="68" t="str">
        <f t="shared" si="3"/>
        <v>ACTIVE</v>
      </c>
      <c r="Q47" s="68" t="str">
        <f t="shared" si="3"/>
        <v>ACTIVE</v>
      </c>
    </row>
    <row r="48" spans="1:17" x14ac:dyDescent="0.35">
      <c r="A48" s="59"/>
      <c r="B48" s="72" t="str">
        <v>10SM4907</v>
      </c>
      <c r="C48" s="68" t="str">
        <f>VLOOKUP(B48,Master!B:C,2,0)</f>
        <v>10SM4907</v>
      </c>
      <c r="D48" s="69">
        <f>VLOOKUP(B48,Master!B:L,11,0)</f>
        <v>43498</v>
      </c>
      <c r="E48" s="69">
        <f>VLOOKUP(B48,Master!B:P,15,0)</f>
        <v>0</v>
      </c>
      <c r="F48" s="68" t="str">
        <f t="shared" si="3"/>
        <v>ACTIVE</v>
      </c>
      <c r="G48" s="68" t="str">
        <f t="shared" si="3"/>
        <v>ACTIVE</v>
      </c>
      <c r="H48" s="68" t="str">
        <f t="shared" si="3"/>
        <v>ACTIVE</v>
      </c>
      <c r="I48" s="68" t="str">
        <f t="shared" si="3"/>
        <v>ACTIVE</v>
      </c>
      <c r="J48" s="68" t="str">
        <f t="shared" si="3"/>
        <v>ACTIVE</v>
      </c>
      <c r="K48" s="68" t="str">
        <f t="shared" si="3"/>
        <v>ACTIVE</v>
      </c>
      <c r="L48" s="68" t="str">
        <f t="shared" si="3"/>
        <v>ACTIVE</v>
      </c>
      <c r="M48" s="68" t="str">
        <f t="shared" si="3"/>
        <v>ACTIVE</v>
      </c>
      <c r="N48" s="68" t="str">
        <f t="shared" si="3"/>
        <v>ACTIVE</v>
      </c>
      <c r="O48" s="68" t="str">
        <f t="shared" si="3"/>
        <v>ACTIVE</v>
      </c>
      <c r="P48" s="68" t="str">
        <f t="shared" si="3"/>
        <v>ACTIVE</v>
      </c>
      <c r="Q48" s="68" t="str">
        <f t="shared" si="3"/>
        <v>ACTIVE</v>
      </c>
    </row>
    <row r="49" spans="1:17" x14ac:dyDescent="0.35">
      <c r="A49" s="59"/>
      <c r="B49" s="72" t="str">
        <v>10GG4122</v>
      </c>
      <c r="C49" s="68" t="str">
        <f>VLOOKUP(B49,Master!B:C,2,0)</f>
        <v>10GG4122</v>
      </c>
      <c r="D49" s="69">
        <f>VLOOKUP(B49,Master!B:L,11,0)</f>
        <v>43498</v>
      </c>
      <c r="E49" s="69">
        <f>VLOOKUP(B49,Master!B:P,15,0)</f>
        <v>0</v>
      </c>
      <c r="F49" s="68" t="str">
        <f t="shared" si="3"/>
        <v>ACTIVE</v>
      </c>
      <c r="G49" s="68" t="str">
        <f t="shared" si="3"/>
        <v>ACTIVE</v>
      </c>
      <c r="H49" s="68" t="str">
        <f t="shared" si="3"/>
        <v>ACTIVE</v>
      </c>
      <c r="I49" s="68" t="str">
        <f t="shared" si="3"/>
        <v>ACTIVE</v>
      </c>
      <c r="J49" s="68" t="str">
        <f t="shared" si="3"/>
        <v>ACTIVE</v>
      </c>
      <c r="K49" s="68" t="str">
        <f t="shared" si="3"/>
        <v>ACTIVE</v>
      </c>
      <c r="L49" s="68" t="str">
        <f t="shared" si="3"/>
        <v>ACTIVE</v>
      </c>
      <c r="M49" s="68" t="str">
        <f t="shared" si="3"/>
        <v>ACTIVE</v>
      </c>
      <c r="N49" s="68" t="str">
        <f t="shared" si="3"/>
        <v>ACTIVE</v>
      </c>
      <c r="O49" s="68" t="str">
        <f t="shared" si="3"/>
        <v>ACTIVE</v>
      </c>
      <c r="P49" s="68" t="str">
        <f t="shared" si="3"/>
        <v>ACTIVE</v>
      </c>
      <c r="Q49" s="68" t="str">
        <f t="shared" si="3"/>
        <v>ACTIVE</v>
      </c>
    </row>
    <row r="50" spans="1:17" x14ac:dyDescent="0.35">
      <c r="A50" s="59"/>
      <c r="B50" s="72" t="str">
        <v>10VV5302</v>
      </c>
      <c r="C50" s="68" t="str">
        <f>VLOOKUP(B50,Master!B:C,2,0)</f>
        <v>10VV5302</v>
      </c>
      <c r="D50" s="69">
        <f>VLOOKUP(B50,Master!B:L,11,0)</f>
        <v>43617</v>
      </c>
      <c r="E50" s="69">
        <f>VLOOKUP(B50,Master!B:P,15,0)</f>
        <v>0</v>
      </c>
      <c r="F50" s="68" t="str">
        <f t="shared" si="3"/>
        <v>ACTIVE</v>
      </c>
      <c r="G50" s="68" t="str">
        <f t="shared" si="3"/>
        <v>ACTIVE</v>
      </c>
      <c r="H50" s="68" t="str">
        <f t="shared" si="3"/>
        <v>ACTIVE</v>
      </c>
      <c r="I50" s="68" t="str">
        <f t="shared" si="3"/>
        <v>ACTIVE</v>
      </c>
      <c r="J50" s="68" t="str">
        <f t="shared" si="3"/>
        <v>ACTIVE</v>
      </c>
      <c r="K50" s="68" t="str">
        <f t="shared" si="3"/>
        <v>ACTIVE</v>
      </c>
      <c r="L50" s="68" t="str">
        <f t="shared" si="3"/>
        <v>ACTIVE</v>
      </c>
      <c r="M50" s="68" t="str">
        <f t="shared" si="3"/>
        <v>ACTIVE</v>
      </c>
      <c r="N50" s="68" t="str">
        <f t="shared" si="3"/>
        <v>ACTIVE</v>
      </c>
      <c r="O50" s="68" t="str">
        <f t="shared" si="3"/>
        <v>ACTIVE</v>
      </c>
      <c r="P50" s="68" t="str">
        <f t="shared" si="3"/>
        <v>ACTIVE</v>
      </c>
      <c r="Q50" s="68" t="str">
        <f t="shared" si="3"/>
        <v>ACTIVE</v>
      </c>
    </row>
    <row r="51" spans="1:17" x14ac:dyDescent="0.35">
      <c r="A51" s="59"/>
      <c r="B51" s="72" t="str">
        <v>10YT5509</v>
      </c>
      <c r="C51" s="68" t="str">
        <f>VLOOKUP(B51,Master!B:C,2,0)</f>
        <v>10YT5509</v>
      </c>
      <c r="D51" s="69">
        <f>VLOOKUP(B51,Master!B:L,11,0)</f>
        <v>43798</v>
      </c>
      <c r="E51" s="69">
        <f>VLOOKUP(B51,Master!B:P,15,0)</f>
        <v>0</v>
      </c>
      <c r="F51" s="68" t="str">
        <f t="shared" si="3"/>
        <v>ACTIVE</v>
      </c>
      <c r="G51" s="68" t="str">
        <f t="shared" si="3"/>
        <v>ACTIVE</v>
      </c>
      <c r="H51" s="68" t="str">
        <f t="shared" si="3"/>
        <v>ACTIVE</v>
      </c>
      <c r="I51" s="68" t="str">
        <f t="shared" si="3"/>
        <v>ACTIVE</v>
      </c>
      <c r="J51" s="68" t="str">
        <f t="shared" si="3"/>
        <v>ACTIVE</v>
      </c>
      <c r="K51" s="68" t="str">
        <f t="shared" si="3"/>
        <v>ACTIVE</v>
      </c>
      <c r="L51" s="68" t="str">
        <f t="shared" si="3"/>
        <v>ACTIVE</v>
      </c>
      <c r="M51" s="68" t="str">
        <f t="shared" si="3"/>
        <v>ACTIVE</v>
      </c>
      <c r="N51" s="68" t="str">
        <f t="shared" si="3"/>
        <v>ACTIVE</v>
      </c>
      <c r="O51" s="68" t="str">
        <f t="shared" si="3"/>
        <v>ACTIVE</v>
      </c>
      <c r="P51" s="68" t="str">
        <f t="shared" si="3"/>
        <v>ACTIVE</v>
      </c>
      <c r="Q51" s="68" t="str">
        <f t="shared" si="3"/>
        <v>ACTIVE</v>
      </c>
    </row>
    <row r="52" spans="1:17" x14ac:dyDescent="0.35">
      <c r="A52" s="60"/>
      <c r="B52" s="73" t="str">
        <v>10MW5122</v>
      </c>
      <c r="C52" s="68" t="str">
        <f>VLOOKUP(B52,Master!B:C,2,0)</f>
        <v>10MW5122</v>
      </c>
      <c r="D52" s="69">
        <f>VLOOKUP(B52,Master!B:L,11,0)</f>
        <v>43798</v>
      </c>
      <c r="E52" s="69">
        <f>VLOOKUP(B52,Master!B:P,15,0)</f>
        <v>0</v>
      </c>
      <c r="F52" s="68" t="str">
        <f t="shared" ref="F52:Q67" si="4">IF($E52&gt;0,"CLOSED",IF($D52&lt;F$1,"ACTIVE","WAITING FOR OPEN"))</f>
        <v>ACTIVE</v>
      </c>
      <c r="G52" s="68" t="str">
        <f t="shared" si="4"/>
        <v>ACTIVE</v>
      </c>
      <c r="H52" s="68" t="str">
        <f t="shared" si="4"/>
        <v>ACTIVE</v>
      </c>
      <c r="I52" s="68" t="str">
        <f t="shared" si="4"/>
        <v>ACTIVE</v>
      </c>
      <c r="J52" s="68" t="str">
        <f t="shared" si="4"/>
        <v>ACTIVE</v>
      </c>
      <c r="K52" s="68" t="str">
        <f t="shared" si="4"/>
        <v>ACTIVE</v>
      </c>
      <c r="L52" s="68" t="str">
        <f t="shared" si="4"/>
        <v>ACTIVE</v>
      </c>
      <c r="M52" s="68" t="str">
        <f t="shared" si="4"/>
        <v>ACTIVE</v>
      </c>
      <c r="N52" s="68" t="str">
        <f t="shared" si="4"/>
        <v>ACTIVE</v>
      </c>
      <c r="O52" s="68" t="str">
        <f t="shared" si="4"/>
        <v>ACTIVE</v>
      </c>
      <c r="P52" s="68" t="str">
        <f t="shared" si="4"/>
        <v>ACTIVE</v>
      </c>
      <c r="Q52" s="68" t="str">
        <f t="shared" si="4"/>
        <v>ACTIVE</v>
      </c>
    </row>
    <row r="53" spans="1:17" x14ac:dyDescent="0.35">
      <c r="B53" s="70" t="str">
        <v>10MW5118</v>
      </c>
      <c r="C53" s="68" t="str">
        <f>VLOOKUP(B53,Master!B:C,2,0)</f>
        <v>10MW5118</v>
      </c>
      <c r="D53" s="69">
        <f>VLOOKUP(B53,Master!B:L,11,0)</f>
        <v>43702</v>
      </c>
      <c r="E53" s="69">
        <f>VLOOKUP(B53,Master!B:P,15,0)</f>
        <v>0</v>
      </c>
      <c r="F53" s="68" t="str">
        <f t="shared" si="4"/>
        <v>ACTIVE</v>
      </c>
      <c r="G53" s="68" t="str">
        <f t="shared" si="4"/>
        <v>ACTIVE</v>
      </c>
      <c r="H53" s="68" t="str">
        <f t="shared" si="4"/>
        <v>ACTIVE</v>
      </c>
      <c r="I53" s="68" t="str">
        <f t="shared" si="4"/>
        <v>ACTIVE</v>
      </c>
      <c r="J53" s="68" t="str">
        <f t="shared" si="4"/>
        <v>ACTIVE</v>
      </c>
      <c r="K53" s="68" t="str">
        <f t="shared" si="4"/>
        <v>ACTIVE</v>
      </c>
      <c r="L53" s="68" t="str">
        <f t="shared" si="4"/>
        <v>ACTIVE</v>
      </c>
      <c r="M53" s="68" t="str">
        <f t="shared" si="4"/>
        <v>ACTIVE</v>
      </c>
      <c r="N53" s="68" t="str">
        <f t="shared" si="4"/>
        <v>ACTIVE</v>
      </c>
      <c r="O53" s="68" t="str">
        <f t="shared" si="4"/>
        <v>ACTIVE</v>
      </c>
      <c r="P53" s="68" t="str">
        <f t="shared" si="4"/>
        <v>ACTIVE</v>
      </c>
      <c r="Q53" s="68" t="str">
        <f t="shared" si="4"/>
        <v>ACTIVE</v>
      </c>
    </row>
    <row r="54" spans="1:17" x14ac:dyDescent="0.35">
      <c r="B54" s="70" t="str">
        <v>10GG4198</v>
      </c>
      <c r="C54" s="68" t="str">
        <f>VLOOKUP(B54,Master!B:C,2,0)</f>
        <v>10GG4198</v>
      </c>
      <c r="D54" s="69">
        <f>VLOOKUP(B54,Master!B:L,11,0)</f>
        <v>43731</v>
      </c>
      <c r="E54" s="69">
        <f>VLOOKUP(B54,Master!B:P,15,0)</f>
        <v>0</v>
      </c>
      <c r="F54" s="68" t="str">
        <f t="shared" si="4"/>
        <v>ACTIVE</v>
      </c>
      <c r="G54" s="68" t="str">
        <f t="shared" si="4"/>
        <v>ACTIVE</v>
      </c>
      <c r="H54" s="68" t="str">
        <f t="shared" si="4"/>
        <v>ACTIVE</v>
      </c>
      <c r="I54" s="68" t="str">
        <f t="shared" si="4"/>
        <v>ACTIVE</v>
      </c>
      <c r="J54" s="68" t="str">
        <f t="shared" si="4"/>
        <v>ACTIVE</v>
      </c>
      <c r="K54" s="68" t="str">
        <f t="shared" si="4"/>
        <v>ACTIVE</v>
      </c>
      <c r="L54" s="68" t="str">
        <f t="shared" si="4"/>
        <v>ACTIVE</v>
      </c>
      <c r="M54" s="68" t="str">
        <f t="shared" si="4"/>
        <v>ACTIVE</v>
      </c>
      <c r="N54" s="68" t="str">
        <f t="shared" si="4"/>
        <v>ACTIVE</v>
      </c>
      <c r="O54" s="68" t="str">
        <f t="shared" si="4"/>
        <v>ACTIVE</v>
      </c>
      <c r="P54" s="68" t="str">
        <f t="shared" si="4"/>
        <v>ACTIVE</v>
      </c>
      <c r="Q54" s="68" t="str">
        <f t="shared" si="4"/>
        <v>ACTIVE</v>
      </c>
    </row>
    <row r="55" spans="1:17" x14ac:dyDescent="0.35">
      <c r="B55" s="70" t="str">
        <v>10GG4201</v>
      </c>
      <c r="C55" s="68" t="str">
        <f>VLOOKUP(B55,Master!B:C,2,0)</f>
        <v>10GG4201</v>
      </c>
      <c r="D55" s="69">
        <f>VLOOKUP(B55,Master!B:L,11,0)</f>
        <v>43804</v>
      </c>
      <c r="E55" s="69">
        <f>VLOOKUP(B55,Master!B:P,15,0)</f>
        <v>0</v>
      </c>
      <c r="F55" s="68" t="str">
        <f t="shared" si="4"/>
        <v>ACTIVE</v>
      </c>
      <c r="G55" s="68" t="str">
        <f t="shared" si="4"/>
        <v>ACTIVE</v>
      </c>
      <c r="H55" s="68" t="str">
        <f t="shared" si="4"/>
        <v>ACTIVE</v>
      </c>
      <c r="I55" s="68" t="str">
        <f t="shared" si="4"/>
        <v>ACTIVE</v>
      </c>
      <c r="J55" s="68" t="str">
        <f t="shared" si="4"/>
        <v>ACTIVE</v>
      </c>
      <c r="K55" s="68" t="str">
        <f t="shared" si="4"/>
        <v>ACTIVE</v>
      </c>
      <c r="L55" s="68" t="str">
        <f t="shared" si="4"/>
        <v>ACTIVE</v>
      </c>
      <c r="M55" s="68" t="str">
        <f t="shared" si="4"/>
        <v>ACTIVE</v>
      </c>
      <c r="N55" s="68" t="str">
        <f t="shared" si="4"/>
        <v>ACTIVE</v>
      </c>
      <c r="O55" s="68" t="str">
        <f t="shared" si="4"/>
        <v>ACTIVE</v>
      </c>
      <c r="P55" s="68" t="str">
        <f t="shared" si="4"/>
        <v>ACTIVE</v>
      </c>
      <c r="Q55" s="68" t="str">
        <f t="shared" si="4"/>
        <v>ACTIVE</v>
      </c>
    </row>
    <row r="56" spans="1:17" x14ac:dyDescent="0.35">
      <c r="B56" s="70" t="str">
        <v>10KK4489</v>
      </c>
      <c r="C56" s="68" t="str">
        <f>VLOOKUP(B56,Master!B:C,2,0)</f>
        <v>10KK4489</v>
      </c>
      <c r="D56" s="69">
        <f>VLOOKUP(B56,Master!B:L,11,0)</f>
        <v>43804</v>
      </c>
      <c r="E56" s="69">
        <f>VLOOKUP(B56,Master!B:P,15,0)</f>
        <v>0</v>
      </c>
      <c r="F56" s="68" t="str">
        <f t="shared" si="4"/>
        <v>ACTIVE</v>
      </c>
      <c r="G56" s="68" t="str">
        <f t="shared" si="4"/>
        <v>ACTIVE</v>
      </c>
      <c r="H56" s="68" t="str">
        <f t="shared" si="4"/>
        <v>ACTIVE</v>
      </c>
      <c r="I56" s="68" t="str">
        <f t="shared" si="4"/>
        <v>ACTIVE</v>
      </c>
      <c r="J56" s="68" t="str">
        <f t="shared" si="4"/>
        <v>ACTIVE</v>
      </c>
      <c r="K56" s="68" t="str">
        <f t="shared" si="4"/>
        <v>ACTIVE</v>
      </c>
      <c r="L56" s="68" t="str">
        <f t="shared" si="4"/>
        <v>ACTIVE</v>
      </c>
      <c r="M56" s="68" t="str">
        <f t="shared" si="4"/>
        <v>ACTIVE</v>
      </c>
      <c r="N56" s="68" t="str">
        <f t="shared" si="4"/>
        <v>ACTIVE</v>
      </c>
      <c r="O56" s="68" t="str">
        <f t="shared" si="4"/>
        <v>ACTIVE</v>
      </c>
      <c r="P56" s="68" t="str">
        <f t="shared" si="4"/>
        <v>ACTIVE</v>
      </c>
      <c r="Q56" s="68" t="str">
        <f t="shared" si="4"/>
        <v>ACTIVE</v>
      </c>
    </row>
    <row r="57" spans="1:17" x14ac:dyDescent="0.35">
      <c r="B57" s="70" t="str">
        <v>10MW5123</v>
      </c>
      <c r="C57" s="68" t="str">
        <f>VLOOKUP(B57,Master!B:C,2,0)</f>
        <v>10MW5123</v>
      </c>
      <c r="D57" s="69">
        <f>VLOOKUP(B57,Master!B:L,11,0)</f>
        <v>43804</v>
      </c>
      <c r="E57" s="69">
        <f>VLOOKUP(B57,Master!B:P,15,0)</f>
        <v>0</v>
      </c>
      <c r="F57" s="68" t="str">
        <f t="shared" si="4"/>
        <v>ACTIVE</v>
      </c>
      <c r="G57" s="68" t="str">
        <f t="shared" si="4"/>
        <v>ACTIVE</v>
      </c>
      <c r="H57" s="68" t="str">
        <f t="shared" si="4"/>
        <v>ACTIVE</v>
      </c>
      <c r="I57" s="68" t="str">
        <f t="shared" si="4"/>
        <v>ACTIVE</v>
      </c>
      <c r="J57" s="68" t="str">
        <f t="shared" si="4"/>
        <v>ACTIVE</v>
      </c>
      <c r="K57" s="68" t="str">
        <f t="shared" si="4"/>
        <v>ACTIVE</v>
      </c>
      <c r="L57" s="68" t="str">
        <f t="shared" si="4"/>
        <v>ACTIVE</v>
      </c>
      <c r="M57" s="68" t="str">
        <f t="shared" si="4"/>
        <v>ACTIVE</v>
      </c>
      <c r="N57" s="68" t="str">
        <f t="shared" si="4"/>
        <v>ACTIVE</v>
      </c>
      <c r="O57" s="68" t="str">
        <f t="shared" si="4"/>
        <v>ACTIVE</v>
      </c>
      <c r="P57" s="68" t="str">
        <f t="shared" si="4"/>
        <v>ACTIVE</v>
      </c>
      <c r="Q57" s="68" t="str">
        <f t="shared" si="4"/>
        <v>ACTIVE</v>
      </c>
    </row>
    <row r="58" spans="1:17" x14ac:dyDescent="0.35">
      <c r="B58" s="70" t="str">
        <v>10SM4925</v>
      </c>
      <c r="C58" s="68" t="str">
        <f>VLOOKUP(B58,Master!B:C,2,0)</f>
        <v>10SM4925</v>
      </c>
      <c r="D58" s="69">
        <f>VLOOKUP(B58,Master!B:L,11,0)</f>
        <v>43804</v>
      </c>
      <c r="E58" s="69">
        <f>VLOOKUP(B58,Master!B:P,15,0)</f>
        <v>0</v>
      </c>
      <c r="F58" s="68" t="str">
        <f t="shared" si="4"/>
        <v>ACTIVE</v>
      </c>
      <c r="G58" s="68" t="str">
        <f t="shared" si="4"/>
        <v>ACTIVE</v>
      </c>
      <c r="H58" s="68" t="str">
        <f t="shared" si="4"/>
        <v>ACTIVE</v>
      </c>
      <c r="I58" s="68" t="str">
        <f t="shared" si="4"/>
        <v>ACTIVE</v>
      </c>
      <c r="J58" s="68" t="str">
        <f t="shared" si="4"/>
        <v>ACTIVE</v>
      </c>
      <c r="K58" s="68" t="str">
        <f t="shared" si="4"/>
        <v>ACTIVE</v>
      </c>
      <c r="L58" s="68" t="str">
        <f t="shared" si="4"/>
        <v>ACTIVE</v>
      </c>
      <c r="M58" s="68" t="str">
        <f t="shared" si="4"/>
        <v>ACTIVE</v>
      </c>
      <c r="N58" s="68" t="str">
        <f t="shared" si="4"/>
        <v>ACTIVE</v>
      </c>
      <c r="O58" s="68" t="str">
        <f t="shared" si="4"/>
        <v>ACTIVE</v>
      </c>
      <c r="P58" s="68" t="str">
        <f t="shared" si="4"/>
        <v>ACTIVE</v>
      </c>
      <c r="Q58" s="68" t="str">
        <f t="shared" si="4"/>
        <v>ACTIVE</v>
      </c>
    </row>
    <row r="59" spans="1:17" x14ac:dyDescent="0.35">
      <c r="B59" s="70" t="str">
        <v>10SS5907</v>
      </c>
      <c r="C59" s="68" t="str">
        <f>VLOOKUP(B59,Master!B:C,2,0)</f>
        <v>10SS5907</v>
      </c>
      <c r="D59" s="69">
        <f>VLOOKUP(B59,Master!B:L,11,0)</f>
        <v>43804</v>
      </c>
      <c r="E59" s="69">
        <f>VLOOKUP(B59,Master!B:P,15,0)</f>
        <v>0</v>
      </c>
      <c r="F59" s="68" t="str">
        <f t="shared" si="4"/>
        <v>ACTIVE</v>
      </c>
      <c r="G59" s="68" t="str">
        <f t="shared" si="4"/>
        <v>ACTIVE</v>
      </c>
      <c r="H59" s="68" t="str">
        <f t="shared" si="4"/>
        <v>ACTIVE</v>
      </c>
      <c r="I59" s="68" t="str">
        <f t="shared" si="4"/>
        <v>ACTIVE</v>
      </c>
      <c r="J59" s="68" t="str">
        <f t="shared" si="4"/>
        <v>ACTIVE</v>
      </c>
      <c r="K59" s="68" t="str">
        <f t="shared" si="4"/>
        <v>ACTIVE</v>
      </c>
      <c r="L59" s="68" t="str">
        <f t="shared" si="4"/>
        <v>ACTIVE</v>
      </c>
      <c r="M59" s="68" t="str">
        <f t="shared" si="4"/>
        <v>ACTIVE</v>
      </c>
      <c r="N59" s="68" t="str">
        <f t="shared" si="4"/>
        <v>ACTIVE</v>
      </c>
      <c r="O59" s="68" t="str">
        <f t="shared" si="4"/>
        <v>ACTIVE</v>
      </c>
      <c r="P59" s="68" t="str">
        <f t="shared" si="4"/>
        <v>ACTIVE</v>
      </c>
      <c r="Q59" s="68" t="str">
        <f t="shared" si="4"/>
        <v>ACTIVE</v>
      </c>
    </row>
    <row r="60" spans="1:17" x14ac:dyDescent="0.35">
      <c r="B60" s="70" t="str">
        <v>10GG4199</v>
      </c>
      <c r="C60" s="68" t="str">
        <f>VLOOKUP(B60,Master!B:C,2,0)</f>
        <v>10GG4199</v>
      </c>
      <c r="D60" s="69">
        <f>VLOOKUP(B60,Master!B:L,11,0)</f>
        <v>43702</v>
      </c>
      <c r="E60" s="69">
        <f>VLOOKUP(B60,Master!B:P,15,0)</f>
        <v>0</v>
      </c>
      <c r="F60" s="68" t="str">
        <f t="shared" si="4"/>
        <v>ACTIVE</v>
      </c>
      <c r="G60" s="68" t="str">
        <f t="shared" si="4"/>
        <v>ACTIVE</v>
      </c>
      <c r="H60" s="68" t="str">
        <f t="shared" si="4"/>
        <v>ACTIVE</v>
      </c>
      <c r="I60" s="68" t="str">
        <f t="shared" si="4"/>
        <v>ACTIVE</v>
      </c>
      <c r="J60" s="68" t="str">
        <f t="shared" si="4"/>
        <v>ACTIVE</v>
      </c>
      <c r="K60" s="68" t="str">
        <f t="shared" si="4"/>
        <v>ACTIVE</v>
      </c>
      <c r="L60" s="68" t="str">
        <f t="shared" si="4"/>
        <v>ACTIVE</v>
      </c>
      <c r="M60" s="68" t="str">
        <f t="shared" si="4"/>
        <v>ACTIVE</v>
      </c>
      <c r="N60" s="68" t="str">
        <f t="shared" si="4"/>
        <v>ACTIVE</v>
      </c>
      <c r="O60" s="68" t="str">
        <f t="shared" si="4"/>
        <v>ACTIVE</v>
      </c>
      <c r="P60" s="68" t="str">
        <f t="shared" si="4"/>
        <v>ACTIVE</v>
      </c>
      <c r="Q60" s="68" t="str">
        <f t="shared" si="4"/>
        <v>ACTIVE</v>
      </c>
    </row>
    <row r="61" spans="1:17" x14ac:dyDescent="0.35">
      <c r="B61" s="70" t="str">
        <v>10GG4210</v>
      </c>
      <c r="C61" s="68" t="str">
        <f>VLOOKUP(B61,Master!B:C,2,0)</f>
        <v>10GG4210</v>
      </c>
      <c r="D61" s="69">
        <f>VLOOKUP(B61,Master!B:L,11,0)</f>
        <v>43997</v>
      </c>
      <c r="E61" s="69">
        <f>VLOOKUP(B61,Master!B:P,15,0)</f>
        <v>0</v>
      </c>
      <c r="F61" s="68" t="str">
        <f t="shared" si="4"/>
        <v>ACTIVE</v>
      </c>
      <c r="G61" s="68" t="str">
        <f t="shared" si="4"/>
        <v>ACTIVE</v>
      </c>
      <c r="H61" s="68" t="str">
        <f t="shared" si="4"/>
        <v>ACTIVE</v>
      </c>
      <c r="I61" s="68" t="str">
        <f t="shared" si="4"/>
        <v>ACTIVE</v>
      </c>
      <c r="J61" s="68" t="str">
        <f t="shared" si="4"/>
        <v>ACTIVE</v>
      </c>
      <c r="K61" s="68" t="str">
        <f t="shared" si="4"/>
        <v>ACTIVE</v>
      </c>
      <c r="L61" s="68" t="str">
        <f t="shared" si="4"/>
        <v>ACTIVE</v>
      </c>
      <c r="M61" s="68" t="str">
        <f t="shared" si="4"/>
        <v>ACTIVE</v>
      </c>
      <c r="N61" s="68" t="str">
        <f t="shared" si="4"/>
        <v>ACTIVE</v>
      </c>
      <c r="O61" s="68" t="str">
        <f t="shared" si="4"/>
        <v>ACTIVE</v>
      </c>
      <c r="P61" s="68" t="str">
        <f t="shared" si="4"/>
        <v>ACTIVE</v>
      </c>
      <c r="Q61" s="68" t="str">
        <f t="shared" si="4"/>
        <v>ACTIVE</v>
      </c>
    </row>
    <row r="62" spans="1:17" x14ac:dyDescent="0.35">
      <c r="B62" s="70" t="str">
        <v>10MW5132</v>
      </c>
      <c r="C62" s="68" t="str">
        <f>VLOOKUP(B62,Master!B:C,2,0)</f>
        <v>10MW5132</v>
      </c>
      <c r="D62" s="69">
        <f>VLOOKUP(B62,Master!B:L,11,0)</f>
        <v>44044</v>
      </c>
      <c r="E62" s="69">
        <f>VLOOKUP(B62,Master!B:P,15,0)</f>
        <v>0</v>
      </c>
      <c r="F62" s="68" t="str">
        <f t="shared" si="4"/>
        <v>ACTIVE</v>
      </c>
      <c r="G62" s="68" t="str">
        <f t="shared" si="4"/>
        <v>ACTIVE</v>
      </c>
      <c r="H62" s="68" t="str">
        <f t="shared" si="4"/>
        <v>ACTIVE</v>
      </c>
      <c r="I62" s="68" t="str">
        <f t="shared" si="4"/>
        <v>ACTIVE</v>
      </c>
      <c r="J62" s="68" t="str">
        <f t="shared" si="4"/>
        <v>ACTIVE</v>
      </c>
      <c r="K62" s="68" t="str">
        <f t="shared" si="4"/>
        <v>ACTIVE</v>
      </c>
      <c r="L62" s="68" t="str">
        <f t="shared" si="4"/>
        <v>ACTIVE</v>
      </c>
      <c r="M62" s="68" t="str">
        <f t="shared" si="4"/>
        <v>ACTIVE</v>
      </c>
      <c r="N62" s="68" t="str">
        <f t="shared" si="4"/>
        <v>ACTIVE</v>
      </c>
      <c r="O62" s="68" t="str">
        <f t="shared" si="4"/>
        <v>ACTIVE</v>
      </c>
      <c r="P62" s="68" t="str">
        <f t="shared" si="4"/>
        <v>ACTIVE</v>
      </c>
      <c r="Q62" s="68" t="str">
        <f t="shared" si="4"/>
        <v>ACTIVE</v>
      </c>
    </row>
    <row r="63" spans="1:17" x14ac:dyDescent="0.35">
      <c r="B63" s="70" t="str">
        <v>10GG4206</v>
      </c>
      <c r="C63" s="68" t="str">
        <f>VLOOKUP(B63,Master!B:C,2,0)</f>
        <v>10GG4206</v>
      </c>
      <c r="D63" s="69">
        <f>VLOOKUP(B63,Master!B:L,11,0)</f>
        <v>43880</v>
      </c>
      <c r="E63" s="69">
        <f>VLOOKUP(B63,Master!B:P,15,0)</f>
        <v>0</v>
      </c>
      <c r="F63" s="68" t="str">
        <f t="shared" si="4"/>
        <v>ACTIVE</v>
      </c>
      <c r="G63" s="68" t="str">
        <f t="shared" si="4"/>
        <v>ACTIVE</v>
      </c>
      <c r="H63" s="68" t="str">
        <f t="shared" si="4"/>
        <v>ACTIVE</v>
      </c>
      <c r="I63" s="68" t="str">
        <f t="shared" si="4"/>
        <v>ACTIVE</v>
      </c>
      <c r="J63" s="68" t="str">
        <f t="shared" si="4"/>
        <v>ACTIVE</v>
      </c>
      <c r="K63" s="68" t="str">
        <f t="shared" si="4"/>
        <v>ACTIVE</v>
      </c>
      <c r="L63" s="68" t="str">
        <f t="shared" si="4"/>
        <v>ACTIVE</v>
      </c>
      <c r="M63" s="68" t="str">
        <f t="shared" si="4"/>
        <v>ACTIVE</v>
      </c>
      <c r="N63" s="68" t="str">
        <f t="shared" si="4"/>
        <v>ACTIVE</v>
      </c>
      <c r="O63" s="68" t="str">
        <f t="shared" si="4"/>
        <v>ACTIVE</v>
      </c>
      <c r="P63" s="68" t="str">
        <f t="shared" si="4"/>
        <v>ACTIVE</v>
      </c>
      <c r="Q63" s="68" t="str">
        <f t="shared" si="4"/>
        <v>ACTIVE</v>
      </c>
    </row>
    <row r="64" spans="1:17" x14ac:dyDescent="0.35">
      <c r="B64" s="70" t="str">
        <v>10MW5129</v>
      </c>
      <c r="C64" s="68" t="str">
        <f>VLOOKUP(B64,Master!B:C,2,0)</f>
        <v>10MW5129</v>
      </c>
      <c r="D64" s="69">
        <f>VLOOKUP(B64,Master!B:L,11,0)</f>
        <v>43897</v>
      </c>
      <c r="E64" s="69">
        <f>VLOOKUP(B64,Master!B:P,15,0)</f>
        <v>0</v>
      </c>
      <c r="F64" s="68" t="str">
        <f t="shared" si="4"/>
        <v>ACTIVE</v>
      </c>
      <c r="G64" s="68" t="str">
        <f t="shared" si="4"/>
        <v>ACTIVE</v>
      </c>
      <c r="H64" s="68" t="str">
        <f t="shared" si="4"/>
        <v>ACTIVE</v>
      </c>
      <c r="I64" s="68" t="str">
        <f t="shared" si="4"/>
        <v>ACTIVE</v>
      </c>
      <c r="J64" s="68" t="str">
        <f t="shared" si="4"/>
        <v>ACTIVE</v>
      </c>
      <c r="K64" s="68" t="str">
        <f t="shared" si="4"/>
        <v>ACTIVE</v>
      </c>
      <c r="L64" s="68" t="str">
        <f t="shared" si="4"/>
        <v>ACTIVE</v>
      </c>
      <c r="M64" s="68" t="str">
        <f t="shared" si="4"/>
        <v>ACTIVE</v>
      </c>
      <c r="N64" s="68" t="str">
        <f t="shared" si="4"/>
        <v>ACTIVE</v>
      </c>
      <c r="O64" s="68" t="str">
        <f t="shared" si="4"/>
        <v>ACTIVE</v>
      </c>
      <c r="P64" s="68" t="str">
        <f t="shared" si="4"/>
        <v>ACTIVE</v>
      </c>
      <c r="Q64" s="68" t="str">
        <f t="shared" si="4"/>
        <v>ACTIVE</v>
      </c>
    </row>
    <row r="65" spans="2:17" x14ac:dyDescent="0.35">
      <c r="B65" s="70" t="str">
        <v>10MW5128</v>
      </c>
      <c r="C65" s="68" t="str">
        <f>VLOOKUP(B65,Master!B:C,2,0)</f>
        <v>10MW5128</v>
      </c>
      <c r="D65" s="69">
        <f>VLOOKUP(B65,Master!B:L,11,0)</f>
        <v>43845</v>
      </c>
      <c r="E65" s="69">
        <f>VLOOKUP(B65,Master!B:P,15,0)</f>
        <v>0</v>
      </c>
      <c r="F65" s="68" t="str">
        <f t="shared" si="4"/>
        <v>ACTIVE</v>
      </c>
      <c r="G65" s="68" t="str">
        <f t="shared" si="4"/>
        <v>ACTIVE</v>
      </c>
      <c r="H65" s="68" t="str">
        <f t="shared" si="4"/>
        <v>ACTIVE</v>
      </c>
      <c r="I65" s="68" t="str">
        <f t="shared" si="4"/>
        <v>ACTIVE</v>
      </c>
      <c r="J65" s="68" t="str">
        <f t="shared" si="4"/>
        <v>ACTIVE</v>
      </c>
      <c r="K65" s="68" t="str">
        <f t="shared" si="4"/>
        <v>ACTIVE</v>
      </c>
      <c r="L65" s="68" t="str">
        <f t="shared" si="4"/>
        <v>ACTIVE</v>
      </c>
      <c r="M65" s="68" t="str">
        <f t="shared" si="4"/>
        <v>ACTIVE</v>
      </c>
      <c r="N65" s="68" t="str">
        <f t="shared" si="4"/>
        <v>ACTIVE</v>
      </c>
      <c r="O65" s="68" t="str">
        <f t="shared" si="4"/>
        <v>ACTIVE</v>
      </c>
      <c r="P65" s="68" t="str">
        <f t="shared" si="4"/>
        <v>ACTIVE</v>
      </c>
      <c r="Q65" s="68" t="str">
        <f t="shared" si="4"/>
        <v>ACTIVE</v>
      </c>
    </row>
    <row r="66" spans="2:17" x14ac:dyDescent="0.35">
      <c r="B66" s="70" t="str">
        <v>10MW5126</v>
      </c>
      <c r="C66" s="68" t="str">
        <f>VLOOKUP(B66,Master!B:C,2,0)</f>
        <v>10MW5126</v>
      </c>
      <c r="D66" s="69">
        <f>VLOOKUP(B66,Master!B:L,11,0)</f>
        <v>43880</v>
      </c>
      <c r="E66" s="69">
        <f>VLOOKUP(B66,Master!B:P,15,0)</f>
        <v>0</v>
      </c>
      <c r="F66" s="68" t="str">
        <f t="shared" si="4"/>
        <v>ACTIVE</v>
      </c>
      <c r="G66" s="68" t="str">
        <f t="shared" si="4"/>
        <v>ACTIVE</v>
      </c>
      <c r="H66" s="68" t="str">
        <f t="shared" si="4"/>
        <v>ACTIVE</v>
      </c>
      <c r="I66" s="68" t="str">
        <f t="shared" si="4"/>
        <v>ACTIVE</v>
      </c>
      <c r="J66" s="68" t="str">
        <f t="shared" si="4"/>
        <v>ACTIVE</v>
      </c>
      <c r="K66" s="68" t="str">
        <f t="shared" si="4"/>
        <v>ACTIVE</v>
      </c>
      <c r="L66" s="68" t="str">
        <f t="shared" si="4"/>
        <v>ACTIVE</v>
      </c>
      <c r="M66" s="68" t="str">
        <f t="shared" si="4"/>
        <v>ACTIVE</v>
      </c>
      <c r="N66" s="68" t="str">
        <f t="shared" si="4"/>
        <v>ACTIVE</v>
      </c>
      <c r="O66" s="68" t="str">
        <f t="shared" si="4"/>
        <v>ACTIVE</v>
      </c>
      <c r="P66" s="68" t="str">
        <f t="shared" si="4"/>
        <v>ACTIVE</v>
      </c>
      <c r="Q66" s="68" t="str">
        <f t="shared" si="4"/>
        <v>ACTIVE</v>
      </c>
    </row>
    <row r="67" spans="2:17" x14ac:dyDescent="0.35">
      <c r="B67" s="70" t="str">
        <v>10CI6901</v>
      </c>
      <c r="C67" s="68" t="str">
        <f>VLOOKUP(B67,Master!B:C,2,0)</f>
        <v>10CI6901</v>
      </c>
      <c r="D67" s="69">
        <f>VLOOKUP(B67,Master!B:L,11,0)</f>
        <v>43871</v>
      </c>
      <c r="E67" s="69">
        <f>VLOOKUP(B67,Master!B:P,15,0)</f>
        <v>0</v>
      </c>
      <c r="F67" s="68" t="str">
        <f t="shared" si="4"/>
        <v>ACTIVE</v>
      </c>
      <c r="G67" s="68" t="str">
        <f t="shared" si="4"/>
        <v>ACTIVE</v>
      </c>
      <c r="H67" s="68" t="str">
        <f t="shared" si="4"/>
        <v>ACTIVE</v>
      </c>
      <c r="I67" s="68" t="str">
        <f t="shared" si="4"/>
        <v>ACTIVE</v>
      </c>
      <c r="J67" s="68" t="str">
        <f t="shared" si="4"/>
        <v>ACTIVE</v>
      </c>
      <c r="K67" s="68" t="str">
        <f t="shared" si="4"/>
        <v>ACTIVE</v>
      </c>
      <c r="L67" s="68" t="str">
        <f t="shared" si="4"/>
        <v>ACTIVE</v>
      </c>
      <c r="M67" s="68" t="str">
        <f t="shared" si="4"/>
        <v>ACTIVE</v>
      </c>
      <c r="N67" s="68" t="str">
        <f t="shared" si="4"/>
        <v>ACTIVE</v>
      </c>
      <c r="O67" s="68" t="str">
        <f t="shared" si="4"/>
        <v>ACTIVE</v>
      </c>
      <c r="P67" s="68" t="str">
        <f t="shared" si="4"/>
        <v>ACTIVE</v>
      </c>
      <c r="Q67" s="68" t="str">
        <f t="shared" si="4"/>
        <v>ACTIVE</v>
      </c>
    </row>
    <row r="68" spans="2:17" x14ac:dyDescent="0.35">
      <c r="B68" s="70" t="str">
        <v>10GG4209</v>
      </c>
      <c r="C68" s="68" t="str">
        <f>VLOOKUP(B68,Master!B:C,2,0)</f>
        <v>10GG4209</v>
      </c>
      <c r="D68" s="69">
        <f>VLOOKUP(B68,Master!B:L,11,0)</f>
        <v>43892</v>
      </c>
      <c r="E68" s="69">
        <f>VLOOKUP(B68,Master!B:P,15,0)</f>
        <v>0</v>
      </c>
      <c r="F68" s="68" t="str">
        <f t="shared" ref="F68:Q83" si="5">IF($E68&gt;0,"CLOSED",IF($D68&lt;F$1,"ACTIVE","WAITING FOR OPEN"))</f>
        <v>ACTIVE</v>
      </c>
      <c r="G68" s="68" t="str">
        <f t="shared" si="5"/>
        <v>ACTIVE</v>
      </c>
      <c r="H68" s="68" t="str">
        <f t="shared" si="5"/>
        <v>ACTIVE</v>
      </c>
      <c r="I68" s="68" t="str">
        <f t="shared" si="5"/>
        <v>ACTIVE</v>
      </c>
      <c r="J68" s="68" t="str">
        <f t="shared" si="5"/>
        <v>ACTIVE</v>
      </c>
      <c r="K68" s="68" t="str">
        <f t="shared" si="5"/>
        <v>ACTIVE</v>
      </c>
      <c r="L68" s="68" t="str">
        <f t="shared" si="5"/>
        <v>ACTIVE</v>
      </c>
      <c r="M68" s="68" t="str">
        <f t="shared" si="5"/>
        <v>ACTIVE</v>
      </c>
      <c r="N68" s="68" t="str">
        <f t="shared" si="5"/>
        <v>ACTIVE</v>
      </c>
      <c r="O68" s="68" t="str">
        <f t="shared" si="5"/>
        <v>ACTIVE</v>
      </c>
      <c r="P68" s="68" t="str">
        <f t="shared" si="5"/>
        <v>ACTIVE</v>
      </c>
      <c r="Q68" s="68" t="str">
        <f t="shared" si="5"/>
        <v>ACTIVE</v>
      </c>
    </row>
    <row r="69" spans="2:17" x14ac:dyDescent="0.35">
      <c r="B69" s="70" t="str">
        <v>10GG4207</v>
      </c>
      <c r="C69" s="68" t="str">
        <f>VLOOKUP(B69,Master!B:C,2,0)</f>
        <v>10GG4207</v>
      </c>
      <c r="D69" s="69">
        <f>VLOOKUP(B69,Master!B:L,11,0)</f>
        <v>43833</v>
      </c>
      <c r="E69" s="69">
        <f>VLOOKUP(B69,Master!B:P,15,0)</f>
        <v>0</v>
      </c>
      <c r="F69" s="68" t="str">
        <f t="shared" si="5"/>
        <v>ACTIVE</v>
      </c>
      <c r="G69" s="68" t="str">
        <f t="shared" si="5"/>
        <v>ACTIVE</v>
      </c>
      <c r="H69" s="68" t="str">
        <f t="shared" si="5"/>
        <v>ACTIVE</v>
      </c>
      <c r="I69" s="68" t="str">
        <f t="shared" si="5"/>
        <v>ACTIVE</v>
      </c>
      <c r="J69" s="68" t="str">
        <f t="shared" si="5"/>
        <v>ACTIVE</v>
      </c>
      <c r="K69" s="68" t="str">
        <f t="shared" si="5"/>
        <v>ACTIVE</v>
      </c>
      <c r="L69" s="68" t="str">
        <f t="shared" si="5"/>
        <v>ACTIVE</v>
      </c>
      <c r="M69" s="68" t="str">
        <f t="shared" si="5"/>
        <v>ACTIVE</v>
      </c>
      <c r="N69" s="68" t="str">
        <f t="shared" si="5"/>
        <v>ACTIVE</v>
      </c>
      <c r="O69" s="68" t="str">
        <f t="shared" si="5"/>
        <v>ACTIVE</v>
      </c>
      <c r="P69" s="68" t="str">
        <f t="shared" si="5"/>
        <v>ACTIVE</v>
      </c>
      <c r="Q69" s="68" t="str">
        <f t="shared" si="5"/>
        <v>ACTIVE</v>
      </c>
    </row>
    <row r="70" spans="2:17" x14ac:dyDescent="0.35">
      <c r="B70" s="70" t="str">
        <v>10KK4497</v>
      </c>
      <c r="C70" s="68" t="str">
        <f>VLOOKUP(B70,Master!B:C,2,0)</f>
        <v>10KK4497</v>
      </c>
      <c r="D70" s="69">
        <f>VLOOKUP(B70,Master!B:L,11,0)</f>
        <v>43956</v>
      </c>
      <c r="E70" s="69">
        <f>VLOOKUP(B70,Master!B:P,15,0)</f>
        <v>0</v>
      </c>
      <c r="F70" s="68" t="str">
        <f t="shared" si="5"/>
        <v>ACTIVE</v>
      </c>
      <c r="G70" s="68" t="str">
        <f t="shared" si="5"/>
        <v>ACTIVE</v>
      </c>
      <c r="H70" s="68" t="str">
        <f t="shared" si="5"/>
        <v>ACTIVE</v>
      </c>
      <c r="I70" s="68" t="str">
        <f t="shared" si="5"/>
        <v>ACTIVE</v>
      </c>
      <c r="J70" s="68" t="str">
        <f t="shared" si="5"/>
        <v>ACTIVE</v>
      </c>
      <c r="K70" s="68" t="str">
        <f t="shared" si="5"/>
        <v>ACTIVE</v>
      </c>
      <c r="L70" s="68" t="str">
        <f t="shared" si="5"/>
        <v>ACTIVE</v>
      </c>
      <c r="M70" s="68" t="str">
        <f t="shared" si="5"/>
        <v>ACTIVE</v>
      </c>
      <c r="N70" s="68" t="str">
        <f t="shared" si="5"/>
        <v>ACTIVE</v>
      </c>
      <c r="O70" s="68" t="str">
        <f t="shared" si="5"/>
        <v>ACTIVE</v>
      </c>
      <c r="P70" s="68" t="str">
        <f t="shared" si="5"/>
        <v>ACTIVE</v>
      </c>
      <c r="Q70" s="68" t="str">
        <f t="shared" si="5"/>
        <v>ACTIVE</v>
      </c>
    </row>
    <row r="71" spans="2:17" x14ac:dyDescent="0.35">
      <c r="B71" s="70" t="str">
        <v>30AS4388</v>
      </c>
      <c r="C71" s="68" t="str">
        <f>VLOOKUP(B71,Master!B:C,2,0)</f>
        <v>30AS4388</v>
      </c>
      <c r="D71" s="69">
        <f>VLOOKUP(B71,Master!B:L,11,0)</f>
        <v>39118</v>
      </c>
      <c r="E71" s="69">
        <f>VLOOKUP(B71,Master!B:P,15,0)</f>
        <v>0</v>
      </c>
      <c r="F71" s="68" t="str">
        <f t="shared" si="5"/>
        <v>ACTIVE</v>
      </c>
      <c r="G71" s="68" t="str">
        <f t="shared" si="5"/>
        <v>ACTIVE</v>
      </c>
      <c r="H71" s="68" t="str">
        <f t="shared" si="5"/>
        <v>ACTIVE</v>
      </c>
      <c r="I71" s="68" t="str">
        <f t="shared" si="5"/>
        <v>ACTIVE</v>
      </c>
      <c r="J71" s="68" t="str">
        <f t="shared" si="5"/>
        <v>ACTIVE</v>
      </c>
      <c r="K71" s="68" t="str">
        <f t="shared" si="5"/>
        <v>ACTIVE</v>
      </c>
      <c r="L71" s="68" t="str">
        <f t="shared" si="5"/>
        <v>ACTIVE</v>
      </c>
      <c r="M71" s="68" t="str">
        <f t="shared" si="5"/>
        <v>ACTIVE</v>
      </c>
      <c r="N71" s="68" t="str">
        <f t="shared" si="5"/>
        <v>ACTIVE</v>
      </c>
      <c r="O71" s="68" t="str">
        <f t="shared" si="5"/>
        <v>ACTIVE</v>
      </c>
      <c r="P71" s="68" t="str">
        <f t="shared" si="5"/>
        <v>ACTIVE</v>
      </c>
      <c r="Q71" s="68" t="str">
        <f t="shared" si="5"/>
        <v>ACTIVE</v>
      </c>
    </row>
    <row r="72" spans="2:17" x14ac:dyDescent="0.35">
      <c r="B72" s="70" t="str">
        <v>30AS4389</v>
      </c>
      <c r="C72" s="68" t="str">
        <f>VLOOKUP(B72,Master!B:C,2,0)</f>
        <v>30AS4389</v>
      </c>
      <c r="D72" s="69">
        <f>VLOOKUP(B72,Master!B:L,11,0)</f>
        <v>39448</v>
      </c>
      <c r="E72" s="69">
        <f>VLOOKUP(B72,Master!B:P,15,0)</f>
        <v>0</v>
      </c>
      <c r="F72" s="68" t="str">
        <f t="shared" si="5"/>
        <v>ACTIVE</v>
      </c>
      <c r="G72" s="68" t="str">
        <f t="shared" si="5"/>
        <v>ACTIVE</v>
      </c>
      <c r="H72" s="68" t="str">
        <f t="shared" si="5"/>
        <v>ACTIVE</v>
      </c>
      <c r="I72" s="68" t="str">
        <f t="shared" si="5"/>
        <v>ACTIVE</v>
      </c>
      <c r="J72" s="68" t="str">
        <f t="shared" si="5"/>
        <v>ACTIVE</v>
      </c>
      <c r="K72" s="68" t="str">
        <f t="shared" si="5"/>
        <v>ACTIVE</v>
      </c>
      <c r="L72" s="68" t="str">
        <f t="shared" si="5"/>
        <v>ACTIVE</v>
      </c>
      <c r="M72" s="68" t="str">
        <f t="shared" si="5"/>
        <v>ACTIVE</v>
      </c>
      <c r="N72" s="68" t="str">
        <f t="shared" si="5"/>
        <v>ACTIVE</v>
      </c>
      <c r="O72" s="68" t="str">
        <f t="shared" si="5"/>
        <v>ACTIVE</v>
      </c>
      <c r="P72" s="68" t="str">
        <f t="shared" si="5"/>
        <v>ACTIVE</v>
      </c>
      <c r="Q72" s="68" t="str">
        <f t="shared" si="5"/>
        <v>ACTIVE</v>
      </c>
    </row>
    <row r="73" spans="2:17" x14ac:dyDescent="0.35">
      <c r="B73" s="70" t="str">
        <v>30KK4257</v>
      </c>
      <c r="C73" s="68" t="str">
        <f>VLOOKUP(B73,Master!B:C,2,0)</f>
        <v>30KK4257</v>
      </c>
      <c r="D73" s="69">
        <f>VLOOKUP(B73,Master!B:L,11,0)</f>
        <v>40015</v>
      </c>
      <c r="E73" s="69">
        <f>VLOOKUP(B73,Master!B:P,15,0)</f>
        <v>0</v>
      </c>
      <c r="F73" s="68" t="str">
        <f t="shared" si="5"/>
        <v>ACTIVE</v>
      </c>
      <c r="G73" s="68" t="str">
        <f t="shared" si="5"/>
        <v>ACTIVE</v>
      </c>
      <c r="H73" s="68" t="str">
        <f t="shared" si="5"/>
        <v>ACTIVE</v>
      </c>
      <c r="I73" s="68" t="str">
        <f t="shared" si="5"/>
        <v>ACTIVE</v>
      </c>
      <c r="J73" s="68" t="str">
        <f t="shared" si="5"/>
        <v>ACTIVE</v>
      </c>
      <c r="K73" s="68" t="str">
        <f t="shared" si="5"/>
        <v>ACTIVE</v>
      </c>
      <c r="L73" s="68" t="str">
        <f t="shared" si="5"/>
        <v>ACTIVE</v>
      </c>
      <c r="M73" s="68" t="str">
        <f t="shared" si="5"/>
        <v>ACTIVE</v>
      </c>
      <c r="N73" s="68" t="str">
        <f t="shared" si="5"/>
        <v>ACTIVE</v>
      </c>
      <c r="O73" s="68" t="str">
        <f t="shared" si="5"/>
        <v>ACTIVE</v>
      </c>
      <c r="P73" s="68" t="str">
        <f t="shared" si="5"/>
        <v>ACTIVE</v>
      </c>
      <c r="Q73" s="68" t="str">
        <f t="shared" si="5"/>
        <v>ACTIVE</v>
      </c>
    </row>
    <row r="74" spans="2:17" x14ac:dyDescent="0.35">
      <c r="B74" s="70" t="str">
        <v>30KK4259</v>
      </c>
      <c r="C74" s="68" t="str">
        <f>VLOOKUP(B74,Master!B:C,2,0)</f>
        <v>30KK4259</v>
      </c>
      <c r="D74" s="69">
        <f>VLOOKUP(B74,Master!B:L,11,0)</f>
        <v>40298</v>
      </c>
      <c r="E74" s="69">
        <f>VLOOKUP(B74,Master!B:P,15,0)</f>
        <v>0</v>
      </c>
      <c r="F74" s="68" t="str">
        <f t="shared" si="5"/>
        <v>ACTIVE</v>
      </c>
      <c r="G74" s="68" t="str">
        <f t="shared" si="5"/>
        <v>ACTIVE</v>
      </c>
      <c r="H74" s="68" t="str">
        <f t="shared" si="5"/>
        <v>ACTIVE</v>
      </c>
      <c r="I74" s="68" t="str">
        <f t="shared" si="5"/>
        <v>ACTIVE</v>
      </c>
      <c r="J74" s="68" t="str">
        <f t="shared" si="5"/>
        <v>ACTIVE</v>
      </c>
      <c r="K74" s="68" t="str">
        <f t="shared" si="5"/>
        <v>ACTIVE</v>
      </c>
      <c r="L74" s="68" t="str">
        <f t="shared" si="5"/>
        <v>ACTIVE</v>
      </c>
      <c r="M74" s="68" t="str">
        <f t="shared" si="5"/>
        <v>ACTIVE</v>
      </c>
      <c r="N74" s="68" t="str">
        <f t="shared" si="5"/>
        <v>ACTIVE</v>
      </c>
      <c r="O74" s="68" t="str">
        <f t="shared" si="5"/>
        <v>ACTIVE</v>
      </c>
      <c r="P74" s="68" t="str">
        <f t="shared" si="5"/>
        <v>ACTIVE</v>
      </c>
      <c r="Q74" s="68" t="str">
        <f t="shared" si="5"/>
        <v>ACTIVE</v>
      </c>
    </row>
    <row r="75" spans="2:17" x14ac:dyDescent="0.35">
      <c r="B75" s="70" t="str">
        <v>30KK4260</v>
      </c>
      <c r="C75" s="68" t="str">
        <f>VLOOKUP(B75,Master!B:C,2,0)</f>
        <v>30KK4260</v>
      </c>
      <c r="D75" s="69">
        <f>VLOOKUP(B75,Master!B:L,11,0)</f>
        <v>40417</v>
      </c>
      <c r="E75" s="69">
        <f>VLOOKUP(B75,Master!B:P,15,0)</f>
        <v>0</v>
      </c>
      <c r="F75" s="68" t="str">
        <f t="shared" si="5"/>
        <v>ACTIVE</v>
      </c>
      <c r="G75" s="68" t="str">
        <f t="shared" si="5"/>
        <v>ACTIVE</v>
      </c>
      <c r="H75" s="68" t="str">
        <f t="shared" si="5"/>
        <v>ACTIVE</v>
      </c>
      <c r="I75" s="68" t="str">
        <f t="shared" si="5"/>
        <v>ACTIVE</v>
      </c>
      <c r="J75" s="68" t="str">
        <f t="shared" si="5"/>
        <v>ACTIVE</v>
      </c>
      <c r="K75" s="68" t="str">
        <f t="shared" si="5"/>
        <v>ACTIVE</v>
      </c>
      <c r="L75" s="68" t="str">
        <f t="shared" si="5"/>
        <v>ACTIVE</v>
      </c>
      <c r="M75" s="68" t="str">
        <f t="shared" si="5"/>
        <v>ACTIVE</v>
      </c>
      <c r="N75" s="68" t="str">
        <f t="shared" si="5"/>
        <v>ACTIVE</v>
      </c>
      <c r="O75" s="68" t="str">
        <f t="shared" si="5"/>
        <v>ACTIVE</v>
      </c>
      <c r="P75" s="68" t="str">
        <f t="shared" si="5"/>
        <v>ACTIVE</v>
      </c>
      <c r="Q75" s="68" t="str">
        <f t="shared" si="5"/>
        <v>ACTIVE</v>
      </c>
    </row>
    <row r="76" spans="2:17" x14ac:dyDescent="0.35">
      <c r="B76" s="70" t="str">
        <v>30KK4258</v>
      </c>
      <c r="C76" s="68" t="str">
        <f>VLOOKUP(B76,Master!B:C,2,0)</f>
        <v>30KK4258</v>
      </c>
      <c r="D76" s="69">
        <f>VLOOKUP(B76,Master!B:L,11,0)</f>
        <v>40483</v>
      </c>
      <c r="E76" s="69">
        <f>VLOOKUP(B76,Master!B:P,15,0)</f>
        <v>0</v>
      </c>
      <c r="F76" s="68" t="str">
        <f t="shared" si="5"/>
        <v>ACTIVE</v>
      </c>
      <c r="G76" s="68" t="str">
        <f t="shared" si="5"/>
        <v>ACTIVE</v>
      </c>
      <c r="H76" s="68" t="str">
        <f t="shared" si="5"/>
        <v>ACTIVE</v>
      </c>
      <c r="I76" s="68" t="str">
        <f t="shared" si="5"/>
        <v>ACTIVE</v>
      </c>
      <c r="J76" s="68" t="str">
        <f t="shared" si="5"/>
        <v>ACTIVE</v>
      </c>
      <c r="K76" s="68" t="str">
        <f t="shared" si="5"/>
        <v>ACTIVE</v>
      </c>
      <c r="L76" s="68" t="str">
        <f t="shared" si="5"/>
        <v>ACTIVE</v>
      </c>
      <c r="M76" s="68" t="str">
        <f t="shared" si="5"/>
        <v>ACTIVE</v>
      </c>
      <c r="N76" s="68" t="str">
        <f t="shared" si="5"/>
        <v>ACTIVE</v>
      </c>
      <c r="O76" s="68" t="str">
        <f t="shared" si="5"/>
        <v>ACTIVE</v>
      </c>
      <c r="P76" s="68" t="str">
        <f t="shared" si="5"/>
        <v>ACTIVE</v>
      </c>
      <c r="Q76" s="68" t="str">
        <f t="shared" si="5"/>
        <v>ACTIVE</v>
      </c>
    </row>
    <row r="77" spans="2:17" x14ac:dyDescent="0.35">
      <c r="B77" s="70" t="str">
        <v>30KK4262</v>
      </c>
      <c r="C77" s="68" t="str">
        <f>VLOOKUP(B77,Master!B:C,2,0)</f>
        <v>30KK4262</v>
      </c>
      <c r="D77" s="69">
        <f>VLOOKUP(B77,Master!B:L,11,0)</f>
        <v>40535</v>
      </c>
      <c r="E77" s="69">
        <f>VLOOKUP(B77,Master!B:P,15,0)</f>
        <v>45653</v>
      </c>
      <c r="F77" s="68" t="str">
        <f t="shared" si="5"/>
        <v>CLOSED</v>
      </c>
      <c r="G77" s="68" t="str">
        <f t="shared" si="5"/>
        <v>CLOSED</v>
      </c>
      <c r="H77" s="68" t="str">
        <f t="shared" si="5"/>
        <v>CLOSED</v>
      </c>
      <c r="I77" s="68" t="str">
        <f t="shared" si="5"/>
        <v>CLOSED</v>
      </c>
      <c r="J77" s="68" t="str">
        <f t="shared" si="5"/>
        <v>CLOSED</v>
      </c>
      <c r="K77" s="68" t="str">
        <f t="shared" si="5"/>
        <v>CLOSED</v>
      </c>
      <c r="L77" s="68" t="str">
        <f t="shared" si="5"/>
        <v>CLOSED</v>
      </c>
      <c r="M77" s="68" t="str">
        <f t="shared" si="5"/>
        <v>CLOSED</v>
      </c>
      <c r="N77" s="68" t="str">
        <f t="shared" si="5"/>
        <v>CLOSED</v>
      </c>
      <c r="O77" s="68" t="str">
        <f t="shared" si="5"/>
        <v>CLOSED</v>
      </c>
      <c r="P77" s="68" t="str">
        <f t="shared" si="5"/>
        <v>CLOSED</v>
      </c>
      <c r="Q77" s="68" t="str">
        <f t="shared" si="5"/>
        <v>CLOSED</v>
      </c>
    </row>
    <row r="78" spans="2:17" x14ac:dyDescent="0.35">
      <c r="B78" s="70" t="str">
        <v>30KK4263</v>
      </c>
      <c r="C78" s="68" t="str">
        <f>VLOOKUP(B78,Master!B:C,2,0)</f>
        <v>30KK4263</v>
      </c>
      <c r="D78" s="69">
        <f>VLOOKUP(B78,Master!B:L,11,0)</f>
        <v>40544</v>
      </c>
      <c r="E78" s="69">
        <f>VLOOKUP(B78,Master!B:P,15,0)</f>
        <v>0</v>
      </c>
      <c r="F78" s="68" t="str">
        <f t="shared" si="5"/>
        <v>ACTIVE</v>
      </c>
      <c r="G78" s="68" t="str">
        <f t="shared" si="5"/>
        <v>ACTIVE</v>
      </c>
      <c r="H78" s="68" t="str">
        <f t="shared" si="5"/>
        <v>ACTIVE</v>
      </c>
      <c r="I78" s="68" t="str">
        <f t="shared" si="5"/>
        <v>ACTIVE</v>
      </c>
      <c r="J78" s="68" t="str">
        <f t="shared" si="5"/>
        <v>ACTIVE</v>
      </c>
      <c r="K78" s="68" t="str">
        <f t="shared" si="5"/>
        <v>ACTIVE</v>
      </c>
      <c r="L78" s="68" t="str">
        <f t="shared" si="5"/>
        <v>ACTIVE</v>
      </c>
      <c r="M78" s="68" t="str">
        <f t="shared" si="5"/>
        <v>ACTIVE</v>
      </c>
      <c r="N78" s="68" t="str">
        <f t="shared" si="5"/>
        <v>ACTIVE</v>
      </c>
      <c r="O78" s="68" t="str">
        <f t="shared" si="5"/>
        <v>ACTIVE</v>
      </c>
      <c r="P78" s="68" t="str">
        <f t="shared" si="5"/>
        <v>ACTIVE</v>
      </c>
      <c r="Q78" s="68" t="str">
        <f t="shared" si="5"/>
        <v>ACTIVE</v>
      </c>
    </row>
    <row r="79" spans="2:17" x14ac:dyDescent="0.35">
      <c r="B79" s="70" t="str">
        <v>30SM4334</v>
      </c>
      <c r="C79" s="68" t="str">
        <f>VLOOKUP(B79,Master!B:C,2,0)</f>
        <v>30SM4334</v>
      </c>
      <c r="D79" s="69">
        <f>VLOOKUP(B79,Master!B:L,11,0)</f>
        <v>40843</v>
      </c>
      <c r="E79" s="69">
        <f>VLOOKUP(B79,Master!B:P,15,0)</f>
        <v>0</v>
      </c>
      <c r="F79" s="68" t="str">
        <f t="shared" si="5"/>
        <v>ACTIVE</v>
      </c>
      <c r="G79" s="68" t="str">
        <f t="shared" si="5"/>
        <v>ACTIVE</v>
      </c>
      <c r="H79" s="68" t="str">
        <f t="shared" si="5"/>
        <v>ACTIVE</v>
      </c>
      <c r="I79" s="68" t="str">
        <f t="shared" si="5"/>
        <v>ACTIVE</v>
      </c>
      <c r="J79" s="68" t="str">
        <f t="shared" si="5"/>
        <v>ACTIVE</v>
      </c>
      <c r="K79" s="68" t="str">
        <f t="shared" si="5"/>
        <v>ACTIVE</v>
      </c>
      <c r="L79" s="68" t="str">
        <f t="shared" si="5"/>
        <v>ACTIVE</v>
      </c>
      <c r="M79" s="68" t="str">
        <f t="shared" si="5"/>
        <v>ACTIVE</v>
      </c>
      <c r="N79" s="68" t="str">
        <f t="shared" si="5"/>
        <v>ACTIVE</v>
      </c>
      <c r="O79" s="68" t="str">
        <f t="shared" si="5"/>
        <v>ACTIVE</v>
      </c>
      <c r="P79" s="68" t="str">
        <f t="shared" si="5"/>
        <v>ACTIVE</v>
      </c>
      <c r="Q79" s="68" t="str">
        <f t="shared" si="5"/>
        <v>ACTIVE</v>
      </c>
    </row>
    <row r="80" spans="2:17" x14ac:dyDescent="0.35">
      <c r="B80" s="70" t="str">
        <v>30KK4253</v>
      </c>
      <c r="C80" s="68" t="str">
        <f>VLOOKUP(B80,Master!B:C,2,0)</f>
        <v>30KK4253</v>
      </c>
      <c r="D80" s="69">
        <f>VLOOKUP(B80,Master!B:L,11,0)</f>
        <v>41392</v>
      </c>
      <c r="E80" s="69">
        <f>VLOOKUP(B80,Master!B:P,15,0)</f>
        <v>0</v>
      </c>
      <c r="F80" s="68" t="str">
        <f t="shared" si="5"/>
        <v>ACTIVE</v>
      </c>
      <c r="G80" s="68" t="str">
        <f t="shared" si="5"/>
        <v>ACTIVE</v>
      </c>
      <c r="H80" s="68" t="str">
        <f t="shared" si="5"/>
        <v>ACTIVE</v>
      </c>
      <c r="I80" s="68" t="str">
        <f t="shared" si="5"/>
        <v>ACTIVE</v>
      </c>
      <c r="J80" s="68" t="str">
        <f t="shared" si="5"/>
        <v>ACTIVE</v>
      </c>
      <c r="K80" s="68" t="str">
        <f t="shared" si="5"/>
        <v>ACTIVE</v>
      </c>
      <c r="L80" s="68" t="str">
        <f t="shared" si="5"/>
        <v>ACTIVE</v>
      </c>
      <c r="M80" s="68" t="str">
        <f t="shared" si="5"/>
        <v>ACTIVE</v>
      </c>
      <c r="N80" s="68" t="str">
        <f t="shared" si="5"/>
        <v>ACTIVE</v>
      </c>
      <c r="O80" s="68" t="str">
        <f t="shared" si="5"/>
        <v>ACTIVE</v>
      </c>
      <c r="P80" s="68" t="str">
        <f t="shared" si="5"/>
        <v>ACTIVE</v>
      </c>
      <c r="Q80" s="68" t="str">
        <f t="shared" si="5"/>
        <v>ACTIVE</v>
      </c>
    </row>
    <row r="81" spans="2:17" x14ac:dyDescent="0.35">
      <c r="B81" s="70" t="str">
        <v>30KK4261</v>
      </c>
      <c r="C81" s="68" t="str">
        <f>VLOOKUP(B81,Master!B:C,2,0)</f>
        <v>30KK4261</v>
      </c>
      <c r="D81" s="69">
        <f>VLOOKUP(B81,Master!B:L,11,0)</f>
        <v>41640</v>
      </c>
      <c r="E81" s="69">
        <f>VLOOKUP(B81,Master!B:P,15,0)</f>
        <v>0</v>
      </c>
      <c r="F81" s="68" t="str">
        <f t="shared" si="5"/>
        <v>ACTIVE</v>
      </c>
      <c r="G81" s="68" t="str">
        <f t="shared" si="5"/>
        <v>ACTIVE</v>
      </c>
      <c r="H81" s="68" t="str">
        <f t="shared" si="5"/>
        <v>ACTIVE</v>
      </c>
      <c r="I81" s="68" t="str">
        <f t="shared" si="5"/>
        <v>ACTIVE</v>
      </c>
      <c r="J81" s="68" t="str">
        <f t="shared" si="5"/>
        <v>ACTIVE</v>
      </c>
      <c r="K81" s="68" t="str">
        <f t="shared" si="5"/>
        <v>ACTIVE</v>
      </c>
      <c r="L81" s="68" t="str">
        <f t="shared" si="5"/>
        <v>ACTIVE</v>
      </c>
      <c r="M81" s="68" t="str">
        <f t="shared" si="5"/>
        <v>ACTIVE</v>
      </c>
      <c r="N81" s="68" t="str">
        <f t="shared" si="5"/>
        <v>ACTIVE</v>
      </c>
      <c r="O81" s="68" t="str">
        <f t="shared" si="5"/>
        <v>ACTIVE</v>
      </c>
      <c r="P81" s="68" t="str">
        <f t="shared" si="5"/>
        <v>ACTIVE</v>
      </c>
      <c r="Q81" s="68" t="str">
        <f t="shared" si="5"/>
        <v>ACTIVE</v>
      </c>
    </row>
    <row r="82" spans="2:17" x14ac:dyDescent="0.35">
      <c r="B82" s="70" t="str">
        <v>30KK4264</v>
      </c>
      <c r="C82" s="68" t="str">
        <f>VLOOKUP(B82,Master!B:C,2,0)</f>
        <v>30KK4264</v>
      </c>
      <c r="D82" s="69">
        <f>VLOOKUP(B82,Master!B:L,11,0)</f>
        <v>41640</v>
      </c>
      <c r="E82" s="69">
        <f>VLOOKUP(B82,Master!B:P,15,0)</f>
        <v>45683</v>
      </c>
      <c r="F82" s="68" t="str">
        <f t="shared" si="5"/>
        <v>CLOSED</v>
      </c>
      <c r="G82" s="68" t="str">
        <f t="shared" si="5"/>
        <v>CLOSED</v>
      </c>
      <c r="H82" s="68" t="str">
        <f t="shared" si="5"/>
        <v>CLOSED</v>
      </c>
      <c r="I82" s="68" t="str">
        <f t="shared" si="5"/>
        <v>CLOSED</v>
      </c>
      <c r="J82" s="68" t="str">
        <f t="shared" si="5"/>
        <v>CLOSED</v>
      </c>
      <c r="K82" s="68" t="str">
        <f t="shared" si="5"/>
        <v>CLOSED</v>
      </c>
      <c r="L82" s="68" t="str">
        <f t="shared" si="5"/>
        <v>CLOSED</v>
      </c>
      <c r="M82" s="68" t="str">
        <f t="shared" si="5"/>
        <v>CLOSED</v>
      </c>
      <c r="N82" s="68" t="str">
        <f t="shared" si="5"/>
        <v>CLOSED</v>
      </c>
      <c r="O82" s="68" t="str">
        <f t="shared" si="5"/>
        <v>CLOSED</v>
      </c>
      <c r="P82" s="68" t="str">
        <f t="shared" si="5"/>
        <v>CLOSED</v>
      </c>
      <c r="Q82" s="68" t="str">
        <f t="shared" si="5"/>
        <v>CLOSED</v>
      </c>
    </row>
    <row r="83" spans="2:17" x14ac:dyDescent="0.35">
      <c r="B83" s="70" t="str">
        <v>30GG4027</v>
      </c>
      <c r="C83" s="68" t="str">
        <f>VLOOKUP(B83,Master!B:C,2,0)</f>
        <v>30GG4027</v>
      </c>
      <c r="D83" s="69">
        <f>VLOOKUP(B83,Master!B:L,11,0)</f>
        <v>41840</v>
      </c>
      <c r="E83" s="69">
        <f>VLOOKUP(B83,Master!B:P,15,0)</f>
        <v>0</v>
      </c>
      <c r="F83" s="68" t="str">
        <f t="shared" si="5"/>
        <v>ACTIVE</v>
      </c>
      <c r="G83" s="68" t="str">
        <f t="shared" si="5"/>
        <v>ACTIVE</v>
      </c>
      <c r="H83" s="68" t="str">
        <f t="shared" si="5"/>
        <v>ACTIVE</v>
      </c>
      <c r="I83" s="68" t="str">
        <f t="shared" si="5"/>
        <v>ACTIVE</v>
      </c>
      <c r="J83" s="68" t="str">
        <f t="shared" si="5"/>
        <v>ACTIVE</v>
      </c>
      <c r="K83" s="68" t="str">
        <f t="shared" si="5"/>
        <v>ACTIVE</v>
      </c>
      <c r="L83" s="68" t="str">
        <f t="shared" si="5"/>
        <v>ACTIVE</v>
      </c>
      <c r="M83" s="68" t="str">
        <f t="shared" si="5"/>
        <v>ACTIVE</v>
      </c>
      <c r="N83" s="68" t="str">
        <f t="shared" si="5"/>
        <v>ACTIVE</v>
      </c>
      <c r="O83" s="68" t="str">
        <f t="shared" si="5"/>
        <v>ACTIVE</v>
      </c>
      <c r="P83" s="68" t="str">
        <f t="shared" si="5"/>
        <v>ACTIVE</v>
      </c>
      <c r="Q83" s="68" t="str">
        <f t="shared" si="5"/>
        <v>ACTIVE</v>
      </c>
    </row>
    <row r="84" spans="2:17" x14ac:dyDescent="0.35">
      <c r="B84" s="70" t="str">
        <v>30KK4265</v>
      </c>
      <c r="C84" s="68" t="str">
        <f>VLOOKUP(B84,Master!B:C,2,0)</f>
        <v>30KK4265</v>
      </c>
      <c r="D84" s="69">
        <f>VLOOKUP(B84,Master!B:L,11,0)</f>
        <v>41852</v>
      </c>
      <c r="E84" s="69">
        <f>VLOOKUP(B84,Master!B:P,15,0)</f>
        <v>0</v>
      </c>
      <c r="F84" s="68" t="str">
        <f t="shared" ref="F84:Q99" si="6">IF($E84&gt;0,"CLOSED",IF($D84&lt;F$1,"ACTIVE","WAITING FOR OPEN"))</f>
        <v>ACTIVE</v>
      </c>
      <c r="G84" s="68" t="str">
        <f t="shared" si="6"/>
        <v>ACTIVE</v>
      </c>
      <c r="H84" s="68" t="str">
        <f t="shared" si="6"/>
        <v>ACTIVE</v>
      </c>
      <c r="I84" s="68" t="str">
        <f t="shared" si="6"/>
        <v>ACTIVE</v>
      </c>
      <c r="J84" s="68" t="str">
        <f t="shared" si="6"/>
        <v>ACTIVE</v>
      </c>
      <c r="K84" s="68" t="str">
        <f t="shared" si="6"/>
        <v>ACTIVE</v>
      </c>
      <c r="L84" s="68" t="str">
        <f t="shared" si="6"/>
        <v>ACTIVE</v>
      </c>
      <c r="M84" s="68" t="str">
        <f t="shared" si="6"/>
        <v>ACTIVE</v>
      </c>
      <c r="N84" s="68" t="str">
        <f t="shared" si="6"/>
        <v>ACTIVE</v>
      </c>
      <c r="O84" s="68" t="str">
        <f t="shared" si="6"/>
        <v>ACTIVE</v>
      </c>
      <c r="P84" s="68" t="str">
        <f t="shared" si="6"/>
        <v>ACTIVE</v>
      </c>
      <c r="Q84" s="68" t="str">
        <f t="shared" si="6"/>
        <v>ACTIVE</v>
      </c>
    </row>
    <row r="85" spans="2:17" x14ac:dyDescent="0.35">
      <c r="B85" s="70" t="str">
        <v>30GG4010</v>
      </c>
      <c r="C85" s="68" t="str">
        <f>VLOOKUP(B85,Master!B:C,2,0)</f>
        <v>30GG4010</v>
      </c>
      <c r="D85" s="69">
        <f>VLOOKUP(B85,Master!B:L,11,0)</f>
        <v>41932</v>
      </c>
      <c r="E85" s="69">
        <f>VLOOKUP(B85,Master!B:P,15,0)</f>
        <v>0</v>
      </c>
      <c r="F85" s="68" t="str">
        <f t="shared" si="6"/>
        <v>ACTIVE</v>
      </c>
      <c r="G85" s="68" t="str">
        <f t="shared" si="6"/>
        <v>ACTIVE</v>
      </c>
      <c r="H85" s="68" t="str">
        <f t="shared" si="6"/>
        <v>ACTIVE</v>
      </c>
      <c r="I85" s="68" t="str">
        <f t="shared" si="6"/>
        <v>ACTIVE</v>
      </c>
      <c r="J85" s="68" t="str">
        <f t="shared" si="6"/>
        <v>ACTIVE</v>
      </c>
      <c r="K85" s="68" t="str">
        <f t="shared" si="6"/>
        <v>ACTIVE</v>
      </c>
      <c r="L85" s="68" t="str">
        <f t="shared" si="6"/>
        <v>ACTIVE</v>
      </c>
      <c r="M85" s="68" t="str">
        <f t="shared" si="6"/>
        <v>ACTIVE</v>
      </c>
      <c r="N85" s="68" t="str">
        <f t="shared" si="6"/>
        <v>ACTIVE</v>
      </c>
      <c r="O85" s="68" t="str">
        <f t="shared" si="6"/>
        <v>ACTIVE</v>
      </c>
      <c r="P85" s="68" t="str">
        <f t="shared" si="6"/>
        <v>ACTIVE</v>
      </c>
      <c r="Q85" s="68" t="str">
        <f t="shared" si="6"/>
        <v>ACTIVE</v>
      </c>
    </row>
    <row r="86" spans="2:17" x14ac:dyDescent="0.35">
      <c r="B86" s="70" t="str">
        <v>30KK4094</v>
      </c>
      <c r="C86" s="68" t="str">
        <f>VLOOKUP(B86,Master!B:C,2,0)</f>
        <v>30KK4094</v>
      </c>
      <c r="D86" s="69">
        <f>VLOOKUP(B86,Master!B:L,11,0)</f>
        <v>41944</v>
      </c>
      <c r="E86" s="69">
        <f>VLOOKUP(B86,Master!B:P,15,0)</f>
        <v>0</v>
      </c>
      <c r="F86" s="68" t="str">
        <f t="shared" si="6"/>
        <v>ACTIVE</v>
      </c>
      <c r="G86" s="68" t="str">
        <f t="shared" si="6"/>
        <v>ACTIVE</v>
      </c>
      <c r="H86" s="68" t="str">
        <f t="shared" si="6"/>
        <v>ACTIVE</v>
      </c>
      <c r="I86" s="68" t="str">
        <f t="shared" si="6"/>
        <v>ACTIVE</v>
      </c>
      <c r="J86" s="68" t="str">
        <f t="shared" si="6"/>
        <v>ACTIVE</v>
      </c>
      <c r="K86" s="68" t="str">
        <f t="shared" si="6"/>
        <v>ACTIVE</v>
      </c>
      <c r="L86" s="68" t="str">
        <f t="shared" si="6"/>
        <v>ACTIVE</v>
      </c>
      <c r="M86" s="68" t="str">
        <f t="shared" si="6"/>
        <v>ACTIVE</v>
      </c>
      <c r="N86" s="68" t="str">
        <f t="shared" si="6"/>
        <v>ACTIVE</v>
      </c>
      <c r="O86" s="68" t="str">
        <f t="shared" si="6"/>
        <v>ACTIVE</v>
      </c>
      <c r="P86" s="68" t="str">
        <f t="shared" si="6"/>
        <v>ACTIVE</v>
      </c>
      <c r="Q86" s="68" t="str">
        <f t="shared" si="6"/>
        <v>ACTIVE</v>
      </c>
    </row>
    <row r="87" spans="2:17" x14ac:dyDescent="0.35">
      <c r="B87" s="70" t="str">
        <v>30GG4028</v>
      </c>
      <c r="C87" s="68" t="str">
        <f>VLOOKUP(B87,Master!B:C,2,0)</f>
        <v>30GG4028</v>
      </c>
      <c r="D87" s="69">
        <f>VLOOKUP(B87,Master!B:L,11,0)</f>
        <v>41974</v>
      </c>
      <c r="E87" s="69">
        <f>VLOOKUP(B87,Master!B:P,15,0)</f>
        <v>0</v>
      </c>
      <c r="F87" s="68" t="str">
        <f t="shared" si="6"/>
        <v>ACTIVE</v>
      </c>
      <c r="G87" s="68" t="str">
        <f t="shared" si="6"/>
        <v>ACTIVE</v>
      </c>
      <c r="H87" s="68" t="str">
        <f t="shared" si="6"/>
        <v>ACTIVE</v>
      </c>
      <c r="I87" s="68" t="str">
        <f t="shared" si="6"/>
        <v>ACTIVE</v>
      </c>
      <c r="J87" s="68" t="str">
        <f t="shared" si="6"/>
        <v>ACTIVE</v>
      </c>
      <c r="K87" s="68" t="str">
        <f t="shared" si="6"/>
        <v>ACTIVE</v>
      </c>
      <c r="L87" s="68" t="str">
        <f t="shared" si="6"/>
        <v>ACTIVE</v>
      </c>
      <c r="M87" s="68" t="str">
        <f t="shared" si="6"/>
        <v>ACTIVE</v>
      </c>
      <c r="N87" s="68" t="str">
        <f t="shared" si="6"/>
        <v>ACTIVE</v>
      </c>
      <c r="O87" s="68" t="str">
        <f t="shared" si="6"/>
        <v>ACTIVE</v>
      </c>
      <c r="P87" s="68" t="str">
        <f t="shared" si="6"/>
        <v>ACTIVE</v>
      </c>
      <c r="Q87" s="68" t="str">
        <f t="shared" si="6"/>
        <v>ACTIVE</v>
      </c>
    </row>
    <row r="88" spans="2:17" x14ac:dyDescent="0.35">
      <c r="B88" s="70" t="str">
        <v>30GG4029</v>
      </c>
      <c r="C88" s="68" t="str">
        <f>VLOOKUP(B88,Master!B:C,2,0)</f>
        <v>30GG4029</v>
      </c>
      <c r="D88" s="69">
        <f>VLOOKUP(B88,Master!B:L,11,0)</f>
        <v>42043</v>
      </c>
      <c r="E88" s="69">
        <f>VLOOKUP(B88,Master!B:P,15,0)</f>
        <v>0</v>
      </c>
      <c r="F88" s="68" t="str">
        <f t="shared" si="6"/>
        <v>ACTIVE</v>
      </c>
      <c r="G88" s="68" t="str">
        <f t="shared" si="6"/>
        <v>ACTIVE</v>
      </c>
      <c r="H88" s="68" t="str">
        <f t="shared" si="6"/>
        <v>ACTIVE</v>
      </c>
      <c r="I88" s="68" t="str">
        <f t="shared" si="6"/>
        <v>ACTIVE</v>
      </c>
      <c r="J88" s="68" t="str">
        <f t="shared" si="6"/>
        <v>ACTIVE</v>
      </c>
      <c r="K88" s="68" t="str">
        <f t="shared" si="6"/>
        <v>ACTIVE</v>
      </c>
      <c r="L88" s="68" t="str">
        <f t="shared" si="6"/>
        <v>ACTIVE</v>
      </c>
      <c r="M88" s="68" t="str">
        <f t="shared" si="6"/>
        <v>ACTIVE</v>
      </c>
      <c r="N88" s="68" t="str">
        <f t="shared" si="6"/>
        <v>ACTIVE</v>
      </c>
      <c r="O88" s="68" t="str">
        <f t="shared" si="6"/>
        <v>ACTIVE</v>
      </c>
      <c r="P88" s="68" t="str">
        <f t="shared" si="6"/>
        <v>ACTIVE</v>
      </c>
      <c r="Q88" s="68" t="str">
        <f t="shared" si="6"/>
        <v>ACTIVE</v>
      </c>
    </row>
    <row r="89" spans="2:17" x14ac:dyDescent="0.35">
      <c r="B89" s="70" t="str">
        <v>30KK4266</v>
      </c>
      <c r="C89" s="68" t="str">
        <f>VLOOKUP(B89,Master!B:C,2,0)</f>
        <v>30KK4266</v>
      </c>
      <c r="D89" s="69">
        <f>VLOOKUP(B89,Master!B:L,11,0)</f>
        <v>42043</v>
      </c>
      <c r="E89" s="69">
        <f>VLOOKUP(B89,Master!B:P,15,0)</f>
        <v>0</v>
      </c>
      <c r="F89" s="68" t="str">
        <f t="shared" si="6"/>
        <v>ACTIVE</v>
      </c>
      <c r="G89" s="68" t="str">
        <f t="shared" si="6"/>
        <v>ACTIVE</v>
      </c>
      <c r="H89" s="68" t="str">
        <f t="shared" si="6"/>
        <v>ACTIVE</v>
      </c>
      <c r="I89" s="68" t="str">
        <f t="shared" si="6"/>
        <v>ACTIVE</v>
      </c>
      <c r="J89" s="68" t="str">
        <f t="shared" si="6"/>
        <v>ACTIVE</v>
      </c>
      <c r="K89" s="68" t="str">
        <f t="shared" si="6"/>
        <v>ACTIVE</v>
      </c>
      <c r="L89" s="68" t="str">
        <f t="shared" si="6"/>
        <v>ACTIVE</v>
      </c>
      <c r="M89" s="68" t="str">
        <f t="shared" si="6"/>
        <v>ACTIVE</v>
      </c>
      <c r="N89" s="68" t="str">
        <f t="shared" si="6"/>
        <v>ACTIVE</v>
      </c>
      <c r="O89" s="68" t="str">
        <f t="shared" si="6"/>
        <v>ACTIVE</v>
      </c>
      <c r="P89" s="68" t="str">
        <f t="shared" si="6"/>
        <v>ACTIVE</v>
      </c>
      <c r="Q89" s="68" t="str">
        <f t="shared" si="6"/>
        <v>ACTIVE</v>
      </c>
    </row>
    <row r="90" spans="2:17" x14ac:dyDescent="0.35">
      <c r="B90" s="70" t="str">
        <v>30SS4394</v>
      </c>
      <c r="C90" s="68" t="str">
        <f>VLOOKUP(B90,Master!B:C,2,0)</f>
        <v>30SS4394</v>
      </c>
      <c r="D90" s="69">
        <f>VLOOKUP(B90,Master!B:L,11,0)</f>
        <v>42104</v>
      </c>
      <c r="E90" s="69">
        <f>VLOOKUP(B90,Master!B:P,15,0)</f>
        <v>0</v>
      </c>
      <c r="F90" s="68" t="str">
        <f t="shared" si="6"/>
        <v>ACTIVE</v>
      </c>
      <c r="G90" s="68" t="str">
        <f t="shared" si="6"/>
        <v>ACTIVE</v>
      </c>
      <c r="H90" s="68" t="str">
        <f t="shared" si="6"/>
        <v>ACTIVE</v>
      </c>
      <c r="I90" s="68" t="str">
        <f t="shared" si="6"/>
        <v>ACTIVE</v>
      </c>
      <c r="J90" s="68" t="str">
        <f t="shared" si="6"/>
        <v>ACTIVE</v>
      </c>
      <c r="K90" s="68" t="str">
        <f t="shared" si="6"/>
        <v>ACTIVE</v>
      </c>
      <c r="L90" s="68" t="str">
        <f t="shared" si="6"/>
        <v>ACTIVE</v>
      </c>
      <c r="M90" s="68" t="str">
        <f t="shared" si="6"/>
        <v>ACTIVE</v>
      </c>
      <c r="N90" s="68" t="str">
        <f t="shared" si="6"/>
        <v>ACTIVE</v>
      </c>
      <c r="O90" s="68" t="str">
        <f t="shared" si="6"/>
        <v>ACTIVE</v>
      </c>
      <c r="P90" s="68" t="str">
        <f t="shared" si="6"/>
        <v>ACTIVE</v>
      </c>
      <c r="Q90" s="68" t="str">
        <f t="shared" si="6"/>
        <v>ACTIVE</v>
      </c>
    </row>
    <row r="91" spans="2:17" x14ac:dyDescent="0.35">
      <c r="B91" s="70" t="str">
        <v>30GG4030</v>
      </c>
      <c r="C91" s="68" t="str">
        <f>VLOOKUP(B91,Master!B:C,2,0)</f>
        <v>30GG4030</v>
      </c>
      <c r="D91" s="69">
        <f>VLOOKUP(B91,Master!B:L,11,0)</f>
        <v>42113</v>
      </c>
      <c r="E91" s="69">
        <f>VLOOKUP(B91,Master!B:P,15,0)</f>
        <v>0</v>
      </c>
      <c r="F91" s="68" t="str">
        <f t="shared" si="6"/>
        <v>ACTIVE</v>
      </c>
      <c r="G91" s="68" t="str">
        <f t="shared" si="6"/>
        <v>ACTIVE</v>
      </c>
      <c r="H91" s="68" t="str">
        <f t="shared" si="6"/>
        <v>ACTIVE</v>
      </c>
      <c r="I91" s="68" t="str">
        <f t="shared" si="6"/>
        <v>ACTIVE</v>
      </c>
      <c r="J91" s="68" t="str">
        <f t="shared" si="6"/>
        <v>ACTIVE</v>
      </c>
      <c r="K91" s="68" t="str">
        <f t="shared" si="6"/>
        <v>ACTIVE</v>
      </c>
      <c r="L91" s="68" t="str">
        <f t="shared" si="6"/>
        <v>ACTIVE</v>
      </c>
      <c r="M91" s="68" t="str">
        <f t="shared" si="6"/>
        <v>ACTIVE</v>
      </c>
      <c r="N91" s="68" t="str">
        <f t="shared" si="6"/>
        <v>ACTIVE</v>
      </c>
      <c r="O91" s="68" t="str">
        <f t="shared" si="6"/>
        <v>ACTIVE</v>
      </c>
      <c r="P91" s="68" t="str">
        <f t="shared" si="6"/>
        <v>ACTIVE</v>
      </c>
      <c r="Q91" s="68" t="str">
        <f t="shared" si="6"/>
        <v>ACTIVE</v>
      </c>
    </row>
    <row r="92" spans="2:17" x14ac:dyDescent="0.35">
      <c r="B92" s="70" t="str">
        <v>30KK4267</v>
      </c>
      <c r="C92" s="68" t="str">
        <f>VLOOKUP(B92,Master!B:C,2,0)</f>
        <v>30KK4267</v>
      </c>
      <c r="D92" s="69">
        <f>VLOOKUP(B92,Master!B:L,11,0)</f>
        <v>42113</v>
      </c>
      <c r="E92" s="69">
        <f>VLOOKUP(B92,Master!B:P,15,0)</f>
        <v>0</v>
      </c>
      <c r="F92" s="68" t="str">
        <f t="shared" si="6"/>
        <v>ACTIVE</v>
      </c>
      <c r="G92" s="68" t="str">
        <f t="shared" si="6"/>
        <v>ACTIVE</v>
      </c>
      <c r="H92" s="68" t="str">
        <f t="shared" si="6"/>
        <v>ACTIVE</v>
      </c>
      <c r="I92" s="68" t="str">
        <f t="shared" si="6"/>
        <v>ACTIVE</v>
      </c>
      <c r="J92" s="68" t="str">
        <f t="shared" si="6"/>
        <v>ACTIVE</v>
      </c>
      <c r="K92" s="68" t="str">
        <f t="shared" si="6"/>
        <v>ACTIVE</v>
      </c>
      <c r="L92" s="68" t="str">
        <f t="shared" si="6"/>
        <v>ACTIVE</v>
      </c>
      <c r="M92" s="68" t="str">
        <f t="shared" si="6"/>
        <v>ACTIVE</v>
      </c>
      <c r="N92" s="68" t="str">
        <f t="shared" si="6"/>
        <v>ACTIVE</v>
      </c>
      <c r="O92" s="68" t="str">
        <f t="shared" si="6"/>
        <v>ACTIVE</v>
      </c>
      <c r="P92" s="68" t="str">
        <f t="shared" si="6"/>
        <v>ACTIVE</v>
      </c>
      <c r="Q92" s="68" t="str">
        <f t="shared" si="6"/>
        <v>ACTIVE</v>
      </c>
    </row>
    <row r="93" spans="2:17" x14ac:dyDescent="0.35">
      <c r="B93" s="70" t="str">
        <v>30GG4031</v>
      </c>
      <c r="C93" s="68" t="str">
        <f>VLOOKUP(B93,Master!B:C,2,0)</f>
        <v>30GG4031</v>
      </c>
      <c r="D93" s="69">
        <f>VLOOKUP(B93,Master!B:L,11,0)</f>
        <v>42123</v>
      </c>
      <c r="E93" s="69">
        <f>VLOOKUP(B93,Master!B:P,15,0)</f>
        <v>0</v>
      </c>
      <c r="F93" s="68" t="str">
        <f t="shared" si="6"/>
        <v>ACTIVE</v>
      </c>
      <c r="G93" s="68" t="str">
        <f t="shared" si="6"/>
        <v>ACTIVE</v>
      </c>
      <c r="H93" s="68" t="str">
        <f t="shared" si="6"/>
        <v>ACTIVE</v>
      </c>
      <c r="I93" s="68" t="str">
        <f t="shared" si="6"/>
        <v>ACTIVE</v>
      </c>
      <c r="J93" s="68" t="str">
        <f t="shared" si="6"/>
        <v>ACTIVE</v>
      </c>
      <c r="K93" s="68" t="str">
        <f t="shared" si="6"/>
        <v>ACTIVE</v>
      </c>
      <c r="L93" s="68" t="str">
        <f t="shared" si="6"/>
        <v>ACTIVE</v>
      </c>
      <c r="M93" s="68" t="str">
        <f t="shared" si="6"/>
        <v>ACTIVE</v>
      </c>
      <c r="N93" s="68" t="str">
        <f t="shared" si="6"/>
        <v>ACTIVE</v>
      </c>
      <c r="O93" s="68" t="str">
        <f t="shared" si="6"/>
        <v>ACTIVE</v>
      </c>
      <c r="P93" s="68" t="str">
        <f t="shared" si="6"/>
        <v>ACTIVE</v>
      </c>
      <c r="Q93" s="68" t="str">
        <f t="shared" si="6"/>
        <v>ACTIVE</v>
      </c>
    </row>
    <row r="94" spans="2:17" x14ac:dyDescent="0.35">
      <c r="B94" s="70" t="str">
        <v>30KK4268</v>
      </c>
      <c r="C94" s="68" t="str">
        <f>VLOOKUP(B94,Master!B:C,2,0)</f>
        <v>30KK4268</v>
      </c>
      <c r="D94" s="69">
        <f>VLOOKUP(B94,Master!B:L,11,0)</f>
        <v>42124</v>
      </c>
      <c r="E94" s="69">
        <f>VLOOKUP(B94,Master!B:P,15,0)</f>
        <v>0</v>
      </c>
      <c r="F94" s="68" t="str">
        <f t="shared" si="6"/>
        <v>ACTIVE</v>
      </c>
      <c r="G94" s="68" t="str">
        <f t="shared" si="6"/>
        <v>ACTIVE</v>
      </c>
      <c r="H94" s="68" t="str">
        <f t="shared" si="6"/>
        <v>ACTIVE</v>
      </c>
      <c r="I94" s="68" t="str">
        <f t="shared" si="6"/>
        <v>ACTIVE</v>
      </c>
      <c r="J94" s="68" t="str">
        <f t="shared" si="6"/>
        <v>ACTIVE</v>
      </c>
      <c r="K94" s="68" t="str">
        <f t="shared" si="6"/>
        <v>ACTIVE</v>
      </c>
      <c r="L94" s="68" t="str">
        <f t="shared" si="6"/>
        <v>ACTIVE</v>
      </c>
      <c r="M94" s="68" t="str">
        <f t="shared" si="6"/>
        <v>ACTIVE</v>
      </c>
      <c r="N94" s="68" t="str">
        <f t="shared" si="6"/>
        <v>ACTIVE</v>
      </c>
      <c r="O94" s="68" t="str">
        <f t="shared" si="6"/>
        <v>ACTIVE</v>
      </c>
      <c r="P94" s="68" t="str">
        <f t="shared" si="6"/>
        <v>ACTIVE</v>
      </c>
      <c r="Q94" s="68" t="str">
        <f t="shared" si="6"/>
        <v>ACTIVE</v>
      </c>
    </row>
    <row r="95" spans="2:17" x14ac:dyDescent="0.35">
      <c r="B95" s="70" t="str">
        <v>30CJ4527</v>
      </c>
      <c r="C95" s="68" t="str">
        <f>VLOOKUP(B95,Master!B:C,2,0)</f>
        <v>30CJ4527</v>
      </c>
      <c r="D95" s="69">
        <f>VLOOKUP(B95,Master!B:L,11,0)</f>
        <v>42185</v>
      </c>
      <c r="E95" s="69">
        <f>VLOOKUP(B95,Master!B:P,15,0)</f>
        <v>0</v>
      </c>
      <c r="F95" s="68" t="str">
        <f t="shared" si="6"/>
        <v>ACTIVE</v>
      </c>
      <c r="G95" s="68" t="str">
        <f t="shared" si="6"/>
        <v>ACTIVE</v>
      </c>
      <c r="H95" s="68" t="str">
        <f t="shared" si="6"/>
        <v>ACTIVE</v>
      </c>
      <c r="I95" s="68" t="str">
        <f t="shared" si="6"/>
        <v>ACTIVE</v>
      </c>
      <c r="J95" s="68" t="str">
        <f t="shared" si="6"/>
        <v>ACTIVE</v>
      </c>
      <c r="K95" s="68" t="str">
        <f t="shared" si="6"/>
        <v>ACTIVE</v>
      </c>
      <c r="L95" s="68" t="str">
        <f t="shared" si="6"/>
        <v>ACTIVE</v>
      </c>
      <c r="M95" s="68" t="str">
        <f t="shared" si="6"/>
        <v>ACTIVE</v>
      </c>
      <c r="N95" s="68" t="str">
        <f t="shared" si="6"/>
        <v>ACTIVE</v>
      </c>
      <c r="O95" s="68" t="str">
        <f t="shared" si="6"/>
        <v>ACTIVE</v>
      </c>
      <c r="P95" s="68" t="str">
        <f t="shared" si="6"/>
        <v>ACTIVE</v>
      </c>
      <c r="Q95" s="68" t="str">
        <f t="shared" si="6"/>
        <v>ACTIVE</v>
      </c>
    </row>
    <row r="96" spans="2:17" x14ac:dyDescent="0.35">
      <c r="B96" s="70" t="str">
        <v>30GG4020</v>
      </c>
      <c r="C96" s="68" t="str">
        <f>VLOOKUP(B96,Master!B:C,2,0)</f>
        <v>30GG4020</v>
      </c>
      <c r="D96" s="69">
        <f>VLOOKUP(B96,Master!B:L,11,0)</f>
        <v>42185</v>
      </c>
      <c r="E96" s="69">
        <f>VLOOKUP(B96,Master!B:P,15,0)</f>
        <v>0</v>
      </c>
      <c r="F96" s="68" t="str">
        <f t="shared" si="6"/>
        <v>ACTIVE</v>
      </c>
      <c r="G96" s="68" t="str">
        <f t="shared" si="6"/>
        <v>ACTIVE</v>
      </c>
      <c r="H96" s="68" t="str">
        <f t="shared" si="6"/>
        <v>ACTIVE</v>
      </c>
      <c r="I96" s="68" t="str">
        <f t="shared" si="6"/>
        <v>ACTIVE</v>
      </c>
      <c r="J96" s="68" t="str">
        <f t="shared" si="6"/>
        <v>ACTIVE</v>
      </c>
      <c r="K96" s="68" t="str">
        <f t="shared" si="6"/>
        <v>ACTIVE</v>
      </c>
      <c r="L96" s="68" t="str">
        <f t="shared" si="6"/>
        <v>ACTIVE</v>
      </c>
      <c r="M96" s="68" t="str">
        <f t="shared" si="6"/>
        <v>ACTIVE</v>
      </c>
      <c r="N96" s="68" t="str">
        <f t="shared" si="6"/>
        <v>ACTIVE</v>
      </c>
      <c r="O96" s="68" t="str">
        <f t="shared" si="6"/>
        <v>ACTIVE</v>
      </c>
      <c r="P96" s="68" t="str">
        <f t="shared" si="6"/>
        <v>ACTIVE</v>
      </c>
      <c r="Q96" s="68" t="str">
        <f t="shared" si="6"/>
        <v>ACTIVE</v>
      </c>
    </row>
    <row r="97" spans="2:17" x14ac:dyDescent="0.35">
      <c r="B97" s="70" t="str">
        <v>30KK4099</v>
      </c>
      <c r="C97" s="68" t="str">
        <f>VLOOKUP(B97,Master!B:C,2,0)</f>
        <v>30KK4099</v>
      </c>
      <c r="D97" s="69">
        <f>VLOOKUP(B97,Master!B:L,11,0)</f>
        <v>42211</v>
      </c>
      <c r="E97" s="69">
        <f>VLOOKUP(B97,Master!B:P,15,0)</f>
        <v>45863</v>
      </c>
      <c r="F97" s="68" t="str">
        <f t="shared" si="6"/>
        <v>CLOSED</v>
      </c>
      <c r="G97" s="68" t="str">
        <f t="shared" si="6"/>
        <v>CLOSED</v>
      </c>
      <c r="H97" s="68" t="str">
        <f t="shared" si="6"/>
        <v>CLOSED</v>
      </c>
      <c r="I97" s="68" t="str">
        <f t="shared" si="6"/>
        <v>CLOSED</v>
      </c>
      <c r="J97" s="68" t="str">
        <f t="shared" si="6"/>
        <v>CLOSED</v>
      </c>
      <c r="K97" s="68" t="str">
        <f t="shared" si="6"/>
        <v>CLOSED</v>
      </c>
      <c r="L97" s="68" t="str">
        <f t="shared" si="6"/>
        <v>CLOSED</v>
      </c>
      <c r="M97" s="68" t="str">
        <f t="shared" si="6"/>
        <v>CLOSED</v>
      </c>
      <c r="N97" s="68" t="str">
        <f t="shared" si="6"/>
        <v>CLOSED</v>
      </c>
      <c r="O97" s="68" t="str">
        <f t="shared" si="6"/>
        <v>CLOSED</v>
      </c>
      <c r="P97" s="68" t="str">
        <f t="shared" si="6"/>
        <v>CLOSED</v>
      </c>
      <c r="Q97" s="68" t="str">
        <f t="shared" si="6"/>
        <v>CLOSED</v>
      </c>
    </row>
    <row r="98" spans="2:17" x14ac:dyDescent="0.35">
      <c r="B98" s="70" t="str">
        <v>30GG4016</v>
      </c>
      <c r="C98" s="68" t="str">
        <f>VLOOKUP(B98,Master!B:C,2,0)</f>
        <v>30GG4016</v>
      </c>
      <c r="D98" s="69">
        <f>VLOOKUP(B98,Master!B:L,11,0)</f>
        <v>42212</v>
      </c>
      <c r="E98" s="69">
        <f>VLOOKUP(B98,Master!B:P,15,0)</f>
        <v>45863</v>
      </c>
      <c r="F98" s="68" t="str">
        <f t="shared" si="6"/>
        <v>CLOSED</v>
      </c>
      <c r="G98" s="68" t="str">
        <f t="shared" si="6"/>
        <v>CLOSED</v>
      </c>
      <c r="H98" s="68" t="str">
        <f t="shared" si="6"/>
        <v>CLOSED</v>
      </c>
      <c r="I98" s="68" t="str">
        <f t="shared" si="6"/>
        <v>CLOSED</v>
      </c>
      <c r="J98" s="68" t="str">
        <f t="shared" si="6"/>
        <v>CLOSED</v>
      </c>
      <c r="K98" s="68" t="str">
        <f t="shared" si="6"/>
        <v>CLOSED</v>
      </c>
      <c r="L98" s="68" t="str">
        <f t="shared" si="6"/>
        <v>CLOSED</v>
      </c>
      <c r="M98" s="68" t="str">
        <f t="shared" si="6"/>
        <v>CLOSED</v>
      </c>
      <c r="N98" s="68" t="str">
        <f t="shared" si="6"/>
        <v>CLOSED</v>
      </c>
      <c r="O98" s="68" t="str">
        <f t="shared" si="6"/>
        <v>CLOSED</v>
      </c>
      <c r="P98" s="68" t="str">
        <f t="shared" si="6"/>
        <v>CLOSED</v>
      </c>
      <c r="Q98" s="68" t="str">
        <f t="shared" si="6"/>
        <v>CLOSED</v>
      </c>
    </row>
    <row r="99" spans="2:17" x14ac:dyDescent="0.35">
      <c r="B99" s="70" t="str">
        <v>30GG4024</v>
      </c>
      <c r="C99" s="68" t="str">
        <f>VLOOKUP(B99,Master!B:C,2,0)</f>
        <v>30GG4024</v>
      </c>
      <c r="D99" s="69">
        <f>VLOOKUP(B99,Master!B:L,11,0)</f>
        <v>42244</v>
      </c>
      <c r="E99" s="69">
        <f>VLOOKUP(B99,Master!B:P,15,0)</f>
        <v>0</v>
      </c>
      <c r="F99" s="68" t="str">
        <f t="shared" si="6"/>
        <v>ACTIVE</v>
      </c>
      <c r="G99" s="68" t="str">
        <f t="shared" si="6"/>
        <v>ACTIVE</v>
      </c>
      <c r="H99" s="68" t="str">
        <f t="shared" si="6"/>
        <v>ACTIVE</v>
      </c>
      <c r="I99" s="68" t="str">
        <f t="shared" si="6"/>
        <v>ACTIVE</v>
      </c>
      <c r="J99" s="68" t="str">
        <f t="shared" si="6"/>
        <v>ACTIVE</v>
      </c>
      <c r="K99" s="68" t="str">
        <f t="shared" si="6"/>
        <v>ACTIVE</v>
      </c>
      <c r="L99" s="68" t="str">
        <f t="shared" si="6"/>
        <v>ACTIVE</v>
      </c>
      <c r="M99" s="68" t="str">
        <f t="shared" si="6"/>
        <v>ACTIVE</v>
      </c>
      <c r="N99" s="68" t="str">
        <f t="shared" si="6"/>
        <v>ACTIVE</v>
      </c>
      <c r="O99" s="68" t="str">
        <f t="shared" si="6"/>
        <v>ACTIVE</v>
      </c>
      <c r="P99" s="68" t="str">
        <f t="shared" si="6"/>
        <v>ACTIVE</v>
      </c>
      <c r="Q99" s="68" t="str">
        <f t="shared" si="6"/>
        <v>ACTIVE</v>
      </c>
    </row>
    <row r="100" spans="2:17" x14ac:dyDescent="0.35">
      <c r="B100" s="70" t="str">
        <v>30KK4254</v>
      </c>
      <c r="C100" s="68" t="str">
        <f>VLOOKUP(B100,Master!B:C,2,0)</f>
        <v>30KK4254</v>
      </c>
      <c r="D100" s="69">
        <f>VLOOKUP(B100,Master!B:L,11,0)</f>
        <v>42244</v>
      </c>
      <c r="E100" s="69">
        <f>VLOOKUP(B100,Master!B:P,15,0)</f>
        <v>0</v>
      </c>
      <c r="F100" s="68" t="str">
        <f t="shared" ref="F100:Q115" si="7">IF($E100&gt;0,"CLOSED",IF($D100&lt;F$1,"ACTIVE","WAITING FOR OPEN"))</f>
        <v>ACTIVE</v>
      </c>
      <c r="G100" s="68" t="str">
        <f t="shared" si="7"/>
        <v>ACTIVE</v>
      </c>
      <c r="H100" s="68" t="str">
        <f t="shared" si="7"/>
        <v>ACTIVE</v>
      </c>
      <c r="I100" s="68" t="str">
        <f t="shared" si="7"/>
        <v>ACTIVE</v>
      </c>
      <c r="J100" s="68" t="str">
        <f t="shared" si="7"/>
        <v>ACTIVE</v>
      </c>
      <c r="K100" s="68" t="str">
        <f t="shared" si="7"/>
        <v>ACTIVE</v>
      </c>
      <c r="L100" s="68" t="str">
        <f t="shared" si="7"/>
        <v>ACTIVE</v>
      </c>
      <c r="M100" s="68" t="str">
        <f t="shared" si="7"/>
        <v>ACTIVE</v>
      </c>
      <c r="N100" s="68" t="str">
        <f t="shared" si="7"/>
        <v>ACTIVE</v>
      </c>
      <c r="O100" s="68" t="str">
        <f t="shared" si="7"/>
        <v>ACTIVE</v>
      </c>
      <c r="P100" s="68" t="str">
        <f t="shared" si="7"/>
        <v>ACTIVE</v>
      </c>
      <c r="Q100" s="68" t="str">
        <f t="shared" si="7"/>
        <v>ACTIVE</v>
      </c>
    </row>
    <row r="101" spans="2:17" x14ac:dyDescent="0.35">
      <c r="B101" s="70" t="str">
        <v>30GG4017</v>
      </c>
      <c r="C101" s="68" t="str">
        <f>VLOOKUP(B101,Master!B:C,2,0)</f>
        <v>30GG4017</v>
      </c>
      <c r="D101" s="69">
        <f>VLOOKUP(B101,Master!B:L,11,0)</f>
        <v>42292</v>
      </c>
      <c r="E101" s="69">
        <f>VLOOKUP(B101,Master!B:P,15,0)</f>
        <v>0</v>
      </c>
      <c r="F101" s="68" t="str">
        <f t="shared" si="7"/>
        <v>ACTIVE</v>
      </c>
      <c r="G101" s="68" t="str">
        <f t="shared" si="7"/>
        <v>ACTIVE</v>
      </c>
      <c r="H101" s="68" t="str">
        <f t="shared" si="7"/>
        <v>ACTIVE</v>
      </c>
      <c r="I101" s="68" t="str">
        <f t="shared" si="7"/>
        <v>ACTIVE</v>
      </c>
      <c r="J101" s="68" t="str">
        <f t="shared" si="7"/>
        <v>ACTIVE</v>
      </c>
      <c r="K101" s="68" t="str">
        <f t="shared" si="7"/>
        <v>ACTIVE</v>
      </c>
      <c r="L101" s="68" t="str">
        <f t="shared" si="7"/>
        <v>ACTIVE</v>
      </c>
      <c r="M101" s="68" t="str">
        <f t="shared" si="7"/>
        <v>ACTIVE</v>
      </c>
      <c r="N101" s="68" t="str">
        <f t="shared" si="7"/>
        <v>ACTIVE</v>
      </c>
      <c r="O101" s="68" t="str">
        <f t="shared" si="7"/>
        <v>ACTIVE</v>
      </c>
      <c r="P101" s="68" t="str">
        <f t="shared" si="7"/>
        <v>ACTIVE</v>
      </c>
      <c r="Q101" s="68" t="str">
        <f t="shared" si="7"/>
        <v>ACTIVE</v>
      </c>
    </row>
    <row r="102" spans="2:17" x14ac:dyDescent="0.35">
      <c r="B102" s="70" t="str">
        <v>30GG4032</v>
      </c>
      <c r="C102" s="68" t="str">
        <f>VLOOKUP(B102,Master!B:C,2,0)</f>
        <v>30GG4032</v>
      </c>
      <c r="D102" s="69">
        <f>VLOOKUP(B102,Master!B:L,11,0)</f>
        <v>42315</v>
      </c>
      <c r="E102" s="69">
        <f>VLOOKUP(B102,Master!B:P,15,0)</f>
        <v>0</v>
      </c>
      <c r="F102" s="68" t="str">
        <f t="shared" si="7"/>
        <v>ACTIVE</v>
      </c>
      <c r="G102" s="68" t="str">
        <f t="shared" si="7"/>
        <v>ACTIVE</v>
      </c>
      <c r="H102" s="68" t="str">
        <f t="shared" si="7"/>
        <v>ACTIVE</v>
      </c>
      <c r="I102" s="68" t="str">
        <f t="shared" si="7"/>
        <v>ACTIVE</v>
      </c>
      <c r="J102" s="68" t="str">
        <f t="shared" si="7"/>
        <v>ACTIVE</v>
      </c>
      <c r="K102" s="68" t="str">
        <f t="shared" si="7"/>
        <v>ACTIVE</v>
      </c>
      <c r="L102" s="68" t="str">
        <f t="shared" si="7"/>
        <v>ACTIVE</v>
      </c>
      <c r="M102" s="68" t="str">
        <f t="shared" si="7"/>
        <v>ACTIVE</v>
      </c>
      <c r="N102" s="68" t="str">
        <f t="shared" si="7"/>
        <v>ACTIVE</v>
      </c>
      <c r="O102" s="68" t="str">
        <f t="shared" si="7"/>
        <v>ACTIVE</v>
      </c>
      <c r="P102" s="68" t="str">
        <f t="shared" si="7"/>
        <v>ACTIVE</v>
      </c>
      <c r="Q102" s="68" t="str">
        <f t="shared" si="7"/>
        <v>ACTIVE</v>
      </c>
    </row>
    <row r="103" spans="2:17" x14ac:dyDescent="0.35">
      <c r="B103" s="70" t="str">
        <v>30KK4269</v>
      </c>
      <c r="C103" s="68" t="str">
        <f>VLOOKUP(B103,Master!B:C,2,0)</f>
        <v>30KK4269</v>
      </c>
      <c r="D103" s="69">
        <f>VLOOKUP(B103,Master!B:L,11,0)</f>
        <v>42315</v>
      </c>
      <c r="E103" s="69">
        <f>VLOOKUP(B103,Master!B:P,15,0)</f>
        <v>0</v>
      </c>
      <c r="F103" s="68" t="str">
        <f t="shared" si="7"/>
        <v>ACTIVE</v>
      </c>
      <c r="G103" s="68" t="str">
        <f t="shared" si="7"/>
        <v>ACTIVE</v>
      </c>
      <c r="H103" s="68" t="str">
        <f t="shared" si="7"/>
        <v>ACTIVE</v>
      </c>
      <c r="I103" s="68" t="str">
        <f t="shared" si="7"/>
        <v>ACTIVE</v>
      </c>
      <c r="J103" s="68" t="str">
        <f t="shared" si="7"/>
        <v>ACTIVE</v>
      </c>
      <c r="K103" s="68" t="str">
        <f t="shared" si="7"/>
        <v>ACTIVE</v>
      </c>
      <c r="L103" s="68" t="str">
        <f t="shared" si="7"/>
        <v>ACTIVE</v>
      </c>
      <c r="M103" s="68" t="str">
        <f t="shared" si="7"/>
        <v>ACTIVE</v>
      </c>
      <c r="N103" s="68" t="str">
        <f t="shared" si="7"/>
        <v>ACTIVE</v>
      </c>
      <c r="O103" s="68" t="str">
        <f t="shared" si="7"/>
        <v>ACTIVE</v>
      </c>
      <c r="P103" s="68" t="str">
        <f t="shared" si="7"/>
        <v>ACTIVE</v>
      </c>
      <c r="Q103" s="68" t="str">
        <f t="shared" si="7"/>
        <v>ACTIVE</v>
      </c>
    </row>
    <row r="104" spans="2:17" x14ac:dyDescent="0.35">
      <c r="B104" s="70" t="str">
        <v>30GG4011</v>
      </c>
      <c r="C104" s="68" t="str">
        <f>VLOOKUP(B104,Master!B:C,2,0)</f>
        <v>30GG4011</v>
      </c>
      <c r="D104" s="69">
        <f>VLOOKUP(B104,Master!B:L,11,0)</f>
        <v>42328</v>
      </c>
      <c r="E104" s="69">
        <f>VLOOKUP(B104,Master!B:P,15,0)</f>
        <v>0</v>
      </c>
      <c r="F104" s="68" t="str">
        <f t="shared" si="7"/>
        <v>ACTIVE</v>
      </c>
      <c r="G104" s="68" t="str">
        <f t="shared" si="7"/>
        <v>ACTIVE</v>
      </c>
      <c r="H104" s="68" t="str">
        <f t="shared" si="7"/>
        <v>ACTIVE</v>
      </c>
      <c r="I104" s="68" t="str">
        <f t="shared" si="7"/>
        <v>ACTIVE</v>
      </c>
      <c r="J104" s="68" t="str">
        <f t="shared" si="7"/>
        <v>ACTIVE</v>
      </c>
      <c r="K104" s="68" t="str">
        <f t="shared" si="7"/>
        <v>ACTIVE</v>
      </c>
      <c r="L104" s="68" t="str">
        <f t="shared" si="7"/>
        <v>ACTIVE</v>
      </c>
      <c r="M104" s="68" t="str">
        <f t="shared" si="7"/>
        <v>ACTIVE</v>
      </c>
      <c r="N104" s="68" t="str">
        <f t="shared" si="7"/>
        <v>ACTIVE</v>
      </c>
      <c r="O104" s="68" t="str">
        <f t="shared" si="7"/>
        <v>ACTIVE</v>
      </c>
      <c r="P104" s="68" t="str">
        <f t="shared" si="7"/>
        <v>ACTIVE</v>
      </c>
      <c r="Q104" s="68" t="str">
        <f t="shared" si="7"/>
        <v>ACTIVE</v>
      </c>
    </row>
    <row r="105" spans="2:17" x14ac:dyDescent="0.35">
      <c r="B105" s="70" t="str">
        <v>30GG4008</v>
      </c>
      <c r="C105" s="68" t="str">
        <f>VLOOKUP(B105,Master!B:C,2,0)</f>
        <v>30GG4008</v>
      </c>
      <c r="D105" s="69">
        <f>VLOOKUP(B105,Master!B:L,11,0)</f>
        <v>42352</v>
      </c>
      <c r="E105" s="69">
        <f>VLOOKUP(B105,Master!B:P,15,0)</f>
        <v>0</v>
      </c>
      <c r="F105" s="68" t="str">
        <f t="shared" si="7"/>
        <v>ACTIVE</v>
      </c>
      <c r="G105" s="68" t="str">
        <f t="shared" si="7"/>
        <v>ACTIVE</v>
      </c>
      <c r="H105" s="68" t="str">
        <f t="shared" si="7"/>
        <v>ACTIVE</v>
      </c>
      <c r="I105" s="68" t="str">
        <f t="shared" si="7"/>
        <v>ACTIVE</v>
      </c>
      <c r="J105" s="68" t="str">
        <f t="shared" si="7"/>
        <v>ACTIVE</v>
      </c>
      <c r="K105" s="68" t="str">
        <f t="shared" si="7"/>
        <v>ACTIVE</v>
      </c>
      <c r="L105" s="68" t="str">
        <f t="shared" si="7"/>
        <v>ACTIVE</v>
      </c>
      <c r="M105" s="68" t="str">
        <f t="shared" si="7"/>
        <v>ACTIVE</v>
      </c>
      <c r="N105" s="68" t="str">
        <f t="shared" si="7"/>
        <v>ACTIVE</v>
      </c>
      <c r="O105" s="68" t="str">
        <f t="shared" si="7"/>
        <v>ACTIVE</v>
      </c>
      <c r="P105" s="68" t="str">
        <f t="shared" si="7"/>
        <v>ACTIVE</v>
      </c>
      <c r="Q105" s="68" t="str">
        <f t="shared" si="7"/>
        <v>ACTIVE</v>
      </c>
    </row>
    <row r="106" spans="2:17" x14ac:dyDescent="0.35">
      <c r="B106" s="70" t="str">
        <v>30KK4092</v>
      </c>
      <c r="C106" s="68" t="str">
        <f>VLOOKUP(B106,Master!B:C,2,0)</f>
        <v>30KK4092</v>
      </c>
      <c r="D106" s="69">
        <f>VLOOKUP(B106,Master!B:L,11,0)</f>
        <v>42352</v>
      </c>
      <c r="E106" s="69">
        <f>VLOOKUP(B106,Master!B:P,15,0)</f>
        <v>0</v>
      </c>
      <c r="F106" s="68" t="str">
        <f t="shared" si="7"/>
        <v>ACTIVE</v>
      </c>
      <c r="G106" s="68" t="str">
        <f t="shared" si="7"/>
        <v>ACTIVE</v>
      </c>
      <c r="H106" s="68" t="str">
        <f t="shared" si="7"/>
        <v>ACTIVE</v>
      </c>
      <c r="I106" s="68" t="str">
        <f t="shared" si="7"/>
        <v>ACTIVE</v>
      </c>
      <c r="J106" s="68" t="str">
        <f t="shared" si="7"/>
        <v>ACTIVE</v>
      </c>
      <c r="K106" s="68" t="str">
        <f t="shared" si="7"/>
        <v>ACTIVE</v>
      </c>
      <c r="L106" s="68" t="str">
        <f t="shared" si="7"/>
        <v>ACTIVE</v>
      </c>
      <c r="M106" s="68" t="str">
        <f t="shared" si="7"/>
        <v>ACTIVE</v>
      </c>
      <c r="N106" s="68" t="str">
        <f t="shared" si="7"/>
        <v>ACTIVE</v>
      </c>
      <c r="O106" s="68" t="str">
        <f t="shared" si="7"/>
        <v>ACTIVE</v>
      </c>
      <c r="P106" s="68" t="str">
        <f t="shared" si="7"/>
        <v>ACTIVE</v>
      </c>
      <c r="Q106" s="68" t="str">
        <f t="shared" si="7"/>
        <v>ACTIVE</v>
      </c>
    </row>
    <row r="107" spans="2:17" x14ac:dyDescent="0.35">
      <c r="B107" s="70" t="str">
        <v>30SM4336</v>
      </c>
      <c r="C107" s="68" t="str">
        <f>VLOOKUP(B107,Master!B:C,2,0)</f>
        <v>30SM4336</v>
      </c>
      <c r="D107" s="69">
        <f>VLOOKUP(B107,Master!B:L,11,0)</f>
        <v>42362</v>
      </c>
      <c r="E107" s="69">
        <f>VLOOKUP(B107,Master!B:P,15,0)</f>
        <v>0</v>
      </c>
      <c r="F107" s="68" t="str">
        <f t="shared" si="7"/>
        <v>ACTIVE</v>
      </c>
      <c r="G107" s="68" t="str">
        <f t="shared" si="7"/>
        <v>ACTIVE</v>
      </c>
      <c r="H107" s="68" t="str">
        <f t="shared" si="7"/>
        <v>ACTIVE</v>
      </c>
      <c r="I107" s="68" t="str">
        <f t="shared" si="7"/>
        <v>ACTIVE</v>
      </c>
      <c r="J107" s="68" t="str">
        <f t="shared" si="7"/>
        <v>ACTIVE</v>
      </c>
      <c r="K107" s="68" t="str">
        <f t="shared" si="7"/>
        <v>ACTIVE</v>
      </c>
      <c r="L107" s="68" t="str">
        <f t="shared" si="7"/>
        <v>ACTIVE</v>
      </c>
      <c r="M107" s="68" t="str">
        <f t="shared" si="7"/>
        <v>ACTIVE</v>
      </c>
      <c r="N107" s="68" t="str">
        <f t="shared" si="7"/>
        <v>ACTIVE</v>
      </c>
      <c r="O107" s="68" t="str">
        <f t="shared" si="7"/>
        <v>ACTIVE</v>
      </c>
      <c r="P107" s="68" t="str">
        <f t="shared" si="7"/>
        <v>ACTIVE</v>
      </c>
      <c r="Q107" s="68" t="str">
        <f t="shared" si="7"/>
        <v>ACTIVE</v>
      </c>
    </row>
    <row r="108" spans="2:17" x14ac:dyDescent="0.35">
      <c r="B108" s="70" t="str">
        <v>30GG4034</v>
      </c>
      <c r="C108" s="68" t="str">
        <f>VLOOKUP(B108,Master!B:C,2,0)</f>
        <v>30GG4034</v>
      </c>
      <c r="D108" s="69">
        <f>VLOOKUP(B108,Master!B:L,11,0)</f>
        <v>42366</v>
      </c>
      <c r="E108" s="69">
        <f>VLOOKUP(B108,Master!B:P,15,0)</f>
        <v>0</v>
      </c>
      <c r="F108" s="68" t="str">
        <f t="shared" si="7"/>
        <v>ACTIVE</v>
      </c>
      <c r="G108" s="68" t="str">
        <f t="shared" si="7"/>
        <v>ACTIVE</v>
      </c>
      <c r="H108" s="68" t="str">
        <f t="shared" si="7"/>
        <v>ACTIVE</v>
      </c>
      <c r="I108" s="68" t="str">
        <f t="shared" si="7"/>
        <v>ACTIVE</v>
      </c>
      <c r="J108" s="68" t="str">
        <f t="shared" si="7"/>
        <v>ACTIVE</v>
      </c>
      <c r="K108" s="68" t="str">
        <f t="shared" si="7"/>
        <v>ACTIVE</v>
      </c>
      <c r="L108" s="68" t="str">
        <f t="shared" si="7"/>
        <v>ACTIVE</v>
      </c>
      <c r="M108" s="68" t="str">
        <f t="shared" si="7"/>
        <v>ACTIVE</v>
      </c>
      <c r="N108" s="68" t="str">
        <f t="shared" si="7"/>
        <v>ACTIVE</v>
      </c>
      <c r="O108" s="68" t="str">
        <f t="shared" si="7"/>
        <v>ACTIVE</v>
      </c>
      <c r="P108" s="68" t="str">
        <f t="shared" si="7"/>
        <v>ACTIVE</v>
      </c>
      <c r="Q108" s="68" t="str">
        <f t="shared" si="7"/>
        <v>ACTIVE</v>
      </c>
    </row>
    <row r="109" spans="2:17" x14ac:dyDescent="0.35">
      <c r="B109" s="70" t="str">
        <v>30GG4035</v>
      </c>
      <c r="C109" s="68" t="str">
        <f>VLOOKUP(B109,Master!B:C,2,0)</f>
        <v>30GG4035</v>
      </c>
      <c r="D109" s="69">
        <f>VLOOKUP(B109,Master!B:L,11,0)</f>
        <v>42368</v>
      </c>
      <c r="E109" s="69">
        <f>VLOOKUP(B109,Master!B:P,15,0)</f>
        <v>0</v>
      </c>
      <c r="F109" s="68" t="str">
        <f t="shared" si="7"/>
        <v>ACTIVE</v>
      </c>
      <c r="G109" s="68" t="str">
        <f t="shared" si="7"/>
        <v>ACTIVE</v>
      </c>
      <c r="H109" s="68" t="str">
        <f t="shared" si="7"/>
        <v>ACTIVE</v>
      </c>
      <c r="I109" s="68" t="str">
        <f t="shared" si="7"/>
        <v>ACTIVE</v>
      </c>
      <c r="J109" s="68" t="str">
        <f t="shared" si="7"/>
        <v>ACTIVE</v>
      </c>
      <c r="K109" s="68" t="str">
        <f t="shared" si="7"/>
        <v>ACTIVE</v>
      </c>
      <c r="L109" s="68" t="str">
        <f t="shared" si="7"/>
        <v>ACTIVE</v>
      </c>
      <c r="M109" s="68" t="str">
        <f t="shared" si="7"/>
        <v>ACTIVE</v>
      </c>
      <c r="N109" s="68" t="str">
        <f t="shared" si="7"/>
        <v>ACTIVE</v>
      </c>
      <c r="O109" s="68" t="str">
        <f t="shared" si="7"/>
        <v>ACTIVE</v>
      </c>
      <c r="P109" s="68" t="str">
        <f t="shared" si="7"/>
        <v>ACTIVE</v>
      </c>
      <c r="Q109" s="68" t="str">
        <f t="shared" si="7"/>
        <v>ACTIVE</v>
      </c>
    </row>
    <row r="110" spans="2:17" x14ac:dyDescent="0.35">
      <c r="B110" s="70" t="str">
        <v>30GG4019</v>
      </c>
      <c r="C110" s="68" t="str">
        <f>VLOOKUP(B110,Master!B:C,2,0)</f>
        <v>30GG4019</v>
      </c>
      <c r="D110" s="69">
        <f>VLOOKUP(B110,Master!B:L,11,0)</f>
        <v>42455</v>
      </c>
      <c r="E110" s="69">
        <f>VLOOKUP(B110,Master!B:P,15,0)</f>
        <v>0</v>
      </c>
      <c r="F110" s="68" t="str">
        <f t="shared" si="7"/>
        <v>ACTIVE</v>
      </c>
      <c r="G110" s="68" t="str">
        <f t="shared" si="7"/>
        <v>ACTIVE</v>
      </c>
      <c r="H110" s="68" t="str">
        <f t="shared" si="7"/>
        <v>ACTIVE</v>
      </c>
      <c r="I110" s="68" t="str">
        <f t="shared" si="7"/>
        <v>ACTIVE</v>
      </c>
      <c r="J110" s="68" t="str">
        <f t="shared" si="7"/>
        <v>ACTIVE</v>
      </c>
      <c r="K110" s="68" t="str">
        <f t="shared" si="7"/>
        <v>ACTIVE</v>
      </c>
      <c r="L110" s="68" t="str">
        <f t="shared" si="7"/>
        <v>ACTIVE</v>
      </c>
      <c r="M110" s="68" t="str">
        <f t="shared" si="7"/>
        <v>ACTIVE</v>
      </c>
      <c r="N110" s="68" t="str">
        <f t="shared" si="7"/>
        <v>ACTIVE</v>
      </c>
      <c r="O110" s="68" t="str">
        <f t="shared" si="7"/>
        <v>ACTIVE</v>
      </c>
      <c r="P110" s="68" t="str">
        <f t="shared" si="7"/>
        <v>ACTIVE</v>
      </c>
      <c r="Q110" s="68" t="str">
        <f t="shared" si="7"/>
        <v>ACTIVE</v>
      </c>
    </row>
    <row r="111" spans="2:17" x14ac:dyDescent="0.35">
      <c r="B111" s="70" t="str">
        <v>30KK4249</v>
      </c>
      <c r="C111" s="68" t="str">
        <f>VLOOKUP(B111,Master!B:C,2,0)</f>
        <v>30KK4249</v>
      </c>
      <c r="D111" s="69">
        <f>VLOOKUP(B111,Master!B:L,11,0)</f>
        <v>42455</v>
      </c>
      <c r="E111" s="69">
        <f>VLOOKUP(B111,Master!B:P,15,0)</f>
        <v>0</v>
      </c>
      <c r="F111" s="68" t="str">
        <f t="shared" si="7"/>
        <v>ACTIVE</v>
      </c>
      <c r="G111" s="68" t="str">
        <f t="shared" si="7"/>
        <v>ACTIVE</v>
      </c>
      <c r="H111" s="68" t="str">
        <f t="shared" si="7"/>
        <v>ACTIVE</v>
      </c>
      <c r="I111" s="68" t="str">
        <f t="shared" si="7"/>
        <v>ACTIVE</v>
      </c>
      <c r="J111" s="68" t="str">
        <f t="shared" si="7"/>
        <v>ACTIVE</v>
      </c>
      <c r="K111" s="68" t="str">
        <f t="shared" si="7"/>
        <v>ACTIVE</v>
      </c>
      <c r="L111" s="68" t="str">
        <f t="shared" si="7"/>
        <v>ACTIVE</v>
      </c>
      <c r="M111" s="68" t="str">
        <f t="shared" si="7"/>
        <v>ACTIVE</v>
      </c>
      <c r="N111" s="68" t="str">
        <f t="shared" si="7"/>
        <v>ACTIVE</v>
      </c>
      <c r="O111" s="68" t="str">
        <f t="shared" si="7"/>
        <v>ACTIVE</v>
      </c>
      <c r="P111" s="68" t="str">
        <f t="shared" si="7"/>
        <v>ACTIVE</v>
      </c>
      <c r="Q111" s="68" t="str">
        <f t="shared" si="7"/>
        <v>ACTIVE</v>
      </c>
    </row>
    <row r="112" spans="2:17" x14ac:dyDescent="0.35">
      <c r="B112" s="70" t="str">
        <v>30GG4036</v>
      </c>
      <c r="C112" s="68" t="str">
        <f>VLOOKUP(B112,Master!B:C,2,0)</f>
        <v>30GG4036</v>
      </c>
      <c r="D112" s="69">
        <f>VLOOKUP(B112,Master!B:L,11,0)</f>
        <v>42455</v>
      </c>
      <c r="E112" s="69">
        <f>VLOOKUP(B112,Master!B:P,15,0)</f>
        <v>0</v>
      </c>
      <c r="F112" s="68" t="str">
        <f t="shared" si="7"/>
        <v>ACTIVE</v>
      </c>
      <c r="G112" s="68" t="str">
        <f t="shared" si="7"/>
        <v>ACTIVE</v>
      </c>
      <c r="H112" s="68" t="str">
        <f t="shared" si="7"/>
        <v>ACTIVE</v>
      </c>
      <c r="I112" s="68" t="str">
        <f t="shared" si="7"/>
        <v>ACTIVE</v>
      </c>
      <c r="J112" s="68" t="str">
        <f t="shared" si="7"/>
        <v>ACTIVE</v>
      </c>
      <c r="K112" s="68" t="str">
        <f t="shared" si="7"/>
        <v>ACTIVE</v>
      </c>
      <c r="L112" s="68" t="str">
        <f t="shared" si="7"/>
        <v>ACTIVE</v>
      </c>
      <c r="M112" s="68" t="str">
        <f t="shared" si="7"/>
        <v>ACTIVE</v>
      </c>
      <c r="N112" s="68" t="str">
        <f t="shared" si="7"/>
        <v>ACTIVE</v>
      </c>
      <c r="O112" s="68" t="str">
        <f t="shared" si="7"/>
        <v>ACTIVE</v>
      </c>
      <c r="P112" s="68" t="str">
        <f t="shared" si="7"/>
        <v>ACTIVE</v>
      </c>
      <c r="Q112" s="68" t="str">
        <f t="shared" si="7"/>
        <v>ACTIVE</v>
      </c>
    </row>
    <row r="113" spans="2:17" x14ac:dyDescent="0.35">
      <c r="B113" s="70" t="str">
        <v>30KK4270</v>
      </c>
      <c r="C113" s="68" t="str">
        <f>VLOOKUP(B113,Master!B:C,2,0)</f>
        <v>30KK4270</v>
      </c>
      <c r="D113" s="69">
        <f>VLOOKUP(B113,Master!B:L,11,0)</f>
        <v>42455</v>
      </c>
      <c r="E113" s="69">
        <f>VLOOKUP(B113,Master!B:P,15,0)</f>
        <v>0</v>
      </c>
      <c r="F113" s="68" t="str">
        <f t="shared" si="7"/>
        <v>ACTIVE</v>
      </c>
      <c r="G113" s="68" t="str">
        <f t="shared" si="7"/>
        <v>ACTIVE</v>
      </c>
      <c r="H113" s="68" t="str">
        <f t="shared" si="7"/>
        <v>ACTIVE</v>
      </c>
      <c r="I113" s="68" t="str">
        <f t="shared" si="7"/>
        <v>ACTIVE</v>
      </c>
      <c r="J113" s="68" t="str">
        <f t="shared" si="7"/>
        <v>ACTIVE</v>
      </c>
      <c r="K113" s="68" t="str">
        <f t="shared" si="7"/>
        <v>ACTIVE</v>
      </c>
      <c r="L113" s="68" t="str">
        <f t="shared" si="7"/>
        <v>ACTIVE</v>
      </c>
      <c r="M113" s="68" t="str">
        <f t="shared" si="7"/>
        <v>ACTIVE</v>
      </c>
      <c r="N113" s="68" t="str">
        <f t="shared" si="7"/>
        <v>ACTIVE</v>
      </c>
      <c r="O113" s="68" t="str">
        <f t="shared" si="7"/>
        <v>ACTIVE</v>
      </c>
      <c r="P113" s="68" t="str">
        <f t="shared" si="7"/>
        <v>ACTIVE</v>
      </c>
      <c r="Q113" s="68" t="str">
        <f t="shared" si="7"/>
        <v>ACTIVE</v>
      </c>
    </row>
    <row r="114" spans="2:17" x14ac:dyDescent="0.35">
      <c r="B114" s="70" t="str">
        <v>30GG4037</v>
      </c>
      <c r="C114" s="68" t="str">
        <f>VLOOKUP(B114,Master!B:C,2,0)</f>
        <v>30GG4037</v>
      </c>
      <c r="D114" s="69">
        <f>VLOOKUP(B114,Master!B:L,11,0)</f>
        <v>42488</v>
      </c>
      <c r="E114" s="69">
        <f>VLOOKUP(B114,Master!B:P,15,0)</f>
        <v>0</v>
      </c>
      <c r="F114" s="68" t="str">
        <f t="shared" si="7"/>
        <v>ACTIVE</v>
      </c>
      <c r="G114" s="68" t="str">
        <f t="shared" si="7"/>
        <v>ACTIVE</v>
      </c>
      <c r="H114" s="68" t="str">
        <f t="shared" si="7"/>
        <v>ACTIVE</v>
      </c>
      <c r="I114" s="68" t="str">
        <f t="shared" si="7"/>
        <v>ACTIVE</v>
      </c>
      <c r="J114" s="68" t="str">
        <f t="shared" si="7"/>
        <v>ACTIVE</v>
      </c>
      <c r="K114" s="68" t="str">
        <f t="shared" si="7"/>
        <v>ACTIVE</v>
      </c>
      <c r="L114" s="68" t="str">
        <f t="shared" si="7"/>
        <v>ACTIVE</v>
      </c>
      <c r="M114" s="68" t="str">
        <f t="shared" si="7"/>
        <v>ACTIVE</v>
      </c>
      <c r="N114" s="68" t="str">
        <f t="shared" si="7"/>
        <v>ACTIVE</v>
      </c>
      <c r="O114" s="68" t="str">
        <f t="shared" si="7"/>
        <v>ACTIVE</v>
      </c>
      <c r="P114" s="68" t="str">
        <f t="shared" si="7"/>
        <v>ACTIVE</v>
      </c>
      <c r="Q114" s="68" t="str">
        <f t="shared" si="7"/>
        <v>ACTIVE</v>
      </c>
    </row>
    <row r="115" spans="2:17" x14ac:dyDescent="0.35">
      <c r="B115" s="70" t="str">
        <v>30KK4271</v>
      </c>
      <c r="C115" s="68" t="str">
        <f>VLOOKUP(B115,Master!B:C,2,0)</f>
        <v>30KK4271</v>
      </c>
      <c r="D115" s="69">
        <f>VLOOKUP(B115,Master!B:L,11,0)</f>
        <v>42488</v>
      </c>
      <c r="E115" s="69">
        <f>VLOOKUP(B115,Master!B:P,15,0)</f>
        <v>0</v>
      </c>
      <c r="F115" s="68" t="str">
        <f t="shared" si="7"/>
        <v>ACTIVE</v>
      </c>
      <c r="G115" s="68" t="str">
        <f t="shared" si="7"/>
        <v>ACTIVE</v>
      </c>
      <c r="H115" s="68" t="str">
        <f t="shared" si="7"/>
        <v>ACTIVE</v>
      </c>
      <c r="I115" s="68" t="str">
        <f t="shared" si="7"/>
        <v>ACTIVE</v>
      </c>
      <c r="J115" s="68" t="str">
        <f t="shared" si="7"/>
        <v>ACTIVE</v>
      </c>
      <c r="K115" s="68" t="str">
        <f t="shared" si="7"/>
        <v>ACTIVE</v>
      </c>
      <c r="L115" s="68" t="str">
        <f t="shared" si="7"/>
        <v>ACTIVE</v>
      </c>
      <c r="M115" s="68" t="str">
        <f t="shared" si="7"/>
        <v>ACTIVE</v>
      </c>
      <c r="N115" s="68" t="str">
        <f t="shared" si="7"/>
        <v>ACTIVE</v>
      </c>
      <c r="O115" s="68" t="str">
        <f t="shared" si="7"/>
        <v>ACTIVE</v>
      </c>
      <c r="P115" s="68" t="str">
        <f t="shared" si="7"/>
        <v>ACTIVE</v>
      </c>
      <c r="Q115" s="68" t="str">
        <f t="shared" si="7"/>
        <v>ACTIVE</v>
      </c>
    </row>
    <row r="116" spans="2:17" x14ac:dyDescent="0.35">
      <c r="B116" s="70" t="str">
        <v>30KK4250</v>
      </c>
      <c r="C116" s="68" t="str">
        <f>VLOOKUP(B116,Master!B:C,2,0)</f>
        <v>30KK4250</v>
      </c>
      <c r="D116" s="69">
        <f>VLOOKUP(B116,Master!B:L,11,0)</f>
        <v>42498</v>
      </c>
      <c r="E116" s="69">
        <f>VLOOKUP(B116,Master!B:P,15,0)</f>
        <v>0</v>
      </c>
      <c r="F116" s="68" t="str">
        <f t="shared" ref="F116:Q131" si="8">IF($E116&gt;0,"CLOSED",IF($D116&lt;F$1,"ACTIVE","WAITING FOR OPEN"))</f>
        <v>ACTIVE</v>
      </c>
      <c r="G116" s="68" t="str">
        <f t="shared" si="8"/>
        <v>ACTIVE</v>
      </c>
      <c r="H116" s="68" t="str">
        <f t="shared" si="8"/>
        <v>ACTIVE</v>
      </c>
      <c r="I116" s="68" t="str">
        <f t="shared" si="8"/>
        <v>ACTIVE</v>
      </c>
      <c r="J116" s="68" t="str">
        <f t="shared" si="8"/>
        <v>ACTIVE</v>
      </c>
      <c r="K116" s="68" t="str">
        <f t="shared" si="8"/>
        <v>ACTIVE</v>
      </c>
      <c r="L116" s="68" t="str">
        <f t="shared" si="8"/>
        <v>ACTIVE</v>
      </c>
      <c r="M116" s="68" t="str">
        <f t="shared" si="8"/>
        <v>ACTIVE</v>
      </c>
      <c r="N116" s="68" t="str">
        <f t="shared" si="8"/>
        <v>ACTIVE</v>
      </c>
      <c r="O116" s="68" t="str">
        <f t="shared" si="8"/>
        <v>ACTIVE</v>
      </c>
      <c r="P116" s="68" t="str">
        <f t="shared" si="8"/>
        <v>ACTIVE</v>
      </c>
      <c r="Q116" s="68" t="str">
        <f t="shared" si="8"/>
        <v>ACTIVE</v>
      </c>
    </row>
    <row r="117" spans="2:17" x14ac:dyDescent="0.35">
      <c r="B117" s="70" t="str">
        <v>30SM4331</v>
      </c>
      <c r="C117" s="68" t="str">
        <f>VLOOKUP(B117,Master!B:C,2,0)</f>
        <v>30SM4331</v>
      </c>
      <c r="D117" s="69">
        <f>VLOOKUP(B117,Master!B:L,11,0)</f>
        <v>42533</v>
      </c>
      <c r="E117" s="69">
        <f>VLOOKUP(B117,Master!B:P,15,0)</f>
        <v>0</v>
      </c>
      <c r="F117" s="68" t="str">
        <f t="shared" si="8"/>
        <v>ACTIVE</v>
      </c>
      <c r="G117" s="68" t="str">
        <f t="shared" si="8"/>
        <v>ACTIVE</v>
      </c>
      <c r="H117" s="68" t="str">
        <f t="shared" si="8"/>
        <v>ACTIVE</v>
      </c>
      <c r="I117" s="68" t="str">
        <f t="shared" si="8"/>
        <v>ACTIVE</v>
      </c>
      <c r="J117" s="68" t="str">
        <f t="shared" si="8"/>
        <v>ACTIVE</v>
      </c>
      <c r="K117" s="68" t="str">
        <f t="shared" si="8"/>
        <v>ACTIVE</v>
      </c>
      <c r="L117" s="68" t="str">
        <f t="shared" si="8"/>
        <v>ACTIVE</v>
      </c>
      <c r="M117" s="68" t="str">
        <f t="shared" si="8"/>
        <v>ACTIVE</v>
      </c>
      <c r="N117" s="68" t="str">
        <f t="shared" si="8"/>
        <v>ACTIVE</v>
      </c>
      <c r="O117" s="68" t="str">
        <f t="shared" si="8"/>
        <v>ACTIVE</v>
      </c>
      <c r="P117" s="68" t="str">
        <f t="shared" si="8"/>
        <v>ACTIVE</v>
      </c>
      <c r="Q117" s="68" t="str">
        <f t="shared" si="8"/>
        <v>ACTIVE</v>
      </c>
    </row>
    <row r="118" spans="2:17" x14ac:dyDescent="0.35">
      <c r="B118" s="70" t="str">
        <v>30CJ4529</v>
      </c>
      <c r="C118" s="68" t="str">
        <f>VLOOKUP(B118,Master!B:C,2,0)</f>
        <v>30CJ4529</v>
      </c>
      <c r="D118" s="69">
        <f>VLOOKUP(B118,Master!B:L,11,0)</f>
        <v>42552</v>
      </c>
      <c r="E118" s="69">
        <f>VLOOKUP(B118,Master!B:P,15,0)</f>
        <v>0</v>
      </c>
      <c r="F118" s="68" t="str">
        <f t="shared" si="8"/>
        <v>ACTIVE</v>
      </c>
      <c r="G118" s="68" t="str">
        <f t="shared" si="8"/>
        <v>ACTIVE</v>
      </c>
      <c r="H118" s="68" t="str">
        <f t="shared" si="8"/>
        <v>ACTIVE</v>
      </c>
      <c r="I118" s="68" t="str">
        <f t="shared" si="8"/>
        <v>ACTIVE</v>
      </c>
      <c r="J118" s="68" t="str">
        <f t="shared" si="8"/>
        <v>ACTIVE</v>
      </c>
      <c r="K118" s="68" t="str">
        <f t="shared" si="8"/>
        <v>ACTIVE</v>
      </c>
      <c r="L118" s="68" t="str">
        <f t="shared" si="8"/>
        <v>ACTIVE</v>
      </c>
      <c r="M118" s="68" t="str">
        <f t="shared" si="8"/>
        <v>ACTIVE</v>
      </c>
      <c r="N118" s="68" t="str">
        <f t="shared" si="8"/>
        <v>ACTIVE</v>
      </c>
      <c r="O118" s="68" t="str">
        <f t="shared" si="8"/>
        <v>ACTIVE</v>
      </c>
      <c r="P118" s="68" t="str">
        <f t="shared" si="8"/>
        <v>ACTIVE</v>
      </c>
      <c r="Q118" s="68" t="str">
        <f t="shared" si="8"/>
        <v>ACTIVE</v>
      </c>
    </row>
    <row r="119" spans="2:17" x14ac:dyDescent="0.35">
      <c r="B119" s="70" t="str">
        <v>30GG4038</v>
      </c>
      <c r="C119" s="68" t="str">
        <f>VLOOKUP(B119,Master!B:C,2,0)</f>
        <v>30GG4038</v>
      </c>
      <c r="D119" s="69">
        <f>VLOOKUP(B119,Master!B:L,11,0)</f>
        <v>42552</v>
      </c>
      <c r="E119" s="69">
        <f>VLOOKUP(B119,Master!B:P,15,0)</f>
        <v>0</v>
      </c>
      <c r="F119" s="68" t="str">
        <f t="shared" si="8"/>
        <v>ACTIVE</v>
      </c>
      <c r="G119" s="68" t="str">
        <f t="shared" si="8"/>
        <v>ACTIVE</v>
      </c>
      <c r="H119" s="68" t="str">
        <f t="shared" si="8"/>
        <v>ACTIVE</v>
      </c>
      <c r="I119" s="68" t="str">
        <f t="shared" si="8"/>
        <v>ACTIVE</v>
      </c>
      <c r="J119" s="68" t="str">
        <f t="shared" si="8"/>
        <v>ACTIVE</v>
      </c>
      <c r="K119" s="68" t="str">
        <f t="shared" si="8"/>
        <v>ACTIVE</v>
      </c>
      <c r="L119" s="68" t="str">
        <f t="shared" si="8"/>
        <v>ACTIVE</v>
      </c>
      <c r="M119" s="68" t="str">
        <f t="shared" si="8"/>
        <v>ACTIVE</v>
      </c>
      <c r="N119" s="68" t="str">
        <f t="shared" si="8"/>
        <v>ACTIVE</v>
      </c>
      <c r="O119" s="68" t="str">
        <f t="shared" si="8"/>
        <v>ACTIVE</v>
      </c>
      <c r="P119" s="68" t="str">
        <f t="shared" si="8"/>
        <v>ACTIVE</v>
      </c>
      <c r="Q119" s="68" t="str">
        <f t="shared" si="8"/>
        <v>ACTIVE</v>
      </c>
    </row>
    <row r="120" spans="2:17" x14ac:dyDescent="0.35">
      <c r="B120" s="70" t="str">
        <v>30KK4272</v>
      </c>
      <c r="C120" s="68" t="str">
        <f>VLOOKUP(B120,Master!B:C,2,0)</f>
        <v>30KK4272</v>
      </c>
      <c r="D120" s="69">
        <f>VLOOKUP(B120,Master!B:L,11,0)</f>
        <v>42552</v>
      </c>
      <c r="E120" s="69">
        <f>VLOOKUP(B120,Master!B:P,15,0)</f>
        <v>0</v>
      </c>
      <c r="F120" s="68" t="str">
        <f t="shared" si="8"/>
        <v>ACTIVE</v>
      </c>
      <c r="G120" s="68" t="str">
        <f t="shared" si="8"/>
        <v>ACTIVE</v>
      </c>
      <c r="H120" s="68" t="str">
        <f t="shared" si="8"/>
        <v>ACTIVE</v>
      </c>
      <c r="I120" s="68" t="str">
        <f t="shared" si="8"/>
        <v>ACTIVE</v>
      </c>
      <c r="J120" s="68" t="str">
        <f t="shared" si="8"/>
        <v>ACTIVE</v>
      </c>
      <c r="K120" s="68" t="str">
        <f t="shared" si="8"/>
        <v>ACTIVE</v>
      </c>
      <c r="L120" s="68" t="str">
        <f t="shared" si="8"/>
        <v>ACTIVE</v>
      </c>
      <c r="M120" s="68" t="str">
        <f t="shared" si="8"/>
        <v>ACTIVE</v>
      </c>
      <c r="N120" s="68" t="str">
        <f t="shared" si="8"/>
        <v>ACTIVE</v>
      </c>
      <c r="O120" s="68" t="str">
        <f t="shared" si="8"/>
        <v>ACTIVE</v>
      </c>
      <c r="P120" s="68" t="str">
        <f t="shared" si="8"/>
        <v>ACTIVE</v>
      </c>
      <c r="Q120" s="68" t="str">
        <f t="shared" si="8"/>
        <v>ACTIVE</v>
      </c>
    </row>
    <row r="121" spans="2:17" x14ac:dyDescent="0.35">
      <c r="B121" s="70" t="str">
        <v>30GG4058</v>
      </c>
      <c r="C121" s="68" t="str">
        <f>VLOOKUP(B121,Master!B:C,2,0)</f>
        <v>30GG4058</v>
      </c>
      <c r="D121" s="69">
        <f>VLOOKUP(B121,Master!B:L,11,0)</f>
        <v>42579</v>
      </c>
      <c r="E121" s="69">
        <f>VLOOKUP(B121,Master!B:P,15,0)</f>
        <v>0</v>
      </c>
      <c r="F121" s="68" t="str">
        <f t="shared" si="8"/>
        <v>ACTIVE</v>
      </c>
      <c r="G121" s="68" t="str">
        <f t="shared" si="8"/>
        <v>ACTIVE</v>
      </c>
      <c r="H121" s="68" t="str">
        <f t="shared" si="8"/>
        <v>ACTIVE</v>
      </c>
      <c r="I121" s="68" t="str">
        <f t="shared" si="8"/>
        <v>ACTIVE</v>
      </c>
      <c r="J121" s="68" t="str">
        <f t="shared" si="8"/>
        <v>ACTIVE</v>
      </c>
      <c r="K121" s="68" t="str">
        <f t="shared" si="8"/>
        <v>ACTIVE</v>
      </c>
      <c r="L121" s="68" t="str">
        <f t="shared" si="8"/>
        <v>ACTIVE</v>
      </c>
      <c r="M121" s="68" t="str">
        <f t="shared" si="8"/>
        <v>ACTIVE</v>
      </c>
      <c r="N121" s="68" t="str">
        <f t="shared" si="8"/>
        <v>ACTIVE</v>
      </c>
      <c r="O121" s="68" t="str">
        <f t="shared" si="8"/>
        <v>ACTIVE</v>
      </c>
      <c r="P121" s="68" t="str">
        <f t="shared" si="8"/>
        <v>ACTIVE</v>
      </c>
      <c r="Q121" s="68" t="str">
        <f t="shared" si="8"/>
        <v>ACTIVE</v>
      </c>
    </row>
    <row r="122" spans="2:17" x14ac:dyDescent="0.35">
      <c r="B122" s="70" t="str">
        <v>30KK4287</v>
      </c>
      <c r="C122" s="68" t="str">
        <f>VLOOKUP(B122,Master!B:C,2,0)</f>
        <v>30KK4287</v>
      </c>
      <c r="D122" s="69">
        <f>VLOOKUP(B122,Master!B:L,11,0)</f>
        <v>42579</v>
      </c>
      <c r="E122" s="69">
        <f>VLOOKUP(B122,Master!B:P,15,0)</f>
        <v>0</v>
      </c>
      <c r="F122" s="68" t="str">
        <f t="shared" si="8"/>
        <v>ACTIVE</v>
      </c>
      <c r="G122" s="68" t="str">
        <f t="shared" si="8"/>
        <v>ACTIVE</v>
      </c>
      <c r="H122" s="68" t="str">
        <f t="shared" si="8"/>
        <v>ACTIVE</v>
      </c>
      <c r="I122" s="68" t="str">
        <f t="shared" si="8"/>
        <v>ACTIVE</v>
      </c>
      <c r="J122" s="68" t="str">
        <f t="shared" si="8"/>
        <v>ACTIVE</v>
      </c>
      <c r="K122" s="68" t="str">
        <f t="shared" si="8"/>
        <v>ACTIVE</v>
      </c>
      <c r="L122" s="68" t="str">
        <f t="shared" si="8"/>
        <v>ACTIVE</v>
      </c>
      <c r="M122" s="68" t="str">
        <f t="shared" si="8"/>
        <v>ACTIVE</v>
      </c>
      <c r="N122" s="68" t="str">
        <f t="shared" si="8"/>
        <v>ACTIVE</v>
      </c>
      <c r="O122" s="68" t="str">
        <f t="shared" si="8"/>
        <v>ACTIVE</v>
      </c>
      <c r="P122" s="68" t="str">
        <f t="shared" si="8"/>
        <v>ACTIVE</v>
      </c>
      <c r="Q122" s="68" t="str">
        <f t="shared" si="8"/>
        <v>ACTIVE</v>
      </c>
    </row>
    <row r="123" spans="2:17" x14ac:dyDescent="0.35">
      <c r="B123" s="70" t="str">
        <v>30CJ4528</v>
      </c>
      <c r="C123" s="68" t="str">
        <f>VLOOKUP(B123,Master!B:C,2,0)</f>
        <v>30CJ4528</v>
      </c>
      <c r="D123" s="69">
        <f>VLOOKUP(B123,Master!B:L,11,0)</f>
        <v>42581</v>
      </c>
      <c r="E123" s="69">
        <f>VLOOKUP(B123,Master!B:P,15,0)</f>
        <v>0</v>
      </c>
      <c r="F123" s="68" t="str">
        <f t="shared" si="8"/>
        <v>ACTIVE</v>
      </c>
      <c r="G123" s="68" t="str">
        <f t="shared" si="8"/>
        <v>ACTIVE</v>
      </c>
      <c r="H123" s="68" t="str">
        <f t="shared" si="8"/>
        <v>ACTIVE</v>
      </c>
      <c r="I123" s="68" t="str">
        <f t="shared" si="8"/>
        <v>ACTIVE</v>
      </c>
      <c r="J123" s="68" t="str">
        <f t="shared" si="8"/>
        <v>ACTIVE</v>
      </c>
      <c r="K123" s="68" t="str">
        <f t="shared" si="8"/>
        <v>ACTIVE</v>
      </c>
      <c r="L123" s="68" t="str">
        <f t="shared" si="8"/>
        <v>ACTIVE</v>
      </c>
      <c r="M123" s="68" t="str">
        <f t="shared" si="8"/>
        <v>ACTIVE</v>
      </c>
      <c r="N123" s="68" t="str">
        <f t="shared" si="8"/>
        <v>ACTIVE</v>
      </c>
      <c r="O123" s="68" t="str">
        <f t="shared" si="8"/>
        <v>ACTIVE</v>
      </c>
      <c r="P123" s="68" t="str">
        <f t="shared" si="8"/>
        <v>ACTIVE</v>
      </c>
      <c r="Q123" s="68" t="str">
        <f t="shared" si="8"/>
        <v>ACTIVE</v>
      </c>
    </row>
    <row r="124" spans="2:17" x14ac:dyDescent="0.35">
      <c r="B124" s="70" t="str">
        <v>30GG4039</v>
      </c>
      <c r="C124" s="68" t="str">
        <f>VLOOKUP(B124,Master!B:C,2,0)</f>
        <v>30GG4039</v>
      </c>
      <c r="D124" s="69">
        <f>VLOOKUP(B124,Master!B:L,11,0)</f>
        <v>42581</v>
      </c>
      <c r="E124" s="69">
        <f>VLOOKUP(B124,Master!B:P,15,0)</f>
        <v>0</v>
      </c>
      <c r="F124" s="68" t="str">
        <f t="shared" si="8"/>
        <v>ACTIVE</v>
      </c>
      <c r="G124" s="68" t="str">
        <f t="shared" si="8"/>
        <v>ACTIVE</v>
      </c>
      <c r="H124" s="68" t="str">
        <f t="shared" si="8"/>
        <v>ACTIVE</v>
      </c>
      <c r="I124" s="68" t="str">
        <f t="shared" si="8"/>
        <v>ACTIVE</v>
      </c>
      <c r="J124" s="68" t="str">
        <f t="shared" si="8"/>
        <v>ACTIVE</v>
      </c>
      <c r="K124" s="68" t="str">
        <f t="shared" si="8"/>
        <v>ACTIVE</v>
      </c>
      <c r="L124" s="68" t="str">
        <f t="shared" si="8"/>
        <v>ACTIVE</v>
      </c>
      <c r="M124" s="68" t="str">
        <f t="shared" si="8"/>
        <v>ACTIVE</v>
      </c>
      <c r="N124" s="68" t="str">
        <f t="shared" si="8"/>
        <v>ACTIVE</v>
      </c>
      <c r="O124" s="68" t="str">
        <f t="shared" si="8"/>
        <v>ACTIVE</v>
      </c>
      <c r="P124" s="68" t="str">
        <f t="shared" si="8"/>
        <v>ACTIVE</v>
      </c>
      <c r="Q124" s="68" t="str">
        <f t="shared" si="8"/>
        <v>ACTIVE</v>
      </c>
    </row>
    <row r="125" spans="2:17" x14ac:dyDescent="0.35">
      <c r="B125" s="70" t="str">
        <v>30KK4273</v>
      </c>
      <c r="C125" s="68" t="str">
        <f>VLOOKUP(B125,Master!B:C,2,0)</f>
        <v>30KK4273</v>
      </c>
      <c r="D125" s="69">
        <f>VLOOKUP(B125,Master!B:L,11,0)</f>
        <v>42583</v>
      </c>
      <c r="E125" s="69">
        <f>VLOOKUP(B125,Master!B:P,15,0)</f>
        <v>0</v>
      </c>
      <c r="F125" s="68" t="str">
        <f t="shared" si="8"/>
        <v>ACTIVE</v>
      </c>
      <c r="G125" s="68" t="str">
        <f t="shared" si="8"/>
        <v>ACTIVE</v>
      </c>
      <c r="H125" s="68" t="str">
        <f t="shared" si="8"/>
        <v>ACTIVE</v>
      </c>
      <c r="I125" s="68" t="str">
        <f t="shared" si="8"/>
        <v>ACTIVE</v>
      </c>
      <c r="J125" s="68" t="str">
        <f t="shared" si="8"/>
        <v>ACTIVE</v>
      </c>
      <c r="K125" s="68" t="str">
        <f t="shared" si="8"/>
        <v>ACTIVE</v>
      </c>
      <c r="L125" s="68" t="str">
        <f t="shared" si="8"/>
        <v>ACTIVE</v>
      </c>
      <c r="M125" s="68" t="str">
        <f t="shared" si="8"/>
        <v>ACTIVE</v>
      </c>
      <c r="N125" s="68" t="str">
        <f t="shared" si="8"/>
        <v>ACTIVE</v>
      </c>
      <c r="O125" s="68" t="str">
        <f t="shared" si="8"/>
        <v>ACTIVE</v>
      </c>
      <c r="P125" s="68" t="str">
        <f t="shared" si="8"/>
        <v>ACTIVE</v>
      </c>
      <c r="Q125" s="68" t="str">
        <f t="shared" si="8"/>
        <v>ACTIVE</v>
      </c>
    </row>
    <row r="126" spans="2:17" x14ac:dyDescent="0.35">
      <c r="B126" s="70" t="str">
        <v>30GG4018</v>
      </c>
      <c r="C126" s="68" t="str">
        <f>VLOOKUP(B126,Master!B:C,2,0)</f>
        <v>30GG4018</v>
      </c>
      <c r="D126" s="69">
        <f>VLOOKUP(B126,Master!B:L,11,0)</f>
        <v>42633</v>
      </c>
      <c r="E126" s="69">
        <f>VLOOKUP(B126,Master!B:P,15,0)</f>
        <v>0</v>
      </c>
      <c r="F126" s="68" t="str">
        <f t="shared" si="8"/>
        <v>ACTIVE</v>
      </c>
      <c r="G126" s="68" t="str">
        <f t="shared" si="8"/>
        <v>ACTIVE</v>
      </c>
      <c r="H126" s="68" t="str">
        <f t="shared" si="8"/>
        <v>ACTIVE</v>
      </c>
      <c r="I126" s="68" t="str">
        <f t="shared" si="8"/>
        <v>ACTIVE</v>
      </c>
      <c r="J126" s="68" t="str">
        <f t="shared" si="8"/>
        <v>ACTIVE</v>
      </c>
      <c r="K126" s="68" t="str">
        <f t="shared" si="8"/>
        <v>ACTIVE</v>
      </c>
      <c r="L126" s="68" t="str">
        <f t="shared" si="8"/>
        <v>ACTIVE</v>
      </c>
      <c r="M126" s="68" t="str">
        <f t="shared" si="8"/>
        <v>ACTIVE</v>
      </c>
      <c r="N126" s="68" t="str">
        <f t="shared" si="8"/>
        <v>ACTIVE</v>
      </c>
      <c r="O126" s="68" t="str">
        <f t="shared" si="8"/>
        <v>ACTIVE</v>
      </c>
      <c r="P126" s="68" t="str">
        <f t="shared" si="8"/>
        <v>ACTIVE</v>
      </c>
      <c r="Q126" s="68" t="str">
        <f t="shared" si="8"/>
        <v>ACTIVE</v>
      </c>
    </row>
    <row r="127" spans="2:17" x14ac:dyDescent="0.35">
      <c r="B127" s="70" t="str">
        <v>30KK4152</v>
      </c>
      <c r="C127" s="68" t="str">
        <f>VLOOKUP(B127,Master!B:C,2,0)</f>
        <v>30KK4152</v>
      </c>
      <c r="D127" s="69">
        <f>VLOOKUP(B127,Master!B:L,11,0)</f>
        <v>42633</v>
      </c>
      <c r="E127" s="69">
        <f>VLOOKUP(B127,Master!B:P,15,0)</f>
        <v>0</v>
      </c>
      <c r="F127" s="68" t="str">
        <f t="shared" si="8"/>
        <v>ACTIVE</v>
      </c>
      <c r="G127" s="68" t="str">
        <f t="shared" si="8"/>
        <v>ACTIVE</v>
      </c>
      <c r="H127" s="68" t="str">
        <f t="shared" si="8"/>
        <v>ACTIVE</v>
      </c>
      <c r="I127" s="68" t="str">
        <f t="shared" si="8"/>
        <v>ACTIVE</v>
      </c>
      <c r="J127" s="68" t="str">
        <f t="shared" si="8"/>
        <v>ACTIVE</v>
      </c>
      <c r="K127" s="68" t="str">
        <f t="shared" si="8"/>
        <v>ACTIVE</v>
      </c>
      <c r="L127" s="68" t="str">
        <f t="shared" si="8"/>
        <v>ACTIVE</v>
      </c>
      <c r="M127" s="68" t="str">
        <f t="shared" si="8"/>
        <v>ACTIVE</v>
      </c>
      <c r="N127" s="68" t="str">
        <f t="shared" si="8"/>
        <v>ACTIVE</v>
      </c>
      <c r="O127" s="68" t="str">
        <f t="shared" si="8"/>
        <v>ACTIVE</v>
      </c>
      <c r="P127" s="68" t="str">
        <f t="shared" si="8"/>
        <v>ACTIVE</v>
      </c>
      <c r="Q127" s="68" t="str">
        <f t="shared" si="8"/>
        <v>ACTIVE</v>
      </c>
    </row>
    <row r="128" spans="2:17" x14ac:dyDescent="0.35">
      <c r="B128" s="70" t="str">
        <v>30CJ4526</v>
      </c>
      <c r="C128" s="68" t="str">
        <f>VLOOKUP(B128,Master!B:C,2,0)</f>
        <v>30CJ4526</v>
      </c>
      <c r="D128" s="69">
        <f>VLOOKUP(B128,Master!B:L,11,0)</f>
        <v>42643</v>
      </c>
      <c r="E128" s="69">
        <f>VLOOKUP(B128,Master!B:P,15,0)</f>
        <v>0</v>
      </c>
      <c r="F128" s="68" t="str">
        <f t="shared" si="8"/>
        <v>ACTIVE</v>
      </c>
      <c r="G128" s="68" t="str">
        <f t="shared" si="8"/>
        <v>ACTIVE</v>
      </c>
      <c r="H128" s="68" t="str">
        <f t="shared" si="8"/>
        <v>ACTIVE</v>
      </c>
      <c r="I128" s="68" t="str">
        <f t="shared" si="8"/>
        <v>ACTIVE</v>
      </c>
      <c r="J128" s="68" t="str">
        <f t="shared" si="8"/>
        <v>ACTIVE</v>
      </c>
      <c r="K128" s="68" t="str">
        <f t="shared" si="8"/>
        <v>ACTIVE</v>
      </c>
      <c r="L128" s="68" t="str">
        <f t="shared" si="8"/>
        <v>ACTIVE</v>
      </c>
      <c r="M128" s="68" t="str">
        <f t="shared" si="8"/>
        <v>ACTIVE</v>
      </c>
      <c r="N128" s="68" t="str">
        <f t="shared" si="8"/>
        <v>ACTIVE</v>
      </c>
      <c r="O128" s="68" t="str">
        <f t="shared" si="8"/>
        <v>ACTIVE</v>
      </c>
      <c r="P128" s="68" t="str">
        <f t="shared" si="8"/>
        <v>ACTIVE</v>
      </c>
      <c r="Q128" s="68" t="str">
        <f t="shared" si="8"/>
        <v>ACTIVE</v>
      </c>
    </row>
    <row r="129" spans="2:17" x14ac:dyDescent="0.35">
      <c r="B129" s="70" t="str">
        <v>30GG4040</v>
      </c>
      <c r="C129" s="68" t="str">
        <f>VLOOKUP(B129,Master!B:C,2,0)</f>
        <v>30GG4040</v>
      </c>
      <c r="D129" s="69">
        <f>VLOOKUP(B129,Master!B:L,11,0)</f>
        <v>42701</v>
      </c>
      <c r="E129" s="69">
        <f>VLOOKUP(B129,Master!B:P,15,0)</f>
        <v>0</v>
      </c>
      <c r="F129" s="68" t="str">
        <f t="shared" si="8"/>
        <v>ACTIVE</v>
      </c>
      <c r="G129" s="68" t="str">
        <f t="shared" si="8"/>
        <v>ACTIVE</v>
      </c>
      <c r="H129" s="68" t="str">
        <f t="shared" si="8"/>
        <v>ACTIVE</v>
      </c>
      <c r="I129" s="68" t="str">
        <f t="shared" si="8"/>
        <v>ACTIVE</v>
      </c>
      <c r="J129" s="68" t="str">
        <f t="shared" si="8"/>
        <v>ACTIVE</v>
      </c>
      <c r="K129" s="68" t="str">
        <f t="shared" si="8"/>
        <v>ACTIVE</v>
      </c>
      <c r="L129" s="68" t="str">
        <f t="shared" si="8"/>
        <v>ACTIVE</v>
      </c>
      <c r="M129" s="68" t="str">
        <f t="shared" si="8"/>
        <v>ACTIVE</v>
      </c>
      <c r="N129" s="68" t="str">
        <f t="shared" si="8"/>
        <v>ACTIVE</v>
      </c>
      <c r="O129" s="68" t="str">
        <f t="shared" si="8"/>
        <v>ACTIVE</v>
      </c>
      <c r="P129" s="68" t="str">
        <f t="shared" si="8"/>
        <v>ACTIVE</v>
      </c>
      <c r="Q129" s="68" t="str">
        <f t="shared" si="8"/>
        <v>ACTIVE</v>
      </c>
    </row>
    <row r="130" spans="2:17" x14ac:dyDescent="0.35">
      <c r="B130" s="70" t="str">
        <v>30GG4042</v>
      </c>
      <c r="C130" s="68" t="str">
        <f>VLOOKUP(B130,Master!B:C,2,0)</f>
        <v>30GG4042</v>
      </c>
      <c r="D130" s="69">
        <f>VLOOKUP(B130,Master!B:L,11,0)</f>
        <v>42848</v>
      </c>
      <c r="E130" s="69">
        <f>VLOOKUP(B130,Master!B:P,15,0)</f>
        <v>0</v>
      </c>
      <c r="F130" s="68" t="str">
        <f t="shared" si="8"/>
        <v>ACTIVE</v>
      </c>
      <c r="G130" s="68" t="str">
        <f t="shared" si="8"/>
        <v>ACTIVE</v>
      </c>
      <c r="H130" s="68" t="str">
        <f t="shared" si="8"/>
        <v>ACTIVE</v>
      </c>
      <c r="I130" s="68" t="str">
        <f t="shared" si="8"/>
        <v>ACTIVE</v>
      </c>
      <c r="J130" s="68" t="str">
        <f t="shared" si="8"/>
        <v>ACTIVE</v>
      </c>
      <c r="K130" s="68" t="str">
        <f t="shared" si="8"/>
        <v>ACTIVE</v>
      </c>
      <c r="L130" s="68" t="str">
        <f t="shared" si="8"/>
        <v>ACTIVE</v>
      </c>
      <c r="M130" s="68" t="str">
        <f t="shared" si="8"/>
        <v>ACTIVE</v>
      </c>
      <c r="N130" s="68" t="str">
        <f t="shared" si="8"/>
        <v>ACTIVE</v>
      </c>
      <c r="O130" s="68" t="str">
        <f t="shared" si="8"/>
        <v>ACTIVE</v>
      </c>
      <c r="P130" s="68" t="str">
        <f t="shared" si="8"/>
        <v>ACTIVE</v>
      </c>
      <c r="Q130" s="68" t="str">
        <f t="shared" si="8"/>
        <v>ACTIVE</v>
      </c>
    </row>
    <row r="131" spans="2:17" x14ac:dyDescent="0.35">
      <c r="B131" s="70" t="str">
        <v>30GG4021</v>
      </c>
      <c r="C131" s="68" t="str">
        <f>VLOOKUP(B131,Master!B:C,2,0)</f>
        <v>30GG4021</v>
      </c>
      <c r="D131" s="69">
        <f>VLOOKUP(B131,Master!B:L,11,0)</f>
        <v>42852</v>
      </c>
      <c r="E131" s="69">
        <f>VLOOKUP(B131,Master!B:P,15,0)</f>
        <v>0</v>
      </c>
      <c r="F131" s="68" t="str">
        <f t="shared" si="8"/>
        <v>ACTIVE</v>
      </c>
      <c r="G131" s="68" t="str">
        <f t="shared" si="8"/>
        <v>ACTIVE</v>
      </c>
      <c r="H131" s="68" t="str">
        <f t="shared" si="8"/>
        <v>ACTIVE</v>
      </c>
      <c r="I131" s="68" t="str">
        <f t="shared" si="8"/>
        <v>ACTIVE</v>
      </c>
      <c r="J131" s="68" t="str">
        <f t="shared" si="8"/>
        <v>ACTIVE</v>
      </c>
      <c r="K131" s="68" t="str">
        <f t="shared" si="8"/>
        <v>ACTIVE</v>
      </c>
      <c r="L131" s="68" t="str">
        <f t="shared" si="8"/>
        <v>ACTIVE</v>
      </c>
      <c r="M131" s="68" t="str">
        <f t="shared" si="8"/>
        <v>ACTIVE</v>
      </c>
      <c r="N131" s="68" t="str">
        <f t="shared" si="8"/>
        <v>ACTIVE</v>
      </c>
      <c r="O131" s="68" t="str">
        <f t="shared" si="8"/>
        <v>ACTIVE</v>
      </c>
      <c r="P131" s="68" t="str">
        <f t="shared" si="8"/>
        <v>ACTIVE</v>
      </c>
      <c r="Q131" s="68" t="str">
        <f t="shared" si="8"/>
        <v>ACTIVE</v>
      </c>
    </row>
    <row r="132" spans="2:17" x14ac:dyDescent="0.35">
      <c r="B132" s="70" t="str">
        <v>30KK4251</v>
      </c>
      <c r="C132" s="68" t="str">
        <f>VLOOKUP(B132,Master!B:C,2,0)</f>
        <v>30KK4251</v>
      </c>
      <c r="D132" s="69">
        <f>VLOOKUP(B132,Master!B:L,11,0)</f>
        <v>42852</v>
      </c>
      <c r="E132" s="69">
        <f>VLOOKUP(B132,Master!B:P,15,0)</f>
        <v>0</v>
      </c>
      <c r="F132" s="68" t="str">
        <f t="shared" ref="F132:Q147" si="9">IF($E132&gt;0,"CLOSED",IF($D132&lt;F$1,"ACTIVE","WAITING FOR OPEN"))</f>
        <v>ACTIVE</v>
      </c>
      <c r="G132" s="68" t="str">
        <f t="shared" si="9"/>
        <v>ACTIVE</v>
      </c>
      <c r="H132" s="68" t="str">
        <f t="shared" si="9"/>
        <v>ACTIVE</v>
      </c>
      <c r="I132" s="68" t="str">
        <f t="shared" si="9"/>
        <v>ACTIVE</v>
      </c>
      <c r="J132" s="68" t="str">
        <f t="shared" si="9"/>
        <v>ACTIVE</v>
      </c>
      <c r="K132" s="68" t="str">
        <f t="shared" si="9"/>
        <v>ACTIVE</v>
      </c>
      <c r="L132" s="68" t="str">
        <f t="shared" si="9"/>
        <v>ACTIVE</v>
      </c>
      <c r="M132" s="68" t="str">
        <f t="shared" si="9"/>
        <v>ACTIVE</v>
      </c>
      <c r="N132" s="68" t="str">
        <f t="shared" si="9"/>
        <v>ACTIVE</v>
      </c>
      <c r="O132" s="68" t="str">
        <f t="shared" si="9"/>
        <v>ACTIVE</v>
      </c>
      <c r="P132" s="68" t="str">
        <f t="shared" si="9"/>
        <v>ACTIVE</v>
      </c>
      <c r="Q132" s="68" t="str">
        <f t="shared" si="9"/>
        <v>ACTIVE</v>
      </c>
    </row>
    <row r="133" spans="2:17" x14ac:dyDescent="0.35">
      <c r="B133" s="70" t="str">
        <v>30KK4274</v>
      </c>
      <c r="C133" s="68" t="str">
        <f>VLOOKUP(B133,Master!B:C,2,0)</f>
        <v>30KK4274</v>
      </c>
      <c r="D133" s="69">
        <f>VLOOKUP(B133,Master!B:L,11,0)</f>
        <v>42853</v>
      </c>
      <c r="E133" s="69">
        <f>VLOOKUP(B133,Master!B:P,15,0)</f>
        <v>0</v>
      </c>
      <c r="F133" s="68" t="str">
        <f t="shared" si="9"/>
        <v>ACTIVE</v>
      </c>
      <c r="G133" s="68" t="str">
        <f t="shared" si="9"/>
        <v>ACTIVE</v>
      </c>
      <c r="H133" s="68" t="str">
        <f t="shared" si="9"/>
        <v>ACTIVE</v>
      </c>
      <c r="I133" s="68" t="str">
        <f t="shared" si="9"/>
        <v>ACTIVE</v>
      </c>
      <c r="J133" s="68" t="str">
        <f t="shared" si="9"/>
        <v>ACTIVE</v>
      </c>
      <c r="K133" s="68" t="str">
        <f t="shared" si="9"/>
        <v>ACTIVE</v>
      </c>
      <c r="L133" s="68" t="str">
        <f t="shared" si="9"/>
        <v>ACTIVE</v>
      </c>
      <c r="M133" s="68" t="str">
        <f t="shared" si="9"/>
        <v>ACTIVE</v>
      </c>
      <c r="N133" s="68" t="str">
        <f t="shared" si="9"/>
        <v>ACTIVE</v>
      </c>
      <c r="O133" s="68" t="str">
        <f t="shared" si="9"/>
        <v>ACTIVE</v>
      </c>
      <c r="P133" s="68" t="str">
        <f t="shared" si="9"/>
        <v>ACTIVE</v>
      </c>
      <c r="Q133" s="68" t="str">
        <f t="shared" si="9"/>
        <v>ACTIVE</v>
      </c>
    </row>
    <row r="134" spans="2:17" x14ac:dyDescent="0.35">
      <c r="B134" s="70" t="str">
        <v>30GG4043</v>
      </c>
      <c r="C134" s="68" t="str">
        <f>VLOOKUP(B134,Master!B:C,2,0)</f>
        <v>30GG4043</v>
      </c>
      <c r="D134" s="69">
        <f>VLOOKUP(B134,Master!B:L,11,0)</f>
        <v>42854</v>
      </c>
      <c r="E134" s="69">
        <f>VLOOKUP(B134,Master!B:P,15,0)</f>
        <v>0</v>
      </c>
      <c r="F134" s="68" t="str">
        <f t="shared" si="9"/>
        <v>ACTIVE</v>
      </c>
      <c r="G134" s="68" t="str">
        <f t="shared" si="9"/>
        <v>ACTIVE</v>
      </c>
      <c r="H134" s="68" t="str">
        <f t="shared" si="9"/>
        <v>ACTIVE</v>
      </c>
      <c r="I134" s="68" t="str">
        <f t="shared" si="9"/>
        <v>ACTIVE</v>
      </c>
      <c r="J134" s="68" t="str">
        <f t="shared" si="9"/>
        <v>ACTIVE</v>
      </c>
      <c r="K134" s="68" t="str">
        <f t="shared" si="9"/>
        <v>ACTIVE</v>
      </c>
      <c r="L134" s="68" t="str">
        <f t="shared" si="9"/>
        <v>ACTIVE</v>
      </c>
      <c r="M134" s="68" t="str">
        <f t="shared" si="9"/>
        <v>ACTIVE</v>
      </c>
      <c r="N134" s="68" t="str">
        <f t="shared" si="9"/>
        <v>ACTIVE</v>
      </c>
      <c r="O134" s="68" t="str">
        <f t="shared" si="9"/>
        <v>ACTIVE</v>
      </c>
      <c r="P134" s="68" t="str">
        <f t="shared" si="9"/>
        <v>ACTIVE</v>
      </c>
      <c r="Q134" s="68" t="str">
        <f t="shared" si="9"/>
        <v>ACTIVE</v>
      </c>
    </row>
    <row r="135" spans="2:17" x14ac:dyDescent="0.35">
      <c r="B135" s="70" t="str">
        <v>30GG4015</v>
      </c>
      <c r="C135" s="68" t="str">
        <f>VLOOKUP(B135,Master!B:C,2,0)</f>
        <v>30GG4015</v>
      </c>
      <c r="D135" s="69">
        <f>VLOOKUP(B135,Master!B:L,11,0)</f>
        <v>42897</v>
      </c>
      <c r="E135" s="69">
        <f>VLOOKUP(B135,Master!B:P,15,0)</f>
        <v>0</v>
      </c>
      <c r="F135" s="68" t="str">
        <f t="shared" si="9"/>
        <v>ACTIVE</v>
      </c>
      <c r="G135" s="68" t="str">
        <f t="shared" si="9"/>
        <v>ACTIVE</v>
      </c>
      <c r="H135" s="68" t="str">
        <f t="shared" si="9"/>
        <v>ACTIVE</v>
      </c>
      <c r="I135" s="68" t="str">
        <f t="shared" si="9"/>
        <v>ACTIVE</v>
      </c>
      <c r="J135" s="68" t="str">
        <f t="shared" si="9"/>
        <v>ACTIVE</v>
      </c>
      <c r="K135" s="68" t="str">
        <f t="shared" si="9"/>
        <v>ACTIVE</v>
      </c>
      <c r="L135" s="68" t="str">
        <f t="shared" si="9"/>
        <v>ACTIVE</v>
      </c>
      <c r="M135" s="68" t="str">
        <f t="shared" si="9"/>
        <v>ACTIVE</v>
      </c>
      <c r="N135" s="68" t="str">
        <f t="shared" si="9"/>
        <v>ACTIVE</v>
      </c>
      <c r="O135" s="68" t="str">
        <f t="shared" si="9"/>
        <v>ACTIVE</v>
      </c>
      <c r="P135" s="68" t="str">
        <f t="shared" si="9"/>
        <v>ACTIVE</v>
      </c>
      <c r="Q135" s="68" t="str">
        <f t="shared" si="9"/>
        <v>ACTIVE</v>
      </c>
    </row>
    <row r="136" spans="2:17" x14ac:dyDescent="0.35">
      <c r="B136" s="70" t="str">
        <v>30KK4098</v>
      </c>
      <c r="C136" s="68" t="str">
        <f>VLOOKUP(B136,Master!B:C,2,0)</f>
        <v>30KK4098</v>
      </c>
      <c r="D136" s="69">
        <f>VLOOKUP(B136,Master!B:L,11,0)</f>
        <v>42897</v>
      </c>
      <c r="E136" s="69">
        <f>VLOOKUP(B136,Master!B:P,15,0)</f>
        <v>0</v>
      </c>
      <c r="F136" s="68" t="str">
        <f t="shared" si="9"/>
        <v>ACTIVE</v>
      </c>
      <c r="G136" s="68" t="str">
        <f t="shared" si="9"/>
        <v>ACTIVE</v>
      </c>
      <c r="H136" s="68" t="str">
        <f t="shared" si="9"/>
        <v>ACTIVE</v>
      </c>
      <c r="I136" s="68" t="str">
        <f t="shared" si="9"/>
        <v>ACTIVE</v>
      </c>
      <c r="J136" s="68" t="str">
        <f t="shared" si="9"/>
        <v>ACTIVE</v>
      </c>
      <c r="K136" s="68" t="str">
        <f t="shared" si="9"/>
        <v>ACTIVE</v>
      </c>
      <c r="L136" s="68" t="str">
        <f t="shared" si="9"/>
        <v>ACTIVE</v>
      </c>
      <c r="M136" s="68" t="str">
        <f t="shared" si="9"/>
        <v>ACTIVE</v>
      </c>
      <c r="N136" s="68" t="str">
        <f t="shared" si="9"/>
        <v>ACTIVE</v>
      </c>
      <c r="O136" s="68" t="str">
        <f t="shared" si="9"/>
        <v>ACTIVE</v>
      </c>
      <c r="P136" s="68" t="str">
        <f t="shared" si="9"/>
        <v>ACTIVE</v>
      </c>
      <c r="Q136" s="68" t="str">
        <f t="shared" si="9"/>
        <v>ACTIVE</v>
      </c>
    </row>
    <row r="137" spans="2:17" x14ac:dyDescent="0.35">
      <c r="B137" s="70" t="str">
        <v>30GG4044</v>
      </c>
      <c r="C137" s="68" t="str">
        <f>VLOOKUP(B137,Master!B:C,2,0)</f>
        <v>30GG4044</v>
      </c>
      <c r="D137" s="69">
        <f>VLOOKUP(B137,Master!B:L,11,0)</f>
        <v>42963</v>
      </c>
      <c r="E137" s="69">
        <f>VLOOKUP(B137,Master!B:P,15,0)</f>
        <v>0</v>
      </c>
      <c r="F137" s="68" t="str">
        <f t="shared" si="9"/>
        <v>ACTIVE</v>
      </c>
      <c r="G137" s="68" t="str">
        <f t="shared" si="9"/>
        <v>ACTIVE</v>
      </c>
      <c r="H137" s="68" t="str">
        <f t="shared" si="9"/>
        <v>ACTIVE</v>
      </c>
      <c r="I137" s="68" t="str">
        <f t="shared" si="9"/>
        <v>ACTIVE</v>
      </c>
      <c r="J137" s="68" t="str">
        <f t="shared" si="9"/>
        <v>ACTIVE</v>
      </c>
      <c r="K137" s="68" t="str">
        <f t="shared" si="9"/>
        <v>ACTIVE</v>
      </c>
      <c r="L137" s="68" t="str">
        <f t="shared" si="9"/>
        <v>ACTIVE</v>
      </c>
      <c r="M137" s="68" t="str">
        <f t="shared" si="9"/>
        <v>ACTIVE</v>
      </c>
      <c r="N137" s="68" t="str">
        <f t="shared" si="9"/>
        <v>ACTIVE</v>
      </c>
      <c r="O137" s="68" t="str">
        <f t="shared" si="9"/>
        <v>ACTIVE</v>
      </c>
      <c r="P137" s="68" t="str">
        <f t="shared" si="9"/>
        <v>ACTIVE</v>
      </c>
      <c r="Q137" s="68" t="str">
        <f t="shared" si="9"/>
        <v>ACTIVE</v>
      </c>
    </row>
    <row r="138" spans="2:17" x14ac:dyDescent="0.35">
      <c r="B138" s="70" t="str">
        <v>30KK4276</v>
      </c>
      <c r="C138" s="68" t="str">
        <f>VLOOKUP(B138,Master!B:C,2,0)</f>
        <v>30KK4276</v>
      </c>
      <c r="D138" s="69">
        <f>VLOOKUP(B138,Master!B:L,11,0)</f>
        <v>42964</v>
      </c>
      <c r="E138" s="69">
        <f>VLOOKUP(B138,Master!B:P,15,0)</f>
        <v>0</v>
      </c>
      <c r="F138" s="68" t="str">
        <f t="shared" si="9"/>
        <v>ACTIVE</v>
      </c>
      <c r="G138" s="68" t="str">
        <f t="shared" si="9"/>
        <v>ACTIVE</v>
      </c>
      <c r="H138" s="68" t="str">
        <f t="shared" si="9"/>
        <v>ACTIVE</v>
      </c>
      <c r="I138" s="68" t="str">
        <f t="shared" si="9"/>
        <v>ACTIVE</v>
      </c>
      <c r="J138" s="68" t="str">
        <f t="shared" si="9"/>
        <v>ACTIVE</v>
      </c>
      <c r="K138" s="68" t="str">
        <f t="shared" si="9"/>
        <v>ACTIVE</v>
      </c>
      <c r="L138" s="68" t="str">
        <f t="shared" si="9"/>
        <v>ACTIVE</v>
      </c>
      <c r="M138" s="68" t="str">
        <f t="shared" si="9"/>
        <v>ACTIVE</v>
      </c>
      <c r="N138" s="68" t="str">
        <f t="shared" si="9"/>
        <v>ACTIVE</v>
      </c>
      <c r="O138" s="68" t="str">
        <f t="shared" si="9"/>
        <v>ACTIVE</v>
      </c>
      <c r="P138" s="68" t="str">
        <f t="shared" si="9"/>
        <v>ACTIVE</v>
      </c>
      <c r="Q138" s="68" t="str">
        <f t="shared" si="9"/>
        <v>ACTIVE</v>
      </c>
    </row>
    <row r="139" spans="2:17" x14ac:dyDescent="0.35">
      <c r="B139" s="70" t="str">
        <v>30SM4330</v>
      </c>
      <c r="C139" s="68" t="str">
        <f>VLOOKUP(B139,Master!B:C,2,0)</f>
        <v>30SM4330</v>
      </c>
      <c r="D139" s="69">
        <f>VLOOKUP(B139,Master!B:L,11,0)</f>
        <v>42965</v>
      </c>
      <c r="E139" s="69">
        <f>VLOOKUP(B139,Master!B:P,15,0)</f>
        <v>0</v>
      </c>
      <c r="F139" s="68" t="str">
        <f t="shared" si="9"/>
        <v>ACTIVE</v>
      </c>
      <c r="G139" s="68" t="str">
        <f t="shared" si="9"/>
        <v>ACTIVE</v>
      </c>
      <c r="H139" s="68" t="str">
        <f t="shared" si="9"/>
        <v>ACTIVE</v>
      </c>
      <c r="I139" s="68" t="str">
        <f t="shared" si="9"/>
        <v>ACTIVE</v>
      </c>
      <c r="J139" s="68" t="str">
        <f t="shared" si="9"/>
        <v>ACTIVE</v>
      </c>
      <c r="K139" s="68" t="str">
        <f t="shared" si="9"/>
        <v>ACTIVE</v>
      </c>
      <c r="L139" s="68" t="str">
        <f t="shared" si="9"/>
        <v>ACTIVE</v>
      </c>
      <c r="M139" s="68" t="str">
        <f t="shared" si="9"/>
        <v>ACTIVE</v>
      </c>
      <c r="N139" s="68" t="str">
        <f t="shared" si="9"/>
        <v>ACTIVE</v>
      </c>
      <c r="O139" s="68" t="str">
        <f t="shared" si="9"/>
        <v>ACTIVE</v>
      </c>
      <c r="P139" s="68" t="str">
        <f t="shared" si="9"/>
        <v>ACTIVE</v>
      </c>
      <c r="Q139" s="68" t="str">
        <f t="shared" si="9"/>
        <v>ACTIVE</v>
      </c>
    </row>
    <row r="140" spans="2:17" x14ac:dyDescent="0.35">
      <c r="B140" s="70" t="str">
        <v>30GG4045</v>
      </c>
      <c r="C140" s="68" t="str">
        <f>VLOOKUP(B140,Master!B:C,2,0)</f>
        <v>30GG4045</v>
      </c>
      <c r="D140" s="69">
        <f>VLOOKUP(B140,Master!B:L,11,0)</f>
        <v>42967</v>
      </c>
      <c r="E140" s="69">
        <f>VLOOKUP(B140,Master!B:P,15,0)</f>
        <v>0</v>
      </c>
      <c r="F140" s="68" t="str">
        <f t="shared" si="9"/>
        <v>ACTIVE</v>
      </c>
      <c r="G140" s="68" t="str">
        <f t="shared" si="9"/>
        <v>ACTIVE</v>
      </c>
      <c r="H140" s="68" t="str">
        <f t="shared" si="9"/>
        <v>ACTIVE</v>
      </c>
      <c r="I140" s="68" t="str">
        <f t="shared" si="9"/>
        <v>ACTIVE</v>
      </c>
      <c r="J140" s="68" t="str">
        <f t="shared" si="9"/>
        <v>ACTIVE</v>
      </c>
      <c r="K140" s="68" t="str">
        <f t="shared" si="9"/>
        <v>ACTIVE</v>
      </c>
      <c r="L140" s="68" t="str">
        <f t="shared" si="9"/>
        <v>ACTIVE</v>
      </c>
      <c r="M140" s="68" t="str">
        <f t="shared" si="9"/>
        <v>ACTIVE</v>
      </c>
      <c r="N140" s="68" t="str">
        <f t="shared" si="9"/>
        <v>ACTIVE</v>
      </c>
      <c r="O140" s="68" t="str">
        <f t="shared" si="9"/>
        <v>ACTIVE</v>
      </c>
      <c r="P140" s="68" t="str">
        <f t="shared" si="9"/>
        <v>ACTIVE</v>
      </c>
      <c r="Q140" s="68" t="str">
        <f t="shared" si="9"/>
        <v>ACTIVE</v>
      </c>
    </row>
    <row r="141" spans="2:17" x14ac:dyDescent="0.35">
      <c r="B141" s="70" t="str">
        <v>30AS4392</v>
      </c>
      <c r="C141" s="68" t="str">
        <f>VLOOKUP(B141,Master!B:C,2,0)</f>
        <v>30AS4392</v>
      </c>
      <c r="D141" s="69">
        <f>VLOOKUP(B141,Master!B:L,11,0)</f>
        <v>42978</v>
      </c>
      <c r="E141" s="69">
        <f>VLOOKUP(B141,Master!B:P,15,0)</f>
        <v>0</v>
      </c>
      <c r="F141" s="68" t="str">
        <f t="shared" si="9"/>
        <v>ACTIVE</v>
      </c>
      <c r="G141" s="68" t="str">
        <f t="shared" si="9"/>
        <v>ACTIVE</v>
      </c>
      <c r="H141" s="68" t="str">
        <f t="shared" si="9"/>
        <v>ACTIVE</v>
      </c>
      <c r="I141" s="68" t="str">
        <f t="shared" si="9"/>
        <v>ACTIVE</v>
      </c>
      <c r="J141" s="68" t="str">
        <f t="shared" si="9"/>
        <v>ACTIVE</v>
      </c>
      <c r="K141" s="68" t="str">
        <f t="shared" si="9"/>
        <v>ACTIVE</v>
      </c>
      <c r="L141" s="68" t="str">
        <f t="shared" si="9"/>
        <v>ACTIVE</v>
      </c>
      <c r="M141" s="68" t="str">
        <f t="shared" si="9"/>
        <v>ACTIVE</v>
      </c>
      <c r="N141" s="68" t="str">
        <f t="shared" si="9"/>
        <v>ACTIVE</v>
      </c>
      <c r="O141" s="68" t="str">
        <f t="shared" si="9"/>
        <v>ACTIVE</v>
      </c>
      <c r="P141" s="68" t="str">
        <f t="shared" si="9"/>
        <v>ACTIVE</v>
      </c>
      <c r="Q141" s="68" t="str">
        <f t="shared" si="9"/>
        <v>ACTIVE</v>
      </c>
    </row>
    <row r="142" spans="2:17" x14ac:dyDescent="0.35">
      <c r="B142" s="70" t="str">
        <v>30KK4277</v>
      </c>
      <c r="C142" s="68" t="str">
        <f>VLOOKUP(B142,Master!B:C,2,0)</f>
        <v>30KK4277</v>
      </c>
      <c r="D142" s="69">
        <f>VLOOKUP(B142,Master!B:L,11,0)</f>
        <v>42988</v>
      </c>
      <c r="E142" s="69">
        <f>VLOOKUP(B142,Master!B:P,15,0)</f>
        <v>0</v>
      </c>
      <c r="F142" s="68" t="str">
        <f t="shared" si="9"/>
        <v>ACTIVE</v>
      </c>
      <c r="G142" s="68" t="str">
        <f t="shared" si="9"/>
        <v>ACTIVE</v>
      </c>
      <c r="H142" s="68" t="str">
        <f t="shared" si="9"/>
        <v>ACTIVE</v>
      </c>
      <c r="I142" s="68" t="str">
        <f t="shared" si="9"/>
        <v>ACTIVE</v>
      </c>
      <c r="J142" s="68" t="str">
        <f t="shared" si="9"/>
        <v>ACTIVE</v>
      </c>
      <c r="K142" s="68" t="str">
        <f t="shared" si="9"/>
        <v>ACTIVE</v>
      </c>
      <c r="L142" s="68" t="str">
        <f t="shared" si="9"/>
        <v>ACTIVE</v>
      </c>
      <c r="M142" s="68" t="str">
        <f t="shared" si="9"/>
        <v>ACTIVE</v>
      </c>
      <c r="N142" s="68" t="str">
        <f t="shared" si="9"/>
        <v>ACTIVE</v>
      </c>
      <c r="O142" s="68" t="str">
        <f t="shared" si="9"/>
        <v>ACTIVE</v>
      </c>
      <c r="P142" s="68" t="str">
        <f t="shared" si="9"/>
        <v>ACTIVE</v>
      </c>
      <c r="Q142" s="68" t="str">
        <f t="shared" si="9"/>
        <v>ACTIVE</v>
      </c>
    </row>
    <row r="143" spans="2:17" x14ac:dyDescent="0.35">
      <c r="B143" s="70" t="str">
        <v>30GG4046</v>
      </c>
      <c r="C143" s="68" t="str">
        <f>VLOOKUP(B143,Master!B:C,2,0)</f>
        <v>30GG4046</v>
      </c>
      <c r="D143" s="69">
        <f>VLOOKUP(B143,Master!B:L,11,0)</f>
        <v>43006</v>
      </c>
      <c r="E143" s="69">
        <f>VLOOKUP(B143,Master!B:P,15,0)</f>
        <v>0</v>
      </c>
      <c r="F143" s="68" t="str">
        <f t="shared" si="9"/>
        <v>ACTIVE</v>
      </c>
      <c r="G143" s="68" t="str">
        <f t="shared" si="9"/>
        <v>ACTIVE</v>
      </c>
      <c r="H143" s="68" t="str">
        <f t="shared" si="9"/>
        <v>ACTIVE</v>
      </c>
      <c r="I143" s="68" t="str">
        <f t="shared" si="9"/>
        <v>ACTIVE</v>
      </c>
      <c r="J143" s="68" t="str">
        <f t="shared" si="9"/>
        <v>ACTIVE</v>
      </c>
      <c r="K143" s="68" t="str">
        <f t="shared" si="9"/>
        <v>ACTIVE</v>
      </c>
      <c r="L143" s="68" t="str">
        <f t="shared" si="9"/>
        <v>ACTIVE</v>
      </c>
      <c r="M143" s="68" t="str">
        <f t="shared" si="9"/>
        <v>ACTIVE</v>
      </c>
      <c r="N143" s="68" t="str">
        <f t="shared" si="9"/>
        <v>ACTIVE</v>
      </c>
      <c r="O143" s="68" t="str">
        <f t="shared" si="9"/>
        <v>ACTIVE</v>
      </c>
      <c r="P143" s="68" t="str">
        <f t="shared" si="9"/>
        <v>ACTIVE</v>
      </c>
      <c r="Q143" s="68" t="str">
        <f t="shared" si="9"/>
        <v>ACTIVE</v>
      </c>
    </row>
    <row r="144" spans="2:17" x14ac:dyDescent="0.35">
      <c r="B144" s="70" t="str">
        <v>30KK4275</v>
      </c>
      <c r="C144" s="68" t="str">
        <f>VLOOKUP(B144,Master!B:C,2,0)</f>
        <v>30KK4275</v>
      </c>
      <c r="D144" s="69">
        <f>VLOOKUP(B144,Master!B:L,11,0)</f>
        <v>43006</v>
      </c>
      <c r="E144" s="69">
        <f>VLOOKUP(B144,Master!B:P,15,0)</f>
        <v>0</v>
      </c>
      <c r="F144" s="68" t="str">
        <f t="shared" si="9"/>
        <v>ACTIVE</v>
      </c>
      <c r="G144" s="68" t="str">
        <f t="shared" si="9"/>
        <v>ACTIVE</v>
      </c>
      <c r="H144" s="68" t="str">
        <f t="shared" si="9"/>
        <v>ACTIVE</v>
      </c>
      <c r="I144" s="68" t="str">
        <f t="shared" si="9"/>
        <v>ACTIVE</v>
      </c>
      <c r="J144" s="68" t="str">
        <f t="shared" si="9"/>
        <v>ACTIVE</v>
      </c>
      <c r="K144" s="68" t="str">
        <f t="shared" si="9"/>
        <v>ACTIVE</v>
      </c>
      <c r="L144" s="68" t="str">
        <f t="shared" si="9"/>
        <v>ACTIVE</v>
      </c>
      <c r="M144" s="68" t="str">
        <f t="shared" si="9"/>
        <v>ACTIVE</v>
      </c>
      <c r="N144" s="68" t="str">
        <f t="shared" si="9"/>
        <v>ACTIVE</v>
      </c>
      <c r="O144" s="68" t="str">
        <f t="shared" si="9"/>
        <v>ACTIVE</v>
      </c>
      <c r="P144" s="68" t="str">
        <f t="shared" si="9"/>
        <v>ACTIVE</v>
      </c>
      <c r="Q144" s="68" t="str">
        <f t="shared" si="9"/>
        <v>ACTIVE</v>
      </c>
    </row>
    <row r="145" spans="2:17" x14ac:dyDescent="0.35">
      <c r="B145" s="70" t="str">
        <v>30GG4013</v>
      </c>
      <c r="C145" s="68" t="str">
        <f>VLOOKUP(B145,Master!B:C,2,0)</f>
        <v>30GG4013</v>
      </c>
      <c r="D145" s="69">
        <f>VLOOKUP(B145,Master!B:L,11,0)</f>
        <v>43050</v>
      </c>
      <c r="E145" s="69">
        <f>VLOOKUP(B145,Master!B:P,15,0)</f>
        <v>0</v>
      </c>
      <c r="F145" s="68" t="str">
        <f t="shared" si="9"/>
        <v>ACTIVE</v>
      </c>
      <c r="G145" s="68" t="str">
        <f t="shared" si="9"/>
        <v>ACTIVE</v>
      </c>
      <c r="H145" s="68" t="str">
        <f t="shared" si="9"/>
        <v>ACTIVE</v>
      </c>
      <c r="I145" s="68" t="str">
        <f t="shared" si="9"/>
        <v>ACTIVE</v>
      </c>
      <c r="J145" s="68" t="str">
        <f t="shared" si="9"/>
        <v>ACTIVE</v>
      </c>
      <c r="K145" s="68" t="str">
        <f t="shared" si="9"/>
        <v>ACTIVE</v>
      </c>
      <c r="L145" s="68" t="str">
        <f t="shared" si="9"/>
        <v>ACTIVE</v>
      </c>
      <c r="M145" s="68" t="str">
        <f t="shared" si="9"/>
        <v>ACTIVE</v>
      </c>
      <c r="N145" s="68" t="str">
        <f t="shared" si="9"/>
        <v>ACTIVE</v>
      </c>
      <c r="O145" s="68" t="str">
        <f t="shared" si="9"/>
        <v>ACTIVE</v>
      </c>
      <c r="P145" s="68" t="str">
        <f t="shared" si="9"/>
        <v>ACTIVE</v>
      </c>
      <c r="Q145" s="68" t="str">
        <f t="shared" si="9"/>
        <v>ACTIVE</v>
      </c>
    </row>
    <row r="146" spans="2:17" x14ac:dyDescent="0.35">
      <c r="B146" s="70" t="str">
        <v>30KK4096</v>
      </c>
      <c r="C146" s="68" t="str">
        <f>VLOOKUP(B146,Master!B:C,2,0)</f>
        <v>30KK4096</v>
      </c>
      <c r="D146" s="69">
        <f>VLOOKUP(B146,Master!B:L,11,0)</f>
        <v>43050</v>
      </c>
      <c r="E146" s="69">
        <f>VLOOKUP(B146,Master!B:P,15,0)</f>
        <v>0</v>
      </c>
      <c r="F146" s="68" t="str">
        <f t="shared" si="9"/>
        <v>ACTIVE</v>
      </c>
      <c r="G146" s="68" t="str">
        <f t="shared" si="9"/>
        <v>ACTIVE</v>
      </c>
      <c r="H146" s="68" t="str">
        <f t="shared" si="9"/>
        <v>ACTIVE</v>
      </c>
      <c r="I146" s="68" t="str">
        <f t="shared" si="9"/>
        <v>ACTIVE</v>
      </c>
      <c r="J146" s="68" t="str">
        <f t="shared" si="9"/>
        <v>ACTIVE</v>
      </c>
      <c r="K146" s="68" t="str">
        <f t="shared" si="9"/>
        <v>ACTIVE</v>
      </c>
      <c r="L146" s="68" t="str">
        <f t="shared" si="9"/>
        <v>ACTIVE</v>
      </c>
      <c r="M146" s="68" t="str">
        <f t="shared" si="9"/>
        <v>ACTIVE</v>
      </c>
      <c r="N146" s="68" t="str">
        <f t="shared" si="9"/>
        <v>ACTIVE</v>
      </c>
      <c r="O146" s="68" t="str">
        <f t="shared" si="9"/>
        <v>ACTIVE</v>
      </c>
      <c r="P146" s="68" t="str">
        <f t="shared" si="9"/>
        <v>ACTIVE</v>
      </c>
      <c r="Q146" s="68" t="str">
        <f t="shared" si="9"/>
        <v>ACTIVE</v>
      </c>
    </row>
    <row r="147" spans="2:17" x14ac:dyDescent="0.35">
      <c r="B147" s="70" t="str">
        <v>30AS4391</v>
      </c>
      <c r="C147" s="68" t="str">
        <f>VLOOKUP(B147,Master!B:C,2,0)</f>
        <v>30AS4391</v>
      </c>
      <c r="D147" s="69">
        <f>VLOOKUP(B147,Master!B:L,11,0)</f>
        <v>43085</v>
      </c>
      <c r="E147" s="69">
        <f>VLOOKUP(B147,Master!B:P,15,0)</f>
        <v>0</v>
      </c>
      <c r="F147" s="68" t="str">
        <f t="shared" si="9"/>
        <v>ACTIVE</v>
      </c>
      <c r="G147" s="68" t="str">
        <f t="shared" si="9"/>
        <v>ACTIVE</v>
      </c>
      <c r="H147" s="68" t="str">
        <f t="shared" si="9"/>
        <v>ACTIVE</v>
      </c>
      <c r="I147" s="68" t="str">
        <f t="shared" si="9"/>
        <v>ACTIVE</v>
      </c>
      <c r="J147" s="68" t="str">
        <f t="shared" si="9"/>
        <v>ACTIVE</v>
      </c>
      <c r="K147" s="68" t="str">
        <f t="shared" si="9"/>
        <v>ACTIVE</v>
      </c>
      <c r="L147" s="68" t="str">
        <f t="shared" si="9"/>
        <v>ACTIVE</v>
      </c>
      <c r="M147" s="68" t="str">
        <f t="shared" si="9"/>
        <v>ACTIVE</v>
      </c>
      <c r="N147" s="68" t="str">
        <f t="shared" si="9"/>
        <v>ACTIVE</v>
      </c>
      <c r="O147" s="68" t="str">
        <f t="shared" si="9"/>
        <v>ACTIVE</v>
      </c>
      <c r="P147" s="68" t="str">
        <f t="shared" si="9"/>
        <v>ACTIVE</v>
      </c>
      <c r="Q147" s="68" t="str">
        <f t="shared" si="9"/>
        <v>ACTIVE</v>
      </c>
    </row>
    <row r="148" spans="2:17" x14ac:dyDescent="0.35">
      <c r="B148" s="70" t="str">
        <v>30GG4022</v>
      </c>
      <c r="C148" s="68" t="str">
        <f>VLOOKUP(B148,Master!B:C,2,0)</f>
        <v>30GG4022</v>
      </c>
      <c r="D148" s="69">
        <f>VLOOKUP(B148,Master!B:L,11,0)</f>
        <v>43097</v>
      </c>
      <c r="E148" s="69">
        <f>VLOOKUP(B148,Master!B:P,15,0)</f>
        <v>0</v>
      </c>
      <c r="F148" s="68" t="str">
        <f t="shared" ref="F148:Q163" si="10">IF($E148&gt;0,"CLOSED",IF($D148&lt;F$1,"ACTIVE","WAITING FOR OPEN"))</f>
        <v>ACTIVE</v>
      </c>
      <c r="G148" s="68" t="str">
        <f t="shared" si="10"/>
        <v>ACTIVE</v>
      </c>
      <c r="H148" s="68" t="str">
        <f t="shared" si="10"/>
        <v>ACTIVE</v>
      </c>
      <c r="I148" s="68" t="str">
        <f t="shared" si="10"/>
        <v>ACTIVE</v>
      </c>
      <c r="J148" s="68" t="str">
        <f t="shared" si="10"/>
        <v>ACTIVE</v>
      </c>
      <c r="K148" s="68" t="str">
        <f t="shared" si="10"/>
        <v>ACTIVE</v>
      </c>
      <c r="L148" s="68" t="str">
        <f t="shared" si="10"/>
        <v>ACTIVE</v>
      </c>
      <c r="M148" s="68" t="str">
        <f t="shared" si="10"/>
        <v>ACTIVE</v>
      </c>
      <c r="N148" s="68" t="str">
        <f t="shared" si="10"/>
        <v>ACTIVE</v>
      </c>
      <c r="O148" s="68" t="str">
        <f t="shared" si="10"/>
        <v>ACTIVE</v>
      </c>
      <c r="P148" s="68" t="str">
        <f t="shared" si="10"/>
        <v>ACTIVE</v>
      </c>
      <c r="Q148" s="68" t="str">
        <f t="shared" si="10"/>
        <v>ACTIVE</v>
      </c>
    </row>
    <row r="149" spans="2:17" x14ac:dyDescent="0.35">
      <c r="B149" s="70" t="str">
        <v>30GG4059</v>
      </c>
      <c r="C149" s="68" t="str">
        <f>VLOOKUP(B149,Master!B:C,2,0)</f>
        <v>30GG4059</v>
      </c>
      <c r="D149" s="69">
        <f>VLOOKUP(B149,Master!B:L,11,0)</f>
        <v>43122</v>
      </c>
      <c r="E149" s="69">
        <f>VLOOKUP(B149,Master!B:P,15,0)</f>
        <v>0</v>
      </c>
      <c r="F149" s="68" t="str">
        <f t="shared" si="10"/>
        <v>ACTIVE</v>
      </c>
      <c r="G149" s="68" t="str">
        <f t="shared" si="10"/>
        <v>ACTIVE</v>
      </c>
      <c r="H149" s="68" t="str">
        <f t="shared" si="10"/>
        <v>ACTIVE</v>
      </c>
      <c r="I149" s="68" t="str">
        <f t="shared" si="10"/>
        <v>ACTIVE</v>
      </c>
      <c r="J149" s="68" t="str">
        <f t="shared" si="10"/>
        <v>ACTIVE</v>
      </c>
      <c r="K149" s="68" t="str">
        <f t="shared" si="10"/>
        <v>ACTIVE</v>
      </c>
      <c r="L149" s="68" t="str">
        <f t="shared" si="10"/>
        <v>ACTIVE</v>
      </c>
      <c r="M149" s="68" t="str">
        <f t="shared" si="10"/>
        <v>ACTIVE</v>
      </c>
      <c r="N149" s="68" t="str">
        <f t="shared" si="10"/>
        <v>ACTIVE</v>
      </c>
      <c r="O149" s="68" t="str">
        <f t="shared" si="10"/>
        <v>ACTIVE</v>
      </c>
      <c r="P149" s="68" t="str">
        <f t="shared" si="10"/>
        <v>ACTIVE</v>
      </c>
      <c r="Q149" s="68" t="str">
        <f t="shared" si="10"/>
        <v>ACTIVE</v>
      </c>
    </row>
    <row r="150" spans="2:17" x14ac:dyDescent="0.35">
      <c r="B150" s="70" t="str">
        <v>30CJ4530</v>
      </c>
      <c r="C150" s="68" t="str">
        <f>VLOOKUP(B150,Master!B:C,2,0)</f>
        <v>30CJ4530</v>
      </c>
      <c r="D150" s="69">
        <f>VLOOKUP(B150,Master!B:L,11,0)</f>
        <v>43125</v>
      </c>
      <c r="E150" s="69">
        <f>VLOOKUP(B150,Master!B:P,15,0)</f>
        <v>0</v>
      </c>
      <c r="F150" s="68" t="str">
        <f t="shared" si="10"/>
        <v>ACTIVE</v>
      </c>
      <c r="G150" s="68" t="str">
        <f t="shared" si="10"/>
        <v>ACTIVE</v>
      </c>
      <c r="H150" s="68" t="str">
        <f t="shared" si="10"/>
        <v>ACTIVE</v>
      </c>
      <c r="I150" s="68" t="str">
        <f t="shared" si="10"/>
        <v>ACTIVE</v>
      </c>
      <c r="J150" s="68" t="str">
        <f t="shared" si="10"/>
        <v>ACTIVE</v>
      </c>
      <c r="K150" s="68" t="str">
        <f t="shared" si="10"/>
        <v>ACTIVE</v>
      </c>
      <c r="L150" s="68" t="str">
        <f t="shared" si="10"/>
        <v>ACTIVE</v>
      </c>
      <c r="M150" s="68" t="str">
        <f t="shared" si="10"/>
        <v>ACTIVE</v>
      </c>
      <c r="N150" s="68" t="str">
        <f t="shared" si="10"/>
        <v>ACTIVE</v>
      </c>
      <c r="O150" s="68" t="str">
        <f t="shared" si="10"/>
        <v>ACTIVE</v>
      </c>
      <c r="P150" s="68" t="str">
        <f t="shared" si="10"/>
        <v>ACTIVE</v>
      </c>
      <c r="Q150" s="68" t="str">
        <f t="shared" si="10"/>
        <v>ACTIVE</v>
      </c>
    </row>
    <row r="151" spans="2:17" x14ac:dyDescent="0.35">
      <c r="B151" s="70" t="str">
        <v>30GG4047</v>
      </c>
      <c r="C151" s="68" t="str">
        <f>VLOOKUP(B151,Master!B:C,2,0)</f>
        <v>30GG4047</v>
      </c>
      <c r="D151" s="69">
        <f>VLOOKUP(B151,Master!B:L,11,0)</f>
        <v>43125</v>
      </c>
      <c r="E151" s="69">
        <f>VLOOKUP(B151,Master!B:P,15,0)</f>
        <v>0</v>
      </c>
      <c r="F151" s="68" t="str">
        <f t="shared" si="10"/>
        <v>ACTIVE</v>
      </c>
      <c r="G151" s="68" t="str">
        <f t="shared" si="10"/>
        <v>ACTIVE</v>
      </c>
      <c r="H151" s="68" t="str">
        <f t="shared" si="10"/>
        <v>ACTIVE</v>
      </c>
      <c r="I151" s="68" t="str">
        <f t="shared" si="10"/>
        <v>ACTIVE</v>
      </c>
      <c r="J151" s="68" t="str">
        <f t="shared" si="10"/>
        <v>ACTIVE</v>
      </c>
      <c r="K151" s="68" t="str">
        <f t="shared" si="10"/>
        <v>ACTIVE</v>
      </c>
      <c r="L151" s="68" t="str">
        <f t="shared" si="10"/>
        <v>ACTIVE</v>
      </c>
      <c r="M151" s="68" t="str">
        <f t="shared" si="10"/>
        <v>ACTIVE</v>
      </c>
      <c r="N151" s="68" t="str">
        <f t="shared" si="10"/>
        <v>ACTIVE</v>
      </c>
      <c r="O151" s="68" t="str">
        <f t="shared" si="10"/>
        <v>ACTIVE</v>
      </c>
      <c r="P151" s="68" t="str">
        <f t="shared" si="10"/>
        <v>ACTIVE</v>
      </c>
      <c r="Q151" s="68" t="str">
        <f t="shared" si="10"/>
        <v>ACTIVE</v>
      </c>
    </row>
    <row r="152" spans="2:17" x14ac:dyDescent="0.35">
      <c r="B152" s="70" t="str">
        <v>30KK4278</v>
      </c>
      <c r="C152" s="68" t="str">
        <f>VLOOKUP(B152,Master!B:C,2,0)</f>
        <v>30KK4278</v>
      </c>
      <c r="D152" s="69">
        <f>VLOOKUP(B152,Master!B:L,11,0)</f>
        <v>43125</v>
      </c>
      <c r="E152" s="69">
        <f>VLOOKUP(B152,Master!B:P,15,0)</f>
        <v>0</v>
      </c>
      <c r="F152" s="68" t="str">
        <f t="shared" si="10"/>
        <v>ACTIVE</v>
      </c>
      <c r="G152" s="68" t="str">
        <f t="shared" si="10"/>
        <v>ACTIVE</v>
      </c>
      <c r="H152" s="68" t="str">
        <f t="shared" si="10"/>
        <v>ACTIVE</v>
      </c>
      <c r="I152" s="68" t="str">
        <f t="shared" si="10"/>
        <v>ACTIVE</v>
      </c>
      <c r="J152" s="68" t="str">
        <f t="shared" si="10"/>
        <v>ACTIVE</v>
      </c>
      <c r="K152" s="68" t="str">
        <f t="shared" si="10"/>
        <v>ACTIVE</v>
      </c>
      <c r="L152" s="68" t="str">
        <f t="shared" si="10"/>
        <v>ACTIVE</v>
      </c>
      <c r="M152" s="68" t="str">
        <f t="shared" si="10"/>
        <v>ACTIVE</v>
      </c>
      <c r="N152" s="68" t="str">
        <f t="shared" si="10"/>
        <v>ACTIVE</v>
      </c>
      <c r="O152" s="68" t="str">
        <f t="shared" si="10"/>
        <v>ACTIVE</v>
      </c>
      <c r="P152" s="68" t="str">
        <f t="shared" si="10"/>
        <v>ACTIVE</v>
      </c>
      <c r="Q152" s="68" t="str">
        <f t="shared" si="10"/>
        <v>ACTIVE</v>
      </c>
    </row>
    <row r="153" spans="2:17" x14ac:dyDescent="0.35">
      <c r="B153" s="70" t="str">
        <v>30KK4288</v>
      </c>
      <c r="C153" s="68" t="str">
        <f>VLOOKUP(B153,Master!B:C,2,0)</f>
        <v>30KK4288</v>
      </c>
      <c r="D153" s="69">
        <f>VLOOKUP(B153,Master!B:L,11,0)</f>
        <v>43128</v>
      </c>
      <c r="E153" s="69">
        <f>VLOOKUP(B153,Master!B:P,15,0)</f>
        <v>0</v>
      </c>
      <c r="F153" s="68" t="str">
        <f t="shared" si="10"/>
        <v>ACTIVE</v>
      </c>
      <c r="G153" s="68" t="str">
        <f t="shared" si="10"/>
        <v>ACTIVE</v>
      </c>
      <c r="H153" s="68" t="str">
        <f t="shared" si="10"/>
        <v>ACTIVE</v>
      </c>
      <c r="I153" s="68" t="str">
        <f t="shared" si="10"/>
        <v>ACTIVE</v>
      </c>
      <c r="J153" s="68" t="str">
        <f t="shared" si="10"/>
        <v>ACTIVE</v>
      </c>
      <c r="K153" s="68" t="str">
        <f t="shared" si="10"/>
        <v>ACTIVE</v>
      </c>
      <c r="L153" s="68" t="str">
        <f t="shared" si="10"/>
        <v>ACTIVE</v>
      </c>
      <c r="M153" s="68" t="str">
        <f t="shared" si="10"/>
        <v>ACTIVE</v>
      </c>
      <c r="N153" s="68" t="str">
        <f t="shared" si="10"/>
        <v>ACTIVE</v>
      </c>
      <c r="O153" s="68" t="str">
        <f t="shared" si="10"/>
        <v>ACTIVE</v>
      </c>
      <c r="P153" s="68" t="str">
        <f t="shared" si="10"/>
        <v>ACTIVE</v>
      </c>
      <c r="Q153" s="68" t="str">
        <f t="shared" si="10"/>
        <v>ACTIVE</v>
      </c>
    </row>
    <row r="154" spans="2:17" x14ac:dyDescent="0.35">
      <c r="B154" s="70" t="str">
        <v>30GG4025</v>
      </c>
      <c r="C154" s="68" t="str">
        <f>VLOOKUP(B154,Master!B:C,2,0)</f>
        <v>30GG4025</v>
      </c>
      <c r="D154" s="69">
        <f>VLOOKUP(B154,Master!B:L,11,0)</f>
        <v>43297</v>
      </c>
      <c r="E154" s="69">
        <f>VLOOKUP(B154,Master!B:P,15,0)</f>
        <v>0</v>
      </c>
      <c r="F154" s="68" t="str">
        <f t="shared" si="10"/>
        <v>ACTIVE</v>
      </c>
      <c r="G154" s="68" t="str">
        <f t="shared" si="10"/>
        <v>ACTIVE</v>
      </c>
      <c r="H154" s="68" t="str">
        <f t="shared" si="10"/>
        <v>ACTIVE</v>
      </c>
      <c r="I154" s="68" t="str">
        <f t="shared" si="10"/>
        <v>ACTIVE</v>
      </c>
      <c r="J154" s="68" t="str">
        <f t="shared" si="10"/>
        <v>ACTIVE</v>
      </c>
      <c r="K154" s="68" t="str">
        <f t="shared" si="10"/>
        <v>ACTIVE</v>
      </c>
      <c r="L154" s="68" t="str">
        <f t="shared" si="10"/>
        <v>ACTIVE</v>
      </c>
      <c r="M154" s="68" t="str">
        <f t="shared" si="10"/>
        <v>ACTIVE</v>
      </c>
      <c r="N154" s="68" t="str">
        <f t="shared" si="10"/>
        <v>ACTIVE</v>
      </c>
      <c r="O154" s="68" t="str">
        <f t="shared" si="10"/>
        <v>ACTIVE</v>
      </c>
      <c r="P154" s="68" t="str">
        <f t="shared" si="10"/>
        <v>ACTIVE</v>
      </c>
      <c r="Q154" s="68" t="str">
        <f t="shared" si="10"/>
        <v>ACTIVE</v>
      </c>
    </row>
    <row r="155" spans="2:17" x14ac:dyDescent="0.35">
      <c r="B155" s="70" t="str">
        <v>30KK4255</v>
      </c>
      <c r="C155" s="68" t="str">
        <f>VLOOKUP(B155,Master!B:C,2,0)</f>
        <v>30KK4255</v>
      </c>
      <c r="D155" s="69">
        <f>VLOOKUP(B155,Master!B:L,11,0)</f>
        <v>43297</v>
      </c>
      <c r="E155" s="69">
        <f>VLOOKUP(B155,Master!B:P,15,0)</f>
        <v>0</v>
      </c>
      <c r="F155" s="68" t="str">
        <f t="shared" si="10"/>
        <v>ACTIVE</v>
      </c>
      <c r="G155" s="68" t="str">
        <f t="shared" si="10"/>
        <v>ACTIVE</v>
      </c>
      <c r="H155" s="68" t="str">
        <f t="shared" si="10"/>
        <v>ACTIVE</v>
      </c>
      <c r="I155" s="68" t="str">
        <f t="shared" si="10"/>
        <v>ACTIVE</v>
      </c>
      <c r="J155" s="68" t="str">
        <f t="shared" si="10"/>
        <v>ACTIVE</v>
      </c>
      <c r="K155" s="68" t="str">
        <f t="shared" si="10"/>
        <v>ACTIVE</v>
      </c>
      <c r="L155" s="68" t="str">
        <f t="shared" si="10"/>
        <v>ACTIVE</v>
      </c>
      <c r="M155" s="68" t="str">
        <f t="shared" si="10"/>
        <v>ACTIVE</v>
      </c>
      <c r="N155" s="68" t="str">
        <f t="shared" si="10"/>
        <v>ACTIVE</v>
      </c>
      <c r="O155" s="68" t="str">
        <f t="shared" si="10"/>
        <v>ACTIVE</v>
      </c>
      <c r="P155" s="68" t="str">
        <f t="shared" si="10"/>
        <v>ACTIVE</v>
      </c>
      <c r="Q155" s="68" t="str">
        <f t="shared" si="10"/>
        <v>ACTIVE</v>
      </c>
    </row>
    <row r="156" spans="2:17" x14ac:dyDescent="0.35">
      <c r="B156" s="70" t="str">
        <v>30GG4048</v>
      </c>
      <c r="C156" s="68" t="str">
        <f>VLOOKUP(B156,Master!B:C,2,0)</f>
        <v>30GG4048</v>
      </c>
      <c r="D156" s="69">
        <f>VLOOKUP(B156,Master!B:L,11,0)</f>
        <v>43305</v>
      </c>
      <c r="E156" s="69">
        <f>VLOOKUP(B156,Master!B:P,15,0)</f>
        <v>0</v>
      </c>
      <c r="F156" s="68" t="str">
        <f t="shared" si="10"/>
        <v>ACTIVE</v>
      </c>
      <c r="G156" s="68" t="str">
        <f t="shared" si="10"/>
        <v>ACTIVE</v>
      </c>
      <c r="H156" s="68" t="str">
        <f t="shared" si="10"/>
        <v>ACTIVE</v>
      </c>
      <c r="I156" s="68" t="str">
        <f t="shared" si="10"/>
        <v>ACTIVE</v>
      </c>
      <c r="J156" s="68" t="str">
        <f t="shared" si="10"/>
        <v>ACTIVE</v>
      </c>
      <c r="K156" s="68" t="str">
        <f t="shared" si="10"/>
        <v>ACTIVE</v>
      </c>
      <c r="L156" s="68" t="str">
        <f t="shared" si="10"/>
        <v>ACTIVE</v>
      </c>
      <c r="M156" s="68" t="str">
        <f t="shared" si="10"/>
        <v>ACTIVE</v>
      </c>
      <c r="N156" s="68" t="str">
        <f t="shared" si="10"/>
        <v>ACTIVE</v>
      </c>
      <c r="O156" s="68" t="str">
        <f t="shared" si="10"/>
        <v>ACTIVE</v>
      </c>
      <c r="P156" s="68" t="str">
        <f t="shared" si="10"/>
        <v>ACTIVE</v>
      </c>
      <c r="Q156" s="68" t="str">
        <f t="shared" si="10"/>
        <v>ACTIVE</v>
      </c>
    </row>
    <row r="157" spans="2:17" x14ac:dyDescent="0.35">
      <c r="B157" s="70" t="str">
        <v>30MW4345</v>
      </c>
      <c r="C157" s="68" t="str">
        <f>VLOOKUP(B157,Master!B:C,2,0)</f>
        <v>30MW4345</v>
      </c>
      <c r="D157" s="69">
        <f>VLOOKUP(B157,Master!B:L,11,0)</f>
        <v>43316</v>
      </c>
      <c r="E157" s="69">
        <f>VLOOKUP(B157,Master!B:P,15,0)</f>
        <v>0</v>
      </c>
      <c r="F157" s="68" t="str">
        <f t="shared" si="10"/>
        <v>ACTIVE</v>
      </c>
      <c r="G157" s="68" t="str">
        <f t="shared" si="10"/>
        <v>ACTIVE</v>
      </c>
      <c r="H157" s="68" t="str">
        <f t="shared" si="10"/>
        <v>ACTIVE</v>
      </c>
      <c r="I157" s="68" t="str">
        <f t="shared" si="10"/>
        <v>ACTIVE</v>
      </c>
      <c r="J157" s="68" t="str">
        <f t="shared" si="10"/>
        <v>ACTIVE</v>
      </c>
      <c r="K157" s="68" t="str">
        <f t="shared" si="10"/>
        <v>ACTIVE</v>
      </c>
      <c r="L157" s="68" t="str">
        <f t="shared" si="10"/>
        <v>ACTIVE</v>
      </c>
      <c r="M157" s="68" t="str">
        <f t="shared" si="10"/>
        <v>ACTIVE</v>
      </c>
      <c r="N157" s="68" t="str">
        <f t="shared" si="10"/>
        <v>ACTIVE</v>
      </c>
      <c r="O157" s="68" t="str">
        <f t="shared" si="10"/>
        <v>ACTIVE</v>
      </c>
      <c r="P157" s="68" t="str">
        <f t="shared" si="10"/>
        <v>ACTIVE</v>
      </c>
      <c r="Q157" s="68" t="str">
        <f t="shared" si="10"/>
        <v>ACTIVE</v>
      </c>
    </row>
    <row r="158" spans="2:17" x14ac:dyDescent="0.35">
      <c r="B158" s="70" t="str">
        <v>30GG4050</v>
      </c>
      <c r="C158" s="68" t="str">
        <f>VLOOKUP(B158,Master!B:C,2,0)</f>
        <v>30GG4050</v>
      </c>
      <c r="D158" s="69">
        <f>VLOOKUP(B158,Master!B:L,11,0)</f>
        <v>43344</v>
      </c>
      <c r="E158" s="69">
        <f>VLOOKUP(B158,Master!B:P,15,0)</f>
        <v>0</v>
      </c>
      <c r="F158" s="68" t="str">
        <f t="shared" si="10"/>
        <v>ACTIVE</v>
      </c>
      <c r="G158" s="68" t="str">
        <f t="shared" si="10"/>
        <v>ACTIVE</v>
      </c>
      <c r="H158" s="68" t="str">
        <f t="shared" si="10"/>
        <v>ACTIVE</v>
      </c>
      <c r="I158" s="68" t="str">
        <f t="shared" si="10"/>
        <v>ACTIVE</v>
      </c>
      <c r="J158" s="68" t="str">
        <f t="shared" si="10"/>
        <v>ACTIVE</v>
      </c>
      <c r="K158" s="68" t="str">
        <f t="shared" si="10"/>
        <v>ACTIVE</v>
      </c>
      <c r="L158" s="68" t="str">
        <f t="shared" si="10"/>
        <v>ACTIVE</v>
      </c>
      <c r="M158" s="68" t="str">
        <f t="shared" si="10"/>
        <v>ACTIVE</v>
      </c>
      <c r="N158" s="68" t="str">
        <f t="shared" si="10"/>
        <v>ACTIVE</v>
      </c>
      <c r="O158" s="68" t="str">
        <f t="shared" si="10"/>
        <v>ACTIVE</v>
      </c>
      <c r="P158" s="68" t="str">
        <f t="shared" si="10"/>
        <v>ACTIVE</v>
      </c>
      <c r="Q158" s="68" t="str">
        <f t="shared" si="10"/>
        <v>ACTIVE</v>
      </c>
    </row>
    <row r="159" spans="2:17" x14ac:dyDescent="0.35">
      <c r="B159" s="70" t="str">
        <v>30GG4063</v>
      </c>
      <c r="C159" s="68" t="str">
        <f>VLOOKUP(B159,Master!B:C,2,0)</f>
        <v>30GG4063</v>
      </c>
      <c r="D159" s="69">
        <f>VLOOKUP(B159,Master!B:L,11,0)</f>
        <v>43402</v>
      </c>
      <c r="E159" s="69">
        <f>VLOOKUP(B159,Master!B:P,15,0)</f>
        <v>0</v>
      </c>
      <c r="F159" s="68" t="str">
        <f t="shared" si="10"/>
        <v>ACTIVE</v>
      </c>
      <c r="G159" s="68" t="str">
        <f t="shared" si="10"/>
        <v>ACTIVE</v>
      </c>
      <c r="H159" s="68" t="str">
        <f t="shared" si="10"/>
        <v>ACTIVE</v>
      </c>
      <c r="I159" s="68" t="str">
        <f t="shared" si="10"/>
        <v>ACTIVE</v>
      </c>
      <c r="J159" s="68" t="str">
        <f t="shared" si="10"/>
        <v>ACTIVE</v>
      </c>
      <c r="K159" s="68" t="str">
        <f t="shared" si="10"/>
        <v>ACTIVE</v>
      </c>
      <c r="L159" s="68" t="str">
        <f t="shared" si="10"/>
        <v>ACTIVE</v>
      </c>
      <c r="M159" s="68" t="str">
        <f t="shared" si="10"/>
        <v>ACTIVE</v>
      </c>
      <c r="N159" s="68" t="str">
        <f t="shared" si="10"/>
        <v>ACTIVE</v>
      </c>
      <c r="O159" s="68" t="str">
        <f t="shared" si="10"/>
        <v>ACTIVE</v>
      </c>
      <c r="P159" s="68" t="str">
        <f t="shared" si="10"/>
        <v>ACTIVE</v>
      </c>
      <c r="Q159" s="68" t="str">
        <f t="shared" si="10"/>
        <v>ACTIVE</v>
      </c>
    </row>
    <row r="160" spans="2:17" x14ac:dyDescent="0.35">
      <c r="B160" s="70" t="str">
        <v>30KK4290</v>
      </c>
      <c r="C160" s="68" t="str">
        <f>VLOOKUP(B160,Master!B:C,2,0)</f>
        <v>30KK4290</v>
      </c>
      <c r="D160" s="69">
        <f>VLOOKUP(B160,Master!B:L,11,0)</f>
        <v>43403</v>
      </c>
      <c r="E160" s="69">
        <f>VLOOKUP(B160,Master!B:P,15,0)</f>
        <v>0</v>
      </c>
      <c r="F160" s="68" t="str">
        <f t="shared" si="10"/>
        <v>ACTIVE</v>
      </c>
      <c r="G160" s="68" t="str">
        <f t="shared" si="10"/>
        <v>ACTIVE</v>
      </c>
      <c r="H160" s="68" t="str">
        <f t="shared" si="10"/>
        <v>ACTIVE</v>
      </c>
      <c r="I160" s="68" t="str">
        <f t="shared" si="10"/>
        <v>ACTIVE</v>
      </c>
      <c r="J160" s="68" t="str">
        <f t="shared" si="10"/>
        <v>ACTIVE</v>
      </c>
      <c r="K160" s="68" t="str">
        <f t="shared" si="10"/>
        <v>ACTIVE</v>
      </c>
      <c r="L160" s="68" t="str">
        <f t="shared" si="10"/>
        <v>ACTIVE</v>
      </c>
      <c r="M160" s="68" t="str">
        <f t="shared" si="10"/>
        <v>ACTIVE</v>
      </c>
      <c r="N160" s="68" t="str">
        <f t="shared" si="10"/>
        <v>ACTIVE</v>
      </c>
      <c r="O160" s="68" t="str">
        <f t="shared" si="10"/>
        <v>ACTIVE</v>
      </c>
      <c r="P160" s="68" t="str">
        <f t="shared" si="10"/>
        <v>ACTIVE</v>
      </c>
      <c r="Q160" s="68" t="str">
        <f t="shared" si="10"/>
        <v>ACTIVE</v>
      </c>
    </row>
    <row r="161" spans="2:17" x14ac:dyDescent="0.35">
      <c r="B161" s="70" t="str">
        <v>30MW4343</v>
      </c>
      <c r="C161" s="68" t="str">
        <f>VLOOKUP(B161,Master!B:C,2,0)</f>
        <v>30MW4343</v>
      </c>
      <c r="D161" s="69">
        <f>VLOOKUP(B161,Master!B:L,11,0)</f>
        <v>43426</v>
      </c>
      <c r="E161" s="69">
        <f>VLOOKUP(B161,Master!B:P,15,0)</f>
        <v>0</v>
      </c>
      <c r="F161" s="68" t="str">
        <f t="shared" si="10"/>
        <v>ACTIVE</v>
      </c>
      <c r="G161" s="68" t="str">
        <f t="shared" si="10"/>
        <v>ACTIVE</v>
      </c>
      <c r="H161" s="68" t="str">
        <f t="shared" si="10"/>
        <v>ACTIVE</v>
      </c>
      <c r="I161" s="68" t="str">
        <f t="shared" si="10"/>
        <v>ACTIVE</v>
      </c>
      <c r="J161" s="68" t="str">
        <f t="shared" si="10"/>
        <v>ACTIVE</v>
      </c>
      <c r="K161" s="68" t="str">
        <f t="shared" si="10"/>
        <v>ACTIVE</v>
      </c>
      <c r="L161" s="68" t="str">
        <f t="shared" si="10"/>
        <v>ACTIVE</v>
      </c>
      <c r="M161" s="68" t="str">
        <f t="shared" si="10"/>
        <v>ACTIVE</v>
      </c>
      <c r="N161" s="68" t="str">
        <f t="shared" si="10"/>
        <v>ACTIVE</v>
      </c>
      <c r="O161" s="68" t="str">
        <f t="shared" si="10"/>
        <v>ACTIVE</v>
      </c>
      <c r="P161" s="68" t="str">
        <f t="shared" si="10"/>
        <v>ACTIVE</v>
      </c>
      <c r="Q161" s="68" t="str">
        <f t="shared" si="10"/>
        <v>ACTIVE</v>
      </c>
    </row>
    <row r="162" spans="2:17" x14ac:dyDescent="0.35">
      <c r="B162" s="70" t="str">
        <v>30GG4026</v>
      </c>
      <c r="C162" s="68" t="str">
        <f>VLOOKUP(B162,Master!B:C,2,0)</f>
        <v>30GG4026</v>
      </c>
      <c r="D162" s="69">
        <f>VLOOKUP(B162,Master!B:L,11,0)</f>
        <v>43429</v>
      </c>
      <c r="E162" s="69">
        <f>VLOOKUP(B162,Master!B:P,15,0)</f>
        <v>0</v>
      </c>
      <c r="F162" s="68" t="str">
        <f t="shared" si="10"/>
        <v>ACTIVE</v>
      </c>
      <c r="G162" s="68" t="str">
        <f t="shared" si="10"/>
        <v>ACTIVE</v>
      </c>
      <c r="H162" s="68" t="str">
        <f t="shared" si="10"/>
        <v>ACTIVE</v>
      </c>
      <c r="I162" s="68" t="str">
        <f t="shared" si="10"/>
        <v>ACTIVE</v>
      </c>
      <c r="J162" s="68" t="str">
        <f t="shared" si="10"/>
        <v>ACTIVE</v>
      </c>
      <c r="K162" s="68" t="str">
        <f t="shared" si="10"/>
        <v>ACTIVE</v>
      </c>
      <c r="L162" s="68" t="str">
        <f t="shared" si="10"/>
        <v>ACTIVE</v>
      </c>
      <c r="M162" s="68" t="str">
        <f t="shared" si="10"/>
        <v>ACTIVE</v>
      </c>
      <c r="N162" s="68" t="str">
        <f t="shared" si="10"/>
        <v>ACTIVE</v>
      </c>
      <c r="O162" s="68" t="str">
        <f t="shared" si="10"/>
        <v>ACTIVE</v>
      </c>
      <c r="P162" s="68" t="str">
        <f t="shared" si="10"/>
        <v>ACTIVE</v>
      </c>
      <c r="Q162" s="68" t="str">
        <f t="shared" si="10"/>
        <v>ACTIVE</v>
      </c>
    </row>
    <row r="163" spans="2:17" x14ac:dyDescent="0.35">
      <c r="B163" s="70" t="str">
        <v>30KK4256</v>
      </c>
      <c r="C163" s="68" t="str">
        <f>VLOOKUP(B163,Master!B:C,2,0)</f>
        <v>30KK4256</v>
      </c>
      <c r="D163" s="69">
        <f>VLOOKUP(B163,Master!B:L,11,0)</f>
        <v>43429</v>
      </c>
      <c r="E163" s="69">
        <f>VLOOKUP(B163,Master!B:P,15,0)</f>
        <v>0</v>
      </c>
      <c r="F163" s="68" t="str">
        <f t="shared" si="10"/>
        <v>ACTIVE</v>
      </c>
      <c r="G163" s="68" t="str">
        <f t="shared" si="10"/>
        <v>ACTIVE</v>
      </c>
      <c r="H163" s="68" t="str">
        <f t="shared" si="10"/>
        <v>ACTIVE</v>
      </c>
      <c r="I163" s="68" t="str">
        <f t="shared" si="10"/>
        <v>ACTIVE</v>
      </c>
      <c r="J163" s="68" t="str">
        <f t="shared" si="10"/>
        <v>ACTIVE</v>
      </c>
      <c r="K163" s="68" t="str">
        <f t="shared" si="10"/>
        <v>ACTIVE</v>
      </c>
      <c r="L163" s="68" t="str">
        <f t="shared" si="10"/>
        <v>ACTIVE</v>
      </c>
      <c r="M163" s="68" t="str">
        <f t="shared" si="10"/>
        <v>ACTIVE</v>
      </c>
      <c r="N163" s="68" t="str">
        <f t="shared" si="10"/>
        <v>ACTIVE</v>
      </c>
      <c r="O163" s="68" t="str">
        <f t="shared" si="10"/>
        <v>ACTIVE</v>
      </c>
      <c r="P163" s="68" t="str">
        <f t="shared" si="10"/>
        <v>ACTIVE</v>
      </c>
      <c r="Q163" s="68" t="str">
        <f t="shared" si="10"/>
        <v>ACTIVE</v>
      </c>
    </row>
    <row r="164" spans="2:17" x14ac:dyDescent="0.35">
      <c r="B164" s="70" t="str">
        <v>30SS4395</v>
      </c>
      <c r="C164" s="68" t="str">
        <f>VLOOKUP(B164,Master!B:C,2,0)</f>
        <v>30SS4395</v>
      </c>
      <c r="D164" s="69">
        <f>VLOOKUP(B164,Master!B:L,11,0)</f>
        <v>43430</v>
      </c>
      <c r="E164" s="69">
        <f>VLOOKUP(B164,Master!B:P,15,0)</f>
        <v>0</v>
      </c>
      <c r="F164" s="68" t="str">
        <f t="shared" ref="F164:Q179" si="11">IF($E164&gt;0,"CLOSED",IF($D164&lt;F$1,"ACTIVE","WAITING FOR OPEN"))</f>
        <v>ACTIVE</v>
      </c>
      <c r="G164" s="68" t="str">
        <f t="shared" si="11"/>
        <v>ACTIVE</v>
      </c>
      <c r="H164" s="68" t="str">
        <f t="shared" si="11"/>
        <v>ACTIVE</v>
      </c>
      <c r="I164" s="68" t="str">
        <f t="shared" si="11"/>
        <v>ACTIVE</v>
      </c>
      <c r="J164" s="68" t="str">
        <f t="shared" si="11"/>
        <v>ACTIVE</v>
      </c>
      <c r="K164" s="68" t="str">
        <f t="shared" si="11"/>
        <v>ACTIVE</v>
      </c>
      <c r="L164" s="68" t="str">
        <f t="shared" si="11"/>
        <v>ACTIVE</v>
      </c>
      <c r="M164" s="68" t="str">
        <f t="shared" si="11"/>
        <v>ACTIVE</v>
      </c>
      <c r="N164" s="68" t="str">
        <f t="shared" si="11"/>
        <v>ACTIVE</v>
      </c>
      <c r="O164" s="68" t="str">
        <f t="shared" si="11"/>
        <v>ACTIVE</v>
      </c>
      <c r="P164" s="68" t="str">
        <f t="shared" si="11"/>
        <v>ACTIVE</v>
      </c>
      <c r="Q164" s="68" t="str">
        <f t="shared" si="11"/>
        <v>ACTIVE</v>
      </c>
    </row>
    <row r="165" spans="2:17" x14ac:dyDescent="0.35">
      <c r="B165" s="70" t="str">
        <v>30KK4281</v>
      </c>
      <c r="C165" s="68" t="str">
        <f>VLOOKUP(B165,Master!B:C,2,0)</f>
        <v>30KK4281</v>
      </c>
      <c r="D165" s="69">
        <f>VLOOKUP(B165,Master!B:L,11,0)</f>
        <v>43437</v>
      </c>
      <c r="E165" s="69">
        <f>VLOOKUP(B165,Master!B:P,15,0)</f>
        <v>0</v>
      </c>
      <c r="F165" s="68" t="str">
        <f t="shared" si="11"/>
        <v>ACTIVE</v>
      </c>
      <c r="G165" s="68" t="str">
        <f t="shared" si="11"/>
        <v>ACTIVE</v>
      </c>
      <c r="H165" s="68" t="str">
        <f t="shared" si="11"/>
        <v>ACTIVE</v>
      </c>
      <c r="I165" s="68" t="str">
        <f t="shared" si="11"/>
        <v>ACTIVE</v>
      </c>
      <c r="J165" s="68" t="str">
        <f t="shared" si="11"/>
        <v>ACTIVE</v>
      </c>
      <c r="K165" s="68" t="str">
        <f t="shared" si="11"/>
        <v>ACTIVE</v>
      </c>
      <c r="L165" s="68" t="str">
        <f t="shared" si="11"/>
        <v>ACTIVE</v>
      </c>
      <c r="M165" s="68" t="str">
        <f t="shared" si="11"/>
        <v>ACTIVE</v>
      </c>
      <c r="N165" s="68" t="str">
        <f t="shared" si="11"/>
        <v>ACTIVE</v>
      </c>
      <c r="O165" s="68" t="str">
        <f t="shared" si="11"/>
        <v>ACTIVE</v>
      </c>
      <c r="P165" s="68" t="str">
        <f t="shared" si="11"/>
        <v>ACTIVE</v>
      </c>
      <c r="Q165" s="68" t="str">
        <f t="shared" si="11"/>
        <v>ACTIVE</v>
      </c>
    </row>
    <row r="166" spans="2:17" x14ac:dyDescent="0.35">
      <c r="B166" s="70" t="str">
        <v>30GG4051</v>
      </c>
      <c r="C166" s="68" t="str">
        <f>VLOOKUP(B166,Master!B:C,2,0)</f>
        <v>30GG4051</v>
      </c>
      <c r="D166" s="69">
        <f>VLOOKUP(B166,Master!B:L,11,0)</f>
        <v>43438</v>
      </c>
      <c r="E166" s="69">
        <f>VLOOKUP(B166,Master!B:P,15,0)</f>
        <v>0</v>
      </c>
      <c r="F166" s="68" t="str">
        <f t="shared" si="11"/>
        <v>ACTIVE</v>
      </c>
      <c r="G166" s="68" t="str">
        <f t="shared" si="11"/>
        <v>ACTIVE</v>
      </c>
      <c r="H166" s="68" t="str">
        <f t="shared" si="11"/>
        <v>ACTIVE</v>
      </c>
      <c r="I166" s="68" t="str">
        <f t="shared" si="11"/>
        <v>ACTIVE</v>
      </c>
      <c r="J166" s="68" t="str">
        <f t="shared" si="11"/>
        <v>ACTIVE</v>
      </c>
      <c r="K166" s="68" t="str">
        <f t="shared" si="11"/>
        <v>ACTIVE</v>
      </c>
      <c r="L166" s="68" t="str">
        <f t="shared" si="11"/>
        <v>ACTIVE</v>
      </c>
      <c r="M166" s="68" t="str">
        <f t="shared" si="11"/>
        <v>ACTIVE</v>
      </c>
      <c r="N166" s="68" t="str">
        <f t="shared" si="11"/>
        <v>ACTIVE</v>
      </c>
      <c r="O166" s="68" t="str">
        <f t="shared" si="11"/>
        <v>ACTIVE</v>
      </c>
      <c r="P166" s="68" t="str">
        <f t="shared" si="11"/>
        <v>ACTIVE</v>
      </c>
      <c r="Q166" s="68" t="str">
        <f t="shared" si="11"/>
        <v>ACTIVE</v>
      </c>
    </row>
    <row r="167" spans="2:17" x14ac:dyDescent="0.35">
      <c r="B167" s="70" t="str">
        <v>30MW4346</v>
      </c>
      <c r="C167" s="68" t="str">
        <f>VLOOKUP(B167,Master!B:C,2,0)</f>
        <v>30MW4346</v>
      </c>
      <c r="D167" s="69">
        <f>VLOOKUP(B167,Master!B:L,11,0)</f>
        <v>43456</v>
      </c>
      <c r="E167" s="69">
        <f>VLOOKUP(B167,Master!B:P,15,0)</f>
        <v>0</v>
      </c>
      <c r="F167" s="68" t="str">
        <f t="shared" si="11"/>
        <v>ACTIVE</v>
      </c>
      <c r="G167" s="68" t="str">
        <f t="shared" si="11"/>
        <v>ACTIVE</v>
      </c>
      <c r="H167" s="68" t="str">
        <f t="shared" si="11"/>
        <v>ACTIVE</v>
      </c>
      <c r="I167" s="68" t="str">
        <f t="shared" si="11"/>
        <v>ACTIVE</v>
      </c>
      <c r="J167" s="68" t="str">
        <f t="shared" si="11"/>
        <v>ACTIVE</v>
      </c>
      <c r="K167" s="68" t="str">
        <f t="shared" si="11"/>
        <v>ACTIVE</v>
      </c>
      <c r="L167" s="68" t="str">
        <f t="shared" si="11"/>
        <v>ACTIVE</v>
      </c>
      <c r="M167" s="68" t="str">
        <f t="shared" si="11"/>
        <v>ACTIVE</v>
      </c>
      <c r="N167" s="68" t="str">
        <f t="shared" si="11"/>
        <v>ACTIVE</v>
      </c>
      <c r="O167" s="68" t="str">
        <f t="shared" si="11"/>
        <v>ACTIVE</v>
      </c>
      <c r="P167" s="68" t="str">
        <f t="shared" si="11"/>
        <v>ACTIVE</v>
      </c>
      <c r="Q167" s="68" t="str">
        <f t="shared" si="11"/>
        <v>ACTIVE</v>
      </c>
    </row>
    <row r="168" spans="2:17" x14ac:dyDescent="0.35">
      <c r="B168" s="70" t="str">
        <v>30MW4342</v>
      </c>
      <c r="C168" s="68" t="str">
        <f>VLOOKUP(B168,Master!B:C,2,0)</f>
        <v>30MW4342</v>
      </c>
      <c r="D168" s="69">
        <f>VLOOKUP(B168,Master!B:L,11,0)</f>
        <v>43459</v>
      </c>
      <c r="E168" s="69">
        <f>VLOOKUP(B168,Master!B:P,15,0)</f>
        <v>0</v>
      </c>
      <c r="F168" s="68" t="str">
        <f t="shared" si="11"/>
        <v>ACTIVE</v>
      </c>
      <c r="G168" s="68" t="str">
        <f t="shared" si="11"/>
        <v>ACTIVE</v>
      </c>
      <c r="H168" s="68" t="str">
        <f t="shared" si="11"/>
        <v>ACTIVE</v>
      </c>
      <c r="I168" s="68" t="str">
        <f t="shared" si="11"/>
        <v>ACTIVE</v>
      </c>
      <c r="J168" s="68" t="str">
        <f t="shared" si="11"/>
        <v>ACTIVE</v>
      </c>
      <c r="K168" s="68" t="str">
        <f t="shared" si="11"/>
        <v>ACTIVE</v>
      </c>
      <c r="L168" s="68" t="str">
        <f t="shared" si="11"/>
        <v>ACTIVE</v>
      </c>
      <c r="M168" s="68" t="str">
        <f t="shared" si="11"/>
        <v>ACTIVE</v>
      </c>
      <c r="N168" s="68" t="str">
        <f t="shared" si="11"/>
        <v>ACTIVE</v>
      </c>
      <c r="O168" s="68" t="str">
        <f t="shared" si="11"/>
        <v>ACTIVE</v>
      </c>
      <c r="P168" s="68" t="str">
        <f t="shared" si="11"/>
        <v>ACTIVE</v>
      </c>
      <c r="Q168" s="68" t="str">
        <f t="shared" si="11"/>
        <v>ACTIVE</v>
      </c>
    </row>
    <row r="169" spans="2:17" x14ac:dyDescent="0.35">
      <c r="B169" s="70" t="str">
        <v>30MW4347</v>
      </c>
      <c r="C169" s="68" t="str">
        <f>VLOOKUP(B169,Master!B:C,2,0)</f>
        <v>30MW4347</v>
      </c>
      <c r="D169" s="69">
        <f>VLOOKUP(B169,Master!B:L,11,0)</f>
        <v>43477</v>
      </c>
      <c r="E169" s="69">
        <f>VLOOKUP(B169,Master!B:P,15,0)</f>
        <v>0</v>
      </c>
      <c r="F169" s="68" t="str">
        <f t="shared" si="11"/>
        <v>ACTIVE</v>
      </c>
      <c r="G169" s="68" t="str">
        <f t="shared" si="11"/>
        <v>ACTIVE</v>
      </c>
      <c r="H169" s="68" t="str">
        <f t="shared" si="11"/>
        <v>ACTIVE</v>
      </c>
      <c r="I169" s="68" t="str">
        <f t="shared" si="11"/>
        <v>ACTIVE</v>
      </c>
      <c r="J169" s="68" t="str">
        <f t="shared" si="11"/>
        <v>ACTIVE</v>
      </c>
      <c r="K169" s="68" t="str">
        <f t="shared" si="11"/>
        <v>ACTIVE</v>
      </c>
      <c r="L169" s="68" t="str">
        <f t="shared" si="11"/>
        <v>ACTIVE</v>
      </c>
      <c r="M169" s="68" t="str">
        <f t="shared" si="11"/>
        <v>ACTIVE</v>
      </c>
      <c r="N169" s="68" t="str">
        <f t="shared" si="11"/>
        <v>ACTIVE</v>
      </c>
      <c r="O169" s="68" t="str">
        <f t="shared" si="11"/>
        <v>ACTIVE</v>
      </c>
      <c r="P169" s="68" t="str">
        <f t="shared" si="11"/>
        <v>ACTIVE</v>
      </c>
      <c r="Q169" s="68" t="str">
        <f t="shared" si="11"/>
        <v>ACTIVE</v>
      </c>
    </row>
    <row r="170" spans="2:17" x14ac:dyDescent="0.35">
      <c r="B170" s="70" t="str">
        <v>30SM4340</v>
      </c>
      <c r="C170" s="68" t="str">
        <f>VLOOKUP(B170,Master!B:C,2,0)</f>
        <v>30SM4340</v>
      </c>
      <c r="D170" s="69">
        <f>VLOOKUP(B170,Master!B:L,11,0)</f>
        <v>43477</v>
      </c>
      <c r="E170" s="69">
        <f>VLOOKUP(B170,Master!B:P,15,0)</f>
        <v>0</v>
      </c>
      <c r="F170" s="68" t="str">
        <f t="shared" si="11"/>
        <v>ACTIVE</v>
      </c>
      <c r="G170" s="68" t="str">
        <f t="shared" si="11"/>
        <v>ACTIVE</v>
      </c>
      <c r="H170" s="68" t="str">
        <f t="shared" si="11"/>
        <v>ACTIVE</v>
      </c>
      <c r="I170" s="68" t="str">
        <f t="shared" si="11"/>
        <v>ACTIVE</v>
      </c>
      <c r="J170" s="68" t="str">
        <f t="shared" si="11"/>
        <v>ACTIVE</v>
      </c>
      <c r="K170" s="68" t="str">
        <f t="shared" si="11"/>
        <v>ACTIVE</v>
      </c>
      <c r="L170" s="68" t="str">
        <f t="shared" si="11"/>
        <v>ACTIVE</v>
      </c>
      <c r="M170" s="68" t="str">
        <f t="shared" si="11"/>
        <v>ACTIVE</v>
      </c>
      <c r="N170" s="68" t="str">
        <f t="shared" si="11"/>
        <v>ACTIVE</v>
      </c>
      <c r="O170" s="68" t="str">
        <f t="shared" si="11"/>
        <v>ACTIVE</v>
      </c>
      <c r="P170" s="68" t="str">
        <f t="shared" si="11"/>
        <v>ACTIVE</v>
      </c>
      <c r="Q170" s="68" t="str">
        <f t="shared" si="11"/>
        <v>ACTIVE</v>
      </c>
    </row>
    <row r="171" spans="2:17" x14ac:dyDescent="0.35">
      <c r="B171" s="70" t="str">
        <v>30GG4052</v>
      </c>
      <c r="C171" s="68" t="str">
        <f>VLOOKUP(B171,Master!B:C,2,0)</f>
        <v>30GG4052</v>
      </c>
      <c r="D171" s="69">
        <f>VLOOKUP(B171,Master!B:L,11,0)</f>
        <v>43477</v>
      </c>
      <c r="E171" s="69">
        <f>VLOOKUP(B171,Master!B:P,15,0)</f>
        <v>0</v>
      </c>
      <c r="F171" s="68" t="str">
        <f t="shared" si="11"/>
        <v>ACTIVE</v>
      </c>
      <c r="G171" s="68" t="str">
        <f t="shared" si="11"/>
        <v>ACTIVE</v>
      </c>
      <c r="H171" s="68" t="str">
        <f t="shared" si="11"/>
        <v>ACTIVE</v>
      </c>
      <c r="I171" s="68" t="str">
        <f t="shared" si="11"/>
        <v>ACTIVE</v>
      </c>
      <c r="J171" s="68" t="str">
        <f t="shared" si="11"/>
        <v>ACTIVE</v>
      </c>
      <c r="K171" s="68" t="str">
        <f t="shared" si="11"/>
        <v>ACTIVE</v>
      </c>
      <c r="L171" s="68" t="str">
        <f t="shared" si="11"/>
        <v>ACTIVE</v>
      </c>
      <c r="M171" s="68" t="str">
        <f t="shared" si="11"/>
        <v>ACTIVE</v>
      </c>
      <c r="N171" s="68" t="str">
        <f t="shared" si="11"/>
        <v>ACTIVE</v>
      </c>
      <c r="O171" s="68" t="str">
        <f t="shared" si="11"/>
        <v>ACTIVE</v>
      </c>
      <c r="P171" s="68" t="str">
        <f t="shared" si="11"/>
        <v>ACTIVE</v>
      </c>
      <c r="Q171" s="68" t="str">
        <f t="shared" si="11"/>
        <v>ACTIVE</v>
      </c>
    </row>
    <row r="172" spans="2:17" x14ac:dyDescent="0.35">
      <c r="B172" s="70" t="str">
        <v>30KK4283</v>
      </c>
      <c r="C172" s="68" t="str">
        <f>VLOOKUP(B172,Master!B:C,2,0)</f>
        <v>30KK4283</v>
      </c>
      <c r="D172" s="69">
        <f>VLOOKUP(B172,Master!B:L,11,0)</f>
        <v>43477</v>
      </c>
      <c r="E172" s="69">
        <f>VLOOKUP(B172,Master!B:P,15,0)</f>
        <v>0</v>
      </c>
      <c r="F172" s="68" t="str">
        <f t="shared" si="11"/>
        <v>ACTIVE</v>
      </c>
      <c r="G172" s="68" t="str">
        <f t="shared" si="11"/>
        <v>ACTIVE</v>
      </c>
      <c r="H172" s="68" t="str">
        <f t="shared" si="11"/>
        <v>ACTIVE</v>
      </c>
      <c r="I172" s="68" t="str">
        <f t="shared" si="11"/>
        <v>ACTIVE</v>
      </c>
      <c r="J172" s="68" t="str">
        <f t="shared" si="11"/>
        <v>ACTIVE</v>
      </c>
      <c r="K172" s="68" t="str">
        <f t="shared" si="11"/>
        <v>ACTIVE</v>
      </c>
      <c r="L172" s="68" t="str">
        <f t="shared" si="11"/>
        <v>ACTIVE</v>
      </c>
      <c r="M172" s="68" t="str">
        <f t="shared" si="11"/>
        <v>ACTIVE</v>
      </c>
      <c r="N172" s="68" t="str">
        <f t="shared" si="11"/>
        <v>ACTIVE</v>
      </c>
      <c r="O172" s="68" t="str">
        <f t="shared" si="11"/>
        <v>ACTIVE</v>
      </c>
      <c r="P172" s="68" t="str">
        <f t="shared" si="11"/>
        <v>ACTIVE</v>
      </c>
      <c r="Q172" s="68" t="str">
        <f t="shared" si="11"/>
        <v>ACTIVE</v>
      </c>
    </row>
    <row r="173" spans="2:17" x14ac:dyDescent="0.35">
      <c r="B173" s="70" t="str">
        <v>30KK4282</v>
      </c>
      <c r="C173" s="68" t="str">
        <f>VLOOKUP(B173,Master!B:C,2,0)</f>
        <v>30KK4282</v>
      </c>
      <c r="D173" s="69">
        <f>VLOOKUP(B173,Master!B:L,11,0)</f>
        <v>43477</v>
      </c>
      <c r="E173" s="69">
        <f>VLOOKUP(B173,Master!B:P,15,0)</f>
        <v>0</v>
      </c>
      <c r="F173" s="68" t="str">
        <f t="shared" si="11"/>
        <v>ACTIVE</v>
      </c>
      <c r="G173" s="68" t="str">
        <f t="shared" si="11"/>
        <v>ACTIVE</v>
      </c>
      <c r="H173" s="68" t="str">
        <f t="shared" si="11"/>
        <v>ACTIVE</v>
      </c>
      <c r="I173" s="68" t="str">
        <f t="shared" si="11"/>
        <v>ACTIVE</v>
      </c>
      <c r="J173" s="68" t="str">
        <f t="shared" si="11"/>
        <v>ACTIVE</v>
      </c>
      <c r="K173" s="68" t="str">
        <f t="shared" si="11"/>
        <v>ACTIVE</v>
      </c>
      <c r="L173" s="68" t="str">
        <f t="shared" si="11"/>
        <v>ACTIVE</v>
      </c>
      <c r="M173" s="68" t="str">
        <f t="shared" si="11"/>
        <v>ACTIVE</v>
      </c>
      <c r="N173" s="68" t="str">
        <f t="shared" si="11"/>
        <v>ACTIVE</v>
      </c>
      <c r="O173" s="68" t="str">
        <f t="shared" si="11"/>
        <v>ACTIVE</v>
      </c>
      <c r="P173" s="68" t="str">
        <f t="shared" si="11"/>
        <v>ACTIVE</v>
      </c>
      <c r="Q173" s="68" t="str">
        <f t="shared" si="11"/>
        <v>ACTIVE</v>
      </c>
    </row>
    <row r="174" spans="2:17" x14ac:dyDescent="0.35">
      <c r="B174" s="70" t="str">
        <v>30KK4248</v>
      </c>
      <c r="C174" s="68" t="str">
        <f>VLOOKUP(B174,Master!B:C,2,0)</f>
        <v>30KK4248</v>
      </c>
      <c r="D174" s="69">
        <f>VLOOKUP(B174,Master!B:L,11,0)</f>
        <v>43495</v>
      </c>
      <c r="E174" s="69">
        <f>VLOOKUP(B174,Master!B:P,15,0)</f>
        <v>0</v>
      </c>
      <c r="F174" s="68" t="str">
        <f t="shared" si="11"/>
        <v>ACTIVE</v>
      </c>
      <c r="G174" s="68" t="str">
        <f t="shared" si="11"/>
        <v>ACTIVE</v>
      </c>
      <c r="H174" s="68" t="str">
        <f t="shared" si="11"/>
        <v>ACTIVE</v>
      </c>
      <c r="I174" s="68" t="str">
        <f t="shared" si="11"/>
        <v>ACTIVE</v>
      </c>
      <c r="J174" s="68" t="str">
        <f t="shared" si="11"/>
        <v>ACTIVE</v>
      </c>
      <c r="K174" s="68" t="str">
        <f t="shared" si="11"/>
        <v>ACTIVE</v>
      </c>
      <c r="L174" s="68" t="str">
        <f t="shared" si="11"/>
        <v>ACTIVE</v>
      </c>
      <c r="M174" s="68" t="str">
        <f t="shared" si="11"/>
        <v>ACTIVE</v>
      </c>
      <c r="N174" s="68" t="str">
        <f t="shared" si="11"/>
        <v>ACTIVE</v>
      </c>
      <c r="O174" s="68" t="str">
        <f t="shared" si="11"/>
        <v>ACTIVE</v>
      </c>
      <c r="P174" s="68" t="str">
        <f t="shared" si="11"/>
        <v>ACTIVE</v>
      </c>
      <c r="Q174" s="68" t="str">
        <f t="shared" si="11"/>
        <v>ACTIVE</v>
      </c>
    </row>
    <row r="175" spans="2:17" x14ac:dyDescent="0.35">
      <c r="B175" s="70" t="str">
        <v>30MW4348</v>
      </c>
      <c r="C175" s="68" t="str">
        <f>VLOOKUP(B175,Master!B:C,2,0)</f>
        <v>30MW4348</v>
      </c>
      <c r="D175" s="69">
        <f>VLOOKUP(B175,Master!B:L,11,0)</f>
        <v>43469</v>
      </c>
      <c r="E175" s="69">
        <f>VLOOKUP(B175,Master!B:P,15,0)</f>
        <v>0</v>
      </c>
      <c r="F175" s="68" t="str">
        <f t="shared" si="11"/>
        <v>ACTIVE</v>
      </c>
      <c r="G175" s="68" t="str">
        <f t="shared" si="11"/>
        <v>ACTIVE</v>
      </c>
      <c r="H175" s="68" t="str">
        <f t="shared" si="11"/>
        <v>ACTIVE</v>
      </c>
      <c r="I175" s="68" t="str">
        <f t="shared" si="11"/>
        <v>ACTIVE</v>
      </c>
      <c r="J175" s="68" t="str">
        <f t="shared" si="11"/>
        <v>ACTIVE</v>
      </c>
      <c r="K175" s="68" t="str">
        <f t="shared" si="11"/>
        <v>ACTIVE</v>
      </c>
      <c r="L175" s="68" t="str">
        <f t="shared" si="11"/>
        <v>ACTIVE</v>
      </c>
      <c r="M175" s="68" t="str">
        <f t="shared" si="11"/>
        <v>ACTIVE</v>
      </c>
      <c r="N175" s="68" t="str">
        <f t="shared" si="11"/>
        <v>ACTIVE</v>
      </c>
      <c r="O175" s="68" t="str">
        <f t="shared" si="11"/>
        <v>ACTIVE</v>
      </c>
      <c r="P175" s="68" t="str">
        <f t="shared" si="11"/>
        <v>ACTIVE</v>
      </c>
      <c r="Q175" s="68" t="str">
        <f t="shared" si="11"/>
        <v>ACTIVE</v>
      </c>
    </row>
    <row r="176" spans="2:17" x14ac:dyDescent="0.35">
      <c r="B176" s="70" t="str">
        <v>30GG4054</v>
      </c>
      <c r="C176" s="68" t="str">
        <f>VLOOKUP(B176,Master!B:C,2,0)</f>
        <v>30GG4054</v>
      </c>
      <c r="D176" s="69">
        <f>VLOOKUP(B176,Master!B:L,11,0)</f>
        <v>43703</v>
      </c>
      <c r="E176" s="69">
        <f>VLOOKUP(B176,Master!B:P,15,0)</f>
        <v>0</v>
      </c>
      <c r="F176" s="68" t="str">
        <f t="shared" si="11"/>
        <v>ACTIVE</v>
      </c>
      <c r="G176" s="68" t="str">
        <f t="shared" si="11"/>
        <v>ACTIVE</v>
      </c>
      <c r="H176" s="68" t="str">
        <f t="shared" si="11"/>
        <v>ACTIVE</v>
      </c>
      <c r="I176" s="68" t="str">
        <f t="shared" si="11"/>
        <v>ACTIVE</v>
      </c>
      <c r="J176" s="68" t="str">
        <f t="shared" si="11"/>
        <v>ACTIVE</v>
      </c>
      <c r="K176" s="68" t="str">
        <f t="shared" si="11"/>
        <v>ACTIVE</v>
      </c>
      <c r="L176" s="68" t="str">
        <f t="shared" si="11"/>
        <v>ACTIVE</v>
      </c>
      <c r="M176" s="68" t="str">
        <f t="shared" si="11"/>
        <v>ACTIVE</v>
      </c>
      <c r="N176" s="68" t="str">
        <f t="shared" si="11"/>
        <v>ACTIVE</v>
      </c>
      <c r="O176" s="68" t="str">
        <f t="shared" si="11"/>
        <v>ACTIVE</v>
      </c>
      <c r="P176" s="68" t="str">
        <f t="shared" si="11"/>
        <v>ACTIVE</v>
      </c>
      <c r="Q176" s="68" t="str">
        <f t="shared" si="11"/>
        <v>ACTIVE</v>
      </c>
    </row>
    <row r="177" spans="2:17" x14ac:dyDescent="0.35">
      <c r="B177" s="70" t="str">
        <v>30GG4064</v>
      </c>
      <c r="C177" s="68" t="str">
        <f>VLOOKUP(B177,Master!B:C,2,0)</f>
        <v>30GG4064</v>
      </c>
      <c r="D177" s="69">
        <f>VLOOKUP(B177,Master!B:L,11,0)</f>
        <v>43651</v>
      </c>
      <c r="E177" s="69">
        <f>VLOOKUP(B177,Master!B:P,15,0)</f>
        <v>0</v>
      </c>
      <c r="F177" s="68" t="str">
        <f t="shared" si="11"/>
        <v>ACTIVE</v>
      </c>
      <c r="G177" s="68" t="str">
        <f t="shared" si="11"/>
        <v>ACTIVE</v>
      </c>
      <c r="H177" s="68" t="str">
        <f t="shared" si="11"/>
        <v>ACTIVE</v>
      </c>
      <c r="I177" s="68" t="str">
        <f t="shared" si="11"/>
        <v>ACTIVE</v>
      </c>
      <c r="J177" s="68" t="str">
        <f t="shared" si="11"/>
        <v>ACTIVE</v>
      </c>
      <c r="K177" s="68" t="str">
        <f t="shared" si="11"/>
        <v>ACTIVE</v>
      </c>
      <c r="L177" s="68" t="str">
        <f t="shared" si="11"/>
        <v>ACTIVE</v>
      </c>
      <c r="M177" s="68" t="str">
        <f t="shared" si="11"/>
        <v>ACTIVE</v>
      </c>
      <c r="N177" s="68" t="str">
        <f t="shared" si="11"/>
        <v>ACTIVE</v>
      </c>
      <c r="O177" s="68" t="str">
        <f t="shared" si="11"/>
        <v>ACTIVE</v>
      </c>
      <c r="P177" s="68" t="str">
        <f t="shared" si="11"/>
        <v>ACTIVE</v>
      </c>
      <c r="Q177" s="68" t="str">
        <f t="shared" si="11"/>
        <v>ACTIVE</v>
      </c>
    </row>
    <row r="178" spans="2:17" x14ac:dyDescent="0.35">
      <c r="B178" s="70" t="str">
        <v>30KK4291</v>
      </c>
      <c r="C178" s="68" t="str">
        <f>VLOOKUP(B178,Master!B:C,2,0)</f>
        <v>30KK4291</v>
      </c>
      <c r="D178" s="69">
        <f>VLOOKUP(B178,Master!B:L,11,0)</f>
        <v>43651</v>
      </c>
      <c r="E178" s="69">
        <f>VLOOKUP(B178,Master!B:P,15,0)</f>
        <v>0</v>
      </c>
      <c r="F178" s="68" t="str">
        <f t="shared" si="11"/>
        <v>ACTIVE</v>
      </c>
      <c r="G178" s="68" t="str">
        <f t="shared" si="11"/>
        <v>ACTIVE</v>
      </c>
      <c r="H178" s="68" t="str">
        <f t="shared" si="11"/>
        <v>ACTIVE</v>
      </c>
      <c r="I178" s="68" t="str">
        <f t="shared" si="11"/>
        <v>ACTIVE</v>
      </c>
      <c r="J178" s="68" t="str">
        <f t="shared" si="11"/>
        <v>ACTIVE</v>
      </c>
      <c r="K178" s="68" t="str">
        <f t="shared" si="11"/>
        <v>ACTIVE</v>
      </c>
      <c r="L178" s="68" t="str">
        <f t="shared" si="11"/>
        <v>ACTIVE</v>
      </c>
      <c r="M178" s="68" t="str">
        <f t="shared" si="11"/>
        <v>ACTIVE</v>
      </c>
      <c r="N178" s="68" t="str">
        <f t="shared" si="11"/>
        <v>ACTIVE</v>
      </c>
      <c r="O178" s="68" t="str">
        <f t="shared" si="11"/>
        <v>ACTIVE</v>
      </c>
      <c r="P178" s="68" t="str">
        <f t="shared" si="11"/>
        <v>ACTIVE</v>
      </c>
      <c r="Q178" s="68" t="str">
        <f t="shared" si="11"/>
        <v>ACTIVE</v>
      </c>
    </row>
    <row r="179" spans="2:17" x14ac:dyDescent="0.35">
      <c r="B179" s="70" t="str">
        <v>30GG4055</v>
      </c>
      <c r="C179" s="68" t="str">
        <f>VLOOKUP(B179,Master!B:C,2,0)</f>
        <v>30GG4055</v>
      </c>
      <c r="D179" s="69">
        <f>VLOOKUP(B179,Master!B:L,11,0)</f>
        <v>43709</v>
      </c>
      <c r="E179" s="69">
        <f>VLOOKUP(B179,Master!B:P,15,0)</f>
        <v>0</v>
      </c>
      <c r="F179" s="68" t="str">
        <f t="shared" si="11"/>
        <v>ACTIVE</v>
      </c>
      <c r="G179" s="68" t="str">
        <f t="shared" si="11"/>
        <v>ACTIVE</v>
      </c>
      <c r="H179" s="68" t="str">
        <f t="shared" si="11"/>
        <v>ACTIVE</v>
      </c>
      <c r="I179" s="68" t="str">
        <f t="shared" si="11"/>
        <v>ACTIVE</v>
      </c>
      <c r="J179" s="68" t="str">
        <f t="shared" si="11"/>
        <v>ACTIVE</v>
      </c>
      <c r="K179" s="68" t="str">
        <f t="shared" si="11"/>
        <v>ACTIVE</v>
      </c>
      <c r="L179" s="68" t="str">
        <f t="shared" si="11"/>
        <v>ACTIVE</v>
      </c>
      <c r="M179" s="68" t="str">
        <f t="shared" si="11"/>
        <v>ACTIVE</v>
      </c>
      <c r="N179" s="68" t="str">
        <f t="shared" si="11"/>
        <v>ACTIVE</v>
      </c>
      <c r="O179" s="68" t="str">
        <f t="shared" si="11"/>
        <v>ACTIVE</v>
      </c>
      <c r="P179" s="68" t="str">
        <f t="shared" si="11"/>
        <v>ACTIVE</v>
      </c>
      <c r="Q179" s="68" t="str">
        <f t="shared" si="11"/>
        <v>ACTIVE</v>
      </c>
    </row>
    <row r="180" spans="2:17" x14ac:dyDescent="0.35">
      <c r="B180" s="70" t="str">
        <v>30KK4284</v>
      </c>
      <c r="C180" s="68" t="str">
        <f>VLOOKUP(B180,Master!B:C,2,0)</f>
        <v>30KK4284</v>
      </c>
      <c r="D180" s="69">
        <f>VLOOKUP(B180,Master!B:L,11,0)</f>
        <v>43709</v>
      </c>
      <c r="E180" s="69">
        <f>VLOOKUP(B180,Master!B:P,15,0)</f>
        <v>0</v>
      </c>
      <c r="F180" s="68" t="str">
        <f t="shared" ref="F180:Q195" si="12">IF($E180&gt;0,"CLOSED",IF($D180&lt;F$1,"ACTIVE","WAITING FOR OPEN"))</f>
        <v>ACTIVE</v>
      </c>
      <c r="G180" s="68" t="str">
        <f t="shared" si="12"/>
        <v>ACTIVE</v>
      </c>
      <c r="H180" s="68" t="str">
        <f t="shared" si="12"/>
        <v>ACTIVE</v>
      </c>
      <c r="I180" s="68" t="str">
        <f t="shared" si="12"/>
        <v>ACTIVE</v>
      </c>
      <c r="J180" s="68" t="str">
        <f t="shared" si="12"/>
        <v>ACTIVE</v>
      </c>
      <c r="K180" s="68" t="str">
        <f t="shared" si="12"/>
        <v>ACTIVE</v>
      </c>
      <c r="L180" s="68" t="str">
        <f t="shared" si="12"/>
        <v>ACTIVE</v>
      </c>
      <c r="M180" s="68" t="str">
        <f t="shared" si="12"/>
        <v>ACTIVE</v>
      </c>
      <c r="N180" s="68" t="str">
        <f t="shared" si="12"/>
        <v>ACTIVE</v>
      </c>
      <c r="O180" s="68" t="str">
        <f t="shared" si="12"/>
        <v>ACTIVE</v>
      </c>
      <c r="P180" s="68" t="str">
        <f t="shared" si="12"/>
        <v>ACTIVE</v>
      </c>
      <c r="Q180" s="68" t="str">
        <f t="shared" si="12"/>
        <v>ACTIVE</v>
      </c>
    </row>
    <row r="181" spans="2:17" x14ac:dyDescent="0.35">
      <c r="B181" s="70" t="str">
        <v>30GG4061</v>
      </c>
      <c r="C181" s="68" t="str">
        <f>VLOOKUP(B181,Master!B:C,2,0)</f>
        <v>30GG4061</v>
      </c>
      <c r="D181" s="69">
        <f>VLOOKUP(B181,Master!B:L,11,0)</f>
        <v>43706</v>
      </c>
      <c r="E181" s="69">
        <f>VLOOKUP(B181,Master!B:P,15,0)</f>
        <v>0</v>
      </c>
      <c r="F181" s="68" t="str">
        <f t="shared" si="12"/>
        <v>ACTIVE</v>
      </c>
      <c r="G181" s="68" t="str">
        <f t="shared" si="12"/>
        <v>ACTIVE</v>
      </c>
      <c r="H181" s="68" t="str">
        <f t="shared" si="12"/>
        <v>ACTIVE</v>
      </c>
      <c r="I181" s="68" t="str">
        <f t="shared" si="12"/>
        <v>ACTIVE</v>
      </c>
      <c r="J181" s="68" t="str">
        <f t="shared" si="12"/>
        <v>ACTIVE</v>
      </c>
      <c r="K181" s="68" t="str">
        <f t="shared" si="12"/>
        <v>ACTIVE</v>
      </c>
      <c r="L181" s="68" t="str">
        <f t="shared" si="12"/>
        <v>ACTIVE</v>
      </c>
      <c r="M181" s="68" t="str">
        <f t="shared" si="12"/>
        <v>ACTIVE</v>
      </c>
      <c r="N181" s="68" t="str">
        <f t="shared" si="12"/>
        <v>ACTIVE</v>
      </c>
      <c r="O181" s="68" t="str">
        <f t="shared" si="12"/>
        <v>ACTIVE</v>
      </c>
      <c r="P181" s="68" t="str">
        <f t="shared" si="12"/>
        <v>ACTIVE</v>
      </c>
      <c r="Q181" s="68" t="str">
        <f t="shared" si="12"/>
        <v>ACTIVE</v>
      </c>
    </row>
    <row r="182" spans="2:17" x14ac:dyDescent="0.35">
      <c r="B182" s="70" t="str">
        <v>30HT4326</v>
      </c>
      <c r="C182" s="68" t="str">
        <f>VLOOKUP(B182,Master!B:C,2,0)</f>
        <v>30HT4326</v>
      </c>
      <c r="D182" s="69">
        <f>VLOOKUP(B182,Master!B:L,11,0)</f>
        <v>43708</v>
      </c>
      <c r="E182" s="69">
        <f>VLOOKUP(B182,Master!B:P,15,0)</f>
        <v>0</v>
      </c>
      <c r="F182" s="68" t="str">
        <f t="shared" si="12"/>
        <v>ACTIVE</v>
      </c>
      <c r="G182" s="68" t="str">
        <f t="shared" si="12"/>
        <v>ACTIVE</v>
      </c>
      <c r="H182" s="68" t="str">
        <f t="shared" si="12"/>
        <v>ACTIVE</v>
      </c>
      <c r="I182" s="68" t="str">
        <f t="shared" si="12"/>
        <v>ACTIVE</v>
      </c>
      <c r="J182" s="68" t="str">
        <f t="shared" si="12"/>
        <v>ACTIVE</v>
      </c>
      <c r="K182" s="68" t="str">
        <f t="shared" si="12"/>
        <v>ACTIVE</v>
      </c>
      <c r="L182" s="68" t="str">
        <f t="shared" si="12"/>
        <v>ACTIVE</v>
      </c>
      <c r="M182" s="68" t="str">
        <f t="shared" si="12"/>
        <v>ACTIVE</v>
      </c>
      <c r="N182" s="68" t="str">
        <f t="shared" si="12"/>
        <v>ACTIVE</v>
      </c>
      <c r="O182" s="68" t="str">
        <f t="shared" si="12"/>
        <v>ACTIVE</v>
      </c>
      <c r="P182" s="68" t="str">
        <f t="shared" si="12"/>
        <v>ACTIVE</v>
      </c>
      <c r="Q182" s="68" t="str">
        <f t="shared" si="12"/>
        <v>ACTIVE</v>
      </c>
    </row>
    <row r="183" spans="2:17" x14ac:dyDescent="0.35">
      <c r="B183" s="70" t="str">
        <v>30KK4293</v>
      </c>
      <c r="C183" s="68" t="str">
        <f>VLOOKUP(B183,Master!B:C,2,0)</f>
        <v>30KK4293</v>
      </c>
      <c r="D183" s="69">
        <f>VLOOKUP(B183,Master!B:L,11,0)</f>
        <v>43743</v>
      </c>
      <c r="E183" s="69">
        <f>VLOOKUP(B183,Master!B:P,15,0)</f>
        <v>0</v>
      </c>
      <c r="F183" s="68" t="str">
        <f t="shared" si="12"/>
        <v>ACTIVE</v>
      </c>
      <c r="G183" s="68" t="str">
        <f t="shared" si="12"/>
        <v>ACTIVE</v>
      </c>
      <c r="H183" s="68" t="str">
        <f t="shared" si="12"/>
        <v>ACTIVE</v>
      </c>
      <c r="I183" s="68" t="str">
        <f t="shared" si="12"/>
        <v>ACTIVE</v>
      </c>
      <c r="J183" s="68" t="str">
        <f t="shared" si="12"/>
        <v>ACTIVE</v>
      </c>
      <c r="K183" s="68" t="str">
        <f t="shared" si="12"/>
        <v>ACTIVE</v>
      </c>
      <c r="L183" s="68" t="str">
        <f t="shared" si="12"/>
        <v>ACTIVE</v>
      </c>
      <c r="M183" s="68" t="str">
        <f t="shared" si="12"/>
        <v>ACTIVE</v>
      </c>
      <c r="N183" s="68" t="str">
        <f t="shared" si="12"/>
        <v>ACTIVE</v>
      </c>
      <c r="O183" s="68" t="str">
        <f t="shared" si="12"/>
        <v>ACTIVE</v>
      </c>
      <c r="P183" s="68" t="str">
        <f t="shared" si="12"/>
        <v>ACTIVE</v>
      </c>
      <c r="Q183" s="68" t="str">
        <f t="shared" si="12"/>
        <v>ACTIVE</v>
      </c>
    </row>
    <row r="184" spans="2:17" x14ac:dyDescent="0.35">
      <c r="B184" s="70" t="str">
        <v>30MW4354</v>
      </c>
      <c r="C184" s="68" t="str">
        <f>VLOOKUP(B184,Master!B:C,2,0)</f>
        <v>30MW4354</v>
      </c>
      <c r="D184" s="69">
        <f>VLOOKUP(B184,Master!B:L,11,0)</f>
        <v>43789</v>
      </c>
      <c r="E184" s="69">
        <f>VLOOKUP(B184,Master!B:P,15,0)</f>
        <v>0</v>
      </c>
      <c r="F184" s="68" t="str">
        <f t="shared" si="12"/>
        <v>ACTIVE</v>
      </c>
      <c r="G184" s="68" t="str">
        <f t="shared" si="12"/>
        <v>ACTIVE</v>
      </c>
      <c r="H184" s="68" t="str">
        <f t="shared" si="12"/>
        <v>ACTIVE</v>
      </c>
      <c r="I184" s="68" t="str">
        <f t="shared" si="12"/>
        <v>ACTIVE</v>
      </c>
      <c r="J184" s="68" t="str">
        <f t="shared" si="12"/>
        <v>ACTIVE</v>
      </c>
      <c r="K184" s="68" t="str">
        <f t="shared" si="12"/>
        <v>ACTIVE</v>
      </c>
      <c r="L184" s="68" t="str">
        <f t="shared" si="12"/>
        <v>ACTIVE</v>
      </c>
      <c r="M184" s="68" t="str">
        <f t="shared" si="12"/>
        <v>ACTIVE</v>
      </c>
      <c r="N184" s="68" t="str">
        <f t="shared" si="12"/>
        <v>ACTIVE</v>
      </c>
      <c r="O184" s="68" t="str">
        <f t="shared" si="12"/>
        <v>ACTIVE</v>
      </c>
      <c r="P184" s="68" t="str">
        <f t="shared" si="12"/>
        <v>ACTIVE</v>
      </c>
      <c r="Q184" s="68" t="str">
        <f t="shared" si="12"/>
        <v>ACTIVE</v>
      </c>
    </row>
    <row r="185" spans="2:17" x14ac:dyDescent="0.35">
      <c r="B185" s="70" t="str">
        <v>30GG4067</v>
      </c>
      <c r="C185" s="68" t="str">
        <f>VLOOKUP(B185,Master!B:C,2,0)</f>
        <v>30GG4067</v>
      </c>
      <c r="D185" s="69">
        <f>VLOOKUP(B185,Master!B:L,11,0)</f>
        <v>43786</v>
      </c>
      <c r="E185" s="69">
        <f>VLOOKUP(B185,Master!B:P,15,0)</f>
        <v>0</v>
      </c>
      <c r="F185" s="68" t="str">
        <f t="shared" si="12"/>
        <v>ACTIVE</v>
      </c>
      <c r="G185" s="68" t="str">
        <f t="shared" si="12"/>
        <v>ACTIVE</v>
      </c>
      <c r="H185" s="68" t="str">
        <f t="shared" si="12"/>
        <v>ACTIVE</v>
      </c>
      <c r="I185" s="68" t="str">
        <f t="shared" si="12"/>
        <v>ACTIVE</v>
      </c>
      <c r="J185" s="68" t="str">
        <f t="shared" si="12"/>
        <v>ACTIVE</v>
      </c>
      <c r="K185" s="68" t="str">
        <f t="shared" si="12"/>
        <v>ACTIVE</v>
      </c>
      <c r="L185" s="68" t="str">
        <f t="shared" si="12"/>
        <v>ACTIVE</v>
      </c>
      <c r="M185" s="68" t="str">
        <f t="shared" si="12"/>
        <v>ACTIVE</v>
      </c>
      <c r="N185" s="68" t="str">
        <f t="shared" si="12"/>
        <v>ACTIVE</v>
      </c>
      <c r="O185" s="68" t="str">
        <f t="shared" si="12"/>
        <v>ACTIVE</v>
      </c>
      <c r="P185" s="68" t="str">
        <f t="shared" si="12"/>
        <v>ACTIVE</v>
      </c>
      <c r="Q185" s="68" t="str">
        <f t="shared" si="12"/>
        <v>ACTIVE</v>
      </c>
    </row>
    <row r="186" spans="2:17" x14ac:dyDescent="0.35">
      <c r="B186" s="70" t="str">
        <v>30KK4296</v>
      </c>
      <c r="C186" s="68" t="str">
        <f>VLOOKUP(B186,Master!B:C,2,0)</f>
        <v>30KK4296</v>
      </c>
      <c r="D186" s="69">
        <f>VLOOKUP(B186,Master!B:L,11,0)</f>
        <v>43786</v>
      </c>
      <c r="E186" s="69">
        <f>VLOOKUP(B186,Master!B:P,15,0)</f>
        <v>0</v>
      </c>
      <c r="F186" s="68" t="str">
        <f t="shared" si="12"/>
        <v>ACTIVE</v>
      </c>
      <c r="G186" s="68" t="str">
        <f t="shared" si="12"/>
        <v>ACTIVE</v>
      </c>
      <c r="H186" s="68" t="str">
        <f t="shared" si="12"/>
        <v>ACTIVE</v>
      </c>
      <c r="I186" s="68" t="str">
        <f t="shared" si="12"/>
        <v>ACTIVE</v>
      </c>
      <c r="J186" s="68" t="str">
        <f t="shared" si="12"/>
        <v>ACTIVE</v>
      </c>
      <c r="K186" s="68" t="str">
        <f t="shared" si="12"/>
        <v>ACTIVE</v>
      </c>
      <c r="L186" s="68" t="str">
        <f t="shared" si="12"/>
        <v>ACTIVE</v>
      </c>
      <c r="M186" s="68" t="str">
        <f t="shared" si="12"/>
        <v>ACTIVE</v>
      </c>
      <c r="N186" s="68" t="str">
        <f t="shared" si="12"/>
        <v>ACTIVE</v>
      </c>
      <c r="O186" s="68" t="str">
        <f t="shared" si="12"/>
        <v>ACTIVE</v>
      </c>
      <c r="P186" s="68" t="str">
        <f t="shared" si="12"/>
        <v>ACTIVE</v>
      </c>
      <c r="Q186" s="68" t="str">
        <f t="shared" si="12"/>
        <v>ACTIVE</v>
      </c>
    </row>
    <row r="187" spans="2:17" x14ac:dyDescent="0.35">
      <c r="B187" s="70" t="str">
        <v>30GG4066</v>
      </c>
      <c r="C187" s="68" t="str">
        <f>VLOOKUP(B187,Master!B:C,2,0)</f>
        <v>30GG4066</v>
      </c>
      <c r="D187" s="69">
        <f>VLOOKUP(B187,Master!B:L,11,0)</f>
        <v>43765</v>
      </c>
      <c r="E187" s="69">
        <f>VLOOKUP(B187,Master!B:P,15,0)</f>
        <v>0</v>
      </c>
      <c r="F187" s="68" t="str">
        <f t="shared" si="12"/>
        <v>ACTIVE</v>
      </c>
      <c r="G187" s="68" t="str">
        <f t="shared" si="12"/>
        <v>ACTIVE</v>
      </c>
      <c r="H187" s="68" t="str">
        <f t="shared" si="12"/>
        <v>ACTIVE</v>
      </c>
      <c r="I187" s="68" t="str">
        <f t="shared" si="12"/>
        <v>ACTIVE</v>
      </c>
      <c r="J187" s="68" t="str">
        <f t="shared" si="12"/>
        <v>ACTIVE</v>
      </c>
      <c r="K187" s="68" t="str">
        <f t="shared" si="12"/>
        <v>ACTIVE</v>
      </c>
      <c r="L187" s="68" t="str">
        <f t="shared" si="12"/>
        <v>ACTIVE</v>
      </c>
      <c r="M187" s="68" t="str">
        <f t="shared" si="12"/>
        <v>ACTIVE</v>
      </c>
      <c r="N187" s="68" t="str">
        <f t="shared" si="12"/>
        <v>ACTIVE</v>
      </c>
      <c r="O187" s="68" t="str">
        <f t="shared" si="12"/>
        <v>ACTIVE</v>
      </c>
      <c r="P187" s="68" t="str">
        <f t="shared" si="12"/>
        <v>ACTIVE</v>
      </c>
      <c r="Q187" s="68" t="str">
        <f t="shared" si="12"/>
        <v>ACTIVE</v>
      </c>
    </row>
    <row r="188" spans="2:17" x14ac:dyDescent="0.35">
      <c r="B188" s="70" t="str">
        <v>30KK4292</v>
      </c>
      <c r="C188" s="68" t="str">
        <f>VLOOKUP(B188,Master!B:C,2,0)</f>
        <v>30KK4292</v>
      </c>
      <c r="D188" s="69">
        <f>VLOOKUP(B188,Master!B:L,11,0)</f>
        <v>43765</v>
      </c>
      <c r="E188" s="69">
        <f>VLOOKUP(B188,Master!B:P,15,0)</f>
        <v>0</v>
      </c>
      <c r="F188" s="68" t="str">
        <f t="shared" si="12"/>
        <v>ACTIVE</v>
      </c>
      <c r="G188" s="68" t="str">
        <f t="shared" si="12"/>
        <v>ACTIVE</v>
      </c>
      <c r="H188" s="68" t="str">
        <f t="shared" si="12"/>
        <v>ACTIVE</v>
      </c>
      <c r="I188" s="68" t="str">
        <f t="shared" si="12"/>
        <v>ACTIVE</v>
      </c>
      <c r="J188" s="68" t="str">
        <f t="shared" si="12"/>
        <v>ACTIVE</v>
      </c>
      <c r="K188" s="68" t="str">
        <f t="shared" si="12"/>
        <v>ACTIVE</v>
      </c>
      <c r="L188" s="68" t="str">
        <f t="shared" si="12"/>
        <v>ACTIVE</v>
      </c>
      <c r="M188" s="68" t="str">
        <f t="shared" si="12"/>
        <v>ACTIVE</v>
      </c>
      <c r="N188" s="68" t="str">
        <f t="shared" si="12"/>
        <v>ACTIVE</v>
      </c>
      <c r="O188" s="68" t="str">
        <f t="shared" si="12"/>
        <v>ACTIVE</v>
      </c>
      <c r="P188" s="68" t="str">
        <f t="shared" si="12"/>
        <v>ACTIVE</v>
      </c>
      <c r="Q188" s="68" t="str">
        <f t="shared" si="12"/>
        <v>ACTIVE</v>
      </c>
    </row>
    <row r="189" spans="2:17" x14ac:dyDescent="0.35">
      <c r="B189" s="70" t="str">
        <v>30KK4294</v>
      </c>
      <c r="C189" s="68" t="str">
        <f>VLOOKUP(B189,Master!B:C,2,0)</f>
        <v>30KK4294</v>
      </c>
      <c r="D189" s="69">
        <f>VLOOKUP(B189,Master!B:L,11,0)</f>
        <v>43795</v>
      </c>
      <c r="E189" s="69">
        <f>VLOOKUP(B189,Master!B:P,15,0)</f>
        <v>0</v>
      </c>
      <c r="F189" s="68" t="str">
        <f t="shared" si="12"/>
        <v>ACTIVE</v>
      </c>
      <c r="G189" s="68" t="str">
        <f t="shared" si="12"/>
        <v>ACTIVE</v>
      </c>
      <c r="H189" s="68" t="str">
        <f t="shared" si="12"/>
        <v>ACTIVE</v>
      </c>
      <c r="I189" s="68" t="str">
        <f t="shared" si="12"/>
        <v>ACTIVE</v>
      </c>
      <c r="J189" s="68" t="str">
        <f t="shared" si="12"/>
        <v>ACTIVE</v>
      </c>
      <c r="K189" s="68" t="str">
        <f t="shared" si="12"/>
        <v>ACTIVE</v>
      </c>
      <c r="L189" s="68" t="str">
        <f t="shared" si="12"/>
        <v>ACTIVE</v>
      </c>
      <c r="M189" s="68" t="str">
        <f t="shared" si="12"/>
        <v>ACTIVE</v>
      </c>
      <c r="N189" s="68" t="str">
        <f t="shared" si="12"/>
        <v>ACTIVE</v>
      </c>
      <c r="O189" s="68" t="str">
        <f t="shared" si="12"/>
        <v>ACTIVE</v>
      </c>
      <c r="P189" s="68" t="str">
        <f t="shared" si="12"/>
        <v>ACTIVE</v>
      </c>
      <c r="Q189" s="68" t="str">
        <f t="shared" si="12"/>
        <v>ACTIVE</v>
      </c>
    </row>
    <row r="190" spans="2:17" x14ac:dyDescent="0.35">
      <c r="B190" s="70" t="str">
        <v>30MW4349</v>
      </c>
      <c r="C190" s="68" t="str">
        <f>VLOOKUP(B190,Master!B:C,2,0)</f>
        <v>30MW4349</v>
      </c>
      <c r="D190" s="69">
        <f>VLOOKUP(B190,Master!B:L,11,0)</f>
        <v>43686</v>
      </c>
      <c r="E190" s="69">
        <f>VLOOKUP(B190,Master!B:P,15,0)</f>
        <v>0</v>
      </c>
      <c r="F190" s="68" t="str">
        <f t="shared" si="12"/>
        <v>ACTIVE</v>
      </c>
      <c r="G190" s="68" t="str">
        <f t="shared" si="12"/>
        <v>ACTIVE</v>
      </c>
      <c r="H190" s="68" t="str">
        <f t="shared" si="12"/>
        <v>ACTIVE</v>
      </c>
      <c r="I190" s="68" t="str">
        <f t="shared" si="12"/>
        <v>ACTIVE</v>
      </c>
      <c r="J190" s="68" t="str">
        <f t="shared" si="12"/>
        <v>ACTIVE</v>
      </c>
      <c r="K190" s="68" t="str">
        <f t="shared" si="12"/>
        <v>ACTIVE</v>
      </c>
      <c r="L190" s="68" t="str">
        <f t="shared" si="12"/>
        <v>ACTIVE</v>
      </c>
      <c r="M190" s="68" t="str">
        <f t="shared" si="12"/>
        <v>ACTIVE</v>
      </c>
      <c r="N190" s="68" t="str">
        <f t="shared" si="12"/>
        <v>ACTIVE</v>
      </c>
      <c r="O190" s="68" t="str">
        <f t="shared" si="12"/>
        <v>ACTIVE</v>
      </c>
      <c r="P190" s="68" t="str">
        <f t="shared" si="12"/>
        <v>ACTIVE</v>
      </c>
      <c r="Q190" s="68" t="str">
        <f t="shared" si="12"/>
        <v>ACTIVE</v>
      </c>
    </row>
    <row r="191" spans="2:17" x14ac:dyDescent="0.35">
      <c r="B191" s="70" t="str">
        <v>30GG4009</v>
      </c>
      <c r="C191" s="68" t="str">
        <f>VLOOKUP(B191,Master!B:C,2,0)</f>
        <v>30GG4009</v>
      </c>
      <c r="D191" s="69">
        <f>VLOOKUP(B191,Master!B:L,11,0)</f>
        <v>43754</v>
      </c>
      <c r="E191" s="69">
        <f>VLOOKUP(B191,Master!B:P,15,0)</f>
        <v>0</v>
      </c>
      <c r="F191" s="68" t="str">
        <f t="shared" si="12"/>
        <v>ACTIVE</v>
      </c>
      <c r="G191" s="68" t="str">
        <f t="shared" si="12"/>
        <v>ACTIVE</v>
      </c>
      <c r="H191" s="68" t="str">
        <f t="shared" si="12"/>
        <v>ACTIVE</v>
      </c>
      <c r="I191" s="68" t="str">
        <f t="shared" si="12"/>
        <v>ACTIVE</v>
      </c>
      <c r="J191" s="68" t="str">
        <f t="shared" si="12"/>
        <v>ACTIVE</v>
      </c>
      <c r="K191" s="68" t="str">
        <f t="shared" si="12"/>
        <v>ACTIVE</v>
      </c>
      <c r="L191" s="68" t="str">
        <f t="shared" si="12"/>
        <v>ACTIVE</v>
      </c>
      <c r="M191" s="68" t="str">
        <f t="shared" si="12"/>
        <v>ACTIVE</v>
      </c>
      <c r="N191" s="68" t="str">
        <f t="shared" si="12"/>
        <v>ACTIVE</v>
      </c>
      <c r="O191" s="68" t="str">
        <f t="shared" si="12"/>
        <v>ACTIVE</v>
      </c>
      <c r="P191" s="68" t="str">
        <f t="shared" si="12"/>
        <v>ACTIVE</v>
      </c>
      <c r="Q191" s="68" t="str">
        <f t="shared" si="12"/>
        <v>ACTIVE</v>
      </c>
    </row>
    <row r="192" spans="2:17" x14ac:dyDescent="0.35">
      <c r="B192" s="70" t="str">
        <v>30KK4093</v>
      </c>
      <c r="C192" s="68" t="str">
        <f>VLOOKUP(B192,Master!B:C,2,0)</f>
        <v>30KK4093</v>
      </c>
      <c r="D192" s="69">
        <f>VLOOKUP(B192,Master!B:L,11,0)</f>
        <v>43754</v>
      </c>
      <c r="E192" s="69">
        <f>VLOOKUP(B192,Master!B:P,15,0)</f>
        <v>0</v>
      </c>
      <c r="F192" s="68" t="str">
        <f t="shared" si="12"/>
        <v>ACTIVE</v>
      </c>
      <c r="G192" s="68" t="str">
        <f t="shared" si="12"/>
        <v>ACTIVE</v>
      </c>
      <c r="H192" s="68" t="str">
        <f t="shared" si="12"/>
        <v>ACTIVE</v>
      </c>
      <c r="I192" s="68" t="str">
        <f t="shared" si="12"/>
        <v>ACTIVE</v>
      </c>
      <c r="J192" s="68" t="str">
        <f t="shared" si="12"/>
        <v>ACTIVE</v>
      </c>
      <c r="K192" s="68" t="str">
        <f t="shared" si="12"/>
        <v>ACTIVE</v>
      </c>
      <c r="L192" s="68" t="str">
        <f t="shared" si="12"/>
        <v>ACTIVE</v>
      </c>
      <c r="M192" s="68" t="str">
        <f t="shared" si="12"/>
        <v>ACTIVE</v>
      </c>
      <c r="N192" s="68" t="str">
        <f t="shared" si="12"/>
        <v>ACTIVE</v>
      </c>
      <c r="O192" s="68" t="str">
        <f t="shared" si="12"/>
        <v>ACTIVE</v>
      </c>
      <c r="P192" s="68" t="str">
        <f t="shared" si="12"/>
        <v>ACTIVE</v>
      </c>
      <c r="Q192" s="68" t="str">
        <f t="shared" si="12"/>
        <v>ACTIVE</v>
      </c>
    </row>
    <row r="193" spans="2:17" x14ac:dyDescent="0.35">
      <c r="B193" s="70" t="str">
        <v>30MW4350</v>
      </c>
      <c r="C193" s="68" t="str">
        <f>VLOOKUP(B193,Master!B:C,2,0)</f>
        <v>30MW4350</v>
      </c>
      <c r="D193" s="69">
        <f>VLOOKUP(B193,Master!B:L,11,0)</f>
        <v>43613</v>
      </c>
      <c r="E193" s="69">
        <f>VLOOKUP(B193,Master!B:P,15,0)</f>
        <v>0</v>
      </c>
      <c r="F193" s="68" t="str">
        <f t="shared" si="12"/>
        <v>ACTIVE</v>
      </c>
      <c r="G193" s="68" t="str">
        <f t="shared" si="12"/>
        <v>ACTIVE</v>
      </c>
      <c r="H193" s="68" t="str">
        <f t="shared" si="12"/>
        <v>ACTIVE</v>
      </c>
      <c r="I193" s="68" t="str">
        <f t="shared" si="12"/>
        <v>ACTIVE</v>
      </c>
      <c r="J193" s="68" t="str">
        <f t="shared" si="12"/>
        <v>ACTIVE</v>
      </c>
      <c r="K193" s="68" t="str">
        <f t="shared" si="12"/>
        <v>ACTIVE</v>
      </c>
      <c r="L193" s="68" t="str">
        <f t="shared" si="12"/>
        <v>ACTIVE</v>
      </c>
      <c r="M193" s="68" t="str">
        <f t="shared" si="12"/>
        <v>ACTIVE</v>
      </c>
      <c r="N193" s="68" t="str">
        <f t="shared" si="12"/>
        <v>ACTIVE</v>
      </c>
      <c r="O193" s="68" t="str">
        <f t="shared" si="12"/>
        <v>ACTIVE</v>
      </c>
      <c r="P193" s="68" t="str">
        <f t="shared" si="12"/>
        <v>ACTIVE</v>
      </c>
      <c r="Q193" s="68" t="str">
        <f t="shared" si="12"/>
        <v>ACTIVE</v>
      </c>
    </row>
    <row r="194" spans="2:17" x14ac:dyDescent="0.35">
      <c r="B194" s="70" t="str">
        <v>30MW4341</v>
      </c>
      <c r="C194" s="68" t="str">
        <f>VLOOKUP(B194,Master!B:C,2,0)</f>
        <v>30MW4341</v>
      </c>
      <c r="D194" s="69">
        <f>VLOOKUP(B194,Master!B:L,11,0)</f>
        <v>43709</v>
      </c>
      <c r="E194" s="69">
        <f>VLOOKUP(B194,Master!B:P,15,0)</f>
        <v>0</v>
      </c>
      <c r="F194" s="68" t="str">
        <f t="shared" si="12"/>
        <v>ACTIVE</v>
      </c>
      <c r="G194" s="68" t="str">
        <f t="shared" si="12"/>
        <v>ACTIVE</v>
      </c>
      <c r="H194" s="68" t="str">
        <f t="shared" si="12"/>
        <v>ACTIVE</v>
      </c>
      <c r="I194" s="68" t="str">
        <f t="shared" si="12"/>
        <v>ACTIVE</v>
      </c>
      <c r="J194" s="68" t="str">
        <f t="shared" si="12"/>
        <v>ACTIVE</v>
      </c>
      <c r="K194" s="68" t="str">
        <f t="shared" si="12"/>
        <v>ACTIVE</v>
      </c>
      <c r="L194" s="68" t="str">
        <f t="shared" si="12"/>
        <v>ACTIVE</v>
      </c>
      <c r="M194" s="68" t="str">
        <f t="shared" si="12"/>
        <v>ACTIVE</v>
      </c>
      <c r="N194" s="68" t="str">
        <f t="shared" si="12"/>
        <v>ACTIVE</v>
      </c>
      <c r="O194" s="68" t="str">
        <f t="shared" si="12"/>
        <v>ACTIVE</v>
      </c>
      <c r="P194" s="68" t="str">
        <f t="shared" si="12"/>
        <v>ACTIVE</v>
      </c>
      <c r="Q194" s="68" t="str">
        <f t="shared" si="12"/>
        <v>ACTIVE</v>
      </c>
    </row>
    <row r="195" spans="2:17" x14ac:dyDescent="0.35">
      <c r="B195" s="70" t="str">
        <v>30MW4351</v>
      </c>
      <c r="C195" s="68" t="str">
        <f>VLOOKUP(B195,Master!B:C,2,0)</f>
        <v>30MW4351</v>
      </c>
      <c r="D195" s="69">
        <f>VLOOKUP(B195,Master!B:L,11,0)</f>
        <v>43747</v>
      </c>
      <c r="E195" s="69">
        <f>VLOOKUP(B195,Master!B:P,15,0)</f>
        <v>0</v>
      </c>
      <c r="F195" s="68" t="str">
        <f t="shared" si="12"/>
        <v>ACTIVE</v>
      </c>
      <c r="G195" s="68" t="str">
        <f t="shared" si="12"/>
        <v>ACTIVE</v>
      </c>
      <c r="H195" s="68" t="str">
        <f t="shared" si="12"/>
        <v>ACTIVE</v>
      </c>
      <c r="I195" s="68" t="str">
        <f t="shared" si="12"/>
        <v>ACTIVE</v>
      </c>
      <c r="J195" s="68" t="str">
        <f t="shared" si="12"/>
        <v>ACTIVE</v>
      </c>
      <c r="K195" s="68" t="str">
        <f t="shared" si="12"/>
        <v>ACTIVE</v>
      </c>
      <c r="L195" s="68" t="str">
        <f t="shared" si="12"/>
        <v>ACTIVE</v>
      </c>
      <c r="M195" s="68" t="str">
        <f t="shared" si="12"/>
        <v>ACTIVE</v>
      </c>
      <c r="N195" s="68" t="str">
        <f t="shared" si="12"/>
        <v>ACTIVE</v>
      </c>
      <c r="O195" s="68" t="str">
        <f t="shared" si="12"/>
        <v>ACTIVE</v>
      </c>
      <c r="P195" s="68" t="str">
        <f t="shared" si="12"/>
        <v>ACTIVE</v>
      </c>
      <c r="Q195" s="68" t="str">
        <f t="shared" si="12"/>
        <v>ACTIVE</v>
      </c>
    </row>
    <row r="196" spans="2:17" x14ac:dyDescent="0.35">
      <c r="B196" s="70" t="str">
        <v>30GG4068</v>
      </c>
      <c r="C196" s="68" t="str">
        <f>VLOOKUP(B196,Master!B:C,2,0)</f>
        <v>30GG4068</v>
      </c>
      <c r="D196" s="69">
        <f>VLOOKUP(B196,Master!B:L,11,0)</f>
        <v>43823</v>
      </c>
      <c r="E196" s="69">
        <f>VLOOKUP(B196,Master!B:P,15,0)</f>
        <v>0</v>
      </c>
      <c r="F196" s="68" t="str">
        <f t="shared" ref="F196:Q211" si="13">IF($E196&gt;0,"CLOSED",IF($D196&lt;F$1,"ACTIVE","WAITING FOR OPEN"))</f>
        <v>ACTIVE</v>
      </c>
      <c r="G196" s="68" t="str">
        <f t="shared" si="13"/>
        <v>ACTIVE</v>
      </c>
      <c r="H196" s="68" t="str">
        <f t="shared" si="13"/>
        <v>ACTIVE</v>
      </c>
      <c r="I196" s="68" t="str">
        <f t="shared" si="13"/>
        <v>ACTIVE</v>
      </c>
      <c r="J196" s="68" t="str">
        <f t="shared" si="13"/>
        <v>ACTIVE</v>
      </c>
      <c r="K196" s="68" t="str">
        <f t="shared" si="13"/>
        <v>ACTIVE</v>
      </c>
      <c r="L196" s="68" t="str">
        <f t="shared" si="13"/>
        <v>ACTIVE</v>
      </c>
      <c r="M196" s="68" t="str">
        <f t="shared" si="13"/>
        <v>ACTIVE</v>
      </c>
      <c r="N196" s="68" t="str">
        <f t="shared" si="13"/>
        <v>ACTIVE</v>
      </c>
      <c r="O196" s="68" t="str">
        <f t="shared" si="13"/>
        <v>ACTIVE</v>
      </c>
      <c r="P196" s="68" t="str">
        <f t="shared" si="13"/>
        <v>ACTIVE</v>
      </c>
      <c r="Q196" s="68" t="str">
        <f t="shared" si="13"/>
        <v>ACTIVE</v>
      </c>
    </row>
    <row r="197" spans="2:17" x14ac:dyDescent="0.35">
      <c r="B197" s="70" t="str">
        <v>30KK4299</v>
      </c>
      <c r="C197" s="68" t="str">
        <f>VLOOKUP(B197,Master!B:C,2,0)</f>
        <v>30KK4299</v>
      </c>
      <c r="D197" s="69">
        <f>VLOOKUP(B197,Master!B:L,11,0)</f>
        <v>43823</v>
      </c>
      <c r="E197" s="69">
        <f>VLOOKUP(B197,Master!B:P,15,0)</f>
        <v>0</v>
      </c>
      <c r="F197" s="68" t="str">
        <f t="shared" si="13"/>
        <v>ACTIVE</v>
      </c>
      <c r="G197" s="68" t="str">
        <f t="shared" si="13"/>
        <v>ACTIVE</v>
      </c>
      <c r="H197" s="68" t="str">
        <f t="shared" si="13"/>
        <v>ACTIVE</v>
      </c>
      <c r="I197" s="68" t="str">
        <f t="shared" si="13"/>
        <v>ACTIVE</v>
      </c>
      <c r="J197" s="68" t="str">
        <f t="shared" si="13"/>
        <v>ACTIVE</v>
      </c>
      <c r="K197" s="68" t="str">
        <f t="shared" si="13"/>
        <v>ACTIVE</v>
      </c>
      <c r="L197" s="68" t="str">
        <f t="shared" si="13"/>
        <v>ACTIVE</v>
      </c>
      <c r="M197" s="68" t="str">
        <f t="shared" si="13"/>
        <v>ACTIVE</v>
      </c>
      <c r="N197" s="68" t="str">
        <f t="shared" si="13"/>
        <v>ACTIVE</v>
      </c>
      <c r="O197" s="68" t="str">
        <f t="shared" si="13"/>
        <v>ACTIVE</v>
      </c>
      <c r="P197" s="68" t="str">
        <f t="shared" si="13"/>
        <v>ACTIVE</v>
      </c>
      <c r="Q197" s="68" t="str">
        <f t="shared" si="13"/>
        <v>ACTIVE</v>
      </c>
    </row>
    <row r="198" spans="2:17" x14ac:dyDescent="0.35">
      <c r="B198" s="70" t="str">
        <v>30GG4069</v>
      </c>
      <c r="C198" s="68" t="str">
        <f>VLOOKUP(B198,Master!B:C,2,0)</f>
        <v>30GG4069</v>
      </c>
      <c r="D198" s="69">
        <f>VLOOKUP(B198,Master!B:L,11,0)</f>
        <v>43823</v>
      </c>
      <c r="E198" s="69">
        <f>VLOOKUP(B198,Master!B:P,15,0)</f>
        <v>0</v>
      </c>
      <c r="F198" s="68" t="str">
        <f t="shared" si="13"/>
        <v>ACTIVE</v>
      </c>
      <c r="G198" s="68" t="str">
        <f t="shared" si="13"/>
        <v>ACTIVE</v>
      </c>
      <c r="H198" s="68" t="str">
        <f t="shared" si="13"/>
        <v>ACTIVE</v>
      </c>
      <c r="I198" s="68" t="str">
        <f t="shared" si="13"/>
        <v>ACTIVE</v>
      </c>
      <c r="J198" s="68" t="str">
        <f t="shared" si="13"/>
        <v>ACTIVE</v>
      </c>
      <c r="K198" s="68" t="str">
        <f t="shared" si="13"/>
        <v>ACTIVE</v>
      </c>
      <c r="L198" s="68" t="str">
        <f t="shared" si="13"/>
        <v>ACTIVE</v>
      </c>
      <c r="M198" s="68" t="str">
        <f t="shared" si="13"/>
        <v>ACTIVE</v>
      </c>
      <c r="N198" s="68" t="str">
        <f t="shared" si="13"/>
        <v>ACTIVE</v>
      </c>
      <c r="O198" s="68" t="str">
        <f t="shared" si="13"/>
        <v>ACTIVE</v>
      </c>
      <c r="P198" s="68" t="str">
        <f t="shared" si="13"/>
        <v>ACTIVE</v>
      </c>
      <c r="Q198" s="68" t="str">
        <f t="shared" si="13"/>
        <v>ACTIVE</v>
      </c>
    </row>
    <row r="199" spans="2:17" x14ac:dyDescent="0.35">
      <c r="B199" s="70" t="str">
        <v>30KK4301</v>
      </c>
      <c r="C199" s="68" t="str">
        <f>VLOOKUP(B199,Master!B:C,2,0)</f>
        <v>30KK4301</v>
      </c>
      <c r="D199" s="69">
        <f>VLOOKUP(B199,Master!B:L,11,0)</f>
        <v>43834</v>
      </c>
      <c r="E199" s="69">
        <f>VLOOKUP(B199,Master!B:P,15,0)</f>
        <v>0</v>
      </c>
      <c r="F199" s="68" t="str">
        <f t="shared" si="13"/>
        <v>ACTIVE</v>
      </c>
      <c r="G199" s="68" t="str">
        <f t="shared" si="13"/>
        <v>ACTIVE</v>
      </c>
      <c r="H199" s="68" t="str">
        <f t="shared" si="13"/>
        <v>ACTIVE</v>
      </c>
      <c r="I199" s="68" t="str">
        <f t="shared" si="13"/>
        <v>ACTIVE</v>
      </c>
      <c r="J199" s="68" t="str">
        <f t="shared" si="13"/>
        <v>ACTIVE</v>
      </c>
      <c r="K199" s="68" t="str">
        <f t="shared" si="13"/>
        <v>ACTIVE</v>
      </c>
      <c r="L199" s="68" t="str">
        <f t="shared" si="13"/>
        <v>ACTIVE</v>
      </c>
      <c r="M199" s="68" t="str">
        <f t="shared" si="13"/>
        <v>ACTIVE</v>
      </c>
      <c r="N199" s="68" t="str">
        <f t="shared" si="13"/>
        <v>ACTIVE</v>
      </c>
      <c r="O199" s="68" t="str">
        <f t="shared" si="13"/>
        <v>ACTIVE</v>
      </c>
      <c r="P199" s="68" t="str">
        <f t="shared" si="13"/>
        <v>ACTIVE</v>
      </c>
      <c r="Q199" s="68" t="str">
        <f t="shared" si="13"/>
        <v>ACTIVE</v>
      </c>
    </row>
    <row r="200" spans="2:17" x14ac:dyDescent="0.35">
      <c r="B200" s="70" t="str">
        <v>30KK4300</v>
      </c>
      <c r="C200" s="68" t="str">
        <f>VLOOKUP(B200,Master!B:C,2,0)</f>
        <v>30KK4300</v>
      </c>
      <c r="D200" s="69">
        <f>VLOOKUP(B200,Master!B:L,11,0)</f>
        <v>43836</v>
      </c>
      <c r="E200" s="69">
        <f>VLOOKUP(B200,Master!B:P,15,0)</f>
        <v>0</v>
      </c>
      <c r="F200" s="68" t="str">
        <f t="shared" si="13"/>
        <v>ACTIVE</v>
      </c>
      <c r="G200" s="68" t="str">
        <f t="shared" si="13"/>
        <v>ACTIVE</v>
      </c>
      <c r="H200" s="68" t="str">
        <f t="shared" si="13"/>
        <v>ACTIVE</v>
      </c>
      <c r="I200" s="68" t="str">
        <f t="shared" si="13"/>
        <v>ACTIVE</v>
      </c>
      <c r="J200" s="68" t="str">
        <f t="shared" si="13"/>
        <v>ACTIVE</v>
      </c>
      <c r="K200" s="68" t="str">
        <f t="shared" si="13"/>
        <v>ACTIVE</v>
      </c>
      <c r="L200" s="68" t="str">
        <f t="shared" si="13"/>
        <v>ACTIVE</v>
      </c>
      <c r="M200" s="68" t="str">
        <f t="shared" si="13"/>
        <v>ACTIVE</v>
      </c>
      <c r="N200" s="68" t="str">
        <f t="shared" si="13"/>
        <v>ACTIVE</v>
      </c>
      <c r="O200" s="68" t="str">
        <f t="shared" si="13"/>
        <v>ACTIVE</v>
      </c>
      <c r="P200" s="68" t="str">
        <f t="shared" si="13"/>
        <v>ACTIVE</v>
      </c>
      <c r="Q200" s="68" t="str">
        <f t="shared" si="13"/>
        <v>ACTIVE</v>
      </c>
    </row>
    <row r="201" spans="2:17" x14ac:dyDescent="0.35">
      <c r="B201" s="70" t="str">
        <v>30GG4074</v>
      </c>
      <c r="C201" s="68" t="str">
        <f>VLOOKUP(B201,Master!B:C,2,0)</f>
        <v>30GG4074</v>
      </c>
      <c r="D201" s="69">
        <f>VLOOKUP(B201,Master!B:L,11,0)</f>
        <v>44042</v>
      </c>
      <c r="E201" s="69">
        <f>VLOOKUP(B201,Master!B:P,15,0)</f>
        <v>0</v>
      </c>
      <c r="F201" s="68" t="str">
        <f t="shared" si="13"/>
        <v>ACTIVE</v>
      </c>
      <c r="G201" s="68" t="str">
        <f t="shared" si="13"/>
        <v>ACTIVE</v>
      </c>
      <c r="H201" s="68" t="str">
        <f t="shared" si="13"/>
        <v>ACTIVE</v>
      </c>
      <c r="I201" s="68" t="str">
        <f t="shared" si="13"/>
        <v>ACTIVE</v>
      </c>
      <c r="J201" s="68" t="str">
        <f t="shared" si="13"/>
        <v>ACTIVE</v>
      </c>
      <c r="K201" s="68" t="str">
        <f t="shared" si="13"/>
        <v>ACTIVE</v>
      </c>
      <c r="L201" s="68" t="str">
        <f t="shared" si="13"/>
        <v>ACTIVE</v>
      </c>
      <c r="M201" s="68" t="str">
        <f t="shared" si="13"/>
        <v>ACTIVE</v>
      </c>
      <c r="N201" s="68" t="str">
        <f t="shared" si="13"/>
        <v>ACTIVE</v>
      </c>
      <c r="O201" s="68" t="str">
        <f t="shared" si="13"/>
        <v>ACTIVE</v>
      </c>
      <c r="P201" s="68" t="str">
        <f t="shared" si="13"/>
        <v>ACTIVE</v>
      </c>
      <c r="Q201" s="68" t="str">
        <f t="shared" si="13"/>
        <v>ACTIVE</v>
      </c>
    </row>
    <row r="202" spans="2:17" x14ac:dyDescent="0.35">
      <c r="B202" s="70" t="str">
        <v>30GG4072</v>
      </c>
      <c r="C202" s="68" t="str">
        <f>VLOOKUP(B202,Master!B:C,2,0)</f>
        <v>30GG4072</v>
      </c>
      <c r="D202" s="69">
        <f>VLOOKUP(B202,Master!B:L,11,0)</f>
        <v>43983</v>
      </c>
      <c r="E202" s="69">
        <f>VLOOKUP(B202,Master!B:P,15,0)</f>
        <v>0</v>
      </c>
      <c r="F202" s="68" t="str">
        <f t="shared" si="13"/>
        <v>ACTIVE</v>
      </c>
      <c r="G202" s="68" t="str">
        <f t="shared" si="13"/>
        <v>ACTIVE</v>
      </c>
      <c r="H202" s="68" t="str">
        <f t="shared" si="13"/>
        <v>ACTIVE</v>
      </c>
      <c r="I202" s="68" t="str">
        <f t="shared" si="13"/>
        <v>ACTIVE</v>
      </c>
      <c r="J202" s="68" t="str">
        <f t="shared" si="13"/>
        <v>ACTIVE</v>
      </c>
      <c r="K202" s="68" t="str">
        <f t="shared" si="13"/>
        <v>ACTIVE</v>
      </c>
      <c r="L202" s="68" t="str">
        <f t="shared" si="13"/>
        <v>ACTIVE</v>
      </c>
      <c r="M202" s="68" t="str">
        <f t="shared" si="13"/>
        <v>ACTIVE</v>
      </c>
      <c r="N202" s="68" t="str">
        <f t="shared" si="13"/>
        <v>ACTIVE</v>
      </c>
      <c r="O202" s="68" t="str">
        <f t="shared" si="13"/>
        <v>ACTIVE</v>
      </c>
      <c r="P202" s="68" t="str">
        <f t="shared" si="13"/>
        <v>ACTIVE</v>
      </c>
      <c r="Q202" s="68" t="str">
        <f t="shared" si="13"/>
        <v>ACTIVE</v>
      </c>
    </row>
    <row r="203" spans="2:17" x14ac:dyDescent="0.35">
      <c r="B203" s="70" t="str">
        <v>30KP4377</v>
      </c>
      <c r="C203" s="68" t="str">
        <f>VLOOKUP(B203,Master!B:C,2,0)</f>
        <v>30KP4377</v>
      </c>
      <c r="D203" s="69">
        <f>VLOOKUP(B203,Master!B:L,11,0)</f>
        <v>44077</v>
      </c>
      <c r="E203" s="69">
        <f>VLOOKUP(B203,Master!B:P,15,0)</f>
        <v>0</v>
      </c>
      <c r="F203" s="68" t="str">
        <f t="shared" si="13"/>
        <v>ACTIVE</v>
      </c>
      <c r="G203" s="68" t="str">
        <f t="shared" si="13"/>
        <v>ACTIVE</v>
      </c>
      <c r="H203" s="68" t="str">
        <f t="shared" si="13"/>
        <v>ACTIVE</v>
      </c>
      <c r="I203" s="68" t="str">
        <f t="shared" si="13"/>
        <v>ACTIVE</v>
      </c>
      <c r="J203" s="68" t="str">
        <f t="shared" si="13"/>
        <v>ACTIVE</v>
      </c>
      <c r="K203" s="68" t="str">
        <f t="shared" si="13"/>
        <v>ACTIVE</v>
      </c>
      <c r="L203" s="68" t="str">
        <f t="shared" si="13"/>
        <v>ACTIVE</v>
      </c>
      <c r="M203" s="68" t="str">
        <f t="shared" si="13"/>
        <v>ACTIVE</v>
      </c>
      <c r="N203" s="68" t="str">
        <f t="shared" si="13"/>
        <v>ACTIVE</v>
      </c>
      <c r="O203" s="68" t="str">
        <f t="shared" si="13"/>
        <v>ACTIVE</v>
      </c>
      <c r="P203" s="68" t="str">
        <f t="shared" si="13"/>
        <v>ACTIVE</v>
      </c>
      <c r="Q203" s="68" t="str">
        <f t="shared" si="13"/>
        <v>ACTIVE</v>
      </c>
    </row>
    <row r="204" spans="2:17" x14ac:dyDescent="0.35">
      <c r="B204" s="70" t="str">
        <v>30GG4071</v>
      </c>
      <c r="C204" s="68" t="str">
        <f>VLOOKUP(B204,Master!B:C,2,0)</f>
        <v>30GG4071</v>
      </c>
      <c r="D204" s="69">
        <f>VLOOKUP(B204,Master!B:L,11,0)</f>
        <v>44008</v>
      </c>
      <c r="E204" s="69">
        <f>VLOOKUP(B204,Master!B:P,15,0)</f>
        <v>0</v>
      </c>
      <c r="F204" s="68" t="str">
        <f t="shared" si="13"/>
        <v>ACTIVE</v>
      </c>
      <c r="G204" s="68" t="str">
        <f t="shared" si="13"/>
        <v>ACTIVE</v>
      </c>
      <c r="H204" s="68" t="str">
        <f t="shared" si="13"/>
        <v>ACTIVE</v>
      </c>
      <c r="I204" s="68" t="str">
        <f t="shared" si="13"/>
        <v>ACTIVE</v>
      </c>
      <c r="J204" s="68" t="str">
        <f t="shared" si="13"/>
        <v>ACTIVE</v>
      </c>
      <c r="K204" s="68" t="str">
        <f t="shared" si="13"/>
        <v>ACTIVE</v>
      </c>
      <c r="L204" s="68" t="str">
        <f t="shared" si="13"/>
        <v>ACTIVE</v>
      </c>
      <c r="M204" s="68" t="str">
        <f t="shared" si="13"/>
        <v>ACTIVE</v>
      </c>
      <c r="N204" s="68" t="str">
        <f t="shared" si="13"/>
        <v>ACTIVE</v>
      </c>
      <c r="O204" s="68" t="str">
        <f t="shared" si="13"/>
        <v>ACTIVE</v>
      </c>
      <c r="P204" s="68" t="str">
        <f t="shared" si="13"/>
        <v>ACTIVE</v>
      </c>
      <c r="Q204" s="68" t="str">
        <f t="shared" si="13"/>
        <v>ACTIVE</v>
      </c>
    </row>
    <row r="205" spans="2:17" x14ac:dyDescent="0.35">
      <c r="B205" s="70" t="str">
        <v>30GG4070</v>
      </c>
      <c r="C205" s="68" t="str">
        <f>VLOOKUP(B205,Master!B:C,2,0)</f>
        <v>30GG4070</v>
      </c>
      <c r="D205" s="69">
        <f>VLOOKUP(B205,Master!B:L,11,0)</f>
        <v>43847</v>
      </c>
      <c r="E205" s="69">
        <f>VLOOKUP(B205,Master!B:P,15,0)</f>
        <v>0</v>
      </c>
      <c r="F205" s="68" t="str">
        <f t="shared" si="13"/>
        <v>ACTIVE</v>
      </c>
      <c r="G205" s="68" t="str">
        <f t="shared" si="13"/>
        <v>ACTIVE</v>
      </c>
      <c r="H205" s="68" t="str">
        <f t="shared" si="13"/>
        <v>ACTIVE</v>
      </c>
      <c r="I205" s="68" t="str">
        <f t="shared" si="13"/>
        <v>ACTIVE</v>
      </c>
      <c r="J205" s="68" t="str">
        <f t="shared" si="13"/>
        <v>ACTIVE</v>
      </c>
      <c r="K205" s="68" t="str">
        <f t="shared" si="13"/>
        <v>ACTIVE</v>
      </c>
      <c r="L205" s="68" t="str">
        <f t="shared" si="13"/>
        <v>ACTIVE</v>
      </c>
      <c r="M205" s="68" t="str">
        <f t="shared" si="13"/>
        <v>ACTIVE</v>
      </c>
      <c r="N205" s="68" t="str">
        <f t="shared" si="13"/>
        <v>ACTIVE</v>
      </c>
      <c r="O205" s="68" t="str">
        <f t="shared" si="13"/>
        <v>ACTIVE</v>
      </c>
      <c r="P205" s="68" t="str">
        <f t="shared" si="13"/>
        <v>ACTIVE</v>
      </c>
      <c r="Q205" s="68" t="str">
        <f t="shared" si="13"/>
        <v>ACTIVE</v>
      </c>
    </row>
    <row r="206" spans="2:17" x14ac:dyDescent="0.35">
      <c r="B206" s="70" t="str">
        <v>30KK4302</v>
      </c>
      <c r="C206" s="68" t="str">
        <f>VLOOKUP(B206,Master!B:C,2,0)</f>
        <v>30KK4302</v>
      </c>
      <c r="D206" s="69">
        <f>VLOOKUP(B206,Master!B:L,11,0)</f>
        <v>43852</v>
      </c>
      <c r="E206" s="69">
        <f>VLOOKUP(B206,Master!B:P,15,0)</f>
        <v>0</v>
      </c>
      <c r="F206" s="68" t="str">
        <f t="shared" si="13"/>
        <v>ACTIVE</v>
      </c>
      <c r="G206" s="68" t="str">
        <f t="shared" si="13"/>
        <v>ACTIVE</v>
      </c>
      <c r="H206" s="68" t="str">
        <f t="shared" si="13"/>
        <v>ACTIVE</v>
      </c>
      <c r="I206" s="68" t="str">
        <f t="shared" si="13"/>
        <v>ACTIVE</v>
      </c>
      <c r="J206" s="68" t="str">
        <f t="shared" si="13"/>
        <v>ACTIVE</v>
      </c>
      <c r="K206" s="68" t="str">
        <f t="shared" si="13"/>
        <v>ACTIVE</v>
      </c>
      <c r="L206" s="68" t="str">
        <f t="shared" si="13"/>
        <v>ACTIVE</v>
      </c>
      <c r="M206" s="68" t="str">
        <f t="shared" si="13"/>
        <v>ACTIVE</v>
      </c>
      <c r="N206" s="68" t="str">
        <f t="shared" si="13"/>
        <v>ACTIVE</v>
      </c>
      <c r="O206" s="68" t="str">
        <f t="shared" si="13"/>
        <v>ACTIVE</v>
      </c>
      <c r="P206" s="68" t="str">
        <f t="shared" si="13"/>
        <v>ACTIVE</v>
      </c>
      <c r="Q206" s="68" t="str">
        <f t="shared" si="13"/>
        <v>ACTIVE</v>
      </c>
    </row>
    <row r="207" spans="2:17" x14ac:dyDescent="0.35">
      <c r="B207" s="70" t="str">
        <v>10GG4217</v>
      </c>
      <c r="C207" s="68" t="str">
        <f>VLOOKUP(B207,Master!B:C,2,0)</f>
        <v>10GG4217</v>
      </c>
      <c r="D207" s="69">
        <f>VLOOKUP(B207,Master!B:L,11,0)</f>
        <v>44121</v>
      </c>
      <c r="E207" s="69">
        <f>VLOOKUP(B207,Master!B:P,15,0)</f>
        <v>0</v>
      </c>
      <c r="F207" s="68" t="str">
        <f t="shared" si="13"/>
        <v>ACTIVE</v>
      </c>
      <c r="G207" s="68" t="str">
        <f t="shared" si="13"/>
        <v>ACTIVE</v>
      </c>
      <c r="H207" s="68" t="str">
        <f t="shared" si="13"/>
        <v>ACTIVE</v>
      </c>
      <c r="I207" s="68" t="str">
        <f t="shared" si="13"/>
        <v>ACTIVE</v>
      </c>
      <c r="J207" s="68" t="str">
        <f t="shared" si="13"/>
        <v>ACTIVE</v>
      </c>
      <c r="K207" s="68" t="str">
        <f t="shared" si="13"/>
        <v>ACTIVE</v>
      </c>
      <c r="L207" s="68" t="str">
        <f t="shared" si="13"/>
        <v>ACTIVE</v>
      </c>
      <c r="M207" s="68" t="str">
        <f t="shared" si="13"/>
        <v>ACTIVE</v>
      </c>
      <c r="N207" s="68" t="str">
        <f t="shared" si="13"/>
        <v>ACTIVE</v>
      </c>
      <c r="O207" s="68" t="str">
        <f t="shared" si="13"/>
        <v>ACTIVE</v>
      </c>
      <c r="P207" s="68" t="str">
        <f t="shared" si="13"/>
        <v>ACTIVE</v>
      </c>
      <c r="Q207" s="68" t="str">
        <f t="shared" si="13"/>
        <v>ACTIVE</v>
      </c>
    </row>
    <row r="208" spans="2:17" x14ac:dyDescent="0.35">
      <c r="B208" s="70" t="str">
        <v>30GG4075</v>
      </c>
      <c r="C208" s="68" t="str">
        <f>VLOOKUP(B208,Master!B:C,2,0)</f>
        <v>30GG4075</v>
      </c>
      <c r="D208" s="69">
        <f>VLOOKUP(B208,Master!B:L,11,0)</f>
        <v>44120</v>
      </c>
      <c r="E208" s="69">
        <f>VLOOKUP(B208,Master!B:P,15,0)</f>
        <v>0</v>
      </c>
      <c r="F208" s="68" t="str">
        <f t="shared" si="13"/>
        <v>ACTIVE</v>
      </c>
      <c r="G208" s="68" t="str">
        <f t="shared" si="13"/>
        <v>ACTIVE</v>
      </c>
      <c r="H208" s="68" t="str">
        <f t="shared" si="13"/>
        <v>ACTIVE</v>
      </c>
      <c r="I208" s="68" t="str">
        <f t="shared" si="13"/>
        <v>ACTIVE</v>
      </c>
      <c r="J208" s="68" t="str">
        <f t="shared" si="13"/>
        <v>ACTIVE</v>
      </c>
      <c r="K208" s="68" t="str">
        <f t="shared" si="13"/>
        <v>ACTIVE</v>
      </c>
      <c r="L208" s="68" t="str">
        <f t="shared" si="13"/>
        <v>ACTIVE</v>
      </c>
      <c r="M208" s="68" t="str">
        <f t="shared" si="13"/>
        <v>ACTIVE</v>
      </c>
      <c r="N208" s="68" t="str">
        <f t="shared" si="13"/>
        <v>ACTIVE</v>
      </c>
      <c r="O208" s="68" t="str">
        <f t="shared" si="13"/>
        <v>ACTIVE</v>
      </c>
      <c r="P208" s="68" t="str">
        <f t="shared" si="13"/>
        <v>ACTIVE</v>
      </c>
      <c r="Q208" s="68" t="str">
        <f t="shared" si="13"/>
        <v>ACTIVE</v>
      </c>
    </row>
    <row r="209" spans="2:17" x14ac:dyDescent="0.35">
      <c r="B209" s="70" t="str">
        <v>30MW4358</v>
      </c>
      <c r="C209" s="68" t="str">
        <f>VLOOKUP(B209,Master!B:C,2,0)</f>
        <v>30MW4358</v>
      </c>
      <c r="D209" s="69">
        <f>VLOOKUP(B209,Master!B:L,11,0)</f>
        <v>44110</v>
      </c>
      <c r="E209" s="69">
        <f>VLOOKUP(B209,Master!B:P,15,0)</f>
        <v>0</v>
      </c>
      <c r="F209" s="68" t="str">
        <f t="shared" si="13"/>
        <v>ACTIVE</v>
      </c>
      <c r="G209" s="68" t="str">
        <f t="shared" si="13"/>
        <v>ACTIVE</v>
      </c>
      <c r="H209" s="68" t="str">
        <f t="shared" si="13"/>
        <v>ACTIVE</v>
      </c>
      <c r="I209" s="68" t="str">
        <f t="shared" si="13"/>
        <v>ACTIVE</v>
      </c>
      <c r="J209" s="68" t="str">
        <f t="shared" si="13"/>
        <v>ACTIVE</v>
      </c>
      <c r="K209" s="68" t="str">
        <f t="shared" si="13"/>
        <v>ACTIVE</v>
      </c>
      <c r="L209" s="68" t="str">
        <f t="shared" si="13"/>
        <v>ACTIVE</v>
      </c>
      <c r="M209" s="68" t="str">
        <f t="shared" si="13"/>
        <v>ACTIVE</v>
      </c>
      <c r="N209" s="68" t="str">
        <f t="shared" si="13"/>
        <v>ACTIVE</v>
      </c>
      <c r="O209" s="68" t="str">
        <f t="shared" si="13"/>
        <v>ACTIVE</v>
      </c>
      <c r="P209" s="68" t="str">
        <f t="shared" si="13"/>
        <v>ACTIVE</v>
      </c>
      <c r="Q209" s="68" t="str">
        <f t="shared" si="13"/>
        <v>ACTIVE</v>
      </c>
    </row>
    <row r="210" spans="2:17" x14ac:dyDescent="0.35">
      <c r="B210" s="70" t="str">
        <v>30GG4076</v>
      </c>
      <c r="C210" s="68" t="str">
        <f>VLOOKUP(B210,Master!B:C,2,0)</f>
        <v>30GG4076</v>
      </c>
      <c r="D210" s="69">
        <f>VLOOKUP(B210,Master!B:L,11,0)</f>
        <v>44132</v>
      </c>
      <c r="E210" s="69">
        <f>VLOOKUP(B210,Master!B:P,15,0)</f>
        <v>0</v>
      </c>
      <c r="F210" s="68" t="str">
        <f t="shared" si="13"/>
        <v>ACTIVE</v>
      </c>
      <c r="G210" s="68" t="str">
        <f t="shared" si="13"/>
        <v>ACTIVE</v>
      </c>
      <c r="H210" s="68" t="str">
        <f t="shared" si="13"/>
        <v>ACTIVE</v>
      </c>
      <c r="I210" s="68" t="str">
        <f t="shared" si="13"/>
        <v>ACTIVE</v>
      </c>
      <c r="J210" s="68" t="str">
        <f t="shared" si="13"/>
        <v>ACTIVE</v>
      </c>
      <c r="K210" s="68" t="str">
        <f t="shared" si="13"/>
        <v>ACTIVE</v>
      </c>
      <c r="L210" s="68" t="str">
        <f t="shared" si="13"/>
        <v>ACTIVE</v>
      </c>
      <c r="M210" s="68" t="str">
        <f t="shared" si="13"/>
        <v>ACTIVE</v>
      </c>
      <c r="N210" s="68" t="str">
        <f t="shared" si="13"/>
        <v>ACTIVE</v>
      </c>
      <c r="O210" s="68" t="str">
        <f t="shared" si="13"/>
        <v>ACTIVE</v>
      </c>
      <c r="P210" s="68" t="str">
        <f t="shared" si="13"/>
        <v>ACTIVE</v>
      </c>
      <c r="Q210" s="68" t="str">
        <f t="shared" si="13"/>
        <v>ACTIVE</v>
      </c>
    </row>
    <row r="211" spans="2:17" x14ac:dyDescent="0.35">
      <c r="B211" s="70" t="str">
        <v>30KK4307</v>
      </c>
      <c r="C211" s="68" t="str">
        <f>VLOOKUP(B211,Master!B:C,2,0)</f>
        <v>30KK4307</v>
      </c>
      <c r="D211" s="69">
        <f>VLOOKUP(B211,Master!B:L,11,0)</f>
        <v>44134</v>
      </c>
      <c r="E211" s="69">
        <f>VLOOKUP(B211,Master!B:P,15,0)</f>
        <v>0</v>
      </c>
      <c r="F211" s="68" t="str">
        <f t="shared" si="13"/>
        <v>ACTIVE</v>
      </c>
      <c r="G211" s="68" t="str">
        <f t="shared" si="13"/>
        <v>ACTIVE</v>
      </c>
      <c r="H211" s="68" t="str">
        <f t="shared" si="13"/>
        <v>ACTIVE</v>
      </c>
      <c r="I211" s="68" t="str">
        <f t="shared" si="13"/>
        <v>ACTIVE</v>
      </c>
      <c r="J211" s="68" t="str">
        <f t="shared" si="13"/>
        <v>ACTIVE</v>
      </c>
      <c r="K211" s="68" t="str">
        <f t="shared" si="13"/>
        <v>ACTIVE</v>
      </c>
      <c r="L211" s="68" t="str">
        <f t="shared" si="13"/>
        <v>ACTIVE</v>
      </c>
      <c r="M211" s="68" t="str">
        <f t="shared" si="13"/>
        <v>ACTIVE</v>
      </c>
      <c r="N211" s="68" t="str">
        <f t="shared" si="13"/>
        <v>ACTIVE</v>
      </c>
      <c r="O211" s="68" t="str">
        <f t="shared" si="13"/>
        <v>ACTIVE</v>
      </c>
      <c r="P211" s="68" t="str">
        <f t="shared" si="13"/>
        <v>ACTIVE</v>
      </c>
      <c r="Q211" s="68" t="str">
        <f t="shared" si="13"/>
        <v>ACTIVE</v>
      </c>
    </row>
    <row r="212" spans="2:17" x14ac:dyDescent="0.35">
      <c r="B212" s="70" t="str">
        <v>30GG4078</v>
      </c>
      <c r="C212" s="68" t="str">
        <f>VLOOKUP(B212,Master!B:C,2,0)</f>
        <v>30GG4078</v>
      </c>
      <c r="D212" s="69">
        <f>VLOOKUP(B212,Master!B:L,11,0)</f>
        <v>44134</v>
      </c>
      <c r="E212" s="69">
        <f>VLOOKUP(B212,Master!B:P,15,0)</f>
        <v>0</v>
      </c>
      <c r="F212" s="68" t="str">
        <f t="shared" ref="F212:Q227" si="14">IF($E212&gt;0,"CLOSED",IF($D212&lt;F$1,"ACTIVE","WAITING FOR OPEN"))</f>
        <v>ACTIVE</v>
      </c>
      <c r="G212" s="68" t="str">
        <f t="shared" si="14"/>
        <v>ACTIVE</v>
      </c>
      <c r="H212" s="68" t="str">
        <f t="shared" si="14"/>
        <v>ACTIVE</v>
      </c>
      <c r="I212" s="68" t="str">
        <f t="shared" si="14"/>
        <v>ACTIVE</v>
      </c>
      <c r="J212" s="68" t="str">
        <f t="shared" si="14"/>
        <v>ACTIVE</v>
      </c>
      <c r="K212" s="68" t="str">
        <f t="shared" si="14"/>
        <v>ACTIVE</v>
      </c>
      <c r="L212" s="68" t="str">
        <f t="shared" si="14"/>
        <v>ACTIVE</v>
      </c>
      <c r="M212" s="68" t="str">
        <f t="shared" si="14"/>
        <v>ACTIVE</v>
      </c>
      <c r="N212" s="68" t="str">
        <f t="shared" si="14"/>
        <v>ACTIVE</v>
      </c>
      <c r="O212" s="68" t="str">
        <f t="shared" si="14"/>
        <v>ACTIVE</v>
      </c>
      <c r="P212" s="68" t="str">
        <f t="shared" si="14"/>
        <v>ACTIVE</v>
      </c>
      <c r="Q212" s="68" t="str">
        <f t="shared" si="14"/>
        <v>ACTIVE</v>
      </c>
    </row>
    <row r="213" spans="2:17" x14ac:dyDescent="0.35">
      <c r="B213" s="70" t="str">
        <v>10GG4219</v>
      </c>
      <c r="C213" s="68" t="str">
        <f>VLOOKUP(B213,Master!B:C,2,0)</f>
        <v>10GG4219</v>
      </c>
      <c r="D213" s="69">
        <f>VLOOKUP(B213,Master!B:L,11,0)</f>
        <v>44155</v>
      </c>
      <c r="E213" s="69">
        <f>VLOOKUP(B213,Master!B:P,15,0)</f>
        <v>0</v>
      </c>
      <c r="F213" s="68" t="str">
        <f t="shared" si="14"/>
        <v>ACTIVE</v>
      </c>
      <c r="G213" s="68" t="str">
        <f t="shared" si="14"/>
        <v>ACTIVE</v>
      </c>
      <c r="H213" s="68" t="str">
        <f t="shared" si="14"/>
        <v>ACTIVE</v>
      </c>
      <c r="I213" s="68" t="str">
        <f t="shared" si="14"/>
        <v>ACTIVE</v>
      </c>
      <c r="J213" s="68" t="str">
        <f t="shared" si="14"/>
        <v>ACTIVE</v>
      </c>
      <c r="K213" s="68" t="str">
        <f t="shared" si="14"/>
        <v>ACTIVE</v>
      </c>
      <c r="L213" s="68" t="str">
        <f t="shared" si="14"/>
        <v>ACTIVE</v>
      </c>
      <c r="M213" s="68" t="str">
        <f t="shared" si="14"/>
        <v>ACTIVE</v>
      </c>
      <c r="N213" s="68" t="str">
        <f t="shared" si="14"/>
        <v>ACTIVE</v>
      </c>
      <c r="O213" s="68" t="str">
        <f t="shared" si="14"/>
        <v>ACTIVE</v>
      </c>
      <c r="P213" s="68" t="str">
        <f t="shared" si="14"/>
        <v>ACTIVE</v>
      </c>
      <c r="Q213" s="68" t="str">
        <f t="shared" si="14"/>
        <v>ACTIVE</v>
      </c>
    </row>
    <row r="214" spans="2:17" x14ac:dyDescent="0.35">
      <c r="B214" s="70" t="str">
        <v>30GG4077</v>
      </c>
      <c r="C214" s="68" t="str">
        <f>VLOOKUP(B214,Master!B:C,2,0)</f>
        <v>30GG4077</v>
      </c>
      <c r="D214" s="69">
        <f>VLOOKUP(B214,Master!B:L,11,0)</f>
        <v>44145</v>
      </c>
      <c r="E214" s="69">
        <f>VLOOKUP(B214,Master!B:P,15,0)</f>
        <v>0</v>
      </c>
      <c r="F214" s="68" t="str">
        <f t="shared" si="14"/>
        <v>ACTIVE</v>
      </c>
      <c r="G214" s="68" t="str">
        <f t="shared" si="14"/>
        <v>ACTIVE</v>
      </c>
      <c r="H214" s="68" t="str">
        <f t="shared" si="14"/>
        <v>ACTIVE</v>
      </c>
      <c r="I214" s="68" t="str">
        <f t="shared" si="14"/>
        <v>ACTIVE</v>
      </c>
      <c r="J214" s="68" t="str">
        <f t="shared" si="14"/>
        <v>ACTIVE</v>
      </c>
      <c r="K214" s="68" t="str">
        <f t="shared" si="14"/>
        <v>ACTIVE</v>
      </c>
      <c r="L214" s="68" t="str">
        <f t="shared" si="14"/>
        <v>ACTIVE</v>
      </c>
      <c r="M214" s="68" t="str">
        <f t="shared" si="14"/>
        <v>ACTIVE</v>
      </c>
      <c r="N214" s="68" t="str">
        <f t="shared" si="14"/>
        <v>ACTIVE</v>
      </c>
      <c r="O214" s="68" t="str">
        <f t="shared" si="14"/>
        <v>ACTIVE</v>
      </c>
      <c r="P214" s="68" t="str">
        <f t="shared" si="14"/>
        <v>ACTIVE</v>
      </c>
      <c r="Q214" s="68" t="str">
        <f t="shared" si="14"/>
        <v>ACTIVE</v>
      </c>
    </row>
    <row r="215" spans="2:17" x14ac:dyDescent="0.35">
      <c r="B215" s="70" t="str">
        <v>30KK4306</v>
      </c>
      <c r="C215" s="68" t="str">
        <f>VLOOKUP(B215,Master!B:C,2,0)</f>
        <v>30KK4306</v>
      </c>
      <c r="D215" s="69">
        <f>VLOOKUP(B215,Master!B:L,11,0)</f>
        <v>44145</v>
      </c>
      <c r="E215" s="69">
        <f>VLOOKUP(B215,Master!B:P,15,0)</f>
        <v>0</v>
      </c>
      <c r="F215" s="68" t="str">
        <f t="shared" si="14"/>
        <v>ACTIVE</v>
      </c>
      <c r="G215" s="68" t="str">
        <f t="shared" si="14"/>
        <v>ACTIVE</v>
      </c>
      <c r="H215" s="68" t="str">
        <f t="shared" si="14"/>
        <v>ACTIVE</v>
      </c>
      <c r="I215" s="68" t="str">
        <f t="shared" si="14"/>
        <v>ACTIVE</v>
      </c>
      <c r="J215" s="68" t="str">
        <f t="shared" si="14"/>
        <v>ACTIVE</v>
      </c>
      <c r="K215" s="68" t="str">
        <f t="shared" si="14"/>
        <v>ACTIVE</v>
      </c>
      <c r="L215" s="68" t="str">
        <f t="shared" si="14"/>
        <v>ACTIVE</v>
      </c>
      <c r="M215" s="68" t="str">
        <f t="shared" si="14"/>
        <v>ACTIVE</v>
      </c>
      <c r="N215" s="68" t="str">
        <f t="shared" si="14"/>
        <v>ACTIVE</v>
      </c>
      <c r="O215" s="68" t="str">
        <f t="shared" si="14"/>
        <v>ACTIVE</v>
      </c>
      <c r="P215" s="68" t="str">
        <f t="shared" si="14"/>
        <v>ACTIVE</v>
      </c>
      <c r="Q215" s="68" t="str">
        <f t="shared" si="14"/>
        <v>ACTIVE</v>
      </c>
    </row>
    <row r="216" spans="2:17" x14ac:dyDescent="0.35">
      <c r="B216" s="70" t="str">
        <v>10KK4501</v>
      </c>
      <c r="C216" s="68" t="str">
        <f>VLOOKUP(B216,Master!B:C,2,0)</f>
        <v>10KK4501</v>
      </c>
      <c r="D216" s="69">
        <f>VLOOKUP(B216,Master!B:L,11,0)</f>
        <v>44176</v>
      </c>
      <c r="E216" s="69">
        <f>VLOOKUP(B216,Master!B:P,15,0)</f>
        <v>0</v>
      </c>
      <c r="F216" s="68" t="str">
        <f t="shared" si="14"/>
        <v>ACTIVE</v>
      </c>
      <c r="G216" s="68" t="str">
        <f t="shared" si="14"/>
        <v>ACTIVE</v>
      </c>
      <c r="H216" s="68" t="str">
        <f t="shared" si="14"/>
        <v>ACTIVE</v>
      </c>
      <c r="I216" s="68" t="str">
        <f t="shared" si="14"/>
        <v>ACTIVE</v>
      </c>
      <c r="J216" s="68" t="str">
        <f t="shared" si="14"/>
        <v>ACTIVE</v>
      </c>
      <c r="K216" s="68" t="str">
        <f t="shared" si="14"/>
        <v>ACTIVE</v>
      </c>
      <c r="L216" s="68" t="str">
        <f t="shared" si="14"/>
        <v>ACTIVE</v>
      </c>
      <c r="M216" s="68" t="str">
        <f t="shared" si="14"/>
        <v>ACTIVE</v>
      </c>
      <c r="N216" s="68" t="str">
        <f t="shared" si="14"/>
        <v>ACTIVE</v>
      </c>
      <c r="O216" s="68" t="str">
        <f t="shared" si="14"/>
        <v>ACTIVE</v>
      </c>
      <c r="P216" s="68" t="str">
        <f t="shared" si="14"/>
        <v>ACTIVE</v>
      </c>
      <c r="Q216" s="68" t="str">
        <f t="shared" si="14"/>
        <v>ACTIVE</v>
      </c>
    </row>
    <row r="217" spans="2:17" x14ac:dyDescent="0.35">
      <c r="B217" s="70" t="str">
        <v>10GG4221</v>
      </c>
      <c r="C217" s="68" t="str">
        <f>VLOOKUP(B217,Master!B:C,2,0)</f>
        <v>10GG4221</v>
      </c>
      <c r="D217" s="69">
        <f>VLOOKUP(B217,Master!B:L,11,0)</f>
        <v>44176</v>
      </c>
      <c r="E217" s="69">
        <f>VLOOKUP(B217,Master!B:P,15,0)</f>
        <v>0</v>
      </c>
      <c r="F217" s="68" t="str">
        <f t="shared" si="14"/>
        <v>ACTIVE</v>
      </c>
      <c r="G217" s="68" t="str">
        <f t="shared" si="14"/>
        <v>ACTIVE</v>
      </c>
      <c r="H217" s="68" t="str">
        <f t="shared" si="14"/>
        <v>ACTIVE</v>
      </c>
      <c r="I217" s="68" t="str">
        <f t="shared" si="14"/>
        <v>ACTIVE</v>
      </c>
      <c r="J217" s="68" t="str">
        <f t="shared" si="14"/>
        <v>ACTIVE</v>
      </c>
      <c r="K217" s="68" t="str">
        <f t="shared" si="14"/>
        <v>ACTIVE</v>
      </c>
      <c r="L217" s="68" t="str">
        <f t="shared" si="14"/>
        <v>ACTIVE</v>
      </c>
      <c r="M217" s="68" t="str">
        <f t="shared" si="14"/>
        <v>ACTIVE</v>
      </c>
      <c r="N217" s="68" t="str">
        <f t="shared" si="14"/>
        <v>ACTIVE</v>
      </c>
      <c r="O217" s="68" t="str">
        <f t="shared" si="14"/>
        <v>ACTIVE</v>
      </c>
      <c r="P217" s="68" t="str">
        <f t="shared" si="14"/>
        <v>ACTIVE</v>
      </c>
      <c r="Q217" s="68" t="str">
        <f t="shared" si="14"/>
        <v>ACTIVE</v>
      </c>
    </row>
    <row r="218" spans="2:17" x14ac:dyDescent="0.35">
      <c r="B218" s="70" t="str">
        <v>10MW5137</v>
      </c>
      <c r="C218" s="68" t="str">
        <f>VLOOKUP(B218,Master!B:C,2,0)</f>
        <v>10MW5137</v>
      </c>
      <c r="D218" s="69">
        <f>VLOOKUP(B218,Master!B:L,11,0)</f>
        <v>44176</v>
      </c>
      <c r="E218" s="69">
        <f>VLOOKUP(B218,Master!B:P,15,0)</f>
        <v>0</v>
      </c>
      <c r="F218" s="68" t="str">
        <f t="shared" si="14"/>
        <v>ACTIVE</v>
      </c>
      <c r="G218" s="68" t="str">
        <f t="shared" si="14"/>
        <v>ACTIVE</v>
      </c>
      <c r="H218" s="68" t="str">
        <f t="shared" si="14"/>
        <v>ACTIVE</v>
      </c>
      <c r="I218" s="68" t="str">
        <f t="shared" si="14"/>
        <v>ACTIVE</v>
      </c>
      <c r="J218" s="68" t="str">
        <f t="shared" si="14"/>
        <v>ACTIVE</v>
      </c>
      <c r="K218" s="68" t="str">
        <f t="shared" si="14"/>
        <v>ACTIVE</v>
      </c>
      <c r="L218" s="68" t="str">
        <f t="shared" si="14"/>
        <v>ACTIVE</v>
      </c>
      <c r="M218" s="68" t="str">
        <f t="shared" si="14"/>
        <v>ACTIVE</v>
      </c>
      <c r="N218" s="68" t="str">
        <f t="shared" si="14"/>
        <v>ACTIVE</v>
      </c>
      <c r="O218" s="68" t="str">
        <f t="shared" si="14"/>
        <v>ACTIVE</v>
      </c>
      <c r="P218" s="68" t="str">
        <f t="shared" si="14"/>
        <v>ACTIVE</v>
      </c>
      <c r="Q218" s="68" t="str">
        <f t="shared" si="14"/>
        <v>ACTIVE</v>
      </c>
    </row>
    <row r="219" spans="2:17" x14ac:dyDescent="0.35">
      <c r="B219" s="70" t="str">
        <v>10GG4218</v>
      </c>
      <c r="C219" s="68" t="str">
        <f>VLOOKUP(B219,Master!B:C,2,0)</f>
        <v>10GG4218</v>
      </c>
      <c r="D219" s="69">
        <f>VLOOKUP(B219,Master!B:L,11,0)</f>
        <v>44179</v>
      </c>
      <c r="E219" s="69">
        <f>VLOOKUP(B219,Master!B:P,15,0)</f>
        <v>0</v>
      </c>
      <c r="F219" s="68" t="str">
        <f t="shared" si="14"/>
        <v>ACTIVE</v>
      </c>
      <c r="G219" s="68" t="str">
        <f t="shared" si="14"/>
        <v>ACTIVE</v>
      </c>
      <c r="H219" s="68" t="str">
        <f t="shared" si="14"/>
        <v>ACTIVE</v>
      </c>
      <c r="I219" s="68" t="str">
        <f t="shared" si="14"/>
        <v>ACTIVE</v>
      </c>
      <c r="J219" s="68" t="str">
        <f t="shared" si="14"/>
        <v>ACTIVE</v>
      </c>
      <c r="K219" s="68" t="str">
        <f t="shared" si="14"/>
        <v>ACTIVE</v>
      </c>
      <c r="L219" s="68" t="str">
        <f t="shared" si="14"/>
        <v>ACTIVE</v>
      </c>
      <c r="M219" s="68" t="str">
        <f t="shared" si="14"/>
        <v>ACTIVE</v>
      </c>
      <c r="N219" s="68" t="str">
        <f t="shared" si="14"/>
        <v>ACTIVE</v>
      </c>
      <c r="O219" s="68" t="str">
        <f t="shared" si="14"/>
        <v>ACTIVE</v>
      </c>
      <c r="P219" s="68" t="str">
        <f t="shared" si="14"/>
        <v>ACTIVE</v>
      </c>
      <c r="Q219" s="68" t="str">
        <f t="shared" si="14"/>
        <v>ACTIVE</v>
      </c>
    </row>
    <row r="220" spans="2:17" x14ac:dyDescent="0.35">
      <c r="B220" s="70" t="str">
        <v>10KK4500</v>
      </c>
      <c r="C220" s="68" t="str">
        <f>VLOOKUP(B220,Master!B:C,2,0)</f>
        <v>10KK4500</v>
      </c>
      <c r="D220" s="69">
        <f>VLOOKUP(B220,Master!B:L,11,0)</f>
        <v>44179</v>
      </c>
      <c r="E220" s="69">
        <f>VLOOKUP(B220,Master!B:P,15,0)</f>
        <v>0</v>
      </c>
      <c r="F220" s="68" t="str">
        <f t="shared" si="14"/>
        <v>ACTIVE</v>
      </c>
      <c r="G220" s="68" t="str">
        <f t="shared" si="14"/>
        <v>ACTIVE</v>
      </c>
      <c r="H220" s="68" t="str">
        <f t="shared" si="14"/>
        <v>ACTIVE</v>
      </c>
      <c r="I220" s="68" t="str">
        <f t="shared" si="14"/>
        <v>ACTIVE</v>
      </c>
      <c r="J220" s="68" t="str">
        <f t="shared" si="14"/>
        <v>ACTIVE</v>
      </c>
      <c r="K220" s="68" t="str">
        <f t="shared" si="14"/>
        <v>ACTIVE</v>
      </c>
      <c r="L220" s="68" t="str">
        <f t="shared" si="14"/>
        <v>ACTIVE</v>
      </c>
      <c r="M220" s="68" t="str">
        <f t="shared" si="14"/>
        <v>ACTIVE</v>
      </c>
      <c r="N220" s="68" t="str">
        <f t="shared" si="14"/>
        <v>ACTIVE</v>
      </c>
      <c r="O220" s="68" t="str">
        <f t="shared" si="14"/>
        <v>ACTIVE</v>
      </c>
      <c r="P220" s="68" t="str">
        <f t="shared" si="14"/>
        <v>ACTIVE</v>
      </c>
      <c r="Q220" s="68" t="str">
        <f t="shared" si="14"/>
        <v>ACTIVE</v>
      </c>
    </row>
    <row r="221" spans="2:17" x14ac:dyDescent="0.35">
      <c r="B221" s="70" t="str">
        <v>10MW5136</v>
      </c>
      <c r="C221" s="68" t="str">
        <f>VLOOKUP(B221,Master!B:C,2,0)</f>
        <v>10MW5136</v>
      </c>
      <c r="D221" s="69">
        <f>VLOOKUP(B221,Master!B:L,11,0)</f>
        <v>44179</v>
      </c>
      <c r="E221" s="69">
        <f>VLOOKUP(B221,Master!B:P,15,0)</f>
        <v>0</v>
      </c>
      <c r="F221" s="68" t="str">
        <f t="shared" si="14"/>
        <v>ACTIVE</v>
      </c>
      <c r="G221" s="68" t="str">
        <f t="shared" si="14"/>
        <v>ACTIVE</v>
      </c>
      <c r="H221" s="68" t="str">
        <f t="shared" si="14"/>
        <v>ACTIVE</v>
      </c>
      <c r="I221" s="68" t="str">
        <f t="shared" si="14"/>
        <v>ACTIVE</v>
      </c>
      <c r="J221" s="68" t="str">
        <f t="shared" si="14"/>
        <v>ACTIVE</v>
      </c>
      <c r="K221" s="68" t="str">
        <f t="shared" si="14"/>
        <v>ACTIVE</v>
      </c>
      <c r="L221" s="68" t="str">
        <f t="shared" si="14"/>
        <v>ACTIVE</v>
      </c>
      <c r="M221" s="68" t="str">
        <f t="shared" si="14"/>
        <v>ACTIVE</v>
      </c>
      <c r="N221" s="68" t="str">
        <f t="shared" si="14"/>
        <v>ACTIVE</v>
      </c>
      <c r="O221" s="68" t="str">
        <f t="shared" si="14"/>
        <v>ACTIVE</v>
      </c>
      <c r="P221" s="68" t="str">
        <f t="shared" si="14"/>
        <v>ACTIVE</v>
      </c>
      <c r="Q221" s="68" t="str">
        <f t="shared" si="14"/>
        <v>ACTIVE</v>
      </c>
    </row>
    <row r="222" spans="2:17" x14ac:dyDescent="0.35">
      <c r="B222" s="70" t="str">
        <v>10KP5615</v>
      </c>
      <c r="C222" s="68" t="str">
        <f>VLOOKUP(B222,Master!B:C,2,0)</f>
        <v>10KP5615</v>
      </c>
      <c r="D222" s="69">
        <f>VLOOKUP(B222,Master!B:L,11,0)</f>
        <v>44179</v>
      </c>
      <c r="E222" s="69">
        <f>VLOOKUP(B222,Master!B:P,15,0)</f>
        <v>0</v>
      </c>
      <c r="F222" s="68" t="str">
        <f t="shared" si="14"/>
        <v>ACTIVE</v>
      </c>
      <c r="G222" s="68" t="str">
        <f t="shared" si="14"/>
        <v>ACTIVE</v>
      </c>
      <c r="H222" s="68" t="str">
        <f t="shared" si="14"/>
        <v>ACTIVE</v>
      </c>
      <c r="I222" s="68" t="str">
        <f t="shared" si="14"/>
        <v>ACTIVE</v>
      </c>
      <c r="J222" s="68" t="str">
        <f t="shared" si="14"/>
        <v>ACTIVE</v>
      </c>
      <c r="K222" s="68" t="str">
        <f t="shared" si="14"/>
        <v>ACTIVE</v>
      </c>
      <c r="L222" s="68" t="str">
        <f t="shared" si="14"/>
        <v>ACTIVE</v>
      </c>
      <c r="M222" s="68" t="str">
        <f t="shared" si="14"/>
        <v>ACTIVE</v>
      </c>
      <c r="N222" s="68" t="str">
        <f t="shared" si="14"/>
        <v>ACTIVE</v>
      </c>
      <c r="O222" s="68" t="str">
        <f t="shared" si="14"/>
        <v>ACTIVE</v>
      </c>
      <c r="P222" s="68" t="str">
        <f t="shared" si="14"/>
        <v>ACTIVE</v>
      </c>
      <c r="Q222" s="68" t="str">
        <f t="shared" si="14"/>
        <v>ACTIVE</v>
      </c>
    </row>
    <row r="223" spans="2:17" x14ac:dyDescent="0.35">
      <c r="B223" s="70" t="str">
        <v>10YT5514</v>
      </c>
      <c r="C223" s="68" t="str">
        <f>VLOOKUP(B223,Master!B:C,2,0)</f>
        <v>10YT5514</v>
      </c>
      <c r="D223" s="69">
        <f>VLOOKUP(B223,Master!B:L,11,0)</f>
        <v>44173</v>
      </c>
      <c r="E223" s="69">
        <f>VLOOKUP(B223,Master!B:P,15,0)</f>
        <v>0</v>
      </c>
      <c r="F223" s="68" t="str">
        <f t="shared" si="14"/>
        <v>ACTIVE</v>
      </c>
      <c r="G223" s="68" t="str">
        <f t="shared" si="14"/>
        <v>ACTIVE</v>
      </c>
      <c r="H223" s="68" t="str">
        <f t="shared" si="14"/>
        <v>ACTIVE</v>
      </c>
      <c r="I223" s="68" t="str">
        <f t="shared" si="14"/>
        <v>ACTIVE</v>
      </c>
      <c r="J223" s="68" t="str">
        <f t="shared" si="14"/>
        <v>ACTIVE</v>
      </c>
      <c r="K223" s="68" t="str">
        <f t="shared" si="14"/>
        <v>ACTIVE</v>
      </c>
      <c r="L223" s="68" t="str">
        <f t="shared" si="14"/>
        <v>ACTIVE</v>
      </c>
      <c r="M223" s="68" t="str">
        <f t="shared" si="14"/>
        <v>ACTIVE</v>
      </c>
      <c r="N223" s="68" t="str">
        <f t="shared" si="14"/>
        <v>ACTIVE</v>
      </c>
      <c r="O223" s="68" t="str">
        <f t="shared" si="14"/>
        <v>ACTIVE</v>
      </c>
      <c r="P223" s="68" t="str">
        <f t="shared" si="14"/>
        <v>ACTIVE</v>
      </c>
      <c r="Q223" s="68" t="str">
        <f t="shared" si="14"/>
        <v>ACTIVE</v>
      </c>
    </row>
    <row r="224" spans="2:17" x14ac:dyDescent="0.35">
      <c r="B224" s="70" t="str">
        <v>30KK4309</v>
      </c>
      <c r="C224" s="68" t="str">
        <f>VLOOKUP(B224,Master!B:C,2,0)</f>
        <v>30KK4309</v>
      </c>
      <c r="D224" s="69">
        <f>VLOOKUP(B224,Master!B:L,11,0)</f>
        <v>44186</v>
      </c>
      <c r="E224" s="69">
        <f>VLOOKUP(B224,Master!B:P,15,0)</f>
        <v>0</v>
      </c>
      <c r="F224" s="68" t="str">
        <f t="shared" si="14"/>
        <v>ACTIVE</v>
      </c>
      <c r="G224" s="68" t="str">
        <f t="shared" si="14"/>
        <v>ACTIVE</v>
      </c>
      <c r="H224" s="68" t="str">
        <f t="shared" si="14"/>
        <v>ACTIVE</v>
      </c>
      <c r="I224" s="68" t="str">
        <f t="shared" si="14"/>
        <v>ACTIVE</v>
      </c>
      <c r="J224" s="68" t="str">
        <f t="shared" si="14"/>
        <v>ACTIVE</v>
      </c>
      <c r="K224" s="68" t="str">
        <f t="shared" si="14"/>
        <v>ACTIVE</v>
      </c>
      <c r="L224" s="68" t="str">
        <f t="shared" si="14"/>
        <v>ACTIVE</v>
      </c>
      <c r="M224" s="68" t="str">
        <f t="shared" si="14"/>
        <v>ACTIVE</v>
      </c>
      <c r="N224" s="68" t="str">
        <f t="shared" si="14"/>
        <v>ACTIVE</v>
      </c>
      <c r="O224" s="68" t="str">
        <f t="shared" si="14"/>
        <v>ACTIVE</v>
      </c>
      <c r="P224" s="68" t="str">
        <f t="shared" si="14"/>
        <v>ACTIVE</v>
      </c>
      <c r="Q224" s="68" t="str">
        <f t="shared" si="14"/>
        <v>ACTIVE</v>
      </c>
    </row>
    <row r="225" spans="2:17" x14ac:dyDescent="0.35">
      <c r="B225" s="70" t="str">
        <v>30MW4359</v>
      </c>
      <c r="C225" s="68" t="str">
        <f>VLOOKUP(B225,Master!B:C,2,0)</f>
        <v>30MW4359</v>
      </c>
      <c r="D225" s="69">
        <f>VLOOKUP(B225,Master!B:L,11,0)</f>
        <v>44190</v>
      </c>
      <c r="E225" s="69">
        <f>VLOOKUP(B225,Master!B:P,15,0)</f>
        <v>0</v>
      </c>
      <c r="F225" s="68" t="str">
        <f t="shared" si="14"/>
        <v>ACTIVE</v>
      </c>
      <c r="G225" s="68" t="str">
        <f t="shared" si="14"/>
        <v>ACTIVE</v>
      </c>
      <c r="H225" s="68" t="str">
        <f t="shared" si="14"/>
        <v>ACTIVE</v>
      </c>
      <c r="I225" s="68" t="str">
        <f t="shared" si="14"/>
        <v>ACTIVE</v>
      </c>
      <c r="J225" s="68" t="str">
        <f t="shared" si="14"/>
        <v>ACTIVE</v>
      </c>
      <c r="K225" s="68" t="str">
        <f t="shared" si="14"/>
        <v>ACTIVE</v>
      </c>
      <c r="L225" s="68" t="str">
        <f t="shared" si="14"/>
        <v>ACTIVE</v>
      </c>
      <c r="M225" s="68" t="str">
        <f t="shared" si="14"/>
        <v>ACTIVE</v>
      </c>
      <c r="N225" s="68" t="str">
        <f t="shared" si="14"/>
        <v>ACTIVE</v>
      </c>
      <c r="O225" s="68" t="str">
        <f t="shared" si="14"/>
        <v>ACTIVE</v>
      </c>
      <c r="P225" s="68" t="str">
        <f t="shared" si="14"/>
        <v>ACTIVE</v>
      </c>
      <c r="Q225" s="68" t="str">
        <f t="shared" si="14"/>
        <v>ACTIVE</v>
      </c>
    </row>
    <row r="226" spans="2:17" x14ac:dyDescent="0.35">
      <c r="B226" s="70" t="str">
        <v>30MW4360</v>
      </c>
      <c r="C226" s="68" t="str">
        <f>VLOOKUP(B226,Master!B:C,2,0)</f>
        <v>30MW4360</v>
      </c>
      <c r="D226" s="69">
        <f>VLOOKUP(B226,Master!B:L,11,0)</f>
        <v>44170</v>
      </c>
      <c r="E226" s="69">
        <f>VLOOKUP(B226,Master!B:P,15,0)</f>
        <v>0</v>
      </c>
      <c r="F226" s="68" t="str">
        <f t="shared" si="14"/>
        <v>ACTIVE</v>
      </c>
      <c r="G226" s="68" t="str">
        <f t="shared" si="14"/>
        <v>ACTIVE</v>
      </c>
      <c r="H226" s="68" t="str">
        <f t="shared" si="14"/>
        <v>ACTIVE</v>
      </c>
      <c r="I226" s="68" t="str">
        <f t="shared" si="14"/>
        <v>ACTIVE</v>
      </c>
      <c r="J226" s="68" t="str">
        <f t="shared" si="14"/>
        <v>ACTIVE</v>
      </c>
      <c r="K226" s="68" t="str">
        <f t="shared" si="14"/>
        <v>ACTIVE</v>
      </c>
      <c r="L226" s="68" t="str">
        <f t="shared" si="14"/>
        <v>ACTIVE</v>
      </c>
      <c r="M226" s="68" t="str">
        <f t="shared" si="14"/>
        <v>ACTIVE</v>
      </c>
      <c r="N226" s="68" t="str">
        <f t="shared" si="14"/>
        <v>ACTIVE</v>
      </c>
      <c r="O226" s="68" t="str">
        <f t="shared" si="14"/>
        <v>ACTIVE</v>
      </c>
      <c r="P226" s="68" t="str">
        <f t="shared" si="14"/>
        <v>ACTIVE</v>
      </c>
      <c r="Q226" s="68" t="str">
        <f t="shared" si="14"/>
        <v>ACTIVE</v>
      </c>
    </row>
    <row r="227" spans="2:17" x14ac:dyDescent="0.35">
      <c r="B227" s="70" t="str">
        <v>10CJ6409</v>
      </c>
      <c r="C227" s="68" t="str">
        <f>VLOOKUP(B227,Master!B:C,2,0)</f>
        <v>10CJ6409</v>
      </c>
      <c r="D227" s="69">
        <f>VLOOKUP(B227,Master!B:L,11,0)</f>
        <v>44217</v>
      </c>
      <c r="E227" s="69">
        <f>VLOOKUP(B227,Master!B:P,15,0)</f>
        <v>0</v>
      </c>
      <c r="F227" s="68" t="str">
        <f t="shared" si="14"/>
        <v>ACTIVE</v>
      </c>
      <c r="G227" s="68" t="str">
        <f t="shared" si="14"/>
        <v>ACTIVE</v>
      </c>
      <c r="H227" s="68" t="str">
        <f t="shared" si="14"/>
        <v>ACTIVE</v>
      </c>
      <c r="I227" s="68" t="str">
        <f t="shared" si="14"/>
        <v>ACTIVE</v>
      </c>
      <c r="J227" s="68" t="str">
        <f t="shared" si="14"/>
        <v>ACTIVE</v>
      </c>
      <c r="K227" s="68" t="str">
        <f t="shared" si="14"/>
        <v>ACTIVE</v>
      </c>
      <c r="L227" s="68" t="str">
        <f t="shared" si="14"/>
        <v>ACTIVE</v>
      </c>
      <c r="M227" s="68" t="str">
        <f t="shared" si="14"/>
        <v>ACTIVE</v>
      </c>
      <c r="N227" s="68" t="str">
        <f t="shared" si="14"/>
        <v>ACTIVE</v>
      </c>
      <c r="O227" s="68" t="str">
        <f t="shared" si="14"/>
        <v>ACTIVE</v>
      </c>
      <c r="P227" s="68" t="str">
        <f t="shared" si="14"/>
        <v>ACTIVE</v>
      </c>
      <c r="Q227" s="68" t="str">
        <f t="shared" si="14"/>
        <v>ACTIVE</v>
      </c>
    </row>
    <row r="228" spans="2:17" x14ac:dyDescent="0.35">
      <c r="B228" s="70" t="str">
        <v>30KK4310</v>
      </c>
      <c r="C228" s="68" t="str">
        <f>VLOOKUP(B228,Master!B:C,2,0)</f>
        <v>30KK4310</v>
      </c>
      <c r="D228" s="69">
        <f>VLOOKUP(B228,Master!B:L,11,0)</f>
        <v>44211</v>
      </c>
      <c r="E228" s="69">
        <f>VLOOKUP(B228,Master!B:P,15,0)</f>
        <v>0</v>
      </c>
      <c r="F228" s="68" t="str">
        <f t="shared" ref="F228:Q243" si="15">IF($E228&gt;0,"CLOSED",IF($D228&lt;F$1,"ACTIVE","WAITING FOR OPEN"))</f>
        <v>ACTIVE</v>
      </c>
      <c r="G228" s="68" t="str">
        <f t="shared" si="15"/>
        <v>ACTIVE</v>
      </c>
      <c r="H228" s="68" t="str">
        <f t="shared" si="15"/>
        <v>ACTIVE</v>
      </c>
      <c r="I228" s="68" t="str">
        <f t="shared" si="15"/>
        <v>ACTIVE</v>
      </c>
      <c r="J228" s="68" t="str">
        <f t="shared" si="15"/>
        <v>ACTIVE</v>
      </c>
      <c r="K228" s="68" t="str">
        <f t="shared" si="15"/>
        <v>ACTIVE</v>
      </c>
      <c r="L228" s="68" t="str">
        <f t="shared" si="15"/>
        <v>ACTIVE</v>
      </c>
      <c r="M228" s="68" t="str">
        <f t="shared" si="15"/>
        <v>ACTIVE</v>
      </c>
      <c r="N228" s="68" t="str">
        <f t="shared" si="15"/>
        <v>ACTIVE</v>
      </c>
      <c r="O228" s="68" t="str">
        <f t="shared" si="15"/>
        <v>ACTIVE</v>
      </c>
      <c r="P228" s="68" t="str">
        <f t="shared" si="15"/>
        <v>ACTIVE</v>
      </c>
      <c r="Q228" s="68" t="str">
        <f t="shared" si="15"/>
        <v>ACTIVE</v>
      </c>
    </row>
    <row r="229" spans="2:17" x14ac:dyDescent="0.35">
      <c r="B229" s="70" t="str">
        <v>30KK4311</v>
      </c>
      <c r="C229" s="68" t="str">
        <f>VLOOKUP(B229,Master!B:C,2,0)</f>
        <v>30KK4311</v>
      </c>
      <c r="D229" s="69">
        <f>VLOOKUP(B229,Master!B:L,11,0)</f>
        <v>44217</v>
      </c>
      <c r="E229" s="69">
        <f>VLOOKUP(B229,Master!B:P,15,0)</f>
        <v>0</v>
      </c>
      <c r="F229" s="68" t="str">
        <f t="shared" si="15"/>
        <v>ACTIVE</v>
      </c>
      <c r="G229" s="68" t="str">
        <f t="shared" si="15"/>
        <v>ACTIVE</v>
      </c>
      <c r="H229" s="68" t="str">
        <f t="shared" si="15"/>
        <v>ACTIVE</v>
      </c>
      <c r="I229" s="68" t="str">
        <f t="shared" si="15"/>
        <v>ACTIVE</v>
      </c>
      <c r="J229" s="68" t="str">
        <f t="shared" si="15"/>
        <v>ACTIVE</v>
      </c>
      <c r="K229" s="68" t="str">
        <f t="shared" si="15"/>
        <v>ACTIVE</v>
      </c>
      <c r="L229" s="68" t="str">
        <f t="shared" si="15"/>
        <v>ACTIVE</v>
      </c>
      <c r="M229" s="68" t="str">
        <f t="shared" si="15"/>
        <v>ACTIVE</v>
      </c>
      <c r="N229" s="68" t="str">
        <f t="shared" si="15"/>
        <v>ACTIVE</v>
      </c>
      <c r="O229" s="68" t="str">
        <f t="shared" si="15"/>
        <v>ACTIVE</v>
      </c>
      <c r="P229" s="68" t="str">
        <f t="shared" si="15"/>
        <v>ACTIVE</v>
      </c>
      <c r="Q229" s="68" t="str">
        <f t="shared" si="15"/>
        <v>ACTIVE</v>
      </c>
    </row>
    <row r="230" spans="2:17" x14ac:dyDescent="0.35">
      <c r="B230" s="70" t="str">
        <v>10KK4505</v>
      </c>
      <c r="C230" s="68" t="str">
        <f>VLOOKUP(B230,Master!B:C,2,0)</f>
        <v>10KK4505</v>
      </c>
      <c r="D230" s="69">
        <f>VLOOKUP(B230,Master!B:L,11,0)</f>
        <v>44234</v>
      </c>
      <c r="E230" s="69">
        <f>VLOOKUP(B230,Master!B:P,15,0)</f>
        <v>0</v>
      </c>
      <c r="F230" s="68" t="str">
        <f t="shared" si="15"/>
        <v>ACTIVE</v>
      </c>
      <c r="G230" s="68" t="str">
        <f t="shared" si="15"/>
        <v>ACTIVE</v>
      </c>
      <c r="H230" s="68" t="str">
        <f t="shared" si="15"/>
        <v>ACTIVE</v>
      </c>
      <c r="I230" s="68" t="str">
        <f t="shared" si="15"/>
        <v>ACTIVE</v>
      </c>
      <c r="J230" s="68" t="str">
        <f t="shared" si="15"/>
        <v>ACTIVE</v>
      </c>
      <c r="K230" s="68" t="str">
        <f t="shared" si="15"/>
        <v>ACTIVE</v>
      </c>
      <c r="L230" s="68" t="str">
        <f t="shared" si="15"/>
        <v>ACTIVE</v>
      </c>
      <c r="M230" s="68" t="str">
        <f t="shared" si="15"/>
        <v>ACTIVE</v>
      </c>
      <c r="N230" s="68" t="str">
        <f t="shared" si="15"/>
        <v>ACTIVE</v>
      </c>
      <c r="O230" s="68" t="str">
        <f t="shared" si="15"/>
        <v>ACTIVE</v>
      </c>
      <c r="P230" s="68" t="str">
        <f t="shared" si="15"/>
        <v>ACTIVE</v>
      </c>
      <c r="Q230" s="68" t="str">
        <f t="shared" si="15"/>
        <v>ACTIVE</v>
      </c>
    </row>
    <row r="231" spans="2:17" x14ac:dyDescent="0.35">
      <c r="B231" s="70" t="str">
        <v>10SG6303</v>
      </c>
      <c r="C231" s="68" t="str">
        <f>VLOOKUP(B231,Master!B:C,2,0)</f>
        <v>10SG6303</v>
      </c>
      <c r="D231" s="69">
        <f>VLOOKUP(B231,Master!B:L,11,0)</f>
        <v>44232</v>
      </c>
      <c r="E231" s="69">
        <f>VLOOKUP(B231,Master!B:P,15,0)</f>
        <v>0</v>
      </c>
      <c r="F231" s="68" t="str">
        <f t="shared" si="15"/>
        <v>ACTIVE</v>
      </c>
      <c r="G231" s="68" t="str">
        <f t="shared" si="15"/>
        <v>ACTIVE</v>
      </c>
      <c r="H231" s="68" t="str">
        <f t="shared" si="15"/>
        <v>ACTIVE</v>
      </c>
      <c r="I231" s="68" t="str">
        <f t="shared" si="15"/>
        <v>ACTIVE</v>
      </c>
      <c r="J231" s="68" t="str">
        <f t="shared" si="15"/>
        <v>ACTIVE</v>
      </c>
      <c r="K231" s="68" t="str">
        <f t="shared" si="15"/>
        <v>ACTIVE</v>
      </c>
      <c r="L231" s="68" t="str">
        <f t="shared" si="15"/>
        <v>ACTIVE</v>
      </c>
      <c r="M231" s="68" t="str">
        <f t="shared" si="15"/>
        <v>ACTIVE</v>
      </c>
      <c r="N231" s="68" t="str">
        <f t="shared" si="15"/>
        <v>ACTIVE</v>
      </c>
      <c r="O231" s="68" t="str">
        <f t="shared" si="15"/>
        <v>ACTIVE</v>
      </c>
      <c r="P231" s="68" t="str">
        <f t="shared" si="15"/>
        <v>ACTIVE</v>
      </c>
      <c r="Q231" s="68" t="str">
        <f t="shared" si="15"/>
        <v>ACTIVE</v>
      </c>
    </row>
    <row r="232" spans="2:17" x14ac:dyDescent="0.35">
      <c r="B232" s="70" t="str">
        <v>10MW5140</v>
      </c>
      <c r="C232" s="68" t="str">
        <f>VLOOKUP(B232,Master!B:C,2,0)</f>
        <v>10MW5140</v>
      </c>
      <c r="D232" s="69">
        <f>VLOOKUP(B232,Master!B:L,11,0)</f>
        <v>44232</v>
      </c>
      <c r="E232" s="69">
        <f>VLOOKUP(B232,Master!B:P,15,0)</f>
        <v>0</v>
      </c>
      <c r="F232" s="68" t="str">
        <f t="shared" si="15"/>
        <v>ACTIVE</v>
      </c>
      <c r="G232" s="68" t="str">
        <f t="shared" si="15"/>
        <v>ACTIVE</v>
      </c>
      <c r="H232" s="68" t="str">
        <f t="shared" si="15"/>
        <v>ACTIVE</v>
      </c>
      <c r="I232" s="68" t="str">
        <f t="shared" si="15"/>
        <v>ACTIVE</v>
      </c>
      <c r="J232" s="68" t="str">
        <f t="shared" si="15"/>
        <v>ACTIVE</v>
      </c>
      <c r="K232" s="68" t="str">
        <f t="shared" si="15"/>
        <v>ACTIVE</v>
      </c>
      <c r="L232" s="68" t="str">
        <f t="shared" si="15"/>
        <v>ACTIVE</v>
      </c>
      <c r="M232" s="68" t="str">
        <f t="shared" si="15"/>
        <v>ACTIVE</v>
      </c>
      <c r="N232" s="68" t="str">
        <f t="shared" si="15"/>
        <v>ACTIVE</v>
      </c>
      <c r="O232" s="68" t="str">
        <f t="shared" si="15"/>
        <v>ACTIVE</v>
      </c>
      <c r="P232" s="68" t="str">
        <f t="shared" si="15"/>
        <v>ACTIVE</v>
      </c>
      <c r="Q232" s="68" t="str">
        <f t="shared" si="15"/>
        <v>ACTIVE</v>
      </c>
    </row>
    <row r="233" spans="2:17" x14ac:dyDescent="0.35">
      <c r="B233" s="70" t="str">
        <v>10GG4228</v>
      </c>
      <c r="C233" s="68" t="str">
        <f>VLOOKUP(B233,Master!B:C,2,0)</f>
        <v>10GG4228</v>
      </c>
      <c r="D233" s="69">
        <f>VLOOKUP(B233,Master!B:L,11,0)</f>
        <v>44228</v>
      </c>
      <c r="E233" s="69">
        <f>VLOOKUP(B233,Master!B:P,15,0)</f>
        <v>0</v>
      </c>
      <c r="F233" s="68" t="str">
        <f t="shared" si="15"/>
        <v>ACTIVE</v>
      </c>
      <c r="G233" s="68" t="str">
        <f t="shared" si="15"/>
        <v>ACTIVE</v>
      </c>
      <c r="H233" s="68" t="str">
        <f t="shared" si="15"/>
        <v>ACTIVE</v>
      </c>
      <c r="I233" s="68" t="str">
        <f t="shared" si="15"/>
        <v>ACTIVE</v>
      </c>
      <c r="J233" s="68" t="str">
        <f t="shared" si="15"/>
        <v>ACTIVE</v>
      </c>
      <c r="K233" s="68" t="str">
        <f t="shared" si="15"/>
        <v>ACTIVE</v>
      </c>
      <c r="L233" s="68" t="str">
        <f t="shared" si="15"/>
        <v>ACTIVE</v>
      </c>
      <c r="M233" s="68" t="str">
        <f t="shared" si="15"/>
        <v>ACTIVE</v>
      </c>
      <c r="N233" s="68" t="str">
        <f t="shared" si="15"/>
        <v>ACTIVE</v>
      </c>
      <c r="O233" s="68" t="str">
        <f t="shared" si="15"/>
        <v>ACTIVE</v>
      </c>
      <c r="P233" s="68" t="str">
        <f t="shared" si="15"/>
        <v>ACTIVE</v>
      </c>
      <c r="Q233" s="68" t="str">
        <f t="shared" si="15"/>
        <v>ACTIVE</v>
      </c>
    </row>
    <row r="234" spans="2:17" x14ac:dyDescent="0.35">
      <c r="B234" s="70" t="str">
        <v>30GG4081</v>
      </c>
      <c r="C234" s="68" t="str">
        <f>VLOOKUP(B234,Master!B:C,2,0)</f>
        <v>30GG4081</v>
      </c>
      <c r="D234" s="69">
        <f>VLOOKUP(B234,Master!B:L,11,0)</f>
        <v>44234</v>
      </c>
      <c r="E234" s="69">
        <f>VLOOKUP(B234,Master!B:P,15,0)</f>
        <v>0</v>
      </c>
      <c r="F234" s="68" t="str">
        <f t="shared" si="15"/>
        <v>ACTIVE</v>
      </c>
      <c r="G234" s="68" t="str">
        <f t="shared" si="15"/>
        <v>ACTIVE</v>
      </c>
      <c r="H234" s="68" t="str">
        <f t="shared" si="15"/>
        <v>ACTIVE</v>
      </c>
      <c r="I234" s="68" t="str">
        <f t="shared" si="15"/>
        <v>ACTIVE</v>
      </c>
      <c r="J234" s="68" t="str">
        <f t="shared" si="15"/>
        <v>ACTIVE</v>
      </c>
      <c r="K234" s="68" t="str">
        <f t="shared" si="15"/>
        <v>ACTIVE</v>
      </c>
      <c r="L234" s="68" t="str">
        <f t="shared" si="15"/>
        <v>ACTIVE</v>
      </c>
      <c r="M234" s="68" t="str">
        <f t="shared" si="15"/>
        <v>ACTIVE</v>
      </c>
      <c r="N234" s="68" t="str">
        <f t="shared" si="15"/>
        <v>ACTIVE</v>
      </c>
      <c r="O234" s="68" t="str">
        <f t="shared" si="15"/>
        <v>ACTIVE</v>
      </c>
      <c r="P234" s="68" t="str">
        <f t="shared" si="15"/>
        <v>ACTIVE</v>
      </c>
      <c r="Q234" s="68" t="str">
        <f t="shared" si="15"/>
        <v>ACTIVE</v>
      </c>
    </row>
    <row r="235" spans="2:17" x14ac:dyDescent="0.35">
      <c r="B235" s="70" t="str">
        <v>30SS4396</v>
      </c>
      <c r="C235" s="68" t="str">
        <f>VLOOKUP(B235,Master!B:C,2,0)</f>
        <v>30SS4396</v>
      </c>
      <c r="D235" s="69">
        <f>VLOOKUP(B235,Master!B:L,11,0)</f>
        <v>44286</v>
      </c>
      <c r="E235" s="69">
        <f>VLOOKUP(B235,Master!B:P,15,0)</f>
        <v>0</v>
      </c>
      <c r="F235" s="68" t="str">
        <f t="shared" si="15"/>
        <v>ACTIVE</v>
      </c>
      <c r="G235" s="68" t="str">
        <f t="shared" si="15"/>
        <v>ACTIVE</v>
      </c>
      <c r="H235" s="68" t="str">
        <f t="shared" si="15"/>
        <v>ACTIVE</v>
      </c>
      <c r="I235" s="68" t="str">
        <f t="shared" si="15"/>
        <v>ACTIVE</v>
      </c>
      <c r="J235" s="68" t="str">
        <f t="shared" si="15"/>
        <v>ACTIVE</v>
      </c>
      <c r="K235" s="68" t="str">
        <f t="shared" si="15"/>
        <v>ACTIVE</v>
      </c>
      <c r="L235" s="68" t="str">
        <f t="shared" si="15"/>
        <v>ACTIVE</v>
      </c>
      <c r="M235" s="68" t="str">
        <f t="shared" si="15"/>
        <v>ACTIVE</v>
      </c>
      <c r="N235" s="68" t="str">
        <f t="shared" si="15"/>
        <v>ACTIVE</v>
      </c>
      <c r="O235" s="68" t="str">
        <f t="shared" si="15"/>
        <v>ACTIVE</v>
      </c>
      <c r="P235" s="68" t="str">
        <f t="shared" si="15"/>
        <v>ACTIVE</v>
      </c>
      <c r="Q235" s="68" t="str">
        <f t="shared" si="15"/>
        <v>ACTIVE</v>
      </c>
    </row>
    <row r="236" spans="2:17" x14ac:dyDescent="0.35">
      <c r="B236" s="70" t="str">
        <v>10GG4220</v>
      </c>
      <c r="C236" s="68" t="str">
        <f>VLOOKUP(B236,Master!B:C,2,0)</f>
        <v>10GG4220</v>
      </c>
      <c r="D236" s="69">
        <f>VLOOKUP(B236,Master!B:L,11,0)</f>
        <v>44316</v>
      </c>
      <c r="E236" s="69">
        <f>VLOOKUP(B236,Master!B:P,15,0)</f>
        <v>0</v>
      </c>
      <c r="F236" s="68" t="str">
        <f t="shared" si="15"/>
        <v>ACTIVE</v>
      </c>
      <c r="G236" s="68" t="str">
        <f t="shared" si="15"/>
        <v>ACTIVE</v>
      </c>
      <c r="H236" s="68" t="str">
        <f t="shared" si="15"/>
        <v>ACTIVE</v>
      </c>
      <c r="I236" s="68" t="str">
        <f t="shared" si="15"/>
        <v>ACTIVE</v>
      </c>
      <c r="J236" s="68" t="str">
        <f t="shared" si="15"/>
        <v>ACTIVE</v>
      </c>
      <c r="K236" s="68" t="str">
        <f t="shared" si="15"/>
        <v>ACTIVE</v>
      </c>
      <c r="L236" s="68" t="str">
        <f t="shared" si="15"/>
        <v>ACTIVE</v>
      </c>
      <c r="M236" s="68" t="str">
        <f t="shared" si="15"/>
        <v>ACTIVE</v>
      </c>
      <c r="N236" s="68" t="str">
        <f t="shared" si="15"/>
        <v>ACTIVE</v>
      </c>
      <c r="O236" s="68" t="str">
        <f t="shared" si="15"/>
        <v>ACTIVE</v>
      </c>
      <c r="P236" s="68" t="str">
        <f t="shared" si="15"/>
        <v>ACTIVE</v>
      </c>
      <c r="Q236" s="68" t="str">
        <f t="shared" si="15"/>
        <v>ACTIVE</v>
      </c>
    </row>
    <row r="237" spans="2:17" x14ac:dyDescent="0.35">
      <c r="B237" s="70" t="str">
        <v>30MW4361</v>
      </c>
      <c r="C237" s="68" t="str">
        <f>VLOOKUP(B237,Master!B:C,2,0)</f>
        <v>30MW4361</v>
      </c>
      <c r="D237" s="69">
        <f>VLOOKUP(B237,Master!B:L,11,0)</f>
        <v>44317</v>
      </c>
      <c r="E237" s="69">
        <f>VLOOKUP(B237,Master!B:P,15,0)</f>
        <v>0</v>
      </c>
      <c r="F237" s="68" t="str">
        <f t="shared" si="15"/>
        <v>ACTIVE</v>
      </c>
      <c r="G237" s="68" t="str">
        <f t="shared" si="15"/>
        <v>ACTIVE</v>
      </c>
      <c r="H237" s="68" t="str">
        <f t="shared" si="15"/>
        <v>ACTIVE</v>
      </c>
      <c r="I237" s="68" t="str">
        <f t="shared" si="15"/>
        <v>ACTIVE</v>
      </c>
      <c r="J237" s="68" t="str">
        <f t="shared" si="15"/>
        <v>ACTIVE</v>
      </c>
      <c r="K237" s="68" t="str">
        <f t="shared" si="15"/>
        <v>ACTIVE</v>
      </c>
      <c r="L237" s="68" t="str">
        <f t="shared" si="15"/>
        <v>ACTIVE</v>
      </c>
      <c r="M237" s="68" t="str">
        <f t="shared" si="15"/>
        <v>ACTIVE</v>
      </c>
      <c r="N237" s="68" t="str">
        <f t="shared" si="15"/>
        <v>ACTIVE</v>
      </c>
      <c r="O237" s="68" t="str">
        <f t="shared" si="15"/>
        <v>ACTIVE</v>
      </c>
      <c r="P237" s="68" t="str">
        <f t="shared" si="15"/>
        <v>ACTIVE</v>
      </c>
      <c r="Q237" s="68" t="str">
        <f t="shared" si="15"/>
        <v>ACTIVE</v>
      </c>
    </row>
    <row r="238" spans="2:17" x14ac:dyDescent="0.35">
      <c r="B238" s="70" t="str">
        <v>30MW4363</v>
      </c>
      <c r="C238" s="68" t="str">
        <f>VLOOKUP(B238,Master!B:C,2,0)</f>
        <v>30MW4363</v>
      </c>
      <c r="D238" s="69">
        <f>VLOOKUP(B238,Master!B:L,11,0)</f>
        <v>44336</v>
      </c>
      <c r="E238" s="69">
        <f>VLOOKUP(B238,Master!B:P,15,0)</f>
        <v>0</v>
      </c>
      <c r="F238" s="68" t="str">
        <f t="shared" si="15"/>
        <v>ACTIVE</v>
      </c>
      <c r="G238" s="68" t="str">
        <f t="shared" si="15"/>
        <v>ACTIVE</v>
      </c>
      <c r="H238" s="68" t="str">
        <f t="shared" si="15"/>
        <v>ACTIVE</v>
      </c>
      <c r="I238" s="68" t="str">
        <f t="shared" si="15"/>
        <v>ACTIVE</v>
      </c>
      <c r="J238" s="68" t="str">
        <f t="shared" si="15"/>
        <v>ACTIVE</v>
      </c>
      <c r="K238" s="68" t="str">
        <f t="shared" si="15"/>
        <v>ACTIVE</v>
      </c>
      <c r="L238" s="68" t="str">
        <f t="shared" si="15"/>
        <v>ACTIVE</v>
      </c>
      <c r="M238" s="68" t="str">
        <f t="shared" si="15"/>
        <v>ACTIVE</v>
      </c>
      <c r="N238" s="68" t="str">
        <f t="shared" si="15"/>
        <v>ACTIVE</v>
      </c>
      <c r="O238" s="68" t="str">
        <f t="shared" si="15"/>
        <v>ACTIVE</v>
      </c>
      <c r="P238" s="68" t="str">
        <f t="shared" si="15"/>
        <v>ACTIVE</v>
      </c>
      <c r="Q238" s="68" t="str">
        <f t="shared" si="15"/>
        <v>ACTIVE</v>
      </c>
    </row>
    <row r="239" spans="2:17" x14ac:dyDescent="0.35">
      <c r="B239" s="70" t="str">
        <v>10GG4229</v>
      </c>
      <c r="C239" s="68" t="str">
        <f>VLOOKUP(B239,Master!B:C,2,0)</f>
        <v>10GG4229</v>
      </c>
      <c r="D239" s="69">
        <f>VLOOKUP(B239,Master!B:L,11,0)</f>
        <v>44378</v>
      </c>
      <c r="E239" s="69">
        <f>VLOOKUP(B239,Master!B:P,15,0)</f>
        <v>0</v>
      </c>
      <c r="F239" s="68" t="str">
        <f t="shared" si="15"/>
        <v>ACTIVE</v>
      </c>
      <c r="G239" s="68" t="str">
        <f t="shared" si="15"/>
        <v>ACTIVE</v>
      </c>
      <c r="H239" s="68" t="str">
        <f t="shared" si="15"/>
        <v>ACTIVE</v>
      </c>
      <c r="I239" s="68" t="str">
        <f t="shared" si="15"/>
        <v>ACTIVE</v>
      </c>
      <c r="J239" s="68" t="str">
        <f t="shared" si="15"/>
        <v>ACTIVE</v>
      </c>
      <c r="K239" s="68" t="str">
        <f t="shared" si="15"/>
        <v>ACTIVE</v>
      </c>
      <c r="L239" s="68" t="str">
        <f t="shared" si="15"/>
        <v>ACTIVE</v>
      </c>
      <c r="M239" s="68" t="str">
        <f t="shared" si="15"/>
        <v>ACTIVE</v>
      </c>
      <c r="N239" s="68" t="str">
        <f t="shared" si="15"/>
        <v>ACTIVE</v>
      </c>
      <c r="O239" s="68" t="str">
        <f t="shared" si="15"/>
        <v>ACTIVE</v>
      </c>
      <c r="P239" s="68" t="str">
        <f t="shared" si="15"/>
        <v>ACTIVE</v>
      </c>
      <c r="Q239" s="68" t="str">
        <f t="shared" si="15"/>
        <v>ACTIVE</v>
      </c>
    </row>
    <row r="240" spans="2:17" x14ac:dyDescent="0.35">
      <c r="B240" s="70" t="str">
        <v>10SG6304</v>
      </c>
      <c r="C240" s="68" t="str">
        <f>VLOOKUP(B240,Master!B:C,2,0)</f>
        <v>10SG6304</v>
      </c>
      <c r="D240" s="69">
        <f>VLOOKUP(B240,Master!B:L,11,0)</f>
        <v>44483</v>
      </c>
      <c r="E240" s="69">
        <f>VLOOKUP(B240,Master!B:P,15,0)</f>
        <v>0</v>
      </c>
      <c r="F240" s="68" t="str">
        <f t="shared" si="15"/>
        <v>ACTIVE</v>
      </c>
      <c r="G240" s="68" t="str">
        <f t="shared" si="15"/>
        <v>ACTIVE</v>
      </c>
      <c r="H240" s="68" t="str">
        <f t="shared" si="15"/>
        <v>ACTIVE</v>
      </c>
      <c r="I240" s="68" t="str">
        <f t="shared" si="15"/>
        <v>ACTIVE</v>
      </c>
      <c r="J240" s="68" t="str">
        <f t="shared" si="15"/>
        <v>ACTIVE</v>
      </c>
      <c r="K240" s="68" t="str">
        <f t="shared" si="15"/>
        <v>ACTIVE</v>
      </c>
      <c r="L240" s="68" t="str">
        <f t="shared" si="15"/>
        <v>ACTIVE</v>
      </c>
      <c r="M240" s="68" t="str">
        <f t="shared" si="15"/>
        <v>ACTIVE</v>
      </c>
      <c r="N240" s="68" t="str">
        <f t="shared" si="15"/>
        <v>ACTIVE</v>
      </c>
      <c r="O240" s="68" t="str">
        <f t="shared" si="15"/>
        <v>ACTIVE</v>
      </c>
      <c r="P240" s="68" t="str">
        <f t="shared" si="15"/>
        <v>ACTIVE</v>
      </c>
      <c r="Q240" s="68" t="str">
        <f t="shared" si="15"/>
        <v>ACTIVE</v>
      </c>
    </row>
    <row r="241" spans="2:17" x14ac:dyDescent="0.35">
      <c r="B241" s="70" t="str">
        <v>10GG4231</v>
      </c>
      <c r="C241" s="68" t="str">
        <f>VLOOKUP(B241,Master!B:C,2,0)</f>
        <v>10GG4231</v>
      </c>
      <c r="D241" s="69">
        <f>VLOOKUP(B241,Master!B:L,11,0)</f>
        <v>44486</v>
      </c>
      <c r="E241" s="69">
        <f>VLOOKUP(B241,Master!B:P,15,0)</f>
        <v>0</v>
      </c>
      <c r="F241" s="68" t="str">
        <f t="shared" si="15"/>
        <v>ACTIVE</v>
      </c>
      <c r="G241" s="68" t="str">
        <f t="shared" si="15"/>
        <v>ACTIVE</v>
      </c>
      <c r="H241" s="68" t="str">
        <f t="shared" si="15"/>
        <v>ACTIVE</v>
      </c>
      <c r="I241" s="68" t="str">
        <f t="shared" si="15"/>
        <v>ACTIVE</v>
      </c>
      <c r="J241" s="68" t="str">
        <f t="shared" si="15"/>
        <v>ACTIVE</v>
      </c>
      <c r="K241" s="68" t="str">
        <f t="shared" si="15"/>
        <v>ACTIVE</v>
      </c>
      <c r="L241" s="68" t="str">
        <f t="shared" si="15"/>
        <v>ACTIVE</v>
      </c>
      <c r="M241" s="68" t="str">
        <f t="shared" si="15"/>
        <v>ACTIVE</v>
      </c>
      <c r="N241" s="68" t="str">
        <f t="shared" si="15"/>
        <v>ACTIVE</v>
      </c>
      <c r="O241" s="68" t="str">
        <f t="shared" si="15"/>
        <v>ACTIVE</v>
      </c>
      <c r="P241" s="68" t="str">
        <f t="shared" si="15"/>
        <v>ACTIVE</v>
      </c>
      <c r="Q241" s="68" t="str">
        <f t="shared" si="15"/>
        <v>ACTIVE</v>
      </c>
    </row>
    <row r="242" spans="2:17" x14ac:dyDescent="0.35">
      <c r="B242" s="70" t="str">
        <v>30MW4366</v>
      </c>
      <c r="C242" s="68" t="str">
        <f>VLOOKUP(B242,Master!B:C,2,0)</f>
        <v>30MW4366</v>
      </c>
      <c r="D242" s="69">
        <f>VLOOKUP(B242,Master!B:L,11,0)</f>
        <v>44522</v>
      </c>
      <c r="E242" s="69">
        <f>VLOOKUP(B242,Master!B:P,15,0)</f>
        <v>0</v>
      </c>
      <c r="F242" s="68" t="str">
        <f t="shared" si="15"/>
        <v>ACTIVE</v>
      </c>
      <c r="G242" s="68" t="str">
        <f t="shared" si="15"/>
        <v>ACTIVE</v>
      </c>
      <c r="H242" s="68" t="str">
        <f t="shared" si="15"/>
        <v>ACTIVE</v>
      </c>
      <c r="I242" s="68" t="str">
        <f t="shared" si="15"/>
        <v>ACTIVE</v>
      </c>
      <c r="J242" s="68" t="str">
        <f t="shared" si="15"/>
        <v>ACTIVE</v>
      </c>
      <c r="K242" s="68" t="str">
        <f t="shared" si="15"/>
        <v>ACTIVE</v>
      </c>
      <c r="L242" s="68" t="str">
        <f t="shared" si="15"/>
        <v>ACTIVE</v>
      </c>
      <c r="M242" s="68" t="str">
        <f t="shared" si="15"/>
        <v>ACTIVE</v>
      </c>
      <c r="N242" s="68" t="str">
        <f t="shared" si="15"/>
        <v>ACTIVE</v>
      </c>
      <c r="O242" s="68" t="str">
        <f t="shared" si="15"/>
        <v>ACTIVE</v>
      </c>
      <c r="P242" s="68" t="str">
        <f t="shared" si="15"/>
        <v>ACTIVE</v>
      </c>
      <c r="Q242" s="68" t="str">
        <f t="shared" si="15"/>
        <v>ACTIVE</v>
      </c>
    </row>
    <row r="243" spans="2:17" x14ac:dyDescent="0.35">
      <c r="B243" s="70" t="str">
        <v>30SS4399</v>
      </c>
      <c r="C243" s="68" t="str">
        <f>VLOOKUP(B243,Master!B:C,2,0)</f>
        <v>30SS4399</v>
      </c>
      <c r="D243" s="69">
        <f>VLOOKUP(B243,Master!B:L,11,0)</f>
        <v>44589</v>
      </c>
      <c r="E243" s="69">
        <f>VLOOKUP(B243,Master!B:P,15,0)</f>
        <v>0</v>
      </c>
      <c r="F243" s="68" t="str">
        <f t="shared" si="15"/>
        <v>ACTIVE</v>
      </c>
      <c r="G243" s="68" t="str">
        <f t="shared" si="15"/>
        <v>ACTIVE</v>
      </c>
      <c r="H243" s="68" t="str">
        <f t="shared" si="15"/>
        <v>ACTIVE</v>
      </c>
      <c r="I243" s="68" t="str">
        <f t="shared" si="15"/>
        <v>ACTIVE</v>
      </c>
      <c r="J243" s="68" t="str">
        <f t="shared" si="15"/>
        <v>ACTIVE</v>
      </c>
      <c r="K243" s="68" t="str">
        <f t="shared" si="15"/>
        <v>ACTIVE</v>
      </c>
      <c r="L243" s="68" t="str">
        <f t="shared" si="15"/>
        <v>ACTIVE</v>
      </c>
      <c r="M243" s="68" t="str">
        <f t="shared" si="15"/>
        <v>ACTIVE</v>
      </c>
      <c r="N243" s="68" t="str">
        <f t="shared" si="15"/>
        <v>ACTIVE</v>
      </c>
      <c r="O243" s="68" t="str">
        <f t="shared" si="15"/>
        <v>ACTIVE</v>
      </c>
      <c r="P243" s="68" t="str">
        <f t="shared" si="15"/>
        <v>ACTIVE</v>
      </c>
      <c r="Q243" s="68" t="str">
        <f t="shared" si="15"/>
        <v>ACTIVE</v>
      </c>
    </row>
    <row r="244" spans="2:17" x14ac:dyDescent="0.35">
      <c r="B244" s="70" t="str">
        <v>30GG4084</v>
      </c>
      <c r="C244" s="68" t="str">
        <f>VLOOKUP(B244,Master!B:C,2,0)</f>
        <v>30GG4084</v>
      </c>
      <c r="D244" s="69">
        <f>VLOOKUP(B244,Master!B:L,11,0)</f>
        <v>44583</v>
      </c>
      <c r="E244" s="69">
        <f>VLOOKUP(B244,Master!B:P,15,0)</f>
        <v>0</v>
      </c>
      <c r="F244" s="68" t="str">
        <f t="shared" ref="F244:Q259" si="16">IF($E244&gt;0,"CLOSED",IF($D244&lt;F$1,"ACTIVE","WAITING FOR OPEN"))</f>
        <v>ACTIVE</v>
      </c>
      <c r="G244" s="68" t="str">
        <f t="shared" si="16"/>
        <v>ACTIVE</v>
      </c>
      <c r="H244" s="68" t="str">
        <f t="shared" si="16"/>
        <v>ACTIVE</v>
      </c>
      <c r="I244" s="68" t="str">
        <f t="shared" si="16"/>
        <v>ACTIVE</v>
      </c>
      <c r="J244" s="68" t="str">
        <f t="shared" si="16"/>
        <v>ACTIVE</v>
      </c>
      <c r="K244" s="68" t="str">
        <f t="shared" si="16"/>
        <v>ACTIVE</v>
      </c>
      <c r="L244" s="68" t="str">
        <f t="shared" si="16"/>
        <v>ACTIVE</v>
      </c>
      <c r="M244" s="68" t="str">
        <f t="shared" si="16"/>
        <v>ACTIVE</v>
      </c>
      <c r="N244" s="68" t="str">
        <f t="shared" si="16"/>
        <v>ACTIVE</v>
      </c>
      <c r="O244" s="68" t="str">
        <f t="shared" si="16"/>
        <v>ACTIVE</v>
      </c>
      <c r="P244" s="68" t="str">
        <f t="shared" si="16"/>
        <v>ACTIVE</v>
      </c>
      <c r="Q244" s="68" t="str">
        <f t="shared" si="16"/>
        <v>ACTIVE</v>
      </c>
    </row>
    <row r="245" spans="2:17" x14ac:dyDescent="0.35">
      <c r="B245" s="70" t="str">
        <v>30GG4085</v>
      </c>
      <c r="C245" s="68" t="str">
        <f>VLOOKUP(B245,Master!B:C,2,0)</f>
        <v>30GG4085</v>
      </c>
      <c r="D245" s="69">
        <f>VLOOKUP(B245,Master!B:L,11,0)</f>
        <v>44587</v>
      </c>
      <c r="E245" s="69">
        <f>VLOOKUP(B245,Master!B:P,15,0)</f>
        <v>0</v>
      </c>
      <c r="F245" s="68" t="str">
        <f t="shared" si="16"/>
        <v>ACTIVE</v>
      </c>
      <c r="G245" s="68" t="str">
        <f t="shared" si="16"/>
        <v>ACTIVE</v>
      </c>
      <c r="H245" s="68" t="str">
        <f t="shared" si="16"/>
        <v>ACTIVE</v>
      </c>
      <c r="I245" s="68" t="str">
        <f t="shared" si="16"/>
        <v>ACTIVE</v>
      </c>
      <c r="J245" s="68" t="str">
        <f t="shared" si="16"/>
        <v>ACTIVE</v>
      </c>
      <c r="K245" s="68" t="str">
        <f t="shared" si="16"/>
        <v>ACTIVE</v>
      </c>
      <c r="L245" s="68" t="str">
        <f t="shared" si="16"/>
        <v>ACTIVE</v>
      </c>
      <c r="M245" s="68" t="str">
        <f t="shared" si="16"/>
        <v>ACTIVE</v>
      </c>
      <c r="N245" s="68" t="str">
        <f t="shared" si="16"/>
        <v>ACTIVE</v>
      </c>
      <c r="O245" s="68" t="str">
        <f t="shared" si="16"/>
        <v>ACTIVE</v>
      </c>
      <c r="P245" s="68" t="str">
        <f t="shared" si="16"/>
        <v>ACTIVE</v>
      </c>
      <c r="Q245" s="68" t="str">
        <f t="shared" si="16"/>
        <v>ACTIVE</v>
      </c>
    </row>
    <row r="246" spans="2:17" x14ac:dyDescent="0.35">
      <c r="B246" s="70" t="str">
        <v>30KK4314</v>
      </c>
      <c r="C246" s="68" t="str">
        <f>VLOOKUP(B246,Master!B:C,2,0)</f>
        <v>30KK4314</v>
      </c>
      <c r="D246" s="69">
        <f>VLOOKUP(B246,Master!B:L,11,0)</f>
        <v>44584</v>
      </c>
      <c r="E246" s="69">
        <f>VLOOKUP(B246,Master!B:P,15,0)</f>
        <v>0</v>
      </c>
      <c r="F246" s="68" t="str">
        <f t="shared" si="16"/>
        <v>ACTIVE</v>
      </c>
      <c r="G246" s="68" t="str">
        <f t="shared" si="16"/>
        <v>ACTIVE</v>
      </c>
      <c r="H246" s="68" t="str">
        <f t="shared" si="16"/>
        <v>ACTIVE</v>
      </c>
      <c r="I246" s="68" t="str">
        <f t="shared" si="16"/>
        <v>ACTIVE</v>
      </c>
      <c r="J246" s="68" t="str">
        <f t="shared" si="16"/>
        <v>ACTIVE</v>
      </c>
      <c r="K246" s="68" t="str">
        <f t="shared" si="16"/>
        <v>ACTIVE</v>
      </c>
      <c r="L246" s="68" t="str">
        <f t="shared" si="16"/>
        <v>ACTIVE</v>
      </c>
      <c r="M246" s="68" t="str">
        <f t="shared" si="16"/>
        <v>ACTIVE</v>
      </c>
      <c r="N246" s="68" t="str">
        <f t="shared" si="16"/>
        <v>ACTIVE</v>
      </c>
      <c r="O246" s="68" t="str">
        <f t="shared" si="16"/>
        <v>ACTIVE</v>
      </c>
      <c r="P246" s="68" t="str">
        <f t="shared" si="16"/>
        <v>ACTIVE</v>
      </c>
      <c r="Q246" s="68" t="str">
        <f t="shared" si="16"/>
        <v>ACTIVE</v>
      </c>
    </row>
    <row r="247" spans="2:17" x14ac:dyDescent="0.35">
      <c r="B247" s="70" t="str">
        <v>30MW4367</v>
      </c>
      <c r="C247" s="68" t="str">
        <f>VLOOKUP(B247,Master!B:C,2,0)</f>
        <v>30MW4367</v>
      </c>
      <c r="D247" s="69">
        <f>VLOOKUP(B247,Master!B:L,11,0)</f>
        <v>44589</v>
      </c>
      <c r="E247" s="69">
        <f>VLOOKUP(B247,Master!B:P,15,0)</f>
        <v>0</v>
      </c>
      <c r="F247" s="68" t="str">
        <f t="shared" si="16"/>
        <v>ACTIVE</v>
      </c>
      <c r="G247" s="68" t="str">
        <f t="shared" si="16"/>
        <v>ACTIVE</v>
      </c>
      <c r="H247" s="68" t="str">
        <f t="shared" si="16"/>
        <v>ACTIVE</v>
      </c>
      <c r="I247" s="68" t="str">
        <f t="shared" si="16"/>
        <v>ACTIVE</v>
      </c>
      <c r="J247" s="68" t="str">
        <f t="shared" si="16"/>
        <v>ACTIVE</v>
      </c>
      <c r="K247" s="68" t="str">
        <f t="shared" si="16"/>
        <v>ACTIVE</v>
      </c>
      <c r="L247" s="68" t="str">
        <f t="shared" si="16"/>
        <v>ACTIVE</v>
      </c>
      <c r="M247" s="68" t="str">
        <f t="shared" si="16"/>
        <v>ACTIVE</v>
      </c>
      <c r="N247" s="68" t="str">
        <f t="shared" si="16"/>
        <v>ACTIVE</v>
      </c>
      <c r="O247" s="68" t="str">
        <f t="shared" si="16"/>
        <v>ACTIVE</v>
      </c>
      <c r="P247" s="68" t="str">
        <f t="shared" si="16"/>
        <v>ACTIVE</v>
      </c>
      <c r="Q247" s="68" t="str">
        <f t="shared" si="16"/>
        <v>ACTIVE</v>
      </c>
    </row>
    <row r="248" spans="2:17" x14ac:dyDescent="0.35">
      <c r="B248" s="70" t="str">
        <v>30KK4316</v>
      </c>
      <c r="C248" s="68" t="str">
        <f>VLOOKUP(B248,Master!B:C,2,0)</f>
        <v>30KK4316</v>
      </c>
      <c r="D248" s="69">
        <f>VLOOKUP(B248,Master!B:L,11,0)</f>
        <v>44587</v>
      </c>
      <c r="E248" s="69">
        <f>VLOOKUP(B248,Master!B:P,15,0)</f>
        <v>0</v>
      </c>
      <c r="F248" s="68" t="str">
        <f t="shared" si="16"/>
        <v>ACTIVE</v>
      </c>
      <c r="G248" s="68" t="str">
        <f t="shared" si="16"/>
        <v>ACTIVE</v>
      </c>
      <c r="H248" s="68" t="str">
        <f t="shared" si="16"/>
        <v>ACTIVE</v>
      </c>
      <c r="I248" s="68" t="str">
        <f t="shared" si="16"/>
        <v>ACTIVE</v>
      </c>
      <c r="J248" s="68" t="str">
        <f t="shared" si="16"/>
        <v>ACTIVE</v>
      </c>
      <c r="K248" s="68" t="str">
        <f t="shared" si="16"/>
        <v>ACTIVE</v>
      </c>
      <c r="L248" s="68" t="str">
        <f t="shared" si="16"/>
        <v>ACTIVE</v>
      </c>
      <c r="M248" s="68" t="str">
        <f t="shared" si="16"/>
        <v>ACTIVE</v>
      </c>
      <c r="N248" s="68" t="str">
        <f t="shared" si="16"/>
        <v>ACTIVE</v>
      </c>
      <c r="O248" s="68" t="str">
        <f t="shared" si="16"/>
        <v>ACTIVE</v>
      </c>
      <c r="P248" s="68" t="str">
        <f t="shared" si="16"/>
        <v>ACTIVE</v>
      </c>
      <c r="Q248" s="68" t="str">
        <f t="shared" si="16"/>
        <v>ACTIVE</v>
      </c>
    </row>
    <row r="249" spans="2:17" x14ac:dyDescent="0.35">
      <c r="B249" s="70" t="str">
        <v>10MW5131</v>
      </c>
      <c r="C249" s="68" t="str">
        <f>VLOOKUP(B249,Master!B:C,2,0)</f>
        <v>10MW5131</v>
      </c>
      <c r="D249" s="69">
        <f>VLOOKUP(B249,Master!B:L,11,0)</f>
        <v>44563</v>
      </c>
      <c r="E249" s="69">
        <f>VLOOKUP(B249,Master!B:P,15,0)</f>
        <v>0</v>
      </c>
      <c r="F249" s="68" t="str">
        <f t="shared" si="16"/>
        <v>ACTIVE</v>
      </c>
      <c r="G249" s="68" t="str">
        <f t="shared" si="16"/>
        <v>ACTIVE</v>
      </c>
      <c r="H249" s="68" t="str">
        <f t="shared" si="16"/>
        <v>ACTIVE</v>
      </c>
      <c r="I249" s="68" t="str">
        <f t="shared" si="16"/>
        <v>ACTIVE</v>
      </c>
      <c r="J249" s="68" t="str">
        <f t="shared" si="16"/>
        <v>ACTIVE</v>
      </c>
      <c r="K249" s="68" t="str">
        <f t="shared" si="16"/>
        <v>ACTIVE</v>
      </c>
      <c r="L249" s="68" t="str">
        <f t="shared" si="16"/>
        <v>ACTIVE</v>
      </c>
      <c r="M249" s="68" t="str">
        <f t="shared" si="16"/>
        <v>ACTIVE</v>
      </c>
      <c r="N249" s="68" t="str">
        <f t="shared" si="16"/>
        <v>ACTIVE</v>
      </c>
      <c r="O249" s="68" t="str">
        <f t="shared" si="16"/>
        <v>ACTIVE</v>
      </c>
      <c r="P249" s="68" t="str">
        <f t="shared" si="16"/>
        <v>ACTIVE</v>
      </c>
      <c r="Q249" s="68" t="str">
        <f t="shared" si="16"/>
        <v>ACTIVE</v>
      </c>
    </row>
    <row r="250" spans="2:17" x14ac:dyDescent="0.35">
      <c r="B250" s="70" t="str">
        <v>10KK4514</v>
      </c>
      <c r="C250" s="68" t="str">
        <f>VLOOKUP(B250,Master!B:C,2,0)</f>
        <v>10KK4514</v>
      </c>
      <c r="D250" s="69">
        <f>VLOOKUP(B250,Master!B:L,11,0)</f>
        <v>44623</v>
      </c>
      <c r="E250" s="69">
        <f>VLOOKUP(B250,Master!B:P,15,0)</f>
        <v>0</v>
      </c>
      <c r="F250" s="68" t="str">
        <f t="shared" si="16"/>
        <v>ACTIVE</v>
      </c>
      <c r="G250" s="68" t="str">
        <f t="shared" si="16"/>
        <v>ACTIVE</v>
      </c>
      <c r="H250" s="68" t="str">
        <f t="shared" si="16"/>
        <v>ACTIVE</v>
      </c>
      <c r="I250" s="68" t="str">
        <f t="shared" si="16"/>
        <v>ACTIVE</v>
      </c>
      <c r="J250" s="68" t="str">
        <f t="shared" si="16"/>
        <v>ACTIVE</v>
      </c>
      <c r="K250" s="68" t="str">
        <f t="shared" si="16"/>
        <v>ACTIVE</v>
      </c>
      <c r="L250" s="68" t="str">
        <f t="shared" si="16"/>
        <v>ACTIVE</v>
      </c>
      <c r="M250" s="68" t="str">
        <f t="shared" si="16"/>
        <v>ACTIVE</v>
      </c>
      <c r="N250" s="68" t="str">
        <f t="shared" si="16"/>
        <v>ACTIVE</v>
      </c>
      <c r="O250" s="68" t="str">
        <f t="shared" si="16"/>
        <v>ACTIVE</v>
      </c>
      <c r="P250" s="68" t="str">
        <f t="shared" si="16"/>
        <v>ACTIVE</v>
      </c>
      <c r="Q250" s="68" t="str">
        <f t="shared" si="16"/>
        <v>ACTIVE</v>
      </c>
    </row>
    <row r="251" spans="2:17" x14ac:dyDescent="0.35">
      <c r="B251" s="70" t="str">
        <v>10MW5145</v>
      </c>
      <c r="C251" s="68" t="str">
        <f>VLOOKUP(B251,Master!B:C,2,0)</f>
        <v>10MW5145</v>
      </c>
      <c r="D251" s="69">
        <f>VLOOKUP(B251,Master!B:L,11,0)</f>
        <v>44570</v>
      </c>
      <c r="E251" s="69">
        <f>VLOOKUP(B251,Master!B:P,15,0)</f>
        <v>0</v>
      </c>
      <c r="F251" s="68" t="str">
        <f t="shared" si="16"/>
        <v>ACTIVE</v>
      </c>
      <c r="G251" s="68" t="str">
        <f t="shared" si="16"/>
        <v>ACTIVE</v>
      </c>
      <c r="H251" s="68" t="str">
        <f t="shared" si="16"/>
        <v>ACTIVE</v>
      </c>
      <c r="I251" s="68" t="str">
        <f t="shared" si="16"/>
        <v>ACTIVE</v>
      </c>
      <c r="J251" s="68" t="str">
        <f t="shared" si="16"/>
        <v>ACTIVE</v>
      </c>
      <c r="K251" s="68" t="str">
        <f t="shared" si="16"/>
        <v>ACTIVE</v>
      </c>
      <c r="L251" s="68" t="str">
        <f t="shared" si="16"/>
        <v>ACTIVE</v>
      </c>
      <c r="M251" s="68" t="str">
        <f t="shared" si="16"/>
        <v>ACTIVE</v>
      </c>
      <c r="N251" s="68" t="str">
        <f t="shared" si="16"/>
        <v>ACTIVE</v>
      </c>
      <c r="O251" s="68" t="str">
        <f t="shared" si="16"/>
        <v>ACTIVE</v>
      </c>
      <c r="P251" s="68" t="str">
        <f t="shared" si="16"/>
        <v>ACTIVE</v>
      </c>
      <c r="Q251" s="68" t="str">
        <f t="shared" si="16"/>
        <v>ACTIVE</v>
      </c>
    </row>
    <row r="252" spans="2:17" x14ac:dyDescent="0.35">
      <c r="B252" s="70" t="str">
        <v>30KK4315</v>
      </c>
      <c r="C252" s="68" t="str">
        <f>VLOOKUP(B252,Master!B:C,2,0)</f>
        <v>30KK4315</v>
      </c>
      <c r="D252" s="69">
        <f>VLOOKUP(B252,Master!B:L,11,0)</f>
        <v>44594</v>
      </c>
      <c r="E252" s="69">
        <f>VLOOKUP(B252,Master!B:P,15,0)</f>
        <v>0</v>
      </c>
      <c r="F252" s="68" t="str">
        <f t="shared" si="16"/>
        <v>ACTIVE</v>
      </c>
      <c r="G252" s="68" t="str">
        <f t="shared" si="16"/>
        <v>ACTIVE</v>
      </c>
      <c r="H252" s="68" t="str">
        <f t="shared" si="16"/>
        <v>ACTIVE</v>
      </c>
      <c r="I252" s="68" t="str">
        <f t="shared" si="16"/>
        <v>ACTIVE</v>
      </c>
      <c r="J252" s="68" t="str">
        <f t="shared" si="16"/>
        <v>ACTIVE</v>
      </c>
      <c r="K252" s="68" t="str">
        <f t="shared" si="16"/>
        <v>ACTIVE</v>
      </c>
      <c r="L252" s="68" t="str">
        <f t="shared" si="16"/>
        <v>ACTIVE</v>
      </c>
      <c r="M252" s="68" t="str">
        <f t="shared" si="16"/>
        <v>ACTIVE</v>
      </c>
      <c r="N252" s="68" t="str">
        <f t="shared" si="16"/>
        <v>ACTIVE</v>
      </c>
      <c r="O252" s="68" t="str">
        <f t="shared" si="16"/>
        <v>ACTIVE</v>
      </c>
      <c r="P252" s="68" t="str">
        <f t="shared" si="16"/>
        <v>ACTIVE</v>
      </c>
      <c r="Q252" s="68" t="str">
        <f t="shared" si="16"/>
        <v>ACTIVE</v>
      </c>
    </row>
    <row r="253" spans="2:17" x14ac:dyDescent="0.35">
      <c r="B253" s="70" t="str">
        <v>10MW5141</v>
      </c>
      <c r="C253" s="68" t="str">
        <f>VLOOKUP(B253,Master!B:C,2,0)</f>
        <v>10MW5141</v>
      </c>
      <c r="D253" s="69">
        <f>VLOOKUP(B253,Master!B:L,11,0)</f>
        <v>44621</v>
      </c>
      <c r="E253" s="69">
        <f>VLOOKUP(B253,Master!B:P,15,0)</f>
        <v>0</v>
      </c>
      <c r="F253" s="68" t="str">
        <f t="shared" si="16"/>
        <v>ACTIVE</v>
      </c>
      <c r="G253" s="68" t="str">
        <f t="shared" si="16"/>
        <v>ACTIVE</v>
      </c>
      <c r="H253" s="68" t="str">
        <f t="shared" si="16"/>
        <v>ACTIVE</v>
      </c>
      <c r="I253" s="68" t="str">
        <f t="shared" si="16"/>
        <v>ACTIVE</v>
      </c>
      <c r="J253" s="68" t="str">
        <f t="shared" si="16"/>
        <v>ACTIVE</v>
      </c>
      <c r="K253" s="68" t="str">
        <f t="shared" si="16"/>
        <v>ACTIVE</v>
      </c>
      <c r="L253" s="68" t="str">
        <f t="shared" si="16"/>
        <v>ACTIVE</v>
      </c>
      <c r="M253" s="68" t="str">
        <f t="shared" si="16"/>
        <v>ACTIVE</v>
      </c>
      <c r="N253" s="68" t="str">
        <f t="shared" si="16"/>
        <v>ACTIVE</v>
      </c>
      <c r="O253" s="68" t="str">
        <f t="shared" si="16"/>
        <v>ACTIVE</v>
      </c>
      <c r="P253" s="68" t="str">
        <f t="shared" si="16"/>
        <v>ACTIVE</v>
      </c>
      <c r="Q253" s="68" t="str">
        <f t="shared" si="16"/>
        <v>ACTIVE</v>
      </c>
    </row>
    <row r="254" spans="2:17" x14ac:dyDescent="0.35">
      <c r="B254" s="70" t="str">
        <v>30KK4313</v>
      </c>
      <c r="C254" s="68" t="str">
        <f>VLOOKUP(B254,Master!B:C,2,0)</f>
        <v>30KK4313</v>
      </c>
      <c r="D254" s="69">
        <f>VLOOKUP(B254,Master!B:L,11,0)</f>
        <v>44531</v>
      </c>
      <c r="E254" s="69">
        <f>VLOOKUP(B254,Master!B:P,15,0)</f>
        <v>0</v>
      </c>
      <c r="F254" s="68" t="str">
        <f t="shared" si="16"/>
        <v>ACTIVE</v>
      </c>
      <c r="G254" s="68" t="str">
        <f t="shared" si="16"/>
        <v>ACTIVE</v>
      </c>
      <c r="H254" s="68" t="str">
        <f t="shared" si="16"/>
        <v>ACTIVE</v>
      </c>
      <c r="I254" s="68" t="str">
        <f t="shared" si="16"/>
        <v>ACTIVE</v>
      </c>
      <c r="J254" s="68" t="str">
        <f t="shared" si="16"/>
        <v>ACTIVE</v>
      </c>
      <c r="K254" s="68" t="str">
        <f t="shared" si="16"/>
        <v>ACTIVE</v>
      </c>
      <c r="L254" s="68" t="str">
        <f t="shared" si="16"/>
        <v>ACTIVE</v>
      </c>
      <c r="M254" s="68" t="str">
        <f t="shared" si="16"/>
        <v>ACTIVE</v>
      </c>
      <c r="N254" s="68" t="str">
        <f t="shared" si="16"/>
        <v>ACTIVE</v>
      </c>
      <c r="O254" s="68" t="str">
        <f t="shared" si="16"/>
        <v>ACTIVE</v>
      </c>
      <c r="P254" s="68" t="str">
        <f t="shared" si="16"/>
        <v>ACTIVE</v>
      </c>
      <c r="Q254" s="68" t="str">
        <f t="shared" si="16"/>
        <v>ACTIVE</v>
      </c>
    </row>
    <row r="255" spans="2:17" x14ac:dyDescent="0.35">
      <c r="B255" s="70" t="str">
        <v>30MW4364</v>
      </c>
      <c r="C255" s="68" t="str">
        <f>VLOOKUP(B255,Master!B:C,2,0)</f>
        <v>30MW4364</v>
      </c>
      <c r="D255" s="69">
        <f>VLOOKUP(B255,Master!B:L,11,0)</f>
        <v>44553</v>
      </c>
      <c r="E255" s="69">
        <f>VLOOKUP(B255,Master!B:P,15,0)</f>
        <v>0</v>
      </c>
      <c r="F255" s="68" t="str">
        <f t="shared" si="16"/>
        <v>ACTIVE</v>
      </c>
      <c r="G255" s="68" t="str">
        <f t="shared" si="16"/>
        <v>ACTIVE</v>
      </c>
      <c r="H255" s="68" t="str">
        <f t="shared" si="16"/>
        <v>ACTIVE</v>
      </c>
      <c r="I255" s="68" t="str">
        <f t="shared" si="16"/>
        <v>ACTIVE</v>
      </c>
      <c r="J255" s="68" t="str">
        <f t="shared" si="16"/>
        <v>ACTIVE</v>
      </c>
      <c r="K255" s="68" t="str">
        <f t="shared" si="16"/>
        <v>ACTIVE</v>
      </c>
      <c r="L255" s="68" t="str">
        <f t="shared" si="16"/>
        <v>ACTIVE</v>
      </c>
      <c r="M255" s="68" t="str">
        <f t="shared" si="16"/>
        <v>ACTIVE</v>
      </c>
      <c r="N255" s="68" t="str">
        <f t="shared" si="16"/>
        <v>ACTIVE</v>
      </c>
      <c r="O255" s="68" t="str">
        <f t="shared" si="16"/>
        <v>ACTIVE</v>
      </c>
      <c r="P255" s="68" t="str">
        <f t="shared" si="16"/>
        <v>ACTIVE</v>
      </c>
      <c r="Q255" s="68" t="str">
        <f t="shared" si="16"/>
        <v>ACTIVE</v>
      </c>
    </row>
    <row r="256" spans="2:17" x14ac:dyDescent="0.35">
      <c r="B256" s="70" t="str">
        <v>30SS4398</v>
      </c>
      <c r="C256" s="68" t="str">
        <f>VLOOKUP(B256,Master!B:C,2,0)</f>
        <v>30SS4398</v>
      </c>
      <c r="D256" s="69">
        <f>VLOOKUP(B256,Master!B:L,11,0)</f>
        <v>44551</v>
      </c>
      <c r="E256" s="69">
        <f>VLOOKUP(B256,Master!B:P,15,0)</f>
        <v>0</v>
      </c>
      <c r="F256" s="68" t="str">
        <f t="shared" si="16"/>
        <v>ACTIVE</v>
      </c>
      <c r="G256" s="68" t="str">
        <f t="shared" si="16"/>
        <v>ACTIVE</v>
      </c>
      <c r="H256" s="68" t="str">
        <f t="shared" si="16"/>
        <v>ACTIVE</v>
      </c>
      <c r="I256" s="68" t="str">
        <f t="shared" si="16"/>
        <v>ACTIVE</v>
      </c>
      <c r="J256" s="68" t="str">
        <f t="shared" si="16"/>
        <v>ACTIVE</v>
      </c>
      <c r="K256" s="68" t="str">
        <f t="shared" si="16"/>
        <v>ACTIVE</v>
      </c>
      <c r="L256" s="68" t="str">
        <f t="shared" si="16"/>
        <v>ACTIVE</v>
      </c>
      <c r="M256" s="68" t="str">
        <f t="shared" si="16"/>
        <v>ACTIVE</v>
      </c>
      <c r="N256" s="68" t="str">
        <f t="shared" si="16"/>
        <v>ACTIVE</v>
      </c>
      <c r="O256" s="68" t="str">
        <f t="shared" si="16"/>
        <v>ACTIVE</v>
      </c>
      <c r="P256" s="68" t="str">
        <f t="shared" si="16"/>
        <v>ACTIVE</v>
      </c>
      <c r="Q256" s="68" t="str">
        <f t="shared" si="16"/>
        <v>ACTIVE</v>
      </c>
    </row>
    <row r="257" spans="2:17" x14ac:dyDescent="0.35">
      <c r="B257" s="70" t="str">
        <v>30KP4384</v>
      </c>
      <c r="C257" s="68" t="str">
        <f>VLOOKUP(B257,Master!B:C,2,0)</f>
        <v>30KP4384</v>
      </c>
      <c r="D257" s="69">
        <f>VLOOKUP(B257,Master!B:L,11,0)</f>
        <v>44680</v>
      </c>
      <c r="E257" s="69">
        <f>VLOOKUP(B257,Master!B:P,15,0)</f>
        <v>0</v>
      </c>
      <c r="F257" s="68" t="str">
        <f t="shared" si="16"/>
        <v>ACTIVE</v>
      </c>
      <c r="G257" s="68" t="str">
        <f t="shared" si="16"/>
        <v>ACTIVE</v>
      </c>
      <c r="H257" s="68" t="str">
        <f t="shared" si="16"/>
        <v>ACTIVE</v>
      </c>
      <c r="I257" s="68" t="str">
        <f t="shared" si="16"/>
        <v>ACTIVE</v>
      </c>
      <c r="J257" s="68" t="str">
        <f t="shared" si="16"/>
        <v>ACTIVE</v>
      </c>
      <c r="K257" s="68" t="str">
        <f t="shared" si="16"/>
        <v>ACTIVE</v>
      </c>
      <c r="L257" s="68" t="str">
        <f t="shared" si="16"/>
        <v>ACTIVE</v>
      </c>
      <c r="M257" s="68" t="str">
        <f t="shared" si="16"/>
        <v>ACTIVE</v>
      </c>
      <c r="N257" s="68" t="str">
        <f t="shared" si="16"/>
        <v>ACTIVE</v>
      </c>
      <c r="O257" s="68" t="str">
        <f t="shared" si="16"/>
        <v>ACTIVE</v>
      </c>
      <c r="P257" s="68" t="str">
        <f t="shared" si="16"/>
        <v>ACTIVE</v>
      </c>
      <c r="Q257" s="68" t="str">
        <f t="shared" si="16"/>
        <v>ACTIVE</v>
      </c>
    </row>
    <row r="258" spans="2:17" x14ac:dyDescent="0.35">
      <c r="B258" s="70" t="str">
        <v>30GG4083</v>
      </c>
      <c r="C258" s="68" t="str">
        <f>VLOOKUP(B258,Master!B:C,2,0)</f>
        <v>30GG4083</v>
      </c>
      <c r="D258" s="69">
        <f>VLOOKUP(B258,Master!B:L,11,0)</f>
        <v>44680</v>
      </c>
      <c r="E258" s="69">
        <f>VLOOKUP(B258,Master!B:P,15,0)</f>
        <v>0</v>
      </c>
      <c r="F258" s="68" t="str">
        <f t="shared" si="16"/>
        <v>ACTIVE</v>
      </c>
      <c r="G258" s="68" t="str">
        <f t="shared" si="16"/>
        <v>ACTIVE</v>
      </c>
      <c r="H258" s="68" t="str">
        <f t="shared" si="16"/>
        <v>ACTIVE</v>
      </c>
      <c r="I258" s="68" t="str">
        <f t="shared" si="16"/>
        <v>ACTIVE</v>
      </c>
      <c r="J258" s="68" t="str">
        <f t="shared" si="16"/>
        <v>ACTIVE</v>
      </c>
      <c r="K258" s="68" t="str">
        <f t="shared" si="16"/>
        <v>ACTIVE</v>
      </c>
      <c r="L258" s="68" t="str">
        <f t="shared" si="16"/>
        <v>ACTIVE</v>
      </c>
      <c r="M258" s="68" t="str">
        <f t="shared" si="16"/>
        <v>ACTIVE</v>
      </c>
      <c r="N258" s="68" t="str">
        <f t="shared" si="16"/>
        <v>ACTIVE</v>
      </c>
      <c r="O258" s="68" t="str">
        <f t="shared" si="16"/>
        <v>ACTIVE</v>
      </c>
      <c r="P258" s="68" t="str">
        <f t="shared" si="16"/>
        <v>ACTIVE</v>
      </c>
      <c r="Q258" s="68" t="str">
        <f t="shared" si="16"/>
        <v>ACTIVE</v>
      </c>
    </row>
    <row r="259" spans="2:17" x14ac:dyDescent="0.35">
      <c r="B259" s="70" t="str">
        <v>30KK4317</v>
      </c>
      <c r="C259" s="68" t="str">
        <f>VLOOKUP(B259,Master!B:C,2,0)</f>
        <v>30KK4317</v>
      </c>
      <c r="D259" s="69">
        <f>VLOOKUP(B259,Master!B:L,11,0)</f>
        <v>44713</v>
      </c>
      <c r="E259" s="69">
        <f>VLOOKUP(B259,Master!B:P,15,0)</f>
        <v>0</v>
      </c>
      <c r="F259" s="68" t="str">
        <f t="shared" si="16"/>
        <v>ACTIVE</v>
      </c>
      <c r="G259" s="68" t="str">
        <f t="shared" si="16"/>
        <v>ACTIVE</v>
      </c>
      <c r="H259" s="68" t="str">
        <f t="shared" si="16"/>
        <v>ACTIVE</v>
      </c>
      <c r="I259" s="68" t="str">
        <f t="shared" si="16"/>
        <v>ACTIVE</v>
      </c>
      <c r="J259" s="68" t="str">
        <f t="shared" si="16"/>
        <v>ACTIVE</v>
      </c>
      <c r="K259" s="68" t="str">
        <f t="shared" si="16"/>
        <v>ACTIVE</v>
      </c>
      <c r="L259" s="68" t="str">
        <f t="shared" si="16"/>
        <v>ACTIVE</v>
      </c>
      <c r="M259" s="68" t="str">
        <f t="shared" si="16"/>
        <v>ACTIVE</v>
      </c>
      <c r="N259" s="68" t="str">
        <f t="shared" si="16"/>
        <v>ACTIVE</v>
      </c>
      <c r="O259" s="68" t="str">
        <f t="shared" si="16"/>
        <v>ACTIVE</v>
      </c>
      <c r="P259" s="68" t="str">
        <f t="shared" si="16"/>
        <v>ACTIVE</v>
      </c>
      <c r="Q259" s="68" t="str">
        <f t="shared" si="16"/>
        <v>ACTIVE</v>
      </c>
    </row>
    <row r="260" spans="2:17" x14ac:dyDescent="0.35">
      <c r="B260" s="70" t="str">
        <v>30MW4365</v>
      </c>
      <c r="C260" s="68" t="str">
        <f>VLOOKUP(B260,Master!B:C,2,0)</f>
        <v>30MW4365</v>
      </c>
      <c r="D260" s="69">
        <f>VLOOKUP(B260,Master!B:L,11,0)</f>
        <v>44681</v>
      </c>
      <c r="E260" s="69">
        <f>VLOOKUP(B260,Master!B:P,15,0)</f>
        <v>0</v>
      </c>
      <c r="F260" s="68" t="str">
        <f t="shared" ref="F260:Q275" si="17">IF($E260&gt;0,"CLOSED",IF($D260&lt;F$1,"ACTIVE","WAITING FOR OPEN"))</f>
        <v>ACTIVE</v>
      </c>
      <c r="G260" s="68" t="str">
        <f t="shared" si="17"/>
        <v>ACTIVE</v>
      </c>
      <c r="H260" s="68" t="str">
        <f t="shared" si="17"/>
        <v>ACTIVE</v>
      </c>
      <c r="I260" s="68" t="str">
        <f t="shared" si="17"/>
        <v>ACTIVE</v>
      </c>
      <c r="J260" s="68" t="str">
        <f t="shared" si="17"/>
        <v>ACTIVE</v>
      </c>
      <c r="K260" s="68" t="str">
        <f t="shared" si="17"/>
        <v>ACTIVE</v>
      </c>
      <c r="L260" s="68" t="str">
        <f t="shared" si="17"/>
        <v>ACTIVE</v>
      </c>
      <c r="M260" s="68" t="str">
        <f t="shared" si="17"/>
        <v>ACTIVE</v>
      </c>
      <c r="N260" s="68" t="str">
        <f t="shared" si="17"/>
        <v>ACTIVE</v>
      </c>
      <c r="O260" s="68" t="str">
        <f t="shared" si="17"/>
        <v>ACTIVE</v>
      </c>
      <c r="P260" s="68" t="str">
        <f t="shared" si="17"/>
        <v>ACTIVE</v>
      </c>
      <c r="Q260" s="68" t="str">
        <f t="shared" si="17"/>
        <v>ACTIVE</v>
      </c>
    </row>
    <row r="261" spans="2:17" x14ac:dyDescent="0.35">
      <c r="B261" s="70" t="str">
        <v>10SM4926</v>
      </c>
      <c r="C261" s="68" t="str">
        <f>VLOOKUP(B261,Master!B:C,2,0)</f>
        <v>10SM4926</v>
      </c>
      <c r="D261" s="69">
        <f>VLOOKUP(B261,Master!B:L,11,0)</f>
        <v>44768</v>
      </c>
      <c r="E261" s="69">
        <f>VLOOKUP(B261,Master!B:P,15,0)</f>
        <v>0</v>
      </c>
      <c r="F261" s="68" t="str">
        <f t="shared" si="17"/>
        <v>ACTIVE</v>
      </c>
      <c r="G261" s="68" t="str">
        <f t="shared" si="17"/>
        <v>ACTIVE</v>
      </c>
      <c r="H261" s="68" t="str">
        <f t="shared" si="17"/>
        <v>ACTIVE</v>
      </c>
      <c r="I261" s="68" t="str">
        <f t="shared" si="17"/>
        <v>ACTIVE</v>
      </c>
      <c r="J261" s="68" t="str">
        <f t="shared" si="17"/>
        <v>ACTIVE</v>
      </c>
      <c r="K261" s="68" t="str">
        <f t="shared" si="17"/>
        <v>ACTIVE</v>
      </c>
      <c r="L261" s="68" t="str">
        <f t="shared" si="17"/>
        <v>ACTIVE</v>
      </c>
      <c r="M261" s="68" t="str">
        <f t="shared" si="17"/>
        <v>ACTIVE</v>
      </c>
      <c r="N261" s="68" t="str">
        <f t="shared" si="17"/>
        <v>ACTIVE</v>
      </c>
      <c r="O261" s="68" t="str">
        <f t="shared" si="17"/>
        <v>ACTIVE</v>
      </c>
      <c r="P261" s="68" t="str">
        <f t="shared" si="17"/>
        <v>ACTIVE</v>
      </c>
      <c r="Q261" s="68" t="str">
        <f t="shared" si="17"/>
        <v>ACTIVE</v>
      </c>
    </row>
    <row r="262" spans="2:17" x14ac:dyDescent="0.35">
      <c r="B262" s="70" t="str">
        <v>10SS5916</v>
      </c>
      <c r="C262" s="68" t="str">
        <f>VLOOKUP(B262,Master!B:C,2,0)</f>
        <v>10SS5916</v>
      </c>
      <c r="D262" s="69">
        <f>VLOOKUP(B262,Master!B:L,11,0)</f>
        <v>44758</v>
      </c>
      <c r="E262" s="69">
        <f>VLOOKUP(B262,Master!B:P,15,0)</f>
        <v>0</v>
      </c>
      <c r="F262" s="68" t="str">
        <f t="shared" si="17"/>
        <v>ACTIVE</v>
      </c>
      <c r="G262" s="68" t="str">
        <f t="shared" si="17"/>
        <v>ACTIVE</v>
      </c>
      <c r="H262" s="68" t="str">
        <f t="shared" si="17"/>
        <v>ACTIVE</v>
      </c>
      <c r="I262" s="68" t="str">
        <f t="shared" si="17"/>
        <v>ACTIVE</v>
      </c>
      <c r="J262" s="68" t="str">
        <f t="shared" si="17"/>
        <v>ACTIVE</v>
      </c>
      <c r="K262" s="68" t="str">
        <f t="shared" si="17"/>
        <v>ACTIVE</v>
      </c>
      <c r="L262" s="68" t="str">
        <f t="shared" si="17"/>
        <v>ACTIVE</v>
      </c>
      <c r="M262" s="68" t="str">
        <f t="shared" si="17"/>
        <v>ACTIVE</v>
      </c>
      <c r="N262" s="68" t="str">
        <f t="shared" si="17"/>
        <v>ACTIVE</v>
      </c>
      <c r="O262" s="68" t="str">
        <f t="shared" si="17"/>
        <v>ACTIVE</v>
      </c>
      <c r="P262" s="68" t="str">
        <f t="shared" si="17"/>
        <v>ACTIVE</v>
      </c>
      <c r="Q262" s="68" t="str">
        <f t="shared" si="17"/>
        <v>ACTIVE</v>
      </c>
    </row>
    <row r="263" spans="2:17" x14ac:dyDescent="0.35">
      <c r="B263" s="70" t="str">
        <v>30SS4581</v>
      </c>
      <c r="C263" s="68" t="str">
        <f>VLOOKUP(B263,Master!B:C,2,0)</f>
        <v>30SS4581</v>
      </c>
      <c r="D263" s="69">
        <f>VLOOKUP(B263,Master!B:L,11,0)</f>
        <v>44757</v>
      </c>
      <c r="E263" s="69">
        <f>VLOOKUP(B263,Master!B:P,15,0)</f>
        <v>0</v>
      </c>
      <c r="F263" s="68" t="str">
        <f t="shared" si="17"/>
        <v>ACTIVE</v>
      </c>
      <c r="G263" s="68" t="str">
        <f t="shared" si="17"/>
        <v>ACTIVE</v>
      </c>
      <c r="H263" s="68" t="str">
        <f t="shared" si="17"/>
        <v>ACTIVE</v>
      </c>
      <c r="I263" s="68" t="str">
        <f t="shared" si="17"/>
        <v>ACTIVE</v>
      </c>
      <c r="J263" s="68" t="str">
        <f t="shared" si="17"/>
        <v>ACTIVE</v>
      </c>
      <c r="K263" s="68" t="str">
        <f t="shared" si="17"/>
        <v>ACTIVE</v>
      </c>
      <c r="L263" s="68" t="str">
        <f t="shared" si="17"/>
        <v>ACTIVE</v>
      </c>
      <c r="M263" s="68" t="str">
        <f t="shared" si="17"/>
        <v>ACTIVE</v>
      </c>
      <c r="N263" s="68" t="str">
        <f t="shared" si="17"/>
        <v>ACTIVE</v>
      </c>
      <c r="O263" s="68" t="str">
        <f t="shared" si="17"/>
        <v>ACTIVE</v>
      </c>
      <c r="P263" s="68" t="str">
        <f t="shared" si="17"/>
        <v>ACTIVE</v>
      </c>
      <c r="Q263" s="68" t="str">
        <f t="shared" si="17"/>
        <v>ACTIVE</v>
      </c>
    </row>
    <row r="264" spans="2:17" x14ac:dyDescent="0.35">
      <c r="B264" s="70" t="str">
        <v>30KP4387</v>
      </c>
      <c r="C264" s="68" t="str">
        <f>VLOOKUP(B264,Master!B:C,2,0)</f>
        <v>30KP4387</v>
      </c>
      <c r="D264" s="69">
        <f>VLOOKUP(B264,Master!B:L,11,0)</f>
        <v>44761</v>
      </c>
      <c r="E264" s="69">
        <f>VLOOKUP(B264,Master!B:P,15,0)</f>
        <v>0</v>
      </c>
      <c r="F264" s="68" t="str">
        <f t="shared" si="17"/>
        <v>ACTIVE</v>
      </c>
      <c r="G264" s="68" t="str">
        <f t="shared" si="17"/>
        <v>ACTIVE</v>
      </c>
      <c r="H264" s="68" t="str">
        <f t="shared" si="17"/>
        <v>ACTIVE</v>
      </c>
      <c r="I264" s="68" t="str">
        <f t="shared" si="17"/>
        <v>ACTIVE</v>
      </c>
      <c r="J264" s="68" t="str">
        <f t="shared" si="17"/>
        <v>ACTIVE</v>
      </c>
      <c r="K264" s="68" t="str">
        <f t="shared" si="17"/>
        <v>ACTIVE</v>
      </c>
      <c r="L264" s="68" t="str">
        <f t="shared" si="17"/>
        <v>ACTIVE</v>
      </c>
      <c r="M264" s="68" t="str">
        <f t="shared" si="17"/>
        <v>ACTIVE</v>
      </c>
      <c r="N264" s="68" t="str">
        <f t="shared" si="17"/>
        <v>ACTIVE</v>
      </c>
      <c r="O264" s="68" t="str">
        <f t="shared" si="17"/>
        <v>ACTIVE</v>
      </c>
      <c r="P264" s="68" t="str">
        <f t="shared" si="17"/>
        <v>ACTIVE</v>
      </c>
      <c r="Q264" s="68" t="str">
        <f t="shared" si="17"/>
        <v>ACTIVE</v>
      </c>
    </row>
    <row r="265" spans="2:17" x14ac:dyDescent="0.35">
      <c r="B265" s="70" t="str">
        <v>30KP4386</v>
      </c>
      <c r="C265" s="68" t="str">
        <f>VLOOKUP(B265,Master!B:C,2,0)</f>
        <v>30KP4386</v>
      </c>
      <c r="D265" s="69">
        <f>VLOOKUP(B265,Master!B:L,11,0)</f>
        <v>44752</v>
      </c>
      <c r="E265" s="69">
        <f>VLOOKUP(B265,Master!B:P,15,0)</f>
        <v>0</v>
      </c>
      <c r="F265" s="68" t="str">
        <f t="shared" si="17"/>
        <v>ACTIVE</v>
      </c>
      <c r="G265" s="68" t="str">
        <f t="shared" si="17"/>
        <v>ACTIVE</v>
      </c>
      <c r="H265" s="68" t="str">
        <f t="shared" si="17"/>
        <v>ACTIVE</v>
      </c>
      <c r="I265" s="68" t="str">
        <f t="shared" si="17"/>
        <v>ACTIVE</v>
      </c>
      <c r="J265" s="68" t="str">
        <f t="shared" si="17"/>
        <v>ACTIVE</v>
      </c>
      <c r="K265" s="68" t="str">
        <f t="shared" si="17"/>
        <v>ACTIVE</v>
      </c>
      <c r="L265" s="68" t="str">
        <f t="shared" si="17"/>
        <v>ACTIVE</v>
      </c>
      <c r="M265" s="68" t="str">
        <f t="shared" si="17"/>
        <v>ACTIVE</v>
      </c>
      <c r="N265" s="68" t="str">
        <f t="shared" si="17"/>
        <v>ACTIVE</v>
      </c>
      <c r="O265" s="68" t="str">
        <f t="shared" si="17"/>
        <v>ACTIVE</v>
      </c>
      <c r="P265" s="68" t="str">
        <f t="shared" si="17"/>
        <v>ACTIVE</v>
      </c>
      <c r="Q265" s="68" t="str">
        <f t="shared" si="17"/>
        <v>ACTIVE</v>
      </c>
    </row>
    <row r="266" spans="2:17" x14ac:dyDescent="0.35">
      <c r="B266" s="70" t="str">
        <v>30GG4082</v>
      </c>
      <c r="C266" s="68" t="str">
        <f>VLOOKUP(B266,Master!B:C,2,0)</f>
        <v>30GG4082</v>
      </c>
      <c r="D266" s="69">
        <f>VLOOKUP(B266,Master!B:L,11,0)</f>
        <v>44329</v>
      </c>
      <c r="E266" s="69">
        <f>VLOOKUP(B266,Master!B:P,15,0)</f>
        <v>0</v>
      </c>
      <c r="F266" s="68" t="str">
        <f t="shared" si="17"/>
        <v>ACTIVE</v>
      </c>
      <c r="G266" s="68" t="str">
        <f t="shared" si="17"/>
        <v>ACTIVE</v>
      </c>
      <c r="H266" s="68" t="str">
        <f t="shared" si="17"/>
        <v>ACTIVE</v>
      </c>
      <c r="I266" s="68" t="str">
        <f t="shared" si="17"/>
        <v>ACTIVE</v>
      </c>
      <c r="J266" s="68" t="str">
        <f t="shared" si="17"/>
        <v>ACTIVE</v>
      </c>
      <c r="K266" s="68" t="str">
        <f t="shared" si="17"/>
        <v>ACTIVE</v>
      </c>
      <c r="L266" s="68" t="str">
        <f t="shared" si="17"/>
        <v>ACTIVE</v>
      </c>
      <c r="M266" s="68" t="str">
        <f t="shared" si="17"/>
        <v>ACTIVE</v>
      </c>
      <c r="N266" s="68" t="str">
        <f t="shared" si="17"/>
        <v>ACTIVE</v>
      </c>
      <c r="O266" s="68" t="str">
        <f t="shared" si="17"/>
        <v>ACTIVE</v>
      </c>
      <c r="P266" s="68" t="str">
        <f t="shared" si="17"/>
        <v>ACTIVE</v>
      </c>
      <c r="Q266" s="68" t="str">
        <f t="shared" si="17"/>
        <v>ACTIVE</v>
      </c>
    </row>
    <row r="267" spans="2:17" x14ac:dyDescent="0.35">
      <c r="B267" s="70" t="str">
        <v>30GG4088</v>
      </c>
      <c r="C267" s="68" t="str">
        <f>VLOOKUP(B267,Master!B:C,2,0)</f>
        <v>30GG4088</v>
      </c>
      <c r="D267" s="69">
        <f>VLOOKUP(B267,Master!B:L,11,0)</f>
        <v>44789</v>
      </c>
      <c r="E267" s="69">
        <f>VLOOKUP(B267,Master!B:P,15,0)</f>
        <v>0</v>
      </c>
      <c r="F267" s="68" t="str">
        <f t="shared" si="17"/>
        <v>ACTIVE</v>
      </c>
      <c r="G267" s="68" t="str">
        <f t="shared" si="17"/>
        <v>ACTIVE</v>
      </c>
      <c r="H267" s="68" t="str">
        <f t="shared" si="17"/>
        <v>ACTIVE</v>
      </c>
      <c r="I267" s="68" t="str">
        <f t="shared" si="17"/>
        <v>ACTIVE</v>
      </c>
      <c r="J267" s="68" t="str">
        <f t="shared" si="17"/>
        <v>ACTIVE</v>
      </c>
      <c r="K267" s="68" t="str">
        <f t="shared" si="17"/>
        <v>ACTIVE</v>
      </c>
      <c r="L267" s="68" t="str">
        <f t="shared" si="17"/>
        <v>ACTIVE</v>
      </c>
      <c r="M267" s="68" t="str">
        <f t="shared" si="17"/>
        <v>ACTIVE</v>
      </c>
      <c r="N267" s="68" t="str">
        <f t="shared" si="17"/>
        <v>ACTIVE</v>
      </c>
      <c r="O267" s="68" t="str">
        <f t="shared" si="17"/>
        <v>ACTIVE</v>
      </c>
      <c r="P267" s="68" t="str">
        <f t="shared" si="17"/>
        <v>ACTIVE</v>
      </c>
      <c r="Q267" s="68" t="str">
        <f t="shared" si="17"/>
        <v>ACTIVE</v>
      </c>
    </row>
    <row r="268" spans="2:17" x14ac:dyDescent="0.35">
      <c r="B268" s="70" t="str">
        <v>30MW4368</v>
      </c>
      <c r="C268" s="68" t="str">
        <f>VLOOKUP(B268,Master!B:C,2,0)</f>
        <v>30MW4368</v>
      </c>
      <c r="D268" s="69">
        <f>VLOOKUP(B268,Master!B:L,11,0)</f>
        <v>44783</v>
      </c>
      <c r="E268" s="69">
        <f>VLOOKUP(B268,Master!B:P,15,0)</f>
        <v>0</v>
      </c>
      <c r="F268" s="68" t="str">
        <f t="shared" si="17"/>
        <v>ACTIVE</v>
      </c>
      <c r="G268" s="68" t="str">
        <f t="shared" si="17"/>
        <v>ACTIVE</v>
      </c>
      <c r="H268" s="68" t="str">
        <f t="shared" si="17"/>
        <v>ACTIVE</v>
      </c>
      <c r="I268" s="68" t="str">
        <f t="shared" si="17"/>
        <v>ACTIVE</v>
      </c>
      <c r="J268" s="68" t="str">
        <f t="shared" si="17"/>
        <v>ACTIVE</v>
      </c>
      <c r="K268" s="68" t="str">
        <f t="shared" si="17"/>
        <v>ACTIVE</v>
      </c>
      <c r="L268" s="68" t="str">
        <f t="shared" si="17"/>
        <v>ACTIVE</v>
      </c>
      <c r="M268" s="68" t="str">
        <f t="shared" si="17"/>
        <v>ACTIVE</v>
      </c>
      <c r="N268" s="68" t="str">
        <f t="shared" si="17"/>
        <v>ACTIVE</v>
      </c>
      <c r="O268" s="68" t="str">
        <f t="shared" si="17"/>
        <v>ACTIVE</v>
      </c>
      <c r="P268" s="68" t="str">
        <f t="shared" si="17"/>
        <v>ACTIVE</v>
      </c>
      <c r="Q268" s="68" t="str">
        <f t="shared" si="17"/>
        <v>ACTIVE</v>
      </c>
    </row>
    <row r="269" spans="2:17" x14ac:dyDescent="0.35">
      <c r="B269" s="70" t="str">
        <v>30MW4369</v>
      </c>
      <c r="C269" s="68" t="str">
        <f>VLOOKUP(B269,Master!B:C,2,0)</f>
        <v>30MW4369</v>
      </c>
      <c r="D269" s="69">
        <f>VLOOKUP(B269,Master!B:L,11,0)</f>
        <v>44781</v>
      </c>
      <c r="E269" s="69">
        <f>VLOOKUP(B269,Master!B:P,15,0)</f>
        <v>0</v>
      </c>
      <c r="F269" s="68" t="str">
        <f t="shared" si="17"/>
        <v>ACTIVE</v>
      </c>
      <c r="G269" s="68" t="str">
        <f t="shared" si="17"/>
        <v>ACTIVE</v>
      </c>
      <c r="H269" s="68" t="str">
        <f t="shared" si="17"/>
        <v>ACTIVE</v>
      </c>
      <c r="I269" s="68" t="str">
        <f t="shared" si="17"/>
        <v>ACTIVE</v>
      </c>
      <c r="J269" s="68" t="str">
        <f t="shared" si="17"/>
        <v>ACTIVE</v>
      </c>
      <c r="K269" s="68" t="str">
        <f t="shared" si="17"/>
        <v>ACTIVE</v>
      </c>
      <c r="L269" s="68" t="str">
        <f t="shared" si="17"/>
        <v>ACTIVE</v>
      </c>
      <c r="M269" s="68" t="str">
        <f t="shared" si="17"/>
        <v>ACTIVE</v>
      </c>
      <c r="N269" s="68" t="str">
        <f t="shared" si="17"/>
        <v>ACTIVE</v>
      </c>
      <c r="O269" s="68" t="str">
        <f t="shared" si="17"/>
        <v>ACTIVE</v>
      </c>
      <c r="P269" s="68" t="str">
        <f t="shared" si="17"/>
        <v>ACTIVE</v>
      </c>
      <c r="Q269" s="68" t="str">
        <f t="shared" si="17"/>
        <v>ACTIVE</v>
      </c>
    </row>
    <row r="270" spans="2:17" x14ac:dyDescent="0.35">
      <c r="B270" s="70" t="str">
        <v>10KK4518</v>
      </c>
      <c r="C270" s="68" t="str">
        <f>VLOOKUP(B270,Master!B:C,2,0)</f>
        <v>10KK4518</v>
      </c>
      <c r="D270" s="69">
        <f>VLOOKUP(B270,Master!B:L,11,0)</f>
        <v>44819</v>
      </c>
      <c r="E270" s="69">
        <f>VLOOKUP(B270,Master!B:P,15,0)</f>
        <v>0</v>
      </c>
      <c r="F270" s="68" t="str">
        <f t="shared" si="17"/>
        <v>ACTIVE</v>
      </c>
      <c r="G270" s="68" t="str">
        <f t="shared" si="17"/>
        <v>ACTIVE</v>
      </c>
      <c r="H270" s="68" t="str">
        <f t="shared" si="17"/>
        <v>ACTIVE</v>
      </c>
      <c r="I270" s="68" t="str">
        <f t="shared" si="17"/>
        <v>ACTIVE</v>
      </c>
      <c r="J270" s="68" t="str">
        <f t="shared" si="17"/>
        <v>ACTIVE</v>
      </c>
      <c r="K270" s="68" t="str">
        <f t="shared" si="17"/>
        <v>ACTIVE</v>
      </c>
      <c r="L270" s="68" t="str">
        <f t="shared" si="17"/>
        <v>ACTIVE</v>
      </c>
      <c r="M270" s="68" t="str">
        <f t="shared" si="17"/>
        <v>ACTIVE</v>
      </c>
      <c r="N270" s="68" t="str">
        <f t="shared" si="17"/>
        <v>ACTIVE</v>
      </c>
      <c r="O270" s="68" t="str">
        <f t="shared" si="17"/>
        <v>ACTIVE</v>
      </c>
      <c r="P270" s="68" t="str">
        <f t="shared" si="17"/>
        <v>ACTIVE</v>
      </c>
      <c r="Q270" s="68" t="str">
        <f t="shared" si="17"/>
        <v>ACTIVE</v>
      </c>
    </row>
    <row r="271" spans="2:17" x14ac:dyDescent="0.35">
      <c r="B271" s="70" t="str">
        <v>30SS4522</v>
      </c>
      <c r="C271" s="68" t="str">
        <f>VLOOKUP(B271,Master!B:C,2,0)</f>
        <v>30SS4522</v>
      </c>
      <c r="D271" s="69">
        <f>VLOOKUP(B271,Master!B:L,11,0)</f>
        <v>44819</v>
      </c>
      <c r="E271" s="69">
        <f>VLOOKUP(B271,Master!B:P,15,0)</f>
        <v>0</v>
      </c>
      <c r="F271" s="68" t="str">
        <f t="shared" si="17"/>
        <v>ACTIVE</v>
      </c>
      <c r="G271" s="68" t="str">
        <f t="shared" si="17"/>
        <v>ACTIVE</v>
      </c>
      <c r="H271" s="68" t="str">
        <f t="shared" si="17"/>
        <v>ACTIVE</v>
      </c>
      <c r="I271" s="68" t="str">
        <f t="shared" si="17"/>
        <v>ACTIVE</v>
      </c>
      <c r="J271" s="68" t="str">
        <f t="shared" si="17"/>
        <v>ACTIVE</v>
      </c>
      <c r="K271" s="68" t="str">
        <f t="shared" si="17"/>
        <v>ACTIVE</v>
      </c>
      <c r="L271" s="68" t="str">
        <f t="shared" si="17"/>
        <v>ACTIVE</v>
      </c>
      <c r="M271" s="68" t="str">
        <f t="shared" si="17"/>
        <v>ACTIVE</v>
      </c>
      <c r="N271" s="68" t="str">
        <f t="shared" si="17"/>
        <v>ACTIVE</v>
      </c>
      <c r="O271" s="68" t="str">
        <f t="shared" si="17"/>
        <v>ACTIVE</v>
      </c>
      <c r="P271" s="68" t="str">
        <f t="shared" si="17"/>
        <v>ACTIVE</v>
      </c>
      <c r="Q271" s="68" t="str">
        <f t="shared" si="17"/>
        <v>ACTIVE</v>
      </c>
    </row>
    <row r="272" spans="2:17" x14ac:dyDescent="0.35">
      <c r="B272" s="70" t="str">
        <v>05HNOST001</v>
      </c>
      <c r="C272" s="68" t="str">
        <f>VLOOKUP(B272,Master!B:C,2,0)</f>
        <v>05HNOST001</v>
      </c>
      <c r="D272" s="69">
        <f>VLOOKUP(B272,Master!B:L,11,0)</f>
        <v>44803</v>
      </c>
      <c r="E272" s="69">
        <f>VLOOKUP(B272,Master!B:P,15,0)</f>
        <v>0</v>
      </c>
      <c r="F272" s="68" t="str">
        <f t="shared" si="17"/>
        <v>ACTIVE</v>
      </c>
      <c r="G272" s="68" t="str">
        <f t="shared" si="17"/>
        <v>ACTIVE</v>
      </c>
      <c r="H272" s="68" t="str">
        <f t="shared" si="17"/>
        <v>ACTIVE</v>
      </c>
      <c r="I272" s="68" t="str">
        <f t="shared" si="17"/>
        <v>ACTIVE</v>
      </c>
      <c r="J272" s="68" t="str">
        <f t="shared" si="17"/>
        <v>ACTIVE</v>
      </c>
      <c r="K272" s="68" t="str">
        <f t="shared" si="17"/>
        <v>ACTIVE</v>
      </c>
      <c r="L272" s="68" t="str">
        <f t="shared" si="17"/>
        <v>ACTIVE</v>
      </c>
      <c r="M272" s="68" t="str">
        <f t="shared" si="17"/>
        <v>ACTIVE</v>
      </c>
      <c r="N272" s="68" t="str">
        <f t="shared" si="17"/>
        <v>ACTIVE</v>
      </c>
      <c r="O272" s="68" t="str">
        <f t="shared" si="17"/>
        <v>ACTIVE</v>
      </c>
      <c r="P272" s="68" t="str">
        <f t="shared" si="17"/>
        <v>ACTIVE</v>
      </c>
      <c r="Q272" s="68" t="str">
        <f t="shared" si="17"/>
        <v>ACTIVE</v>
      </c>
    </row>
    <row r="273" spans="2:17" x14ac:dyDescent="0.35">
      <c r="B273" s="70" t="str">
        <v>10CT6524</v>
      </c>
      <c r="C273" s="68" t="str">
        <f>VLOOKUP(B273,Master!B:C,2,0)</f>
        <v>10CT6524</v>
      </c>
      <c r="D273" s="69">
        <f>VLOOKUP(B273,Master!B:L,11,0)</f>
        <v>44781</v>
      </c>
      <c r="E273" s="69">
        <f>VLOOKUP(B273,Master!B:P,15,0)</f>
        <v>0</v>
      </c>
      <c r="F273" s="68" t="str">
        <f t="shared" si="17"/>
        <v>ACTIVE</v>
      </c>
      <c r="G273" s="68" t="str">
        <f t="shared" si="17"/>
        <v>ACTIVE</v>
      </c>
      <c r="H273" s="68" t="str">
        <f t="shared" si="17"/>
        <v>ACTIVE</v>
      </c>
      <c r="I273" s="68" t="str">
        <f t="shared" si="17"/>
        <v>ACTIVE</v>
      </c>
      <c r="J273" s="68" t="str">
        <f t="shared" si="17"/>
        <v>ACTIVE</v>
      </c>
      <c r="K273" s="68" t="str">
        <f t="shared" si="17"/>
        <v>ACTIVE</v>
      </c>
      <c r="L273" s="68" t="str">
        <f t="shared" si="17"/>
        <v>ACTIVE</v>
      </c>
      <c r="M273" s="68" t="str">
        <f t="shared" si="17"/>
        <v>ACTIVE</v>
      </c>
      <c r="N273" s="68" t="str">
        <f t="shared" si="17"/>
        <v>ACTIVE</v>
      </c>
      <c r="O273" s="68" t="str">
        <f t="shared" si="17"/>
        <v>ACTIVE</v>
      </c>
      <c r="P273" s="68" t="str">
        <f t="shared" si="17"/>
        <v>ACTIVE</v>
      </c>
      <c r="Q273" s="68" t="str">
        <f t="shared" si="17"/>
        <v>ACTIVE</v>
      </c>
    </row>
    <row r="274" spans="2:17" x14ac:dyDescent="0.35">
      <c r="B274" s="70" t="str">
        <v>10CT6523</v>
      </c>
      <c r="C274" s="68" t="str">
        <f>VLOOKUP(B274,Master!B:C,2,0)</f>
        <v>10CT6523</v>
      </c>
      <c r="D274" s="69">
        <f>VLOOKUP(B274,Master!B:L,11,0)</f>
        <v>44781</v>
      </c>
      <c r="E274" s="69">
        <f>VLOOKUP(B274,Master!B:P,15,0)</f>
        <v>0</v>
      </c>
      <c r="F274" s="68" t="str">
        <f t="shared" si="17"/>
        <v>ACTIVE</v>
      </c>
      <c r="G274" s="68" t="str">
        <f t="shared" si="17"/>
        <v>ACTIVE</v>
      </c>
      <c r="H274" s="68" t="str">
        <f t="shared" si="17"/>
        <v>ACTIVE</v>
      </c>
      <c r="I274" s="68" t="str">
        <f t="shared" si="17"/>
        <v>ACTIVE</v>
      </c>
      <c r="J274" s="68" t="str">
        <f t="shared" si="17"/>
        <v>ACTIVE</v>
      </c>
      <c r="K274" s="68" t="str">
        <f t="shared" si="17"/>
        <v>ACTIVE</v>
      </c>
      <c r="L274" s="68" t="str">
        <f t="shared" si="17"/>
        <v>ACTIVE</v>
      </c>
      <c r="M274" s="68" t="str">
        <f t="shared" si="17"/>
        <v>ACTIVE</v>
      </c>
      <c r="N274" s="68" t="str">
        <f t="shared" si="17"/>
        <v>ACTIVE</v>
      </c>
      <c r="O274" s="68" t="str">
        <f t="shared" si="17"/>
        <v>ACTIVE</v>
      </c>
      <c r="P274" s="68" t="str">
        <f t="shared" si="17"/>
        <v>ACTIVE</v>
      </c>
      <c r="Q274" s="68" t="str">
        <f t="shared" si="17"/>
        <v>ACTIVE</v>
      </c>
    </row>
    <row r="275" spans="2:17" x14ac:dyDescent="0.35">
      <c r="B275" s="70" t="str">
        <v>30MW4370</v>
      </c>
      <c r="C275" s="68" t="str">
        <f>VLOOKUP(B275,Master!B:C,2,0)</f>
        <v>30MW4370</v>
      </c>
      <c r="D275" s="69">
        <f>VLOOKUP(B275,Master!B:L,11,0)</f>
        <v>44857</v>
      </c>
      <c r="E275" s="69">
        <f>VLOOKUP(B275,Master!B:P,15,0)</f>
        <v>0</v>
      </c>
      <c r="F275" s="68" t="str">
        <f t="shared" si="17"/>
        <v>ACTIVE</v>
      </c>
      <c r="G275" s="68" t="str">
        <f t="shared" si="17"/>
        <v>ACTIVE</v>
      </c>
      <c r="H275" s="68" t="str">
        <f t="shared" si="17"/>
        <v>ACTIVE</v>
      </c>
      <c r="I275" s="68" t="str">
        <f t="shared" si="17"/>
        <v>ACTIVE</v>
      </c>
      <c r="J275" s="68" t="str">
        <f t="shared" si="17"/>
        <v>ACTIVE</v>
      </c>
      <c r="K275" s="68" t="str">
        <f t="shared" si="17"/>
        <v>ACTIVE</v>
      </c>
      <c r="L275" s="68" t="str">
        <f t="shared" si="17"/>
        <v>ACTIVE</v>
      </c>
      <c r="M275" s="68" t="str">
        <f t="shared" si="17"/>
        <v>ACTIVE</v>
      </c>
      <c r="N275" s="68" t="str">
        <f t="shared" si="17"/>
        <v>ACTIVE</v>
      </c>
      <c r="O275" s="68" t="str">
        <f t="shared" si="17"/>
        <v>ACTIVE</v>
      </c>
      <c r="P275" s="68" t="str">
        <f t="shared" si="17"/>
        <v>ACTIVE</v>
      </c>
      <c r="Q275" s="68" t="str">
        <f t="shared" si="17"/>
        <v>ACTIVE</v>
      </c>
    </row>
    <row r="276" spans="2:17" x14ac:dyDescent="0.35">
      <c r="B276" s="70" t="str">
        <v>30KK4320</v>
      </c>
      <c r="C276" s="68" t="str">
        <f>VLOOKUP(B276,Master!B:C,2,0)</f>
        <v>30KK4320</v>
      </c>
      <c r="D276" s="69">
        <f>VLOOKUP(B276,Master!B:L,11,0)</f>
        <v>44847</v>
      </c>
      <c r="E276" s="69">
        <f>VLOOKUP(B276,Master!B:P,15,0)</f>
        <v>0</v>
      </c>
      <c r="F276" s="68" t="str">
        <f t="shared" ref="F276:Q291" si="18">IF($E276&gt;0,"CLOSED",IF($D276&lt;F$1,"ACTIVE","WAITING FOR OPEN"))</f>
        <v>ACTIVE</v>
      </c>
      <c r="G276" s="68" t="str">
        <f t="shared" si="18"/>
        <v>ACTIVE</v>
      </c>
      <c r="H276" s="68" t="str">
        <f t="shared" si="18"/>
        <v>ACTIVE</v>
      </c>
      <c r="I276" s="68" t="str">
        <f t="shared" si="18"/>
        <v>ACTIVE</v>
      </c>
      <c r="J276" s="68" t="str">
        <f t="shared" si="18"/>
        <v>ACTIVE</v>
      </c>
      <c r="K276" s="68" t="str">
        <f t="shared" si="18"/>
        <v>ACTIVE</v>
      </c>
      <c r="L276" s="68" t="str">
        <f t="shared" si="18"/>
        <v>ACTIVE</v>
      </c>
      <c r="M276" s="68" t="str">
        <f t="shared" si="18"/>
        <v>ACTIVE</v>
      </c>
      <c r="N276" s="68" t="str">
        <f t="shared" si="18"/>
        <v>ACTIVE</v>
      </c>
      <c r="O276" s="68" t="str">
        <f t="shared" si="18"/>
        <v>ACTIVE</v>
      </c>
      <c r="P276" s="68" t="str">
        <f t="shared" si="18"/>
        <v>ACTIVE</v>
      </c>
      <c r="Q276" s="68" t="str">
        <f t="shared" si="18"/>
        <v>ACTIVE</v>
      </c>
    </row>
    <row r="277" spans="2:17" x14ac:dyDescent="0.35">
      <c r="B277" s="70" t="str">
        <v>30GG4090</v>
      </c>
      <c r="C277" s="68" t="str">
        <f>VLOOKUP(B277,Master!B:C,2,0)</f>
        <v>30GG4090</v>
      </c>
      <c r="D277" s="69">
        <f>VLOOKUP(B277,Master!B:L,11,0)</f>
        <v>44843</v>
      </c>
      <c r="E277" s="69">
        <f>VLOOKUP(B277,Master!B:P,15,0)</f>
        <v>0</v>
      </c>
      <c r="F277" s="68" t="str">
        <f t="shared" si="18"/>
        <v>ACTIVE</v>
      </c>
      <c r="G277" s="68" t="str">
        <f t="shared" si="18"/>
        <v>ACTIVE</v>
      </c>
      <c r="H277" s="68" t="str">
        <f t="shared" si="18"/>
        <v>ACTIVE</v>
      </c>
      <c r="I277" s="68" t="str">
        <f t="shared" si="18"/>
        <v>ACTIVE</v>
      </c>
      <c r="J277" s="68" t="str">
        <f t="shared" si="18"/>
        <v>ACTIVE</v>
      </c>
      <c r="K277" s="68" t="str">
        <f t="shared" si="18"/>
        <v>ACTIVE</v>
      </c>
      <c r="L277" s="68" t="str">
        <f t="shared" si="18"/>
        <v>ACTIVE</v>
      </c>
      <c r="M277" s="68" t="str">
        <f t="shared" si="18"/>
        <v>ACTIVE</v>
      </c>
      <c r="N277" s="68" t="str">
        <f t="shared" si="18"/>
        <v>ACTIVE</v>
      </c>
      <c r="O277" s="68" t="str">
        <f t="shared" si="18"/>
        <v>ACTIVE</v>
      </c>
      <c r="P277" s="68" t="str">
        <f t="shared" si="18"/>
        <v>ACTIVE</v>
      </c>
      <c r="Q277" s="68" t="str">
        <f t="shared" si="18"/>
        <v>ACTIVE</v>
      </c>
    </row>
    <row r="278" spans="2:17" x14ac:dyDescent="0.35">
      <c r="B278" s="70" t="str">
        <v>10MW5155</v>
      </c>
      <c r="C278" s="68" t="str">
        <f>VLOOKUP(B278,Master!B:C,2,0)</f>
        <v>10MW5155</v>
      </c>
      <c r="D278" s="69">
        <f>VLOOKUP(B278,Master!B:L,11,0)</f>
        <v>44845</v>
      </c>
      <c r="E278" s="69">
        <f>VLOOKUP(B278,Master!B:P,15,0)</f>
        <v>0</v>
      </c>
      <c r="F278" s="68" t="str">
        <f t="shared" si="18"/>
        <v>ACTIVE</v>
      </c>
      <c r="G278" s="68" t="str">
        <f t="shared" si="18"/>
        <v>ACTIVE</v>
      </c>
      <c r="H278" s="68" t="str">
        <f t="shared" si="18"/>
        <v>ACTIVE</v>
      </c>
      <c r="I278" s="68" t="str">
        <f t="shared" si="18"/>
        <v>ACTIVE</v>
      </c>
      <c r="J278" s="68" t="str">
        <f t="shared" si="18"/>
        <v>ACTIVE</v>
      </c>
      <c r="K278" s="68" t="str">
        <f t="shared" si="18"/>
        <v>ACTIVE</v>
      </c>
      <c r="L278" s="68" t="str">
        <f t="shared" si="18"/>
        <v>ACTIVE</v>
      </c>
      <c r="M278" s="68" t="str">
        <f t="shared" si="18"/>
        <v>ACTIVE</v>
      </c>
      <c r="N278" s="68" t="str">
        <f t="shared" si="18"/>
        <v>ACTIVE</v>
      </c>
      <c r="O278" s="68" t="str">
        <f t="shared" si="18"/>
        <v>ACTIVE</v>
      </c>
      <c r="P278" s="68" t="str">
        <f t="shared" si="18"/>
        <v>ACTIVE</v>
      </c>
      <c r="Q278" s="68" t="str">
        <f t="shared" si="18"/>
        <v>ACTIVE</v>
      </c>
    </row>
    <row r="279" spans="2:17" x14ac:dyDescent="0.35">
      <c r="B279" s="70" t="str">
        <v>10MW5144</v>
      </c>
      <c r="C279" s="68" t="str">
        <f>VLOOKUP(B279,Master!B:C,2,0)</f>
        <v>10MW5144</v>
      </c>
      <c r="D279" s="69">
        <f>VLOOKUP(B279,Master!B:L,11,0)</f>
        <v>44868</v>
      </c>
      <c r="E279" s="69">
        <f>VLOOKUP(B279,Master!B:P,15,0)</f>
        <v>0</v>
      </c>
      <c r="F279" s="68" t="str">
        <f t="shared" si="18"/>
        <v>ACTIVE</v>
      </c>
      <c r="G279" s="68" t="str">
        <f t="shared" si="18"/>
        <v>ACTIVE</v>
      </c>
      <c r="H279" s="68" t="str">
        <f t="shared" si="18"/>
        <v>ACTIVE</v>
      </c>
      <c r="I279" s="68" t="str">
        <f t="shared" si="18"/>
        <v>ACTIVE</v>
      </c>
      <c r="J279" s="68" t="str">
        <f t="shared" si="18"/>
        <v>ACTIVE</v>
      </c>
      <c r="K279" s="68" t="str">
        <f t="shared" si="18"/>
        <v>ACTIVE</v>
      </c>
      <c r="L279" s="68" t="str">
        <f t="shared" si="18"/>
        <v>ACTIVE</v>
      </c>
      <c r="M279" s="68" t="str">
        <f t="shared" si="18"/>
        <v>ACTIVE</v>
      </c>
      <c r="N279" s="68" t="str">
        <f t="shared" si="18"/>
        <v>ACTIVE</v>
      </c>
      <c r="O279" s="68" t="str">
        <f t="shared" si="18"/>
        <v>ACTIVE</v>
      </c>
      <c r="P279" s="68" t="str">
        <f t="shared" si="18"/>
        <v>ACTIVE</v>
      </c>
      <c r="Q279" s="68" t="str">
        <f t="shared" si="18"/>
        <v>ACTIVE</v>
      </c>
    </row>
    <row r="280" spans="2:17" x14ac:dyDescent="0.35">
      <c r="B280" s="70" t="str">
        <v>30GG4089</v>
      </c>
      <c r="C280" s="68" t="str">
        <f>VLOOKUP(B280,Master!B:C,2,0)</f>
        <v>30GG4089</v>
      </c>
      <c r="D280" s="69">
        <f>VLOOKUP(B280,Master!B:L,11,0)</f>
        <v>44896</v>
      </c>
      <c r="E280" s="69">
        <f>VLOOKUP(B280,Master!B:P,15,0)</f>
        <v>0</v>
      </c>
      <c r="F280" s="68" t="str">
        <f t="shared" si="18"/>
        <v>ACTIVE</v>
      </c>
      <c r="G280" s="68" t="str">
        <f t="shared" si="18"/>
        <v>ACTIVE</v>
      </c>
      <c r="H280" s="68" t="str">
        <f t="shared" si="18"/>
        <v>ACTIVE</v>
      </c>
      <c r="I280" s="68" t="str">
        <f t="shared" si="18"/>
        <v>ACTIVE</v>
      </c>
      <c r="J280" s="68" t="str">
        <f t="shared" si="18"/>
        <v>ACTIVE</v>
      </c>
      <c r="K280" s="68" t="str">
        <f t="shared" si="18"/>
        <v>ACTIVE</v>
      </c>
      <c r="L280" s="68" t="str">
        <f t="shared" si="18"/>
        <v>ACTIVE</v>
      </c>
      <c r="M280" s="68" t="str">
        <f t="shared" si="18"/>
        <v>ACTIVE</v>
      </c>
      <c r="N280" s="68" t="str">
        <f t="shared" si="18"/>
        <v>ACTIVE</v>
      </c>
      <c r="O280" s="68" t="str">
        <f t="shared" si="18"/>
        <v>ACTIVE</v>
      </c>
      <c r="P280" s="68" t="str">
        <f t="shared" si="18"/>
        <v>ACTIVE</v>
      </c>
      <c r="Q280" s="68" t="str">
        <f t="shared" si="18"/>
        <v>ACTIVE</v>
      </c>
    </row>
    <row r="281" spans="2:17" x14ac:dyDescent="0.35">
      <c r="B281" s="70" t="str">
        <v>30GG4091</v>
      </c>
      <c r="C281" s="68" t="str">
        <f>VLOOKUP(B281,Master!B:C,2,0)</f>
        <v>30GG4091</v>
      </c>
      <c r="D281" s="69">
        <f>VLOOKUP(B281,Master!B:L,11,0)</f>
        <v>44924</v>
      </c>
      <c r="E281" s="69">
        <f>VLOOKUP(B281,Master!B:P,15,0)</f>
        <v>0</v>
      </c>
      <c r="F281" s="68" t="str">
        <f t="shared" si="18"/>
        <v>ACTIVE</v>
      </c>
      <c r="G281" s="68" t="str">
        <f t="shared" si="18"/>
        <v>ACTIVE</v>
      </c>
      <c r="H281" s="68" t="str">
        <f t="shared" si="18"/>
        <v>ACTIVE</v>
      </c>
      <c r="I281" s="68" t="str">
        <f t="shared" si="18"/>
        <v>ACTIVE</v>
      </c>
      <c r="J281" s="68" t="str">
        <f t="shared" si="18"/>
        <v>ACTIVE</v>
      </c>
      <c r="K281" s="68" t="str">
        <f t="shared" si="18"/>
        <v>ACTIVE</v>
      </c>
      <c r="L281" s="68" t="str">
        <f t="shared" si="18"/>
        <v>ACTIVE</v>
      </c>
      <c r="M281" s="68" t="str">
        <f t="shared" si="18"/>
        <v>ACTIVE</v>
      </c>
      <c r="N281" s="68" t="str">
        <f t="shared" si="18"/>
        <v>ACTIVE</v>
      </c>
      <c r="O281" s="68" t="str">
        <f t="shared" si="18"/>
        <v>ACTIVE</v>
      </c>
      <c r="P281" s="68" t="str">
        <f t="shared" si="18"/>
        <v>ACTIVE</v>
      </c>
      <c r="Q281" s="68" t="str">
        <f t="shared" si="18"/>
        <v>ACTIVE</v>
      </c>
    </row>
    <row r="282" spans="2:17" x14ac:dyDescent="0.35">
      <c r="B282" s="70" t="str">
        <v>30KK4319</v>
      </c>
      <c r="C282" s="68" t="str">
        <f>VLOOKUP(B282,Master!B:C,2,0)</f>
        <v>30KK4319</v>
      </c>
      <c r="D282" s="69">
        <f>VLOOKUP(B282,Master!B:L,11,0)</f>
        <v>44896</v>
      </c>
      <c r="E282" s="69">
        <f>VLOOKUP(B282,Master!B:P,15,0)</f>
        <v>0</v>
      </c>
      <c r="F282" s="68" t="str">
        <f t="shared" si="18"/>
        <v>ACTIVE</v>
      </c>
      <c r="G282" s="68" t="str">
        <f t="shared" si="18"/>
        <v>ACTIVE</v>
      </c>
      <c r="H282" s="68" t="str">
        <f t="shared" si="18"/>
        <v>ACTIVE</v>
      </c>
      <c r="I282" s="68" t="str">
        <f t="shared" si="18"/>
        <v>ACTIVE</v>
      </c>
      <c r="J282" s="68" t="str">
        <f t="shared" si="18"/>
        <v>ACTIVE</v>
      </c>
      <c r="K282" s="68" t="str">
        <f t="shared" si="18"/>
        <v>ACTIVE</v>
      </c>
      <c r="L282" s="68" t="str">
        <f t="shared" si="18"/>
        <v>ACTIVE</v>
      </c>
      <c r="M282" s="68" t="str">
        <f t="shared" si="18"/>
        <v>ACTIVE</v>
      </c>
      <c r="N282" s="68" t="str">
        <f t="shared" si="18"/>
        <v>ACTIVE</v>
      </c>
      <c r="O282" s="68" t="str">
        <f t="shared" si="18"/>
        <v>ACTIVE</v>
      </c>
      <c r="P282" s="68" t="str">
        <f t="shared" si="18"/>
        <v>ACTIVE</v>
      </c>
      <c r="Q282" s="68" t="str">
        <f t="shared" si="18"/>
        <v>ACTIVE</v>
      </c>
    </row>
    <row r="283" spans="2:17" x14ac:dyDescent="0.35">
      <c r="B283" s="70" t="str">
        <v>10SS5922</v>
      </c>
      <c r="C283" s="68" t="str">
        <f>VLOOKUP(B283,Master!B:C,2,0)</f>
        <v>10SS5922</v>
      </c>
      <c r="D283" s="69">
        <f>VLOOKUP(B283,Master!B:L,11,0)</f>
        <v>44916</v>
      </c>
      <c r="E283" s="69">
        <f>VLOOKUP(B283,Master!B:P,15,0)</f>
        <v>0</v>
      </c>
      <c r="F283" s="68" t="str">
        <f t="shared" si="18"/>
        <v>ACTIVE</v>
      </c>
      <c r="G283" s="68" t="str">
        <f t="shared" si="18"/>
        <v>ACTIVE</v>
      </c>
      <c r="H283" s="68" t="str">
        <f t="shared" si="18"/>
        <v>ACTIVE</v>
      </c>
      <c r="I283" s="68" t="str">
        <f t="shared" si="18"/>
        <v>ACTIVE</v>
      </c>
      <c r="J283" s="68" t="str">
        <f t="shared" si="18"/>
        <v>ACTIVE</v>
      </c>
      <c r="K283" s="68" t="str">
        <f t="shared" si="18"/>
        <v>ACTIVE</v>
      </c>
      <c r="L283" s="68" t="str">
        <f t="shared" si="18"/>
        <v>ACTIVE</v>
      </c>
      <c r="M283" s="68" t="str">
        <f t="shared" si="18"/>
        <v>ACTIVE</v>
      </c>
      <c r="N283" s="68" t="str">
        <f t="shared" si="18"/>
        <v>ACTIVE</v>
      </c>
      <c r="O283" s="68" t="str">
        <f t="shared" si="18"/>
        <v>ACTIVE</v>
      </c>
      <c r="P283" s="68" t="str">
        <f t="shared" si="18"/>
        <v>ACTIVE</v>
      </c>
      <c r="Q283" s="68" t="str">
        <f t="shared" si="18"/>
        <v>ACTIVE</v>
      </c>
    </row>
    <row r="284" spans="2:17" x14ac:dyDescent="0.35">
      <c r="B284" s="70" t="str">
        <v>10GG4244</v>
      </c>
      <c r="C284" s="68" t="str">
        <f>VLOOKUP(B284,Master!B:C,2,0)</f>
        <v>10GG4244</v>
      </c>
      <c r="D284" s="69">
        <f>VLOOKUP(B284,Master!B:L,11,0)</f>
        <v>44917</v>
      </c>
      <c r="E284" s="69">
        <f>VLOOKUP(B284,Master!B:P,15,0)</f>
        <v>0</v>
      </c>
      <c r="F284" s="68" t="str">
        <f t="shared" si="18"/>
        <v>ACTIVE</v>
      </c>
      <c r="G284" s="68" t="str">
        <f t="shared" si="18"/>
        <v>ACTIVE</v>
      </c>
      <c r="H284" s="68" t="str">
        <f t="shared" si="18"/>
        <v>ACTIVE</v>
      </c>
      <c r="I284" s="68" t="str">
        <f t="shared" si="18"/>
        <v>ACTIVE</v>
      </c>
      <c r="J284" s="68" t="str">
        <f t="shared" si="18"/>
        <v>ACTIVE</v>
      </c>
      <c r="K284" s="68" t="str">
        <f t="shared" si="18"/>
        <v>ACTIVE</v>
      </c>
      <c r="L284" s="68" t="str">
        <f t="shared" si="18"/>
        <v>ACTIVE</v>
      </c>
      <c r="M284" s="68" t="str">
        <f t="shared" si="18"/>
        <v>ACTIVE</v>
      </c>
      <c r="N284" s="68" t="str">
        <f t="shared" si="18"/>
        <v>ACTIVE</v>
      </c>
      <c r="O284" s="68" t="str">
        <f t="shared" si="18"/>
        <v>ACTIVE</v>
      </c>
      <c r="P284" s="68" t="str">
        <f t="shared" si="18"/>
        <v>ACTIVE</v>
      </c>
      <c r="Q284" s="68" t="str">
        <f t="shared" si="18"/>
        <v>ACTIVE</v>
      </c>
    </row>
    <row r="285" spans="2:17" x14ac:dyDescent="0.35">
      <c r="B285" s="70" t="str">
        <v>30SS4575</v>
      </c>
      <c r="C285" s="68" t="str">
        <f>VLOOKUP(B285,Master!B:C,2,0)</f>
        <v>30SS4575</v>
      </c>
      <c r="D285" s="69">
        <f>VLOOKUP(B285,Master!B:L,11,0)</f>
        <v>44869</v>
      </c>
      <c r="E285" s="69">
        <f>VLOOKUP(B285,Master!B:P,15,0)</f>
        <v>0</v>
      </c>
      <c r="F285" s="68" t="str">
        <f t="shared" si="18"/>
        <v>ACTIVE</v>
      </c>
      <c r="G285" s="68" t="str">
        <f t="shared" si="18"/>
        <v>ACTIVE</v>
      </c>
      <c r="H285" s="68" t="str">
        <f t="shared" si="18"/>
        <v>ACTIVE</v>
      </c>
      <c r="I285" s="68" t="str">
        <f t="shared" si="18"/>
        <v>ACTIVE</v>
      </c>
      <c r="J285" s="68" t="str">
        <f t="shared" si="18"/>
        <v>ACTIVE</v>
      </c>
      <c r="K285" s="68" t="str">
        <f t="shared" si="18"/>
        <v>ACTIVE</v>
      </c>
      <c r="L285" s="68" t="str">
        <f t="shared" si="18"/>
        <v>ACTIVE</v>
      </c>
      <c r="M285" s="68" t="str">
        <f t="shared" si="18"/>
        <v>ACTIVE</v>
      </c>
      <c r="N285" s="68" t="str">
        <f t="shared" si="18"/>
        <v>ACTIVE</v>
      </c>
      <c r="O285" s="68" t="str">
        <f t="shared" si="18"/>
        <v>ACTIVE</v>
      </c>
      <c r="P285" s="68" t="str">
        <f t="shared" si="18"/>
        <v>ACTIVE</v>
      </c>
      <c r="Q285" s="68" t="str">
        <f t="shared" si="18"/>
        <v>ACTIVE</v>
      </c>
    </row>
    <row r="286" spans="2:17" x14ac:dyDescent="0.35">
      <c r="B286" s="70" t="str">
        <v>30KK4318</v>
      </c>
      <c r="C286" s="68" t="str">
        <f>VLOOKUP(B286,Master!B:C,2,0)</f>
        <v>30KK4318</v>
      </c>
      <c r="D286" s="69">
        <f>VLOOKUP(B286,Master!B:L,11,0)</f>
        <v>44891</v>
      </c>
      <c r="E286" s="69">
        <f>VLOOKUP(B286,Master!B:P,15,0)</f>
        <v>0</v>
      </c>
      <c r="F286" s="68" t="str">
        <f t="shared" si="18"/>
        <v>ACTIVE</v>
      </c>
      <c r="G286" s="68" t="str">
        <f t="shared" si="18"/>
        <v>ACTIVE</v>
      </c>
      <c r="H286" s="68" t="str">
        <f t="shared" si="18"/>
        <v>ACTIVE</v>
      </c>
      <c r="I286" s="68" t="str">
        <f t="shared" si="18"/>
        <v>ACTIVE</v>
      </c>
      <c r="J286" s="68" t="str">
        <f t="shared" si="18"/>
        <v>ACTIVE</v>
      </c>
      <c r="K286" s="68" t="str">
        <f t="shared" si="18"/>
        <v>ACTIVE</v>
      </c>
      <c r="L286" s="68" t="str">
        <f t="shared" si="18"/>
        <v>ACTIVE</v>
      </c>
      <c r="M286" s="68" t="str">
        <f t="shared" si="18"/>
        <v>ACTIVE</v>
      </c>
      <c r="N286" s="68" t="str">
        <f t="shared" si="18"/>
        <v>ACTIVE</v>
      </c>
      <c r="O286" s="68" t="str">
        <f t="shared" si="18"/>
        <v>ACTIVE</v>
      </c>
      <c r="P286" s="68" t="str">
        <f t="shared" si="18"/>
        <v>ACTIVE</v>
      </c>
      <c r="Q286" s="68" t="str">
        <f t="shared" si="18"/>
        <v>ACTIVE</v>
      </c>
    </row>
    <row r="287" spans="2:17" x14ac:dyDescent="0.35">
      <c r="B287" s="70" t="str">
        <v>30KP4574</v>
      </c>
      <c r="C287" s="68" t="str">
        <f>VLOOKUP(B287,Master!B:C,2,0)</f>
        <v>30KP4574</v>
      </c>
      <c r="D287" s="69">
        <f>VLOOKUP(B287,Master!B:L,11,0)</f>
        <v>44875</v>
      </c>
      <c r="E287" s="69">
        <f>VLOOKUP(B287,Master!B:P,15,0)</f>
        <v>0</v>
      </c>
      <c r="F287" s="68" t="str">
        <f t="shared" si="18"/>
        <v>ACTIVE</v>
      </c>
      <c r="G287" s="68" t="str">
        <f t="shared" si="18"/>
        <v>ACTIVE</v>
      </c>
      <c r="H287" s="68" t="str">
        <f t="shared" si="18"/>
        <v>ACTIVE</v>
      </c>
      <c r="I287" s="68" t="str">
        <f t="shared" si="18"/>
        <v>ACTIVE</v>
      </c>
      <c r="J287" s="68" t="str">
        <f t="shared" si="18"/>
        <v>ACTIVE</v>
      </c>
      <c r="K287" s="68" t="str">
        <f t="shared" si="18"/>
        <v>ACTIVE</v>
      </c>
      <c r="L287" s="68" t="str">
        <f t="shared" si="18"/>
        <v>ACTIVE</v>
      </c>
      <c r="M287" s="68" t="str">
        <f t="shared" si="18"/>
        <v>ACTIVE</v>
      </c>
      <c r="N287" s="68" t="str">
        <f t="shared" si="18"/>
        <v>ACTIVE</v>
      </c>
      <c r="O287" s="68" t="str">
        <f t="shared" si="18"/>
        <v>ACTIVE</v>
      </c>
      <c r="P287" s="68" t="str">
        <f t="shared" si="18"/>
        <v>ACTIVE</v>
      </c>
      <c r="Q287" s="68" t="str">
        <f t="shared" si="18"/>
        <v>ACTIVE</v>
      </c>
    </row>
    <row r="288" spans="2:17" x14ac:dyDescent="0.35">
      <c r="B288" s="70" t="str">
        <v>30MW4371</v>
      </c>
      <c r="C288" s="68" t="str">
        <f>VLOOKUP(B288,Master!B:C,2,0)</f>
        <v>30MW4371</v>
      </c>
      <c r="D288" s="69">
        <f>VLOOKUP(B288,Master!B:L,11,0)</f>
        <v>44890</v>
      </c>
      <c r="E288" s="69">
        <f>VLOOKUP(B288,Master!B:P,15,0)</f>
        <v>0</v>
      </c>
      <c r="F288" s="68" t="str">
        <f t="shared" si="18"/>
        <v>ACTIVE</v>
      </c>
      <c r="G288" s="68" t="str">
        <f t="shared" si="18"/>
        <v>ACTIVE</v>
      </c>
      <c r="H288" s="68" t="str">
        <f t="shared" si="18"/>
        <v>ACTIVE</v>
      </c>
      <c r="I288" s="68" t="str">
        <f t="shared" si="18"/>
        <v>ACTIVE</v>
      </c>
      <c r="J288" s="68" t="str">
        <f t="shared" si="18"/>
        <v>ACTIVE</v>
      </c>
      <c r="K288" s="68" t="str">
        <f t="shared" si="18"/>
        <v>ACTIVE</v>
      </c>
      <c r="L288" s="68" t="str">
        <f t="shared" si="18"/>
        <v>ACTIVE</v>
      </c>
      <c r="M288" s="68" t="str">
        <f t="shared" si="18"/>
        <v>ACTIVE</v>
      </c>
      <c r="N288" s="68" t="str">
        <f t="shared" si="18"/>
        <v>ACTIVE</v>
      </c>
      <c r="O288" s="68" t="str">
        <f t="shared" si="18"/>
        <v>ACTIVE</v>
      </c>
      <c r="P288" s="68" t="str">
        <f t="shared" si="18"/>
        <v>ACTIVE</v>
      </c>
      <c r="Q288" s="68" t="str">
        <f t="shared" si="18"/>
        <v>ACTIVE</v>
      </c>
    </row>
    <row r="289" spans="2:17" x14ac:dyDescent="0.35">
      <c r="B289" s="70" t="str">
        <v>30SS4523</v>
      </c>
      <c r="C289" s="68" t="str">
        <f>VLOOKUP(B289,Master!B:C,2,0)</f>
        <v>30SS4523</v>
      </c>
      <c r="D289" s="69">
        <f>VLOOKUP(B289,Master!B:L,11,0)</f>
        <v>44883</v>
      </c>
      <c r="E289" s="69">
        <f>VLOOKUP(B289,Master!B:P,15,0)</f>
        <v>0</v>
      </c>
      <c r="F289" s="68" t="str">
        <f t="shared" si="18"/>
        <v>ACTIVE</v>
      </c>
      <c r="G289" s="68" t="str">
        <f t="shared" si="18"/>
        <v>ACTIVE</v>
      </c>
      <c r="H289" s="68" t="str">
        <f t="shared" si="18"/>
        <v>ACTIVE</v>
      </c>
      <c r="I289" s="68" t="str">
        <f t="shared" si="18"/>
        <v>ACTIVE</v>
      </c>
      <c r="J289" s="68" t="str">
        <f t="shared" si="18"/>
        <v>ACTIVE</v>
      </c>
      <c r="K289" s="68" t="str">
        <f t="shared" si="18"/>
        <v>ACTIVE</v>
      </c>
      <c r="L289" s="68" t="str">
        <f t="shared" si="18"/>
        <v>ACTIVE</v>
      </c>
      <c r="M289" s="68" t="str">
        <f t="shared" si="18"/>
        <v>ACTIVE</v>
      </c>
      <c r="N289" s="68" t="str">
        <f t="shared" si="18"/>
        <v>ACTIVE</v>
      </c>
      <c r="O289" s="68" t="str">
        <f t="shared" si="18"/>
        <v>ACTIVE</v>
      </c>
      <c r="P289" s="68" t="str">
        <f t="shared" si="18"/>
        <v>ACTIVE</v>
      </c>
      <c r="Q289" s="68" t="str">
        <f t="shared" si="18"/>
        <v>ACTIVE</v>
      </c>
    </row>
    <row r="290" spans="2:17" x14ac:dyDescent="0.35">
      <c r="B290" s="70" t="str">
        <v>10SG6309</v>
      </c>
      <c r="C290" s="68" t="str">
        <f>VLOOKUP(B290,Master!B:C,2,0)</f>
        <v>10SG6309</v>
      </c>
      <c r="D290" s="69">
        <f>VLOOKUP(B290,Master!B:L,11,0)</f>
        <v>44900</v>
      </c>
      <c r="E290" s="69">
        <f>VLOOKUP(B290,Master!B:P,15,0)</f>
        <v>0</v>
      </c>
      <c r="F290" s="68" t="str">
        <f t="shared" si="18"/>
        <v>ACTIVE</v>
      </c>
      <c r="G290" s="68" t="str">
        <f t="shared" si="18"/>
        <v>ACTIVE</v>
      </c>
      <c r="H290" s="68" t="str">
        <f t="shared" si="18"/>
        <v>ACTIVE</v>
      </c>
      <c r="I290" s="68" t="str">
        <f t="shared" si="18"/>
        <v>ACTIVE</v>
      </c>
      <c r="J290" s="68" t="str">
        <f t="shared" si="18"/>
        <v>ACTIVE</v>
      </c>
      <c r="K290" s="68" t="str">
        <f t="shared" si="18"/>
        <v>ACTIVE</v>
      </c>
      <c r="L290" s="68" t="str">
        <f t="shared" si="18"/>
        <v>ACTIVE</v>
      </c>
      <c r="M290" s="68" t="str">
        <f t="shared" si="18"/>
        <v>ACTIVE</v>
      </c>
      <c r="N290" s="68" t="str">
        <f t="shared" si="18"/>
        <v>ACTIVE</v>
      </c>
      <c r="O290" s="68" t="str">
        <f t="shared" si="18"/>
        <v>ACTIVE</v>
      </c>
      <c r="P290" s="68" t="str">
        <f t="shared" si="18"/>
        <v>ACTIVE</v>
      </c>
      <c r="Q290" s="68" t="str">
        <f t="shared" si="18"/>
        <v>ACTIVE</v>
      </c>
    </row>
    <row r="291" spans="2:17" x14ac:dyDescent="0.35">
      <c r="B291" s="70" t="str">
        <v>30KP4567</v>
      </c>
      <c r="C291" s="68" t="str">
        <f>VLOOKUP(B291,Master!B:C,2,0)</f>
        <v>30KP4567</v>
      </c>
      <c r="D291" s="69">
        <f>VLOOKUP(B291,Master!B:L,11,0)</f>
        <v>44951</v>
      </c>
      <c r="E291" s="69">
        <f>VLOOKUP(B291,Master!B:P,15,0)</f>
        <v>0</v>
      </c>
      <c r="F291" s="68" t="str">
        <f t="shared" si="18"/>
        <v>ACTIVE</v>
      </c>
      <c r="G291" s="68" t="str">
        <f t="shared" si="18"/>
        <v>ACTIVE</v>
      </c>
      <c r="H291" s="68" t="str">
        <f t="shared" si="18"/>
        <v>ACTIVE</v>
      </c>
      <c r="I291" s="68" t="str">
        <f t="shared" si="18"/>
        <v>ACTIVE</v>
      </c>
      <c r="J291" s="68" t="str">
        <f t="shared" si="18"/>
        <v>ACTIVE</v>
      </c>
      <c r="K291" s="68" t="str">
        <f t="shared" si="18"/>
        <v>ACTIVE</v>
      </c>
      <c r="L291" s="68" t="str">
        <f t="shared" si="18"/>
        <v>ACTIVE</v>
      </c>
      <c r="M291" s="68" t="str">
        <f t="shared" si="18"/>
        <v>ACTIVE</v>
      </c>
      <c r="N291" s="68" t="str">
        <f t="shared" si="18"/>
        <v>ACTIVE</v>
      </c>
      <c r="O291" s="68" t="str">
        <f t="shared" si="18"/>
        <v>ACTIVE</v>
      </c>
      <c r="P291" s="68" t="str">
        <f t="shared" si="18"/>
        <v>ACTIVE</v>
      </c>
      <c r="Q291" s="68" t="str">
        <f t="shared" si="18"/>
        <v>ACTIVE</v>
      </c>
    </row>
    <row r="292" spans="2:17" x14ac:dyDescent="0.35">
      <c r="B292" s="70" t="str">
        <v>30KK4568</v>
      </c>
      <c r="C292" s="68" t="str">
        <f>VLOOKUP(B292,Master!B:C,2,0)</f>
        <v>30KK4568</v>
      </c>
      <c r="D292" s="69">
        <f>VLOOKUP(B292,Master!B:L,11,0)</f>
        <v>44951</v>
      </c>
      <c r="E292" s="69">
        <f>VLOOKUP(B292,Master!B:P,15,0)</f>
        <v>0</v>
      </c>
      <c r="F292" s="68" t="str">
        <f t="shared" ref="F292:Q307" si="19">IF($E292&gt;0,"CLOSED",IF($D292&lt;F$1,"ACTIVE","WAITING FOR OPEN"))</f>
        <v>ACTIVE</v>
      </c>
      <c r="G292" s="68" t="str">
        <f t="shared" si="19"/>
        <v>ACTIVE</v>
      </c>
      <c r="H292" s="68" t="str">
        <f t="shared" si="19"/>
        <v>ACTIVE</v>
      </c>
      <c r="I292" s="68" t="str">
        <f t="shared" si="19"/>
        <v>ACTIVE</v>
      </c>
      <c r="J292" s="68" t="str">
        <f t="shared" si="19"/>
        <v>ACTIVE</v>
      </c>
      <c r="K292" s="68" t="str">
        <f t="shared" si="19"/>
        <v>ACTIVE</v>
      </c>
      <c r="L292" s="68" t="str">
        <f t="shared" si="19"/>
        <v>ACTIVE</v>
      </c>
      <c r="M292" s="68" t="str">
        <f t="shared" si="19"/>
        <v>ACTIVE</v>
      </c>
      <c r="N292" s="68" t="str">
        <f t="shared" si="19"/>
        <v>ACTIVE</v>
      </c>
      <c r="O292" s="68" t="str">
        <f t="shared" si="19"/>
        <v>ACTIVE</v>
      </c>
      <c r="P292" s="68" t="str">
        <f t="shared" si="19"/>
        <v>ACTIVE</v>
      </c>
      <c r="Q292" s="68" t="str">
        <f t="shared" si="19"/>
        <v>ACTIVE</v>
      </c>
    </row>
    <row r="293" spans="2:17" x14ac:dyDescent="0.35">
      <c r="B293" s="70" t="str">
        <v>30MW4566</v>
      </c>
      <c r="C293" s="68" t="str">
        <f>VLOOKUP(B293,Master!B:C,2,0)</f>
        <v>30MW4566</v>
      </c>
      <c r="D293" s="69">
        <f>VLOOKUP(B293,Master!B:L,11,0)</f>
        <v>44951</v>
      </c>
      <c r="E293" s="69">
        <f>VLOOKUP(B293,Master!B:P,15,0)</f>
        <v>0</v>
      </c>
      <c r="F293" s="68" t="str">
        <f t="shared" si="19"/>
        <v>ACTIVE</v>
      </c>
      <c r="G293" s="68" t="str">
        <f t="shared" si="19"/>
        <v>ACTIVE</v>
      </c>
      <c r="H293" s="68" t="str">
        <f t="shared" si="19"/>
        <v>ACTIVE</v>
      </c>
      <c r="I293" s="68" t="str">
        <f t="shared" si="19"/>
        <v>ACTIVE</v>
      </c>
      <c r="J293" s="68" t="str">
        <f t="shared" si="19"/>
        <v>ACTIVE</v>
      </c>
      <c r="K293" s="68" t="str">
        <f t="shared" si="19"/>
        <v>ACTIVE</v>
      </c>
      <c r="L293" s="68" t="str">
        <f t="shared" si="19"/>
        <v>ACTIVE</v>
      </c>
      <c r="M293" s="68" t="str">
        <f t="shared" si="19"/>
        <v>ACTIVE</v>
      </c>
      <c r="N293" s="68" t="str">
        <f t="shared" si="19"/>
        <v>ACTIVE</v>
      </c>
      <c r="O293" s="68" t="str">
        <f t="shared" si="19"/>
        <v>ACTIVE</v>
      </c>
      <c r="P293" s="68" t="str">
        <f t="shared" si="19"/>
        <v>ACTIVE</v>
      </c>
      <c r="Q293" s="68" t="str">
        <f t="shared" si="19"/>
        <v>ACTIVE</v>
      </c>
    </row>
    <row r="294" spans="2:17" x14ac:dyDescent="0.35">
      <c r="B294" s="70" t="str">
        <v>30SS4570</v>
      </c>
      <c r="C294" s="68" t="str">
        <f>VLOOKUP(B294,Master!B:C,2,0)</f>
        <v>30SS4570</v>
      </c>
      <c r="D294" s="69">
        <f>VLOOKUP(B294,Master!B:L,11,0)</f>
        <v>44945</v>
      </c>
      <c r="E294" s="69">
        <f>VLOOKUP(B294,Master!B:P,15,0)</f>
        <v>0</v>
      </c>
      <c r="F294" s="68" t="str">
        <f t="shared" si="19"/>
        <v>ACTIVE</v>
      </c>
      <c r="G294" s="68" t="str">
        <f t="shared" si="19"/>
        <v>ACTIVE</v>
      </c>
      <c r="H294" s="68" t="str">
        <f t="shared" si="19"/>
        <v>ACTIVE</v>
      </c>
      <c r="I294" s="68" t="str">
        <f t="shared" si="19"/>
        <v>ACTIVE</v>
      </c>
      <c r="J294" s="68" t="str">
        <f t="shared" si="19"/>
        <v>ACTIVE</v>
      </c>
      <c r="K294" s="68" t="str">
        <f t="shared" si="19"/>
        <v>ACTIVE</v>
      </c>
      <c r="L294" s="68" t="str">
        <f t="shared" si="19"/>
        <v>ACTIVE</v>
      </c>
      <c r="M294" s="68" t="str">
        <f t="shared" si="19"/>
        <v>ACTIVE</v>
      </c>
      <c r="N294" s="68" t="str">
        <f t="shared" si="19"/>
        <v>ACTIVE</v>
      </c>
      <c r="O294" s="68" t="str">
        <f t="shared" si="19"/>
        <v>ACTIVE</v>
      </c>
      <c r="P294" s="68" t="str">
        <f t="shared" si="19"/>
        <v>ACTIVE</v>
      </c>
      <c r="Q294" s="68" t="str">
        <f t="shared" si="19"/>
        <v>ACTIVE</v>
      </c>
    </row>
    <row r="295" spans="2:17" x14ac:dyDescent="0.35">
      <c r="B295" s="70" t="str">
        <v>10UP4578</v>
      </c>
      <c r="C295" s="68" t="str">
        <f>VLOOKUP(B295,Master!B:C,2,0)</f>
        <v>10UP4578</v>
      </c>
      <c r="D295" s="69">
        <f>VLOOKUP(B295,Master!B:L,11,0)</f>
        <v>44927</v>
      </c>
      <c r="E295" s="69">
        <f>VLOOKUP(B295,Master!B:P,15,0)</f>
        <v>0</v>
      </c>
      <c r="F295" s="68" t="str">
        <f t="shared" si="19"/>
        <v>ACTIVE</v>
      </c>
      <c r="G295" s="68" t="str">
        <f t="shared" si="19"/>
        <v>ACTIVE</v>
      </c>
      <c r="H295" s="68" t="str">
        <f t="shared" si="19"/>
        <v>ACTIVE</v>
      </c>
      <c r="I295" s="68" t="str">
        <f t="shared" si="19"/>
        <v>ACTIVE</v>
      </c>
      <c r="J295" s="68" t="str">
        <f t="shared" si="19"/>
        <v>ACTIVE</v>
      </c>
      <c r="K295" s="68" t="str">
        <f t="shared" si="19"/>
        <v>ACTIVE</v>
      </c>
      <c r="L295" s="68" t="str">
        <f t="shared" si="19"/>
        <v>ACTIVE</v>
      </c>
      <c r="M295" s="68" t="str">
        <f t="shared" si="19"/>
        <v>ACTIVE</v>
      </c>
      <c r="N295" s="68" t="str">
        <f t="shared" si="19"/>
        <v>ACTIVE</v>
      </c>
      <c r="O295" s="68" t="str">
        <f t="shared" si="19"/>
        <v>ACTIVE</v>
      </c>
      <c r="P295" s="68" t="str">
        <f t="shared" si="19"/>
        <v>ACTIVE</v>
      </c>
      <c r="Q295" s="68" t="str">
        <f t="shared" si="19"/>
        <v>ACTIVE</v>
      </c>
    </row>
    <row r="296" spans="2:17" x14ac:dyDescent="0.35">
      <c r="B296" s="70" t="str">
        <v>30GG4569</v>
      </c>
      <c r="C296" s="68" t="str">
        <f>VLOOKUP(B296,Master!B:C,2,0)</f>
        <v>30GG4569</v>
      </c>
      <c r="D296" s="69">
        <f>VLOOKUP(B296,Master!B:L,11,0)</f>
        <v>44951</v>
      </c>
      <c r="E296" s="69">
        <f>VLOOKUP(B296,Master!B:P,15,0)</f>
        <v>0</v>
      </c>
      <c r="F296" s="68" t="str">
        <f t="shared" si="19"/>
        <v>ACTIVE</v>
      </c>
      <c r="G296" s="68" t="str">
        <f t="shared" si="19"/>
        <v>ACTIVE</v>
      </c>
      <c r="H296" s="68" t="str">
        <f t="shared" si="19"/>
        <v>ACTIVE</v>
      </c>
      <c r="I296" s="68" t="str">
        <f t="shared" si="19"/>
        <v>ACTIVE</v>
      </c>
      <c r="J296" s="68" t="str">
        <f t="shared" si="19"/>
        <v>ACTIVE</v>
      </c>
      <c r="K296" s="68" t="str">
        <f t="shared" si="19"/>
        <v>ACTIVE</v>
      </c>
      <c r="L296" s="68" t="str">
        <f t="shared" si="19"/>
        <v>ACTIVE</v>
      </c>
      <c r="M296" s="68" t="str">
        <f t="shared" si="19"/>
        <v>ACTIVE</v>
      </c>
      <c r="N296" s="68" t="str">
        <f t="shared" si="19"/>
        <v>ACTIVE</v>
      </c>
      <c r="O296" s="68" t="str">
        <f t="shared" si="19"/>
        <v>ACTIVE</v>
      </c>
      <c r="P296" s="68" t="str">
        <f t="shared" si="19"/>
        <v>ACTIVE</v>
      </c>
      <c r="Q296" s="68" t="str">
        <f t="shared" si="19"/>
        <v>ACTIVE</v>
      </c>
    </row>
    <row r="297" spans="2:17" x14ac:dyDescent="0.35">
      <c r="B297" s="70" t="str">
        <v>10CK7700</v>
      </c>
      <c r="C297" s="68" t="str">
        <f>VLOOKUP(B297,Master!B:C,2,0)</f>
        <v>10CK7700</v>
      </c>
      <c r="D297" s="69">
        <f>VLOOKUP(B297,Master!B:L,11,0)</f>
        <v>44971</v>
      </c>
      <c r="E297" s="69">
        <f>VLOOKUP(B297,Master!B:P,15,0)</f>
        <v>0</v>
      </c>
      <c r="F297" s="68" t="str">
        <f t="shared" si="19"/>
        <v>ACTIVE</v>
      </c>
      <c r="G297" s="68" t="str">
        <f t="shared" si="19"/>
        <v>ACTIVE</v>
      </c>
      <c r="H297" s="68" t="str">
        <f t="shared" si="19"/>
        <v>ACTIVE</v>
      </c>
      <c r="I297" s="68" t="str">
        <f t="shared" si="19"/>
        <v>ACTIVE</v>
      </c>
      <c r="J297" s="68" t="str">
        <f t="shared" si="19"/>
        <v>ACTIVE</v>
      </c>
      <c r="K297" s="68" t="str">
        <f t="shared" si="19"/>
        <v>ACTIVE</v>
      </c>
      <c r="L297" s="68" t="str">
        <f t="shared" si="19"/>
        <v>ACTIVE</v>
      </c>
      <c r="M297" s="68" t="str">
        <f t="shared" si="19"/>
        <v>ACTIVE</v>
      </c>
      <c r="N297" s="68" t="str">
        <f t="shared" si="19"/>
        <v>ACTIVE</v>
      </c>
      <c r="O297" s="68" t="str">
        <f t="shared" si="19"/>
        <v>ACTIVE</v>
      </c>
      <c r="P297" s="68" t="str">
        <f t="shared" si="19"/>
        <v>ACTIVE</v>
      </c>
      <c r="Q297" s="68" t="str">
        <f t="shared" si="19"/>
        <v>ACTIVE</v>
      </c>
    </row>
    <row r="298" spans="2:17" x14ac:dyDescent="0.35">
      <c r="B298" s="70" t="str">
        <v>10MW4586</v>
      </c>
      <c r="C298" s="68" t="str">
        <f>VLOOKUP(B298,Master!B:C,2,0)</f>
        <v>10MW4586</v>
      </c>
      <c r="D298" s="69">
        <f>VLOOKUP(B298,Master!B:L,11,0)</f>
        <v>44963</v>
      </c>
      <c r="E298" s="69">
        <f>VLOOKUP(B298,Master!B:P,15,0)</f>
        <v>0</v>
      </c>
      <c r="F298" s="68" t="str">
        <f t="shared" si="19"/>
        <v>ACTIVE</v>
      </c>
      <c r="G298" s="68" t="str">
        <f t="shared" si="19"/>
        <v>ACTIVE</v>
      </c>
      <c r="H298" s="68" t="str">
        <f t="shared" si="19"/>
        <v>ACTIVE</v>
      </c>
      <c r="I298" s="68" t="str">
        <f t="shared" si="19"/>
        <v>ACTIVE</v>
      </c>
      <c r="J298" s="68" t="str">
        <f t="shared" si="19"/>
        <v>ACTIVE</v>
      </c>
      <c r="K298" s="68" t="str">
        <f t="shared" si="19"/>
        <v>ACTIVE</v>
      </c>
      <c r="L298" s="68" t="str">
        <f t="shared" si="19"/>
        <v>ACTIVE</v>
      </c>
      <c r="M298" s="68" t="str">
        <f t="shared" si="19"/>
        <v>ACTIVE</v>
      </c>
      <c r="N298" s="68" t="str">
        <f t="shared" si="19"/>
        <v>ACTIVE</v>
      </c>
      <c r="O298" s="68" t="str">
        <f t="shared" si="19"/>
        <v>ACTIVE</v>
      </c>
      <c r="P298" s="68" t="str">
        <f t="shared" si="19"/>
        <v>ACTIVE</v>
      </c>
      <c r="Q298" s="68" t="str">
        <f t="shared" si="19"/>
        <v>ACTIVE</v>
      </c>
    </row>
    <row r="299" spans="2:17" x14ac:dyDescent="0.35">
      <c r="B299" s="70" t="str">
        <v>10GG4537</v>
      </c>
      <c r="C299" s="68" t="str">
        <f>VLOOKUP(B299,Master!B:C,2,0)</f>
        <v>10GG4537</v>
      </c>
      <c r="D299" s="69">
        <f>VLOOKUP(B299,Master!B:L,11,0)</f>
        <v>44993</v>
      </c>
      <c r="E299" s="69">
        <f>VLOOKUP(B299,Master!B:P,15,0)</f>
        <v>0</v>
      </c>
      <c r="F299" s="68" t="str">
        <f t="shared" si="19"/>
        <v>ACTIVE</v>
      </c>
      <c r="G299" s="68" t="str">
        <f t="shared" si="19"/>
        <v>ACTIVE</v>
      </c>
      <c r="H299" s="68" t="str">
        <f t="shared" si="19"/>
        <v>ACTIVE</v>
      </c>
      <c r="I299" s="68" t="str">
        <f t="shared" si="19"/>
        <v>ACTIVE</v>
      </c>
      <c r="J299" s="68" t="str">
        <f t="shared" si="19"/>
        <v>ACTIVE</v>
      </c>
      <c r="K299" s="68" t="str">
        <f t="shared" si="19"/>
        <v>ACTIVE</v>
      </c>
      <c r="L299" s="68" t="str">
        <f t="shared" si="19"/>
        <v>ACTIVE</v>
      </c>
      <c r="M299" s="68" t="str">
        <f t="shared" si="19"/>
        <v>ACTIVE</v>
      </c>
      <c r="N299" s="68" t="str">
        <f t="shared" si="19"/>
        <v>ACTIVE</v>
      </c>
      <c r="O299" s="68" t="str">
        <f t="shared" si="19"/>
        <v>ACTIVE</v>
      </c>
      <c r="P299" s="68" t="str">
        <f t="shared" si="19"/>
        <v>ACTIVE</v>
      </c>
      <c r="Q299" s="68" t="str">
        <f t="shared" si="19"/>
        <v>ACTIVE</v>
      </c>
    </row>
    <row r="300" spans="2:17" x14ac:dyDescent="0.35">
      <c r="B300" s="70" t="str">
        <v>10KK4521</v>
      </c>
      <c r="C300" s="68" t="str">
        <f>VLOOKUP(B300,Master!B:C,2,0)</f>
        <v>10KK4521</v>
      </c>
      <c r="D300" s="69">
        <f>VLOOKUP(B300,Master!B:L,11,0)</f>
        <v>44993</v>
      </c>
      <c r="E300" s="69">
        <f>VLOOKUP(B300,Master!B:P,15,0)</f>
        <v>0</v>
      </c>
      <c r="F300" s="68" t="str">
        <f t="shared" si="19"/>
        <v>ACTIVE</v>
      </c>
      <c r="G300" s="68" t="str">
        <f t="shared" si="19"/>
        <v>ACTIVE</v>
      </c>
      <c r="H300" s="68" t="str">
        <f t="shared" si="19"/>
        <v>ACTIVE</v>
      </c>
      <c r="I300" s="68" t="str">
        <f t="shared" si="19"/>
        <v>ACTIVE</v>
      </c>
      <c r="J300" s="68" t="str">
        <f t="shared" si="19"/>
        <v>ACTIVE</v>
      </c>
      <c r="K300" s="68" t="str">
        <f t="shared" si="19"/>
        <v>ACTIVE</v>
      </c>
      <c r="L300" s="68" t="str">
        <f t="shared" si="19"/>
        <v>ACTIVE</v>
      </c>
      <c r="M300" s="68" t="str">
        <f t="shared" si="19"/>
        <v>ACTIVE</v>
      </c>
      <c r="N300" s="68" t="str">
        <f t="shared" si="19"/>
        <v>ACTIVE</v>
      </c>
      <c r="O300" s="68" t="str">
        <f t="shared" si="19"/>
        <v>ACTIVE</v>
      </c>
      <c r="P300" s="68" t="str">
        <f t="shared" si="19"/>
        <v>ACTIVE</v>
      </c>
      <c r="Q300" s="68" t="str">
        <f t="shared" si="19"/>
        <v>ACTIVE</v>
      </c>
    </row>
    <row r="301" spans="2:17" x14ac:dyDescent="0.35">
      <c r="B301" s="70" t="str">
        <v>30GG4596</v>
      </c>
      <c r="C301" s="68" t="str">
        <f>VLOOKUP(B301,Master!B:C,2,0)</f>
        <v>30GG4596</v>
      </c>
      <c r="D301" s="69">
        <f>VLOOKUP(B301,Master!B:L,11,0)</f>
        <v>45016</v>
      </c>
      <c r="E301" s="69">
        <f>VLOOKUP(B301,Master!B:P,15,0)</f>
        <v>0</v>
      </c>
      <c r="F301" s="68" t="str">
        <f t="shared" si="19"/>
        <v>ACTIVE</v>
      </c>
      <c r="G301" s="68" t="str">
        <f t="shared" si="19"/>
        <v>ACTIVE</v>
      </c>
      <c r="H301" s="68" t="str">
        <f t="shared" si="19"/>
        <v>ACTIVE</v>
      </c>
      <c r="I301" s="68" t="str">
        <f t="shared" si="19"/>
        <v>ACTIVE</v>
      </c>
      <c r="J301" s="68" t="str">
        <f t="shared" si="19"/>
        <v>ACTIVE</v>
      </c>
      <c r="K301" s="68" t="str">
        <f t="shared" si="19"/>
        <v>ACTIVE</v>
      </c>
      <c r="L301" s="68" t="str">
        <f t="shared" si="19"/>
        <v>ACTIVE</v>
      </c>
      <c r="M301" s="68" t="str">
        <f t="shared" si="19"/>
        <v>ACTIVE</v>
      </c>
      <c r="N301" s="68" t="str">
        <f t="shared" si="19"/>
        <v>ACTIVE</v>
      </c>
      <c r="O301" s="68" t="str">
        <f t="shared" si="19"/>
        <v>ACTIVE</v>
      </c>
      <c r="P301" s="68" t="str">
        <f t="shared" si="19"/>
        <v>ACTIVE</v>
      </c>
      <c r="Q301" s="68" t="str">
        <f t="shared" si="19"/>
        <v>ACTIVE</v>
      </c>
    </row>
    <row r="302" spans="2:17" x14ac:dyDescent="0.35">
      <c r="B302" s="70" t="str">
        <v>10GG4590</v>
      </c>
      <c r="C302" s="68" t="str">
        <f>VLOOKUP(B302,Master!B:C,2,0)</f>
        <v>10GG4590</v>
      </c>
      <c r="D302" s="69">
        <f>VLOOKUP(B302,Master!B:L,11,0)</f>
        <v>45446</v>
      </c>
      <c r="E302" s="69">
        <f>VLOOKUP(B302,Master!B:P,15,0)</f>
        <v>0</v>
      </c>
      <c r="F302" s="68" t="str">
        <f t="shared" si="19"/>
        <v>ACTIVE</v>
      </c>
      <c r="G302" s="68" t="str">
        <f t="shared" si="19"/>
        <v>ACTIVE</v>
      </c>
      <c r="H302" s="68" t="str">
        <f t="shared" si="19"/>
        <v>ACTIVE</v>
      </c>
      <c r="I302" s="68" t="str">
        <f t="shared" si="19"/>
        <v>ACTIVE</v>
      </c>
      <c r="J302" s="68" t="str">
        <f t="shared" si="19"/>
        <v>ACTIVE</v>
      </c>
      <c r="K302" s="68" t="str">
        <f t="shared" si="19"/>
        <v>ACTIVE</v>
      </c>
      <c r="L302" s="68" t="str">
        <f t="shared" si="19"/>
        <v>ACTIVE</v>
      </c>
      <c r="M302" s="68" t="str">
        <f t="shared" si="19"/>
        <v>ACTIVE</v>
      </c>
      <c r="N302" s="68" t="str">
        <f t="shared" si="19"/>
        <v>ACTIVE</v>
      </c>
      <c r="O302" s="68" t="str">
        <f t="shared" si="19"/>
        <v>ACTIVE</v>
      </c>
      <c r="P302" s="68" t="str">
        <f t="shared" si="19"/>
        <v>ACTIVE</v>
      </c>
      <c r="Q302" s="68" t="str">
        <f t="shared" si="19"/>
        <v>ACTIVE</v>
      </c>
    </row>
    <row r="303" spans="2:17" x14ac:dyDescent="0.35">
      <c r="B303" s="70" t="str">
        <v>10AS4556</v>
      </c>
      <c r="C303" s="68" t="str">
        <f>VLOOKUP(B303,Master!B:C,2,0)</f>
        <v>10AS4556</v>
      </c>
      <c r="D303" s="69">
        <f>VLOOKUP(B303,Master!B:L,11,0)</f>
        <v>45046</v>
      </c>
      <c r="E303" s="69">
        <f>VLOOKUP(B303,Master!B:P,15,0)</f>
        <v>0</v>
      </c>
      <c r="F303" s="68" t="str">
        <f t="shared" si="19"/>
        <v>ACTIVE</v>
      </c>
      <c r="G303" s="68" t="str">
        <f t="shared" si="19"/>
        <v>ACTIVE</v>
      </c>
      <c r="H303" s="68" t="str">
        <f t="shared" si="19"/>
        <v>ACTIVE</v>
      </c>
      <c r="I303" s="68" t="str">
        <f t="shared" si="19"/>
        <v>ACTIVE</v>
      </c>
      <c r="J303" s="68" t="str">
        <f t="shared" si="19"/>
        <v>ACTIVE</v>
      </c>
      <c r="K303" s="68" t="str">
        <f t="shared" si="19"/>
        <v>ACTIVE</v>
      </c>
      <c r="L303" s="68" t="str">
        <f t="shared" si="19"/>
        <v>ACTIVE</v>
      </c>
      <c r="M303" s="68" t="str">
        <f t="shared" si="19"/>
        <v>ACTIVE</v>
      </c>
      <c r="N303" s="68" t="str">
        <f t="shared" si="19"/>
        <v>ACTIVE</v>
      </c>
      <c r="O303" s="68" t="str">
        <f t="shared" si="19"/>
        <v>ACTIVE</v>
      </c>
      <c r="P303" s="68" t="str">
        <f t="shared" si="19"/>
        <v>ACTIVE</v>
      </c>
      <c r="Q303" s="68" t="str">
        <f t="shared" si="19"/>
        <v>ACTIVE</v>
      </c>
    </row>
    <row r="304" spans="2:17" x14ac:dyDescent="0.35">
      <c r="B304" s="70" t="str">
        <v>10MW4547</v>
      </c>
      <c r="C304" s="68" t="str">
        <f>VLOOKUP(B304,Master!B:C,2,0)</f>
        <v>10MW4547</v>
      </c>
      <c r="D304" s="69">
        <f>VLOOKUP(B304,Master!B:L,11,0)</f>
        <v>45044</v>
      </c>
      <c r="E304" s="69">
        <f>VLOOKUP(B304,Master!B:P,15,0)</f>
        <v>0</v>
      </c>
      <c r="F304" s="68" t="str">
        <f t="shared" si="19"/>
        <v>ACTIVE</v>
      </c>
      <c r="G304" s="68" t="str">
        <f t="shared" si="19"/>
        <v>ACTIVE</v>
      </c>
      <c r="H304" s="68" t="str">
        <f t="shared" si="19"/>
        <v>ACTIVE</v>
      </c>
      <c r="I304" s="68" t="str">
        <f t="shared" si="19"/>
        <v>ACTIVE</v>
      </c>
      <c r="J304" s="68" t="str">
        <f t="shared" si="19"/>
        <v>ACTIVE</v>
      </c>
      <c r="K304" s="68" t="str">
        <f t="shared" si="19"/>
        <v>ACTIVE</v>
      </c>
      <c r="L304" s="68" t="str">
        <f t="shared" si="19"/>
        <v>ACTIVE</v>
      </c>
      <c r="M304" s="68" t="str">
        <f t="shared" si="19"/>
        <v>ACTIVE</v>
      </c>
      <c r="N304" s="68" t="str">
        <f t="shared" si="19"/>
        <v>ACTIVE</v>
      </c>
      <c r="O304" s="68" t="str">
        <f t="shared" si="19"/>
        <v>ACTIVE</v>
      </c>
      <c r="P304" s="68" t="str">
        <f t="shared" si="19"/>
        <v>ACTIVE</v>
      </c>
      <c r="Q304" s="68" t="str">
        <f t="shared" si="19"/>
        <v>ACTIVE</v>
      </c>
    </row>
    <row r="305" spans="2:17" x14ac:dyDescent="0.35">
      <c r="B305" s="70" t="str">
        <v>10SS4554</v>
      </c>
      <c r="C305" s="68" t="str">
        <f>VLOOKUP(B305,Master!B:C,2,0)</f>
        <v>10SS4554</v>
      </c>
      <c r="D305" s="69">
        <f>VLOOKUP(B305,Master!B:L,11,0)</f>
        <v>45036</v>
      </c>
      <c r="E305" s="69">
        <f>VLOOKUP(B305,Master!B:P,15,0)</f>
        <v>0</v>
      </c>
      <c r="F305" s="68" t="str">
        <f t="shared" si="19"/>
        <v>ACTIVE</v>
      </c>
      <c r="G305" s="68" t="str">
        <f t="shared" si="19"/>
        <v>ACTIVE</v>
      </c>
      <c r="H305" s="68" t="str">
        <f t="shared" si="19"/>
        <v>ACTIVE</v>
      </c>
      <c r="I305" s="68" t="str">
        <f t="shared" si="19"/>
        <v>ACTIVE</v>
      </c>
      <c r="J305" s="68" t="str">
        <f t="shared" si="19"/>
        <v>ACTIVE</v>
      </c>
      <c r="K305" s="68" t="str">
        <f t="shared" si="19"/>
        <v>ACTIVE</v>
      </c>
      <c r="L305" s="68" t="str">
        <f t="shared" si="19"/>
        <v>ACTIVE</v>
      </c>
      <c r="M305" s="68" t="str">
        <f t="shared" si="19"/>
        <v>ACTIVE</v>
      </c>
      <c r="N305" s="68" t="str">
        <f t="shared" si="19"/>
        <v>ACTIVE</v>
      </c>
      <c r="O305" s="68" t="str">
        <f t="shared" si="19"/>
        <v>ACTIVE</v>
      </c>
      <c r="P305" s="68" t="str">
        <f t="shared" si="19"/>
        <v>ACTIVE</v>
      </c>
      <c r="Q305" s="68" t="str">
        <f t="shared" si="19"/>
        <v>ACTIVE</v>
      </c>
    </row>
    <row r="306" spans="2:17" x14ac:dyDescent="0.35">
      <c r="B306" s="70" t="str">
        <v>30MW4584</v>
      </c>
      <c r="C306" s="68" t="str">
        <f>VLOOKUP(B306,Master!B:C,2,0)</f>
        <v>30MW4584</v>
      </c>
      <c r="D306" s="69">
        <f>VLOOKUP(B306,Master!B:L,11,0)</f>
        <v>45017</v>
      </c>
      <c r="E306" s="69">
        <f>VLOOKUP(B306,Master!B:P,15,0)</f>
        <v>0</v>
      </c>
      <c r="F306" s="68" t="str">
        <f t="shared" si="19"/>
        <v>ACTIVE</v>
      </c>
      <c r="G306" s="68" t="str">
        <f t="shared" si="19"/>
        <v>ACTIVE</v>
      </c>
      <c r="H306" s="68" t="str">
        <f t="shared" si="19"/>
        <v>ACTIVE</v>
      </c>
      <c r="I306" s="68" t="str">
        <f t="shared" si="19"/>
        <v>ACTIVE</v>
      </c>
      <c r="J306" s="68" t="str">
        <f t="shared" si="19"/>
        <v>ACTIVE</v>
      </c>
      <c r="K306" s="68" t="str">
        <f t="shared" si="19"/>
        <v>ACTIVE</v>
      </c>
      <c r="L306" s="68" t="str">
        <f t="shared" si="19"/>
        <v>ACTIVE</v>
      </c>
      <c r="M306" s="68" t="str">
        <f t="shared" si="19"/>
        <v>ACTIVE</v>
      </c>
      <c r="N306" s="68" t="str">
        <f t="shared" si="19"/>
        <v>ACTIVE</v>
      </c>
      <c r="O306" s="68" t="str">
        <f t="shared" si="19"/>
        <v>ACTIVE</v>
      </c>
      <c r="P306" s="68" t="str">
        <f t="shared" si="19"/>
        <v>ACTIVE</v>
      </c>
      <c r="Q306" s="68" t="str">
        <f t="shared" si="19"/>
        <v>ACTIVE</v>
      </c>
    </row>
    <row r="307" spans="2:17" x14ac:dyDescent="0.35">
      <c r="B307" s="70" t="str">
        <v>30GG4597</v>
      </c>
      <c r="C307" s="68" t="str">
        <f>VLOOKUP(B307,Master!B:C,2,0)</f>
        <v>30GG4597</v>
      </c>
      <c r="D307" s="69">
        <f>VLOOKUP(B307,Master!B:L,11,0)</f>
        <v>45017</v>
      </c>
      <c r="E307" s="69">
        <f>VLOOKUP(B307,Master!B:P,15,0)</f>
        <v>0</v>
      </c>
      <c r="F307" s="68" t="str">
        <f t="shared" si="19"/>
        <v>ACTIVE</v>
      </c>
      <c r="G307" s="68" t="str">
        <f t="shared" si="19"/>
        <v>ACTIVE</v>
      </c>
      <c r="H307" s="68" t="str">
        <f t="shared" si="19"/>
        <v>ACTIVE</v>
      </c>
      <c r="I307" s="68" t="str">
        <f t="shared" si="19"/>
        <v>ACTIVE</v>
      </c>
      <c r="J307" s="68" t="str">
        <f t="shared" si="19"/>
        <v>ACTIVE</v>
      </c>
      <c r="K307" s="68" t="str">
        <f t="shared" si="19"/>
        <v>ACTIVE</v>
      </c>
      <c r="L307" s="68" t="str">
        <f t="shared" si="19"/>
        <v>ACTIVE</v>
      </c>
      <c r="M307" s="68" t="str">
        <f t="shared" si="19"/>
        <v>ACTIVE</v>
      </c>
      <c r="N307" s="68" t="str">
        <f t="shared" si="19"/>
        <v>ACTIVE</v>
      </c>
      <c r="O307" s="68" t="str">
        <f t="shared" si="19"/>
        <v>ACTIVE</v>
      </c>
      <c r="P307" s="68" t="str">
        <f t="shared" si="19"/>
        <v>ACTIVE</v>
      </c>
      <c r="Q307" s="68" t="str">
        <f t="shared" si="19"/>
        <v>ACTIVE</v>
      </c>
    </row>
    <row r="308" spans="2:17" x14ac:dyDescent="0.35">
      <c r="B308" s="70" t="str">
        <v>30GG4598</v>
      </c>
      <c r="C308" s="68" t="str">
        <f>VLOOKUP(B308,Master!B:C,2,0)</f>
        <v>30GG4598</v>
      </c>
      <c r="D308" s="69">
        <f>VLOOKUP(B308,Master!B:L,11,0)</f>
        <v>45026</v>
      </c>
      <c r="E308" s="69">
        <f>VLOOKUP(B308,Master!B:P,15,0)</f>
        <v>0</v>
      </c>
      <c r="F308" s="68" t="str">
        <f t="shared" ref="F308:Q323" si="20">IF($E308&gt;0,"CLOSED",IF($D308&lt;F$1,"ACTIVE","WAITING FOR OPEN"))</f>
        <v>ACTIVE</v>
      </c>
      <c r="G308" s="68" t="str">
        <f t="shared" si="20"/>
        <v>ACTIVE</v>
      </c>
      <c r="H308" s="68" t="str">
        <f t="shared" si="20"/>
        <v>ACTIVE</v>
      </c>
      <c r="I308" s="68" t="str">
        <f t="shared" si="20"/>
        <v>ACTIVE</v>
      </c>
      <c r="J308" s="68" t="str">
        <f t="shared" si="20"/>
        <v>ACTIVE</v>
      </c>
      <c r="K308" s="68" t="str">
        <f t="shared" si="20"/>
        <v>ACTIVE</v>
      </c>
      <c r="L308" s="68" t="str">
        <f t="shared" si="20"/>
        <v>ACTIVE</v>
      </c>
      <c r="M308" s="68" t="str">
        <f t="shared" si="20"/>
        <v>ACTIVE</v>
      </c>
      <c r="N308" s="68" t="str">
        <f t="shared" si="20"/>
        <v>ACTIVE</v>
      </c>
      <c r="O308" s="68" t="str">
        <f t="shared" si="20"/>
        <v>ACTIVE</v>
      </c>
      <c r="P308" s="68" t="str">
        <f t="shared" si="20"/>
        <v>ACTIVE</v>
      </c>
      <c r="Q308" s="68" t="str">
        <f t="shared" si="20"/>
        <v>ACTIVE</v>
      </c>
    </row>
    <row r="309" spans="2:17" x14ac:dyDescent="0.35">
      <c r="B309" s="70" t="str">
        <v>30KK4563</v>
      </c>
      <c r="C309" s="68" t="str">
        <f>VLOOKUP(B309,Master!B:C,2,0)</f>
        <v>30KK4563</v>
      </c>
      <c r="D309" s="69">
        <f>VLOOKUP(B309,Master!B:L,11,0)</f>
        <v>44925</v>
      </c>
      <c r="E309" s="69">
        <f>VLOOKUP(B309,Master!B:P,15,0)</f>
        <v>0</v>
      </c>
      <c r="F309" s="68" t="str">
        <f t="shared" si="20"/>
        <v>ACTIVE</v>
      </c>
      <c r="G309" s="68" t="str">
        <f t="shared" si="20"/>
        <v>ACTIVE</v>
      </c>
      <c r="H309" s="68" t="str">
        <f t="shared" si="20"/>
        <v>ACTIVE</v>
      </c>
      <c r="I309" s="68" t="str">
        <f t="shared" si="20"/>
        <v>ACTIVE</v>
      </c>
      <c r="J309" s="68" t="str">
        <f t="shared" si="20"/>
        <v>ACTIVE</v>
      </c>
      <c r="K309" s="68" t="str">
        <f t="shared" si="20"/>
        <v>ACTIVE</v>
      </c>
      <c r="L309" s="68" t="str">
        <f t="shared" si="20"/>
        <v>ACTIVE</v>
      </c>
      <c r="M309" s="68" t="str">
        <f t="shared" si="20"/>
        <v>ACTIVE</v>
      </c>
      <c r="N309" s="68" t="str">
        <f t="shared" si="20"/>
        <v>ACTIVE</v>
      </c>
      <c r="O309" s="68" t="str">
        <f t="shared" si="20"/>
        <v>ACTIVE</v>
      </c>
      <c r="P309" s="68" t="str">
        <f t="shared" si="20"/>
        <v>ACTIVE</v>
      </c>
      <c r="Q309" s="68" t="str">
        <f t="shared" si="20"/>
        <v>ACTIVE</v>
      </c>
    </row>
    <row r="310" spans="2:17" x14ac:dyDescent="0.35">
      <c r="B310" s="70" t="str">
        <v>30KP4565</v>
      </c>
      <c r="C310" s="68" t="str">
        <f>VLOOKUP(B310,Master!B:C,2,0)</f>
        <v>30KP4565</v>
      </c>
      <c r="D310" s="69">
        <f>VLOOKUP(B310,Master!B:L,11,0)</f>
        <v>44924</v>
      </c>
      <c r="E310" s="69">
        <f>VLOOKUP(B310,Master!B:P,15,0)</f>
        <v>0</v>
      </c>
      <c r="F310" s="68" t="str">
        <f t="shared" si="20"/>
        <v>ACTIVE</v>
      </c>
      <c r="G310" s="68" t="str">
        <f t="shared" si="20"/>
        <v>ACTIVE</v>
      </c>
      <c r="H310" s="68" t="str">
        <f t="shared" si="20"/>
        <v>ACTIVE</v>
      </c>
      <c r="I310" s="68" t="str">
        <f t="shared" si="20"/>
        <v>ACTIVE</v>
      </c>
      <c r="J310" s="68" t="str">
        <f t="shared" si="20"/>
        <v>ACTIVE</v>
      </c>
      <c r="K310" s="68" t="str">
        <f t="shared" si="20"/>
        <v>ACTIVE</v>
      </c>
      <c r="L310" s="68" t="str">
        <f t="shared" si="20"/>
        <v>ACTIVE</v>
      </c>
      <c r="M310" s="68" t="str">
        <f t="shared" si="20"/>
        <v>ACTIVE</v>
      </c>
      <c r="N310" s="68" t="str">
        <f t="shared" si="20"/>
        <v>ACTIVE</v>
      </c>
      <c r="O310" s="68" t="str">
        <f t="shared" si="20"/>
        <v>ACTIVE</v>
      </c>
      <c r="P310" s="68" t="str">
        <f t="shared" si="20"/>
        <v>ACTIVE</v>
      </c>
      <c r="Q310" s="68" t="str">
        <f t="shared" si="20"/>
        <v>ACTIVE</v>
      </c>
    </row>
    <row r="311" spans="2:17" x14ac:dyDescent="0.35">
      <c r="B311" s="70" t="str">
        <v>30SS4582</v>
      </c>
      <c r="C311" s="68" t="str">
        <f>VLOOKUP(B311,Master!B:C,2,0)</f>
        <v>30SS4582</v>
      </c>
      <c r="D311" s="69">
        <f>VLOOKUP(B311,Master!B:L,11,0)</f>
        <v>44926</v>
      </c>
      <c r="E311" s="69">
        <f>VLOOKUP(B311,Master!B:P,15,0)</f>
        <v>0</v>
      </c>
      <c r="F311" s="68" t="str">
        <f t="shared" si="20"/>
        <v>ACTIVE</v>
      </c>
      <c r="G311" s="68" t="str">
        <f t="shared" si="20"/>
        <v>ACTIVE</v>
      </c>
      <c r="H311" s="68" t="str">
        <f t="shared" si="20"/>
        <v>ACTIVE</v>
      </c>
      <c r="I311" s="68" t="str">
        <f t="shared" si="20"/>
        <v>ACTIVE</v>
      </c>
      <c r="J311" s="68" t="str">
        <f t="shared" si="20"/>
        <v>ACTIVE</v>
      </c>
      <c r="K311" s="68" t="str">
        <f t="shared" si="20"/>
        <v>ACTIVE</v>
      </c>
      <c r="L311" s="68" t="str">
        <f t="shared" si="20"/>
        <v>ACTIVE</v>
      </c>
      <c r="M311" s="68" t="str">
        <f t="shared" si="20"/>
        <v>ACTIVE</v>
      </c>
      <c r="N311" s="68" t="str">
        <f t="shared" si="20"/>
        <v>ACTIVE</v>
      </c>
      <c r="O311" s="68" t="str">
        <f t="shared" si="20"/>
        <v>ACTIVE</v>
      </c>
      <c r="P311" s="68" t="str">
        <f t="shared" si="20"/>
        <v>ACTIVE</v>
      </c>
      <c r="Q311" s="68" t="str">
        <f t="shared" si="20"/>
        <v>ACTIVE</v>
      </c>
    </row>
    <row r="312" spans="2:17" x14ac:dyDescent="0.35">
      <c r="B312" s="70" t="str">
        <v>10GG4247</v>
      </c>
      <c r="C312" s="68" t="str">
        <f>VLOOKUP(B312,Master!B:C,2,0)</f>
        <v>10GG4247</v>
      </c>
      <c r="D312" s="69">
        <f>VLOOKUP(B312,Master!B:L,11,0)</f>
        <v>45066</v>
      </c>
      <c r="E312" s="69">
        <f>VLOOKUP(B312,Master!B:P,15,0)</f>
        <v>0</v>
      </c>
      <c r="F312" s="68" t="str">
        <f t="shared" si="20"/>
        <v>ACTIVE</v>
      </c>
      <c r="G312" s="68" t="str">
        <f t="shared" si="20"/>
        <v>ACTIVE</v>
      </c>
      <c r="H312" s="68" t="str">
        <f t="shared" si="20"/>
        <v>ACTIVE</v>
      </c>
      <c r="I312" s="68" t="str">
        <f t="shared" si="20"/>
        <v>ACTIVE</v>
      </c>
      <c r="J312" s="68" t="str">
        <f t="shared" si="20"/>
        <v>ACTIVE</v>
      </c>
      <c r="K312" s="68" t="str">
        <f t="shared" si="20"/>
        <v>ACTIVE</v>
      </c>
      <c r="L312" s="68" t="str">
        <f t="shared" si="20"/>
        <v>ACTIVE</v>
      </c>
      <c r="M312" s="68" t="str">
        <f t="shared" si="20"/>
        <v>ACTIVE</v>
      </c>
      <c r="N312" s="68" t="str">
        <f t="shared" si="20"/>
        <v>ACTIVE</v>
      </c>
      <c r="O312" s="68" t="str">
        <f t="shared" si="20"/>
        <v>ACTIVE</v>
      </c>
      <c r="P312" s="68" t="str">
        <f t="shared" si="20"/>
        <v>ACTIVE</v>
      </c>
      <c r="Q312" s="68" t="str">
        <f t="shared" si="20"/>
        <v>ACTIVE</v>
      </c>
    </row>
    <row r="313" spans="2:17" x14ac:dyDescent="0.35">
      <c r="B313" s="70" t="str">
        <v>30KK4614</v>
      </c>
      <c r="C313" s="68" t="str">
        <f>VLOOKUP(B313,Master!B:C,2,0)</f>
        <v>30KK4614</v>
      </c>
      <c r="D313" s="69">
        <f>VLOOKUP(B313,Master!B:L,11,0)</f>
        <v>45075</v>
      </c>
      <c r="E313" s="69">
        <f>VLOOKUP(B313,Master!B:P,15,0)</f>
        <v>0</v>
      </c>
      <c r="F313" s="68" t="str">
        <f t="shared" si="20"/>
        <v>ACTIVE</v>
      </c>
      <c r="G313" s="68" t="str">
        <f t="shared" si="20"/>
        <v>ACTIVE</v>
      </c>
      <c r="H313" s="68" t="str">
        <f t="shared" si="20"/>
        <v>ACTIVE</v>
      </c>
      <c r="I313" s="68" t="str">
        <f t="shared" si="20"/>
        <v>ACTIVE</v>
      </c>
      <c r="J313" s="68" t="str">
        <f t="shared" si="20"/>
        <v>ACTIVE</v>
      </c>
      <c r="K313" s="68" t="str">
        <f t="shared" si="20"/>
        <v>ACTIVE</v>
      </c>
      <c r="L313" s="68" t="str">
        <f t="shared" si="20"/>
        <v>ACTIVE</v>
      </c>
      <c r="M313" s="68" t="str">
        <f t="shared" si="20"/>
        <v>ACTIVE</v>
      </c>
      <c r="N313" s="68" t="str">
        <f t="shared" si="20"/>
        <v>ACTIVE</v>
      </c>
      <c r="O313" s="68" t="str">
        <f t="shared" si="20"/>
        <v>ACTIVE</v>
      </c>
      <c r="P313" s="68" t="str">
        <f t="shared" si="20"/>
        <v>ACTIVE</v>
      </c>
      <c r="Q313" s="68" t="str">
        <f t="shared" si="20"/>
        <v>ACTIVE</v>
      </c>
    </row>
    <row r="314" spans="2:17" x14ac:dyDescent="0.35">
      <c r="B314" s="70" t="str">
        <v>30KK4615</v>
      </c>
      <c r="C314" s="68" t="str">
        <f>VLOOKUP(B314,Master!B:C,2,0)</f>
        <v>30KK4615</v>
      </c>
      <c r="D314" s="69">
        <f>VLOOKUP(B314,Master!B:L,11,0)</f>
        <v>45047</v>
      </c>
      <c r="E314" s="69">
        <f>VLOOKUP(B314,Master!B:P,15,0)</f>
        <v>0</v>
      </c>
      <c r="F314" s="68" t="str">
        <f t="shared" si="20"/>
        <v>ACTIVE</v>
      </c>
      <c r="G314" s="68" t="str">
        <f t="shared" si="20"/>
        <v>ACTIVE</v>
      </c>
      <c r="H314" s="68" t="str">
        <f t="shared" si="20"/>
        <v>ACTIVE</v>
      </c>
      <c r="I314" s="68" t="str">
        <f t="shared" si="20"/>
        <v>ACTIVE</v>
      </c>
      <c r="J314" s="68" t="str">
        <f t="shared" si="20"/>
        <v>ACTIVE</v>
      </c>
      <c r="K314" s="68" t="str">
        <f t="shared" si="20"/>
        <v>ACTIVE</v>
      </c>
      <c r="L314" s="68" t="str">
        <f t="shared" si="20"/>
        <v>ACTIVE</v>
      </c>
      <c r="M314" s="68" t="str">
        <f t="shared" si="20"/>
        <v>ACTIVE</v>
      </c>
      <c r="N314" s="68" t="str">
        <f t="shared" si="20"/>
        <v>ACTIVE</v>
      </c>
      <c r="O314" s="68" t="str">
        <f t="shared" si="20"/>
        <v>ACTIVE</v>
      </c>
      <c r="P314" s="68" t="str">
        <f t="shared" si="20"/>
        <v>ACTIVE</v>
      </c>
      <c r="Q314" s="68" t="str">
        <f t="shared" si="20"/>
        <v>ACTIVE</v>
      </c>
    </row>
    <row r="315" spans="2:17" x14ac:dyDescent="0.35">
      <c r="B315" s="70" t="str">
        <v>30KP4610</v>
      </c>
      <c r="C315" s="68" t="str">
        <f>VLOOKUP(B315,Master!B:C,2,0)</f>
        <v>30KP4610</v>
      </c>
      <c r="D315" s="69">
        <f>VLOOKUP(B315,Master!B:L,11,0)</f>
        <v>45060</v>
      </c>
      <c r="E315" s="69">
        <f>VLOOKUP(B315,Master!B:P,15,0)</f>
        <v>0</v>
      </c>
      <c r="F315" s="68" t="str">
        <f t="shared" si="20"/>
        <v>ACTIVE</v>
      </c>
      <c r="G315" s="68" t="str">
        <f t="shared" si="20"/>
        <v>ACTIVE</v>
      </c>
      <c r="H315" s="68" t="str">
        <f t="shared" si="20"/>
        <v>ACTIVE</v>
      </c>
      <c r="I315" s="68" t="str">
        <f t="shared" si="20"/>
        <v>ACTIVE</v>
      </c>
      <c r="J315" s="68" t="str">
        <f t="shared" si="20"/>
        <v>ACTIVE</v>
      </c>
      <c r="K315" s="68" t="str">
        <f t="shared" si="20"/>
        <v>ACTIVE</v>
      </c>
      <c r="L315" s="68" t="str">
        <f t="shared" si="20"/>
        <v>ACTIVE</v>
      </c>
      <c r="M315" s="68" t="str">
        <f t="shared" si="20"/>
        <v>ACTIVE</v>
      </c>
      <c r="N315" s="68" t="str">
        <f t="shared" si="20"/>
        <v>ACTIVE</v>
      </c>
      <c r="O315" s="68" t="str">
        <f t="shared" si="20"/>
        <v>ACTIVE</v>
      </c>
      <c r="P315" s="68" t="str">
        <f t="shared" si="20"/>
        <v>ACTIVE</v>
      </c>
      <c r="Q315" s="68" t="str">
        <f t="shared" si="20"/>
        <v>ACTIVE</v>
      </c>
    </row>
    <row r="316" spans="2:17" x14ac:dyDescent="0.35">
      <c r="B316" s="70" t="str">
        <v>30MW4616</v>
      </c>
      <c r="C316" s="68" t="str">
        <f>VLOOKUP(B316,Master!B:C,2,0)</f>
        <v>30MW4616</v>
      </c>
      <c r="D316" s="69">
        <f>VLOOKUP(B316,Master!B:L,11,0)</f>
        <v>45047</v>
      </c>
      <c r="E316" s="69">
        <f>VLOOKUP(B316,Master!B:P,15,0)</f>
        <v>0</v>
      </c>
      <c r="F316" s="68" t="str">
        <f t="shared" si="20"/>
        <v>ACTIVE</v>
      </c>
      <c r="G316" s="68" t="str">
        <f t="shared" si="20"/>
        <v>ACTIVE</v>
      </c>
      <c r="H316" s="68" t="str">
        <f t="shared" si="20"/>
        <v>ACTIVE</v>
      </c>
      <c r="I316" s="68" t="str">
        <f t="shared" si="20"/>
        <v>ACTIVE</v>
      </c>
      <c r="J316" s="68" t="str">
        <f t="shared" si="20"/>
        <v>ACTIVE</v>
      </c>
      <c r="K316" s="68" t="str">
        <f t="shared" si="20"/>
        <v>ACTIVE</v>
      </c>
      <c r="L316" s="68" t="str">
        <f t="shared" si="20"/>
        <v>ACTIVE</v>
      </c>
      <c r="M316" s="68" t="str">
        <f t="shared" si="20"/>
        <v>ACTIVE</v>
      </c>
      <c r="N316" s="68" t="str">
        <f t="shared" si="20"/>
        <v>ACTIVE</v>
      </c>
      <c r="O316" s="68" t="str">
        <f t="shared" si="20"/>
        <v>ACTIVE</v>
      </c>
      <c r="P316" s="68" t="str">
        <f t="shared" si="20"/>
        <v>ACTIVE</v>
      </c>
      <c r="Q316" s="68" t="str">
        <f t="shared" si="20"/>
        <v>ACTIVE</v>
      </c>
    </row>
    <row r="317" spans="2:17" x14ac:dyDescent="0.35">
      <c r="B317" s="70" t="str">
        <v>10WM4626</v>
      </c>
      <c r="C317" s="68" t="str">
        <f>VLOOKUP(B317,Master!B:C,2,0)</f>
        <v>10WM4626</v>
      </c>
      <c r="D317" s="69">
        <f>VLOOKUP(B317,Master!B:L,11,0)</f>
        <v>45047</v>
      </c>
      <c r="E317" s="69">
        <f>VLOOKUP(B317,Master!B:P,15,0)</f>
        <v>0</v>
      </c>
      <c r="F317" s="68" t="str">
        <f t="shared" si="20"/>
        <v>ACTIVE</v>
      </c>
      <c r="G317" s="68" t="str">
        <f t="shared" si="20"/>
        <v>ACTIVE</v>
      </c>
      <c r="H317" s="68" t="str">
        <f t="shared" si="20"/>
        <v>ACTIVE</v>
      </c>
      <c r="I317" s="68" t="str">
        <f t="shared" si="20"/>
        <v>ACTIVE</v>
      </c>
      <c r="J317" s="68" t="str">
        <f t="shared" si="20"/>
        <v>ACTIVE</v>
      </c>
      <c r="K317" s="68" t="str">
        <f t="shared" si="20"/>
        <v>ACTIVE</v>
      </c>
      <c r="L317" s="68" t="str">
        <f t="shared" si="20"/>
        <v>ACTIVE</v>
      </c>
      <c r="M317" s="68" t="str">
        <f t="shared" si="20"/>
        <v>ACTIVE</v>
      </c>
      <c r="N317" s="68" t="str">
        <f t="shared" si="20"/>
        <v>ACTIVE</v>
      </c>
      <c r="O317" s="68" t="str">
        <f t="shared" si="20"/>
        <v>ACTIVE</v>
      </c>
      <c r="P317" s="68" t="str">
        <f t="shared" si="20"/>
        <v>ACTIVE</v>
      </c>
      <c r="Q317" s="68" t="str">
        <f t="shared" si="20"/>
        <v>ACTIVE</v>
      </c>
    </row>
    <row r="318" spans="2:17" x14ac:dyDescent="0.35">
      <c r="B318" s="70" t="str">
        <v>10GG4636</v>
      </c>
      <c r="C318" s="68" t="str">
        <f>VLOOKUP(B318,Master!B:C,2,0)</f>
        <v>10GG4636</v>
      </c>
      <c r="D318" s="69">
        <f>VLOOKUP(B318,Master!B:L,11,0)</f>
        <v>45077</v>
      </c>
      <c r="E318" s="69">
        <f>VLOOKUP(B318,Master!B:P,15,0)</f>
        <v>0</v>
      </c>
      <c r="F318" s="68" t="str">
        <f t="shared" si="20"/>
        <v>ACTIVE</v>
      </c>
      <c r="G318" s="68" t="str">
        <f t="shared" si="20"/>
        <v>ACTIVE</v>
      </c>
      <c r="H318" s="68" t="str">
        <f t="shared" si="20"/>
        <v>ACTIVE</v>
      </c>
      <c r="I318" s="68" t="str">
        <f t="shared" si="20"/>
        <v>ACTIVE</v>
      </c>
      <c r="J318" s="68" t="str">
        <f t="shared" si="20"/>
        <v>ACTIVE</v>
      </c>
      <c r="K318" s="68" t="str">
        <f t="shared" si="20"/>
        <v>ACTIVE</v>
      </c>
      <c r="L318" s="68" t="str">
        <f t="shared" si="20"/>
        <v>ACTIVE</v>
      </c>
      <c r="M318" s="68" t="str">
        <f t="shared" si="20"/>
        <v>ACTIVE</v>
      </c>
      <c r="N318" s="68" t="str">
        <f t="shared" si="20"/>
        <v>ACTIVE</v>
      </c>
      <c r="O318" s="68" t="str">
        <f t="shared" si="20"/>
        <v>ACTIVE</v>
      </c>
      <c r="P318" s="68" t="str">
        <f t="shared" si="20"/>
        <v>ACTIVE</v>
      </c>
      <c r="Q318" s="68" t="str">
        <f t="shared" si="20"/>
        <v>ACTIVE</v>
      </c>
    </row>
    <row r="319" spans="2:17" x14ac:dyDescent="0.35">
      <c r="B319" s="70" t="str">
        <v>10KK4603</v>
      </c>
      <c r="C319" s="68" t="str">
        <f>VLOOKUP(B319,Master!B:C,2,0)</f>
        <v>10KK4603</v>
      </c>
      <c r="D319" s="69">
        <f>VLOOKUP(B319,Master!B:L,11,0)</f>
        <v>45092</v>
      </c>
      <c r="E319" s="69">
        <f>VLOOKUP(B319,Master!B:P,15,0)</f>
        <v>0</v>
      </c>
      <c r="F319" s="68" t="str">
        <f t="shared" si="20"/>
        <v>ACTIVE</v>
      </c>
      <c r="G319" s="68" t="str">
        <f t="shared" si="20"/>
        <v>ACTIVE</v>
      </c>
      <c r="H319" s="68" t="str">
        <f t="shared" si="20"/>
        <v>ACTIVE</v>
      </c>
      <c r="I319" s="68" t="str">
        <f t="shared" si="20"/>
        <v>ACTIVE</v>
      </c>
      <c r="J319" s="68" t="str">
        <f t="shared" si="20"/>
        <v>ACTIVE</v>
      </c>
      <c r="K319" s="68" t="str">
        <f t="shared" si="20"/>
        <v>ACTIVE</v>
      </c>
      <c r="L319" s="68" t="str">
        <f t="shared" si="20"/>
        <v>ACTIVE</v>
      </c>
      <c r="M319" s="68" t="str">
        <f t="shared" si="20"/>
        <v>ACTIVE</v>
      </c>
      <c r="N319" s="68" t="str">
        <f t="shared" si="20"/>
        <v>ACTIVE</v>
      </c>
      <c r="O319" s="68" t="str">
        <f t="shared" si="20"/>
        <v>ACTIVE</v>
      </c>
      <c r="P319" s="68" t="str">
        <f t="shared" si="20"/>
        <v>ACTIVE</v>
      </c>
      <c r="Q319" s="68" t="str">
        <f t="shared" si="20"/>
        <v>ACTIVE</v>
      </c>
    </row>
    <row r="320" spans="2:17" x14ac:dyDescent="0.35">
      <c r="B320" s="70" t="str">
        <v>10GG4620</v>
      </c>
      <c r="C320" s="68" t="str">
        <f>VLOOKUP(B320,Master!B:C,2,0)</f>
        <v>10GG4620</v>
      </c>
      <c r="D320" s="69">
        <f>VLOOKUP(B320,Master!B:L,11,0)</f>
        <v>45105</v>
      </c>
      <c r="E320" s="69">
        <f>VLOOKUP(B320,Master!B:P,15,0)</f>
        <v>0</v>
      </c>
      <c r="F320" s="68" t="str">
        <f t="shared" si="20"/>
        <v>ACTIVE</v>
      </c>
      <c r="G320" s="68" t="str">
        <f t="shared" si="20"/>
        <v>ACTIVE</v>
      </c>
      <c r="H320" s="68" t="str">
        <f t="shared" si="20"/>
        <v>ACTIVE</v>
      </c>
      <c r="I320" s="68" t="str">
        <f t="shared" si="20"/>
        <v>ACTIVE</v>
      </c>
      <c r="J320" s="68" t="str">
        <f t="shared" si="20"/>
        <v>ACTIVE</v>
      </c>
      <c r="K320" s="68" t="str">
        <f t="shared" si="20"/>
        <v>ACTIVE</v>
      </c>
      <c r="L320" s="68" t="str">
        <f t="shared" si="20"/>
        <v>ACTIVE</v>
      </c>
      <c r="M320" s="68" t="str">
        <f t="shared" si="20"/>
        <v>ACTIVE</v>
      </c>
      <c r="N320" s="68" t="str">
        <f t="shared" si="20"/>
        <v>ACTIVE</v>
      </c>
      <c r="O320" s="68" t="str">
        <f t="shared" si="20"/>
        <v>ACTIVE</v>
      </c>
      <c r="P320" s="68" t="str">
        <f t="shared" si="20"/>
        <v>ACTIVE</v>
      </c>
      <c r="Q320" s="68" t="str">
        <f t="shared" si="20"/>
        <v>ACTIVE</v>
      </c>
    </row>
    <row r="321" spans="2:17" x14ac:dyDescent="0.35">
      <c r="B321" s="70" t="str">
        <v>30MW4613</v>
      </c>
      <c r="C321" s="68" t="str">
        <f>VLOOKUP(B321,Master!B:C,2,0)</f>
        <v>30MW4613</v>
      </c>
      <c r="D321" s="69">
        <f>VLOOKUP(B321,Master!B:L,11,0)</f>
        <v>45098</v>
      </c>
      <c r="E321" s="69">
        <f>VLOOKUP(B321,Master!B:P,15,0)</f>
        <v>0</v>
      </c>
      <c r="F321" s="68" t="str">
        <f t="shared" si="20"/>
        <v>ACTIVE</v>
      </c>
      <c r="G321" s="68" t="str">
        <f t="shared" si="20"/>
        <v>ACTIVE</v>
      </c>
      <c r="H321" s="68" t="str">
        <f t="shared" si="20"/>
        <v>ACTIVE</v>
      </c>
      <c r="I321" s="68" t="str">
        <f t="shared" si="20"/>
        <v>ACTIVE</v>
      </c>
      <c r="J321" s="68" t="str">
        <f t="shared" si="20"/>
        <v>ACTIVE</v>
      </c>
      <c r="K321" s="68" t="str">
        <f t="shared" si="20"/>
        <v>ACTIVE</v>
      </c>
      <c r="L321" s="68" t="str">
        <f t="shared" si="20"/>
        <v>ACTIVE</v>
      </c>
      <c r="M321" s="68" t="str">
        <f t="shared" si="20"/>
        <v>ACTIVE</v>
      </c>
      <c r="N321" s="68" t="str">
        <f t="shared" si="20"/>
        <v>ACTIVE</v>
      </c>
      <c r="O321" s="68" t="str">
        <f t="shared" si="20"/>
        <v>ACTIVE</v>
      </c>
      <c r="P321" s="68" t="str">
        <f t="shared" si="20"/>
        <v>ACTIVE</v>
      </c>
      <c r="Q321" s="68" t="str">
        <f t="shared" si="20"/>
        <v>ACTIVE</v>
      </c>
    </row>
    <row r="322" spans="2:17" x14ac:dyDescent="0.35">
      <c r="B322" s="70" t="str">
        <v>10GG4635</v>
      </c>
      <c r="C322" s="68" t="str">
        <f>VLOOKUP(B322,Master!B:C,2,0)</f>
        <v>10GG4635</v>
      </c>
      <c r="D322" s="69">
        <f>VLOOKUP(B322,Master!B:L,11,0)</f>
        <v>45078</v>
      </c>
      <c r="E322" s="69">
        <f>VLOOKUP(B322,Master!B:P,15,0)</f>
        <v>0</v>
      </c>
      <c r="F322" s="68" t="str">
        <f t="shared" si="20"/>
        <v>ACTIVE</v>
      </c>
      <c r="G322" s="68" t="str">
        <f t="shared" si="20"/>
        <v>ACTIVE</v>
      </c>
      <c r="H322" s="68" t="str">
        <f t="shared" si="20"/>
        <v>ACTIVE</v>
      </c>
      <c r="I322" s="68" t="str">
        <f t="shared" si="20"/>
        <v>ACTIVE</v>
      </c>
      <c r="J322" s="68" t="str">
        <f t="shared" si="20"/>
        <v>ACTIVE</v>
      </c>
      <c r="K322" s="68" t="str">
        <f t="shared" si="20"/>
        <v>ACTIVE</v>
      </c>
      <c r="L322" s="68" t="str">
        <f t="shared" si="20"/>
        <v>ACTIVE</v>
      </c>
      <c r="M322" s="68" t="str">
        <f t="shared" si="20"/>
        <v>ACTIVE</v>
      </c>
      <c r="N322" s="68" t="str">
        <f t="shared" si="20"/>
        <v>ACTIVE</v>
      </c>
      <c r="O322" s="68" t="str">
        <f t="shared" si="20"/>
        <v>ACTIVE</v>
      </c>
      <c r="P322" s="68" t="str">
        <f t="shared" si="20"/>
        <v>ACTIVE</v>
      </c>
      <c r="Q322" s="68" t="str">
        <f t="shared" si="20"/>
        <v>ACTIVE</v>
      </c>
    </row>
    <row r="323" spans="2:17" x14ac:dyDescent="0.35">
      <c r="B323" s="70" t="str">
        <v>10GG4639</v>
      </c>
      <c r="C323" s="68" t="str">
        <f>VLOOKUP(B323,Master!B:C,2,0)</f>
        <v>10GG4639</v>
      </c>
      <c r="D323" s="69">
        <f>VLOOKUP(B323,Master!B:L,11,0)</f>
        <v>45091</v>
      </c>
      <c r="E323" s="69">
        <f>VLOOKUP(B323,Master!B:P,15,0)</f>
        <v>0</v>
      </c>
      <c r="F323" s="68" t="str">
        <f t="shared" si="20"/>
        <v>ACTIVE</v>
      </c>
      <c r="G323" s="68" t="str">
        <f t="shared" si="20"/>
        <v>ACTIVE</v>
      </c>
      <c r="H323" s="68" t="str">
        <f t="shared" si="20"/>
        <v>ACTIVE</v>
      </c>
      <c r="I323" s="68" t="str">
        <f t="shared" si="20"/>
        <v>ACTIVE</v>
      </c>
      <c r="J323" s="68" t="str">
        <f t="shared" si="20"/>
        <v>ACTIVE</v>
      </c>
      <c r="K323" s="68" t="str">
        <f t="shared" si="20"/>
        <v>ACTIVE</v>
      </c>
      <c r="L323" s="68" t="str">
        <f t="shared" si="20"/>
        <v>ACTIVE</v>
      </c>
      <c r="M323" s="68" t="str">
        <f t="shared" si="20"/>
        <v>ACTIVE</v>
      </c>
      <c r="N323" s="68" t="str">
        <f t="shared" si="20"/>
        <v>ACTIVE</v>
      </c>
      <c r="O323" s="68" t="str">
        <f t="shared" si="20"/>
        <v>ACTIVE</v>
      </c>
      <c r="P323" s="68" t="str">
        <f t="shared" si="20"/>
        <v>ACTIVE</v>
      </c>
      <c r="Q323" s="68" t="str">
        <f t="shared" si="20"/>
        <v>ACTIVE</v>
      </c>
    </row>
    <row r="324" spans="2:17" x14ac:dyDescent="0.35">
      <c r="B324" s="70" t="str">
        <v>10GG4549</v>
      </c>
      <c r="C324" s="68" t="str">
        <f>VLOOKUP(B324,Master!B:C,2,0)</f>
        <v>10GG4549</v>
      </c>
      <c r="D324" s="69">
        <f>VLOOKUP(B324,Master!B:L,11,0)</f>
        <v>45135</v>
      </c>
      <c r="E324" s="69">
        <f>VLOOKUP(B324,Master!B:P,15,0)</f>
        <v>0</v>
      </c>
      <c r="F324" s="68" t="str">
        <f t="shared" ref="F324:Q339" si="21">IF($E324&gt;0,"CLOSED",IF($D324&lt;F$1,"ACTIVE","WAITING FOR OPEN"))</f>
        <v>ACTIVE</v>
      </c>
      <c r="G324" s="68" t="str">
        <f t="shared" si="21"/>
        <v>ACTIVE</v>
      </c>
      <c r="H324" s="68" t="str">
        <f t="shared" si="21"/>
        <v>ACTIVE</v>
      </c>
      <c r="I324" s="68" t="str">
        <f t="shared" si="21"/>
        <v>ACTIVE</v>
      </c>
      <c r="J324" s="68" t="str">
        <f t="shared" si="21"/>
        <v>ACTIVE</v>
      </c>
      <c r="K324" s="68" t="str">
        <f t="shared" si="21"/>
        <v>ACTIVE</v>
      </c>
      <c r="L324" s="68" t="str">
        <f t="shared" si="21"/>
        <v>ACTIVE</v>
      </c>
      <c r="M324" s="68" t="str">
        <f t="shared" si="21"/>
        <v>ACTIVE</v>
      </c>
      <c r="N324" s="68" t="str">
        <f t="shared" si="21"/>
        <v>ACTIVE</v>
      </c>
      <c r="O324" s="68" t="str">
        <f t="shared" si="21"/>
        <v>ACTIVE</v>
      </c>
      <c r="P324" s="68" t="str">
        <f t="shared" si="21"/>
        <v>ACTIVE</v>
      </c>
      <c r="Q324" s="68" t="str">
        <f t="shared" si="21"/>
        <v>ACTIVE</v>
      </c>
    </row>
    <row r="325" spans="2:17" x14ac:dyDescent="0.35">
      <c r="B325" s="70" t="str">
        <v>30GG4583</v>
      </c>
      <c r="C325" s="68" t="str">
        <f>VLOOKUP(B325,Master!B:C,2,0)</f>
        <v>30GG4583</v>
      </c>
      <c r="D325" s="69">
        <f>VLOOKUP(B325,Master!B:L,11,0)</f>
        <v>45133</v>
      </c>
      <c r="E325" s="69">
        <f>VLOOKUP(B325,Master!B:P,15,0)</f>
        <v>0</v>
      </c>
      <c r="F325" s="68" t="str">
        <f t="shared" si="21"/>
        <v>ACTIVE</v>
      </c>
      <c r="G325" s="68" t="str">
        <f t="shared" si="21"/>
        <v>ACTIVE</v>
      </c>
      <c r="H325" s="68" t="str">
        <f t="shared" si="21"/>
        <v>ACTIVE</v>
      </c>
      <c r="I325" s="68" t="str">
        <f t="shared" si="21"/>
        <v>ACTIVE</v>
      </c>
      <c r="J325" s="68" t="str">
        <f t="shared" si="21"/>
        <v>ACTIVE</v>
      </c>
      <c r="K325" s="68" t="str">
        <f t="shared" si="21"/>
        <v>ACTIVE</v>
      </c>
      <c r="L325" s="68" t="str">
        <f t="shared" si="21"/>
        <v>ACTIVE</v>
      </c>
      <c r="M325" s="68" t="str">
        <f t="shared" si="21"/>
        <v>ACTIVE</v>
      </c>
      <c r="N325" s="68" t="str">
        <f t="shared" si="21"/>
        <v>ACTIVE</v>
      </c>
      <c r="O325" s="68" t="str">
        <f t="shared" si="21"/>
        <v>ACTIVE</v>
      </c>
      <c r="P325" s="68" t="str">
        <f t="shared" si="21"/>
        <v>ACTIVE</v>
      </c>
      <c r="Q325" s="68" t="str">
        <f t="shared" si="21"/>
        <v>ACTIVE</v>
      </c>
    </row>
    <row r="326" spans="2:17" x14ac:dyDescent="0.35">
      <c r="B326" s="70" t="str">
        <v>10MW4604</v>
      </c>
      <c r="C326" s="68" t="str">
        <f>VLOOKUP(B326,Master!B:C,2,0)</f>
        <v>10MW4604</v>
      </c>
      <c r="D326" s="69">
        <f>VLOOKUP(B326,Master!B:L,11,0)</f>
        <v>45135</v>
      </c>
      <c r="E326" s="69">
        <f>VLOOKUP(B326,Master!B:P,15,0)</f>
        <v>0</v>
      </c>
      <c r="F326" s="68" t="str">
        <f t="shared" si="21"/>
        <v>ACTIVE</v>
      </c>
      <c r="G326" s="68" t="str">
        <f t="shared" si="21"/>
        <v>ACTIVE</v>
      </c>
      <c r="H326" s="68" t="str">
        <f t="shared" si="21"/>
        <v>ACTIVE</v>
      </c>
      <c r="I326" s="68" t="str">
        <f t="shared" si="21"/>
        <v>ACTIVE</v>
      </c>
      <c r="J326" s="68" t="str">
        <f t="shared" si="21"/>
        <v>ACTIVE</v>
      </c>
      <c r="K326" s="68" t="str">
        <f t="shared" si="21"/>
        <v>ACTIVE</v>
      </c>
      <c r="L326" s="68" t="str">
        <f t="shared" si="21"/>
        <v>ACTIVE</v>
      </c>
      <c r="M326" s="68" t="str">
        <f t="shared" si="21"/>
        <v>ACTIVE</v>
      </c>
      <c r="N326" s="68" t="str">
        <f t="shared" si="21"/>
        <v>ACTIVE</v>
      </c>
      <c r="O326" s="68" t="str">
        <f t="shared" si="21"/>
        <v>ACTIVE</v>
      </c>
      <c r="P326" s="68" t="str">
        <f t="shared" si="21"/>
        <v>ACTIVE</v>
      </c>
      <c r="Q326" s="68" t="str">
        <f t="shared" si="21"/>
        <v>ACTIVE</v>
      </c>
    </row>
    <row r="327" spans="2:17" x14ac:dyDescent="0.35">
      <c r="B327" s="70" t="str">
        <v>10CK4624</v>
      </c>
      <c r="C327" s="68" t="str">
        <f>VLOOKUP(B327,Master!B:C,2,0)</f>
        <v>10CK4624</v>
      </c>
      <c r="D327" s="69">
        <f>VLOOKUP(B327,Master!B:L,11,0)</f>
        <v>45135</v>
      </c>
      <c r="E327" s="69">
        <f>VLOOKUP(B327,Master!B:P,15,0)</f>
        <v>0</v>
      </c>
      <c r="F327" s="68" t="str">
        <f t="shared" si="21"/>
        <v>ACTIVE</v>
      </c>
      <c r="G327" s="68" t="str">
        <f t="shared" si="21"/>
        <v>ACTIVE</v>
      </c>
      <c r="H327" s="68" t="str">
        <f t="shared" si="21"/>
        <v>ACTIVE</v>
      </c>
      <c r="I327" s="68" t="str">
        <f t="shared" si="21"/>
        <v>ACTIVE</v>
      </c>
      <c r="J327" s="68" t="str">
        <f t="shared" si="21"/>
        <v>ACTIVE</v>
      </c>
      <c r="K327" s="68" t="str">
        <f t="shared" si="21"/>
        <v>ACTIVE</v>
      </c>
      <c r="L327" s="68" t="str">
        <f t="shared" si="21"/>
        <v>ACTIVE</v>
      </c>
      <c r="M327" s="68" t="str">
        <f t="shared" si="21"/>
        <v>ACTIVE</v>
      </c>
      <c r="N327" s="68" t="str">
        <f t="shared" si="21"/>
        <v>ACTIVE</v>
      </c>
      <c r="O327" s="68" t="str">
        <f t="shared" si="21"/>
        <v>ACTIVE</v>
      </c>
      <c r="P327" s="68" t="str">
        <f t="shared" si="21"/>
        <v>ACTIVE</v>
      </c>
      <c r="Q327" s="68" t="str">
        <f t="shared" si="21"/>
        <v>ACTIVE</v>
      </c>
    </row>
    <row r="328" spans="2:17" x14ac:dyDescent="0.35">
      <c r="B328" s="70" t="str">
        <v>10YT4623</v>
      </c>
      <c r="C328" s="68" t="str">
        <f>VLOOKUP(B328,Master!B:C,2,0)</f>
        <v>10YT4623</v>
      </c>
      <c r="D328" s="69">
        <f>VLOOKUP(B328,Master!B:L,11,0)</f>
        <v>45135</v>
      </c>
      <c r="E328" s="69">
        <f>VLOOKUP(B328,Master!B:P,15,0)</f>
        <v>0</v>
      </c>
      <c r="F328" s="68" t="str">
        <f t="shared" si="21"/>
        <v>ACTIVE</v>
      </c>
      <c r="G328" s="68" t="str">
        <f t="shared" si="21"/>
        <v>ACTIVE</v>
      </c>
      <c r="H328" s="68" t="str">
        <f t="shared" si="21"/>
        <v>ACTIVE</v>
      </c>
      <c r="I328" s="68" t="str">
        <f t="shared" si="21"/>
        <v>ACTIVE</v>
      </c>
      <c r="J328" s="68" t="str">
        <f t="shared" si="21"/>
        <v>ACTIVE</v>
      </c>
      <c r="K328" s="68" t="str">
        <f t="shared" si="21"/>
        <v>ACTIVE</v>
      </c>
      <c r="L328" s="68" t="str">
        <f t="shared" si="21"/>
        <v>ACTIVE</v>
      </c>
      <c r="M328" s="68" t="str">
        <f t="shared" si="21"/>
        <v>ACTIVE</v>
      </c>
      <c r="N328" s="68" t="str">
        <f t="shared" si="21"/>
        <v>ACTIVE</v>
      </c>
      <c r="O328" s="68" t="str">
        <f t="shared" si="21"/>
        <v>ACTIVE</v>
      </c>
      <c r="P328" s="68" t="str">
        <f t="shared" si="21"/>
        <v>ACTIVE</v>
      </c>
      <c r="Q328" s="68" t="str">
        <f t="shared" si="21"/>
        <v>ACTIVE</v>
      </c>
    </row>
    <row r="329" spans="2:17" x14ac:dyDescent="0.35">
      <c r="B329" s="70" t="str">
        <v>30KK4628</v>
      </c>
      <c r="C329" s="68" t="str">
        <f>VLOOKUP(B329,Master!B:C,2,0)</f>
        <v>30KK4628</v>
      </c>
      <c r="D329" s="69">
        <f>VLOOKUP(B329,Master!B:L,11,0)</f>
        <v>45133</v>
      </c>
      <c r="E329" s="69">
        <f>VLOOKUP(B329,Master!B:P,15,0)</f>
        <v>0</v>
      </c>
      <c r="F329" s="68" t="str">
        <f t="shared" si="21"/>
        <v>ACTIVE</v>
      </c>
      <c r="G329" s="68" t="str">
        <f t="shared" si="21"/>
        <v>ACTIVE</v>
      </c>
      <c r="H329" s="68" t="str">
        <f t="shared" si="21"/>
        <v>ACTIVE</v>
      </c>
      <c r="I329" s="68" t="str">
        <f t="shared" si="21"/>
        <v>ACTIVE</v>
      </c>
      <c r="J329" s="68" t="str">
        <f t="shared" si="21"/>
        <v>ACTIVE</v>
      </c>
      <c r="K329" s="68" t="str">
        <f t="shared" si="21"/>
        <v>ACTIVE</v>
      </c>
      <c r="L329" s="68" t="str">
        <f t="shared" si="21"/>
        <v>ACTIVE</v>
      </c>
      <c r="M329" s="68" t="str">
        <f t="shared" si="21"/>
        <v>ACTIVE</v>
      </c>
      <c r="N329" s="68" t="str">
        <f t="shared" si="21"/>
        <v>ACTIVE</v>
      </c>
      <c r="O329" s="68" t="str">
        <f t="shared" si="21"/>
        <v>ACTIVE</v>
      </c>
      <c r="P329" s="68" t="str">
        <f t="shared" si="21"/>
        <v>ACTIVE</v>
      </c>
      <c r="Q329" s="68" t="str">
        <f t="shared" si="21"/>
        <v>ACTIVE</v>
      </c>
    </row>
    <row r="330" spans="2:17" x14ac:dyDescent="0.35">
      <c r="B330" s="70" t="str">
        <v>10UT7600</v>
      </c>
      <c r="C330" s="68" t="str">
        <f>VLOOKUP(B330,Master!B:C,2,0)</f>
        <v>10UT7600</v>
      </c>
      <c r="D330" s="69">
        <f>VLOOKUP(B330,Master!B:L,11,0)</f>
        <v>45147</v>
      </c>
      <c r="E330" s="69">
        <f>VLOOKUP(B330,Master!B:P,15,0)</f>
        <v>0</v>
      </c>
      <c r="F330" s="68" t="str">
        <f t="shared" si="21"/>
        <v>ACTIVE</v>
      </c>
      <c r="G330" s="68" t="str">
        <f t="shared" si="21"/>
        <v>ACTIVE</v>
      </c>
      <c r="H330" s="68" t="str">
        <f t="shared" si="21"/>
        <v>ACTIVE</v>
      </c>
      <c r="I330" s="68" t="str">
        <f t="shared" si="21"/>
        <v>ACTIVE</v>
      </c>
      <c r="J330" s="68" t="str">
        <f t="shared" si="21"/>
        <v>ACTIVE</v>
      </c>
      <c r="K330" s="68" t="str">
        <f t="shared" si="21"/>
        <v>ACTIVE</v>
      </c>
      <c r="L330" s="68" t="str">
        <f t="shared" si="21"/>
        <v>ACTIVE</v>
      </c>
      <c r="M330" s="68" t="str">
        <f t="shared" si="21"/>
        <v>ACTIVE</v>
      </c>
      <c r="N330" s="68" t="str">
        <f t="shared" si="21"/>
        <v>ACTIVE</v>
      </c>
      <c r="O330" s="68" t="str">
        <f t="shared" si="21"/>
        <v>ACTIVE</v>
      </c>
      <c r="P330" s="68" t="str">
        <f t="shared" si="21"/>
        <v>ACTIVE</v>
      </c>
      <c r="Q330" s="68" t="str">
        <f t="shared" si="21"/>
        <v>ACTIVE</v>
      </c>
    </row>
    <row r="331" spans="2:17" x14ac:dyDescent="0.35">
      <c r="B331" s="70" t="str">
        <v>10CJ4621</v>
      </c>
      <c r="C331" s="68" t="str">
        <f>VLOOKUP(B331,Master!B:C,2,0)</f>
        <v>10CJ4621</v>
      </c>
      <c r="D331" s="69">
        <f>VLOOKUP(B331,Master!B:L,11,0)</f>
        <v>45152</v>
      </c>
      <c r="E331" s="69">
        <f>VLOOKUP(B331,Master!B:P,15,0)</f>
        <v>0</v>
      </c>
      <c r="F331" s="68" t="str">
        <f t="shared" si="21"/>
        <v>ACTIVE</v>
      </c>
      <c r="G331" s="68" t="str">
        <f t="shared" si="21"/>
        <v>ACTIVE</v>
      </c>
      <c r="H331" s="68" t="str">
        <f t="shared" si="21"/>
        <v>ACTIVE</v>
      </c>
      <c r="I331" s="68" t="str">
        <f t="shared" si="21"/>
        <v>ACTIVE</v>
      </c>
      <c r="J331" s="68" t="str">
        <f t="shared" si="21"/>
        <v>ACTIVE</v>
      </c>
      <c r="K331" s="68" t="str">
        <f t="shared" si="21"/>
        <v>ACTIVE</v>
      </c>
      <c r="L331" s="68" t="str">
        <f t="shared" si="21"/>
        <v>ACTIVE</v>
      </c>
      <c r="M331" s="68" t="str">
        <f t="shared" si="21"/>
        <v>ACTIVE</v>
      </c>
      <c r="N331" s="68" t="str">
        <f t="shared" si="21"/>
        <v>ACTIVE</v>
      </c>
      <c r="O331" s="68" t="str">
        <f t="shared" si="21"/>
        <v>ACTIVE</v>
      </c>
      <c r="P331" s="68" t="str">
        <f t="shared" si="21"/>
        <v>ACTIVE</v>
      </c>
      <c r="Q331" s="68" t="str">
        <f t="shared" si="21"/>
        <v>ACTIVE</v>
      </c>
    </row>
    <row r="332" spans="2:17" x14ac:dyDescent="0.35">
      <c r="B332" s="70" t="str">
        <v>10SS4619</v>
      </c>
      <c r="C332" s="68" t="str">
        <f>VLOOKUP(B332,Master!B:C,2,0)</f>
        <v>10SS4619</v>
      </c>
      <c r="D332" s="69">
        <f>VLOOKUP(B332,Master!B:L,11,0)</f>
        <v>45151</v>
      </c>
      <c r="E332" s="69">
        <f>VLOOKUP(B332,Master!B:P,15,0)</f>
        <v>0</v>
      </c>
      <c r="F332" s="68" t="str">
        <f t="shared" si="21"/>
        <v>ACTIVE</v>
      </c>
      <c r="G332" s="68" t="str">
        <f t="shared" si="21"/>
        <v>ACTIVE</v>
      </c>
      <c r="H332" s="68" t="str">
        <f t="shared" si="21"/>
        <v>ACTIVE</v>
      </c>
      <c r="I332" s="68" t="str">
        <f t="shared" si="21"/>
        <v>ACTIVE</v>
      </c>
      <c r="J332" s="68" t="str">
        <f t="shared" si="21"/>
        <v>ACTIVE</v>
      </c>
      <c r="K332" s="68" t="str">
        <f t="shared" si="21"/>
        <v>ACTIVE</v>
      </c>
      <c r="L332" s="68" t="str">
        <f t="shared" si="21"/>
        <v>ACTIVE</v>
      </c>
      <c r="M332" s="68" t="str">
        <f t="shared" si="21"/>
        <v>ACTIVE</v>
      </c>
      <c r="N332" s="68" t="str">
        <f t="shared" si="21"/>
        <v>ACTIVE</v>
      </c>
      <c r="O332" s="68" t="str">
        <f t="shared" si="21"/>
        <v>ACTIVE</v>
      </c>
      <c r="P332" s="68" t="str">
        <f t="shared" si="21"/>
        <v>ACTIVE</v>
      </c>
      <c r="Q332" s="68" t="str">
        <f t="shared" si="21"/>
        <v>ACTIVE</v>
      </c>
    </row>
    <row r="333" spans="2:17" x14ac:dyDescent="0.35">
      <c r="B333" s="70" t="str">
        <v>10SS4629</v>
      </c>
      <c r="C333" s="68" t="str">
        <f>VLOOKUP(B333,Master!B:C,2,0)</f>
        <v>10SS4629</v>
      </c>
      <c r="D333" s="69">
        <f>VLOOKUP(B333,Master!B:L,11,0)</f>
        <v>45142</v>
      </c>
      <c r="E333" s="69">
        <f>VLOOKUP(B333,Master!B:P,15,0)</f>
        <v>0</v>
      </c>
      <c r="F333" s="68" t="str">
        <f t="shared" si="21"/>
        <v>ACTIVE</v>
      </c>
      <c r="G333" s="68" t="str">
        <f t="shared" si="21"/>
        <v>ACTIVE</v>
      </c>
      <c r="H333" s="68" t="str">
        <f t="shared" si="21"/>
        <v>ACTIVE</v>
      </c>
      <c r="I333" s="68" t="str">
        <f t="shared" si="21"/>
        <v>ACTIVE</v>
      </c>
      <c r="J333" s="68" t="str">
        <f t="shared" si="21"/>
        <v>ACTIVE</v>
      </c>
      <c r="K333" s="68" t="str">
        <f t="shared" si="21"/>
        <v>ACTIVE</v>
      </c>
      <c r="L333" s="68" t="str">
        <f t="shared" si="21"/>
        <v>ACTIVE</v>
      </c>
      <c r="M333" s="68" t="str">
        <f t="shared" si="21"/>
        <v>ACTIVE</v>
      </c>
      <c r="N333" s="68" t="str">
        <f t="shared" si="21"/>
        <v>ACTIVE</v>
      </c>
      <c r="O333" s="68" t="str">
        <f t="shared" si="21"/>
        <v>ACTIVE</v>
      </c>
      <c r="P333" s="68" t="str">
        <f t="shared" si="21"/>
        <v>ACTIVE</v>
      </c>
      <c r="Q333" s="68" t="str">
        <f t="shared" si="21"/>
        <v>ACTIVE</v>
      </c>
    </row>
    <row r="334" spans="2:17" x14ac:dyDescent="0.35">
      <c r="B334" s="70" t="str">
        <v>30SG4641</v>
      </c>
      <c r="C334" s="68" t="str">
        <f>VLOOKUP(B334,Master!B:C,2,0)</f>
        <v>30SG4641</v>
      </c>
      <c r="D334" s="69">
        <f>VLOOKUP(B334,Master!B:L,11,0)</f>
        <v>45150</v>
      </c>
      <c r="E334" s="69">
        <f>VLOOKUP(B334,Master!B:P,15,0)</f>
        <v>0</v>
      </c>
      <c r="F334" s="68" t="str">
        <f t="shared" si="21"/>
        <v>ACTIVE</v>
      </c>
      <c r="G334" s="68" t="str">
        <f t="shared" si="21"/>
        <v>ACTIVE</v>
      </c>
      <c r="H334" s="68" t="str">
        <f t="shared" si="21"/>
        <v>ACTIVE</v>
      </c>
      <c r="I334" s="68" t="str">
        <f t="shared" si="21"/>
        <v>ACTIVE</v>
      </c>
      <c r="J334" s="68" t="str">
        <f t="shared" si="21"/>
        <v>ACTIVE</v>
      </c>
      <c r="K334" s="68" t="str">
        <f t="shared" si="21"/>
        <v>ACTIVE</v>
      </c>
      <c r="L334" s="68" t="str">
        <f t="shared" si="21"/>
        <v>ACTIVE</v>
      </c>
      <c r="M334" s="68" t="str">
        <f t="shared" si="21"/>
        <v>ACTIVE</v>
      </c>
      <c r="N334" s="68" t="str">
        <f t="shared" si="21"/>
        <v>ACTIVE</v>
      </c>
      <c r="O334" s="68" t="str">
        <f t="shared" si="21"/>
        <v>ACTIVE</v>
      </c>
      <c r="P334" s="68" t="str">
        <f t="shared" si="21"/>
        <v>ACTIVE</v>
      </c>
      <c r="Q334" s="68" t="str">
        <f t="shared" si="21"/>
        <v>ACTIVE</v>
      </c>
    </row>
    <row r="335" spans="2:17" x14ac:dyDescent="0.35">
      <c r="B335" s="70" t="str">
        <v>10GG4650</v>
      </c>
      <c r="C335" s="68" t="str">
        <f>VLOOKUP(B335,Master!B:C,2,0)</f>
        <v>10GG4650</v>
      </c>
      <c r="D335" s="69">
        <f>VLOOKUP(B335,Master!B:L,11,0)</f>
        <v>45149</v>
      </c>
      <c r="E335" s="69">
        <f>VLOOKUP(B335,Master!B:P,15,0)</f>
        <v>0</v>
      </c>
      <c r="F335" s="68" t="str">
        <f t="shared" si="21"/>
        <v>ACTIVE</v>
      </c>
      <c r="G335" s="68" t="str">
        <f t="shared" si="21"/>
        <v>ACTIVE</v>
      </c>
      <c r="H335" s="68" t="str">
        <f t="shared" si="21"/>
        <v>ACTIVE</v>
      </c>
      <c r="I335" s="68" t="str">
        <f t="shared" si="21"/>
        <v>ACTIVE</v>
      </c>
      <c r="J335" s="68" t="str">
        <f t="shared" si="21"/>
        <v>ACTIVE</v>
      </c>
      <c r="K335" s="68" t="str">
        <f t="shared" si="21"/>
        <v>ACTIVE</v>
      </c>
      <c r="L335" s="68" t="str">
        <f t="shared" si="21"/>
        <v>ACTIVE</v>
      </c>
      <c r="M335" s="68" t="str">
        <f t="shared" si="21"/>
        <v>ACTIVE</v>
      </c>
      <c r="N335" s="68" t="str">
        <f t="shared" si="21"/>
        <v>ACTIVE</v>
      </c>
      <c r="O335" s="68" t="str">
        <f t="shared" si="21"/>
        <v>ACTIVE</v>
      </c>
      <c r="P335" s="68" t="str">
        <f t="shared" si="21"/>
        <v>ACTIVE</v>
      </c>
      <c r="Q335" s="68" t="str">
        <f t="shared" si="21"/>
        <v>ACTIVE</v>
      </c>
    </row>
    <row r="336" spans="2:17" x14ac:dyDescent="0.35">
      <c r="B336" s="70" t="str">
        <v>10MW4657</v>
      </c>
      <c r="C336" s="68" t="str">
        <f>VLOOKUP(B336,Master!B:C,2,0)</f>
        <v>10MW4657</v>
      </c>
      <c r="D336" s="69">
        <f>VLOOKUP(B336,Master!B:L,11,0)</f>
        <v>45167</v>
      </c>
      <c r="E336" s="69">
        <f>VLOOKUP(B336,Master!B:P,15,0)</f>
        <v>0</v>
      </c>
      <c r="F336" s="68" t="str">
        <f t="shared" si="21"/>
        <v>ACTIVE</v>
      </c>
      <c r="G336" s="68" t="str">
        <f t="shared" si="21"/>
        <v>ACTIVE</v>
      </c>
      <c r="H336" s="68" t="str">
        <f t="shared" si="21"/>
        <v>ACTIVE</v>
      </c>
      <c r="I336" s="68" t="str">
        <f t="shared" si="21"/>
        <v>ACTIVE</v>
      </c>
      <c r="J336" s="68" t="str">
        <f t="shared" si="21"/>
        <v>ACTIVE</v>
      </c>
      <c r="K336" s="68" t="str">
        <f t="shared" si="21"/>
        <v>ACTIVE</v>
      </c>
      <c r="L336" s="68" t="str">
        <f t="shared" si="21"/>
        <v>ACTIVE</v>
      </c>
      <c r="M336" s="68" t="str">
        <f t="shared" si="21"/>
        <v>ACTIVE</v>
      </c>
      <c r="N336" s="68" t="str">
        <f t="shared" si="21"/>
        <v>ACTIVE</v>
      </c>
      <c r="O336" s="68" t="str">
        <f t="shared" si="21"/>
        <v>ACTIVE</v>
      </c>
      <c r="P336" s="68" t="str">
        <f t="shared" si="21"/>
        <v>ACTIVE</v>
      </c>
      <c r="Q336" s="68" t="str">
        <f t="shared" si="21"/>
        <v>ACTIVE</v>
      </c>
    </row>
    <row r="337" spans="2:17" x14ac:dyDescent="0.35">
      <c r="B337" s="70" t="str">
        <v>30KK4648</v>
      </c>
      <c r="C337" s="68" t="str">
        <f>VLOOKUP(B337,Master!B:C,2,0)</f>
        <v>30KK4648</v>
      </c>
      <c r="D337" s="69">
        <f>VLOOKUP(B337,Master!B:L,11,0)</f>
        <v>45170</v>
      </c>
      <c r="E337" s="69">
        <f>VLOOKUP(B337,Master!B:P,15,0)</f>
        <v>0</v>
      </c>
      <c r="F337" s="68" t="str">
        <f t="shared" si="21"/>
        <v>ACTIVE</v>
      </c>
      <c r="G337" s="68" t="str">
        <f t="shared" si="21"/>
        <v>ACTIVE</v>
      </c>
      <c r="H337" s="68" t="str">
        <f t="shared" si="21"/>
        <v>ACTIVE</v>
      </c>
      <c r="I337" s="68" t="str">
        <f t="shared" si="21"/>
        <v>ACTIVE</v>
      </c>
      <c r="J337" s="68" t="str">
        <f t="shared" si="21"/>
        <v>ACTIVE</v>
      </c>
      <c r="K337" s="68" t="str">
        <f t="shared" si="21"/>
        <v>ACTIVE</v>
      </c>
      <c r="L337" s="68" t="str">
        <f t="shared" si="21"/>
        <v>ACTIVE</v>
      </c>
      <c r="M337" s="68" t="str">
        <f t="shared" si="21"/>
        <v>ACTIVE</v>
      </c>
      <c r="N337" s="68" t="str">
        <f t="shared" si="21"/>
        <v>ACTIVE</v>
      </c>
      <c r="O337" s="68" t="str">
        <f t="shared" si="21"/>
        <v>ACTIVE</v>
      </c>
      <c r="P337" s="68" t="str">
        <f t="shared" si="21"/>
        <v>ACTIVE</v>
      </c>
      <c r="Q337" s="68" t="str">
        <f t="shared" si="21"/>
        <v>ACTIVE</v>
      </c>
    </row>
    <row r="338" spans="2:17" x14ac:dyDescent="0.35">
      <c r="B338" s="70" t="str">
        <v>10KK4646</v>
      </c>
      <c r="C338" s="68" t="str">
        <f>VLOOKUP(B338,Master!B:C,2,0)</f>
        <v>10KK4646</v>
      </c>
      <c r="D338" s="69">
        <f>VLOOKUP(B338,Master!B:L,11,0)</f>
        <v>45197</v>
      </c>
      <c r="E338" s="69">
        <f>VLOOKUP(B338,Master!B:P,15,0)</f>
        <v>0</v>
      </c>
      <c r="F338" s="68" t="str">
        <f t="shared" si="21"/>
        <v>ACTIVE</v>
      </c>
      <c r="G338" s="68" t="str">
        <f t="shared" si="21"/>
        <v>ACTIVE</v>
      </c>
      <c r="H338" s="68" t="str">
        <f t="shared" si="21"/>
        <v>ACTIVE</v>
      </c>
      <c r="I338" s="68" t="str">
        <f t="shared" si="21"/>
        <v>ACTIVE</v>
      </c>
      <c r="J338" s="68" t="str">
        <f t="shared" si="21"/>
        <v>ACTIVE</v>
      </c>
      <c r="K338" s="68" t="str">
        <f t="shared" si="21"/>
        <v>ACTIVE</v>
      </c>
      <c r="L338" s="68" t="str">
        <f t="shared" si="21"/>
        <v>ACTIVE</v>
      </c>
      <c r="M338" s="68" t="str">
        <f t="shared" si="21"/>
        <v>ACTIVE</v>
      </c>
      <c r="N338" s="68" t="str">
        <f t="shared" si="21"/>
        <v>ACTIVE</v>
      </c>
      <c r="O338" s="68" t="str">
        <f t="shared" si="21"/>
        <v>ACTIVE</v>
      </c>
      <c r="P338" s="68" t="str">
        <f t="shared" si="21"/>
        <v>ACTIVE</v>
      </c>
      <c r="Q338" s="68" t="str">
        <f t="shared" si="21"/>
        <v>ACTIVE</v>
      </c>
    </row>
    <row r="339" spans="2:17" x14ac:dyDescent="0.35">
      <c r="B339" s="70" t="str">
        <v>10SS5918</v>
      </c>
      <c r="C339" s="68" t="str">
        <f>VLOOKUP(B339,Master!B:C,2,0)</f>
        <v>10SS5918</v>
      </c>
      <c r="D339" s="69">
        <f>VLOOKUP(B339,Master!B:L,11,0)</f>
        <v>45211</v>
      </c>
      <c r="E339" s="69">
        <f>VLOOKUP(B339,Master!B:P,15,0)</f>
        <v>0</v>
      </c>
      <c r="F339" s="68" t="str">
        <f t="shared" si="21"/>
        <v>ACTIVE</v>
      </c>
      <c r="G339" s="68" t="str">
        <f t="shared" si="21"/>
        <v>ACTIVE</v>
      </c>
      <c r="H339" s="68" t="str">
        <f t="shared" si="21"/>
        <v>ACTIVE</v>
      </c>
      <c r="I339" s="68" t="str">
        <f t="shared" si="21"/>
        <v>ACTIVE</v>
      </c>
      <c r="J339" s="68" t="str">
        <f t="shared" si="21"/>
        <v>ACTIVE</v>
      </c>
      <c r="K339" s="68" t="str">
        <f t="shared" si="21"/>
        <v>ACTIVE</v>
      </c>
      <c r="L339" s="68" t="str">
        <f t="shared" si="21"/>
        <v>ACTIVE</v>
      </c>
      <c r="M339" s="68" t="str">
        <f t="shared" si="21"/>
        <v>ACTIVE</v>
      </c>
      <c r="N339" s="68" t="str">
        <f t="shared" si="21"/>
        <v>ACTIVE</v>
      </c>
      <c r="O339" s="68" t="str">
        <f t="shared" si="21"/>
        <v>ACTIVE</v>
      </c>
      <c r="P339" s="68" t="str">
        <f t="shared" si="21"/>
        <v>ACTIVE</v>
      </c>
      <c r="Q339" s="68" t="str">
        <f t="shared" si="21"/>
        <v>ACTIVE</v>
      </c>
    </row>
    <row r="340" spans="2:17" x14ac:dyDescent="0.35">
      <c r="B340" s="70" t="str">
        <v>10YT4625</v>
      </c>
      <c r="C340" s="68" t="str">
        <f>VLOOKUP(B340,Master!B:C,2,0)</f>
        <v>10YT4625</v>
      </c>
      <c r="D340" s="69">
        <f>VLOOKUP(B340,Master!B:L,11,0)</f>
        <v>45224</v>
      </c>
      <c r="E340" s="69">
        <f>VLOOKUP(B340,Master!B:P,15,0)</f>
        <v>0</v>
      </c>
      <c r="F340" s="68" t="str">
        <f t="shared" ref="F340:Q355" si="22">IF($E340&gt;0,"CLOSED",IF($D340&lt;F$1,"ACTIVE","WAITING FOR OPEN"))</f>
        <v>ACTIVE</v>
      </c>
      <c r="G340" s="68" t="str">
        <f t="shared" si="22"/>
        <v>ACTIVE</v>
      </c>
      <c r="H340" s="68" t="str">
        <f t="shared" si="22"/>
        <v>ACTIVE</v>
      </c>
      <c r="I340" s="68" t="str">
        <f t="shared" si="22"/>
        <v>ACTIVE</v>
      </c>
      <c r="J340" s="68" t="str">
        <f t="shared" si="22"/>
        <v>ACTIVE</v>
      </c>
      <c r="K340" s="68" t="str">
        <f t="shared" si="22"/>
        <v>ACTIVE</v>
      </c>
      <c r="L340" s="68" t="str">
        <f t="shared" si="22"/>
        <v>ACTIVE</v>
      </c>
      <c r="M340" s="68" t="str">
        <f t="shared" si="22"/>
        <v>ACTIVE</v>
      </c>
      <c r="N340" s="68" t="str">
        <f t="shared" si="22"/>
        <v>ACTIVE</v>
      </c>
      <c r="O340" s="68" t="str">
        <f t="shared" si="22"/>
        <v>ACTIVE</v>
      </c>
      <c r="P340" s="68" t="str">
        <f t="shared" si="22"/>
        <v>ACTIVE</v>
      </c>
      <c r="Q340" s="68" t="str">
        <f t="shared" si="22"/>
        <v>ACTIVE</v>
      </c>
    </row>
    <row r="341" spans="2:17" x14ac:dyDescent="0.35">
      <c r="B341" s="70" t="str">
        <v>30GG4654</v>
      </c>
      <c r="C341" s="68" t="str">
        <f>VLOOKUP(B341,Master!B:C,2,0)</f>
        <v>30GG4654</v>
      </c>
      <c r="D341" s="69">
        <f>VLOOKUP(B341,Master!B:L,11,0)</f>
        <v>45203</v>
      </c>
      <c r="E341" s="69">
        <f>VLOOKUP(B341,Master!B:P,15,0)</f>
        <v>0</v>
      </c>
      <c r="F341" s="68" t="str">
        <f t="shared" si="22"/>
        <v>ACTIVE</v>
      </c>
      <c r="G341" s="68" t="str">
        <f t="shared" si="22"/>
        <v>ACTIVE</v>
      </c>
      <c r="H341" s="68" t="str">
        <f t="shared" si="22"/>
        <v>ACTIVE</v>
      </c>
      <c r="I341" s="68" t="str">
        <f t="shared" si="22"/>
        <v>ACTIVE</v>
      </c>
      <c r="J341" s="68" t="str">
        <f t="shared" si="22"/>
        <v>ACTIVE</v>
      </c>
      <c r="K341" s="68" t="str">
        <f t="shared" si="22"/>
        <v>ACTIVE</v>
      </c>
      <c r="L341" s="68" t="str">
        <f t="shared" si="22"/>
        <v>ACTIVE</v>
      </c>
      <c r="M341" s="68" t="str">
        <f t="shared" si="22"/>
        <v>ACTIVE</v>
      </c>
      <c r="N341" s="68" t="str">
        <f t="shared" si="22"/>
        <v>ACTIVE</v>
      </c>
      <c r="O341" s="68" t="str">
        <f t="shared" si="22"/>
        <v>ACTIVE</v>
      </c>
      <c r="P341" s="68" t="str">
        <f t="shared" si="22"/>
        <v>ACTIVE</v>
      </c>
      <c r="Q341" s="68" t="str">
        <f t="shared" si="22"/>
        <v>ACTIVE</v>
      </c>
    </row>
    <row r="342" spans="2:17" x14ac:dyDescent="0.35">
      <c r="B342" s="70" t="str">
        <v>30KK4655</v>
      </c>
      <c r="C342" s="68" t="str">
        <f>VLOOKUP(B342,Master!B:C,2,0)</f>
        <v>30KK4655</v>
      </c>
      <c r="D342" s="69">
        <f>VLOOKUP(B342,Master!B:L,11,0)</f>
        <v>45203</v>
      </c>
      <c r="E342" s="69">
        <f>VLOOKUP(B342,Master!B:P,15,0)</f>
        <v>0</v>
      </c>
      <c r="F342" s="68" t="str">
        <f t="shared" si="22"/>
        <v>ACTIVE</v>
      </c>
      <c r="G342" s="68" t="str">
        <f t="shared" si="22"/>
        <v>ACTIVE</v>
      </c>
      <c r="H342" s="68" t="str">
        <f t="shared" si="22"/>
        <v>ACTIVE</v>
      </c>
      <c r="I342" s="68" t="str">
        <f t="shared" si="22"/>
        <v>ACTIVE</v>
      </c>
      <c r="J342" s="68" t="str">
        <f t="shared" si="22"/>
        <v>ACTIVE</v>
      </c>
      <c r="K342" s="68" t="str">
        <f t="shared" si="22"/>
        <v>ACTIVE</v>
      </c>
      <c r="L342" s="68" t="str">
        <f t="shared" si="22"/>
        <v>ACTIVE</v>
      </c>
      <c r="M342" s="68" t="str">
        <f t="shared" si="22"/>
        <v>ACTIVE</v>
      </c>
      <c r="N342" s="68" t="str">
        <f t="shared" si="22"/>
        <v>ACTIVE</v>
      </c>
      <c r="O342" s="68" t="str">
        <f t="shared" si="22"/>
        <v>ACTIVE</v>
      </c>
      <c r="P342" s="68" t="str">
        <f t="shared" si="22"/>
        <v>ACTIVE</v>
      </c>
      <c r="Q342" s="68" t="str">
        <f t="shared" si="22"/>
        <v>ACTIVE</v>
      </c>
    </row>
    <row r="343" spans="2:17" x14ac:dyDescent="0.35">
      <c r="B343" s="70" t="str">
        <v>30SS4652</v>
      </c>
      <c r="C343" s="68" t="str">
        <f>VLOOKUP(B343,Master!B:C,2,0)</f>
        <v>30SS4652</v>
      </c>
      <c r="D343" s="69">
        <f>VLOOKUP(B343,Master!B:L,11,0)</f>
        <v>45203</v>
      </c>
      <c r="E343" s="69">
        <f>VLOOKUP(B343,Master!B:P,15,0)</f>
        <v>0</v>
      </c>
      <c r="F343" s="68" t="str">
        <f t="shared" si="22"/>
        <v>ACTIVE</v>
      </c>
      <c r="G343" s="68" t="str">
        <f t="shared" si="22"/>
        <v>ACTIVE</v>
      </c>
      <c r="H343" s="68" t="str">
        <f t="shared" si="22"/>
        <v>ACTIVE</v>
      </c>
      <c r="I343" s="68" t="str">
        <f t="shared" si="22"/>
        <v>ACTIVE</v>
      </c>
      <c r="J343" s="68" t="str">
        <f t="shared" si="22"/>
        <v>ACTIVE</v>
      </c>
      <c r="K343" s="68" t="str">
        <f t="shared" si="22"/>
        <v>ACTIVE</v>
      </c>
      <c r="L343" s="68" t="str">
        <f t="shared" si="22"/>
        <v>ACTIVE</v>
      </c>
      <c r="M343" s="68" t="str">
        <f t="shared" si="22"/>
        <v>ACTIVE</v>
      </c>
      <c r="N343" s="68" t="str">
        <f t="shared" si="22"/>
        <v>ACTIVE</v>
      </c>
      <c r="O343" s="68" t="str">
        <f t="shared" si="22"/>
        <v>ACTIVE</v>
      </c>
      <c r="P343" s="68" t="str">
        <f t="shared" si="22"/>
        <v>ACTIVE</v>
      </c>
      <c r="Q343" s="68" t="str">
        <f t="shared" si="22"/>
        <v>ACTIVE</v>
      </c>
    </row>
    <row r="344" spans="2:17" x14ac:dyDescent="0.35">
      <c r="B344" s="70" t="str">
        <v>09HNOCH001</v>
      </c>
      <c r="C344" s="68" t="str">
        <f>VLOOKUP(B344,Master!B:C,2,0)</f>
        <v>09HNOCH001</v>
      </c>
      <c r="D344" s="69">
        <f>VLOOKUP(B344,Master!B:L,11,0)</f>
        <v>45261</v>
      </c>
      <c r="E344" s="69">
        <f>VLOOKUP(B344,Master!B:P,15,0)</f>
        <v>45740</v>
      </c>
      <c r="F344" s="68" t="str">
        <f t="shared" si="22"/>
        <v>CLOSED</v>
      </c>
      <c r="G344" s="68" t="str">
        <f t="shared" si="22"/>
        <v>CLOSED</v>
      </c>
      <c r="H344" s="68" t="str">
        <f t="shared" si="22"/>
        <v>CLOSED</v>
      </c>
      <c r="I344" s="68" t="str">
        <f t="shared" si="22"/>
        <v>CLOSED</v>
      </c>
      <c r="J344" s="68" t="str">
        <f t="shared" si="22"/>
        <v>CLOSED</v>
      </c>
      <c r="K344" s="68" t="str">
        <f t="shared" si="22"/>
        <v>CLOSED</v>
      </c>
      <c r="L344" s="68" t="str">
        <f t="shared" si="22"/>
        <v>CLOSED</v>
      </c>
      <c r="M344" s="68" t="str">
        <f t="shared" si="22"/>
        <v>CLOSED</v>
      </c>
      <c r="N344" s="68" t="str">
        <f t="shared" si="22"/>
        <v>CLOSED</v>
      </c>
      <c r="O344" s="68" t="str">
        <f t="shared" si="22"/>
        <v>CLOSED</v>
      </c>
      <c r="P344" s="68" t="str">
        <f t="shared" si="22"/>
        <v>CLOSED</v>
      </c>
      <c r="Q344" s="68" t="str">
        <f t="shared" si="22"/>
        <v>CLOSED</v>
      </c>
    </row>
    <row r="345" spans="2:17" x14ac:dyDescent="0.35">
      <c r="B345" s="70" t="str">
        <v>10UT4662</v>
      </c>
      <c r="C345" s="68" t="str">
        <f>VLOOKUP(B345,Master!B:C,2,0)</f>
        <v>10UT4662</v>
      </c>
      <c r="D345" s="69">
        <f>VLOOKUP(B345,Master!B:L,11,0)</f>
        <v>45249</v>
      </c>
      <c r="E345" s="69">
        <f>VLOOKUP(B345,Master!B:P,15,0)</f>
        <v>0</v>
      </c>
      <c r="F345" s="68" t="str">
        <f t="shared" si="22"/>
        <v>ACTIVE</v>
      </c>
      <c r="G345" s="68" t="str">
        <f t="shared" si="22"/>
        <v>ACTIVE</v>
      </c>
      <c r="H345" s="68" t="str">
        <f t="shared" si="22"/>
        <v>ACTIVE</v>
      </c>
      <c r="I345" s="68" t="str">
        <f t="shared" si="22"/>
        <v>ACTIVE</v>
      </c>
      <c r="J345" s="68" t="str">
        <f t="shared" si="22"/>
        <v>ACTIVE</v>
      </c>
      <c r="K345" s="68" t="str">
        <f t="shared" si="22"/>
        <v>ACTIVE</v>
      </c>
      <c r="L345" s="68" t="str">
        <f t="shared" si="22"/>
        <v>ACTIVE</v>
      </c>
      <c r="M345" s="68" t="str">
        <f t="shared" si="22"/>
        <v>ACTIVE</v>
      </c>
      <c r="N345" s="68" t="str">
        <f t="shared" si="22"/>
        <v>ACTIVE</v>
      </c>
      <c r="O345" s="68" t="str">
        <f t="shared" si="22"/>
        <v>ACTIVE</v>
      </c>
      <c r="P345" s="68" t="str">
        <f t="shared" si="22"/>
        <v>ACTIVE</v>
      </c>
      <c r="Q345" s="68" t="str">
        <f t="shared" si="22"/>
        <v>ACTIVE</v>
      </c>
    </row>
    <row r="346" spans="2:17" x14ac:dyDescent="0.35">
      <c r="B346" s="70" t="str">
        <v>30GG4670</v>
      </c>
      <c r="C346" s="68" t="str">
        <f>VLOOKUP(B346,Master!B:C,2,0)</f>
        <v>30GG4670</v>
      </c>
      <c r="D346" s="69">
        <f>VLOOKUP(B346,Master!B:L,11,0)</f>
        <v>45246</v>
      </c>
      <c r="E346" s="69">
        <f>VLOOKUP(B346,Master!B:P,15,0)</f>
        <v>0</v>
      </c>
      <c r="F346" s="68" t="str">
        <f t="shared" si="22"/>
        <v>ACTIVE</v>
      </c>
      <c r="G346" s="68" t="str">
        <f t="shared" si="22"/>
        <v>ACTIVE</v>
      </c>
      <c r="H346" s="68" t="str">
        <f t="shared" si="22"/>
        <v>ACTIVE</v>
      </c>
      <c r="I346" s="68" t="str">
        <f t="shared" si="22"/>
        <v>ACTIVE</v>
      </c>
      <c r="J346" s="68" t="str">
        <f t="shared" si="22"/>
        <v>ACTIVE</v>
      </c>
      <c r="K346" s="68" t="str">
        <f t="shared" si="22"/>
        <v>ACTIVE</v>
      </c>
      <c r="L346" s="68" t="str">
        <f t="shared" si="22"/>
        <v>ACTIVE</v>
      </c>
      <c r="M346" s="68" t="str">
        <f t="shared" si="22"/>
        <v>ACTIVE</v>
      </c>
      <c r="N346" s="68" t="str">
        <f t="shared" si="22"/>
        <v>ACTIVE</v>
      </c>
      <c r="O346" s="68" t="str">
        <f t="shared" si="22"/>
        <v>ACTIVE</v>
      </c>
      <c r="P346" s="68" t="str">
        <f t="shared" si="22"/>
        <v>ACTIVE</v>
      </c>
      <c r="Q346" s="68" t="str">
        <f t="shared" si="22"/>
        <v>ACTIVE</v>
      </c>
    </row>
    <row r="347" spans="2:17" x14ac:dyDescent="0.35">
      <c r="B347" s="70" t="str">
        <v>30SS4663</v>
      </c>
      <c r="C347" s="68" t="str">
        <f>VLOOKUP(B347,Master!B:C,2,0)</f>
        <v>30SS4663</v>
      </c>
      <c r="D347" s="69">
        <f>VLOOKUP(B347,Master!B:L,11,0)</f>
        <v>45235</v>
      </c>
      <c r="E347" s="69">
        <f>VLOOKUP(B347,Master!B:P,15,0)</f>
        <v>0</v>
      </c>
      <c r="F347" s="68" t="str">
        <f t="shared" si="22"/>
        <v>ACTIVE</v>
      </c>
      <c r="G347" s="68" t="str">
        <f t="shared" si="22"/>
        <v>ACTIVE</v>
      </c>
      <c r="H347" s="68" t="str">
        <f t="shared" si="22"/>
        <v>ACTIVE</v>
      </c>
      <c r="I347" s="68" t="str">
        <f t="shared" si="22"/>
        <v>ACTIVE</v>
      </c>
      <c r="J347" s="68" t="str">
        <f t="shared" si="22"/>
        <v>ACTIVE</v>
      </c>
      <c r="K347" s="68" t="str">
        <f t="shared" si="22"/>
        <v>ACTIVE</v>
      </c>
      <c r="L347" s="68" t="str">
        <f t="shared" si="22"/>
        <v>ACTIVE</v>
      </c>
      <c r="M347" s="68" t="str">
        <f t="shared" si="22"/>
        <v>ACTIVE</v>
      </c>
      <c r="N347" s="68" t="str">
        <f t="shared" si="22"/>
        <v>ACTIVE</v>
      </c>
      <c r="O347" s="68" t="str">
        <f t="shared" si="22"/>
        <v>ACTIVE</v>
      </c>
      <c r="P347" s="68" t="str">
        <f t="shared" si="22"/>
        <v>ACTIVE</v>
      </c>
      <c r="Q347" s="68" t="str">
        <f t="shared" si="22"/>
        <v>ACTIVE</v>
      </c>
    </row>
    <row r="348" spans="2:17" x14ac:dyDescent="0.35">
      <c r="B348" s="70" t="str">
        <v>10FC4593</v>
      </c>
      <c r="C348" s="68" t="str">
        <f>VLOOKUP(B348,Master!B:C,2,0)</f>
        <v>10FC4593</v>
      </c>
      <c r="D348" s="69">
        <f>VLOOKUP(B348,Master!B:L,11,0)</f>
        <v>45231</v>
      </c>
      <c r="E348" s="69">
        <f>VLOOKUP(B348,Master!B:P,15,0)</f>
        <v>0</v>
      </c>
      <c r="F348" s="68" t="str">
        <f t="shared" si="22"/>
        <v>ACTIVE</v>
      </c>
      <c r="G348" s="68" t="str">
        <f t="shared" si="22"/>
        <v>ACTIVE</v>
      </c>
      <c r="H348" s="68" t="str">
        <f t="shared" si="22"/>
        <v>ACTIVE</v>
      </c>
      <c r="I348" s="68" t="str">
        <f t="shared" si="22"/>
        <v>ACTIVE</v>
      </c>
      <c r="J348" s="68" t="str">
        <f t="shared" si="22"/>
        <v>ACTIVE</v>
      </c>
      <c r="K348" s="68" t="str">
        <f t="shared" si="22"/>
        <v>ACTIVE</v>
      </c>
      <c r="L348" s="68" t="str">
        <f t="shared" si="22"/>
        <v>ACTIVE</v>
      </c>
      <c r="M348" s="68" t="str">
        <f t="shared" si="22"/>
        <v>ACTIVE</v>
      </c>
      <c r="N348" s="68" t="str">
        <f t="shared" si="22"/>
        <v>ACTIVE</v>
      </c>
      <c r="O348" s="68" t="str">
        <f t="shared" si="22"/>
        <v>ACTIVE</v>
      </c>
      <c r="P348" s="68" t="str">
        <f t="shared" si="22"/>
        <v>ACTIVE</v>
      </c>
      <c r="Q348" s="68" t="str">
        <f t="shared" si="22"/>
        <v>ACTIVE</v>
      </c>
    </row>
    <row r="349" spans="2:17" x14ac:dyDescent="0.35">
      <c r="B349" s="70" t="str">
        <v>30GG4656</v>
      </c>
      <c r="C349" s="68" t="str">
        <f>VLOOKUP(B349,Master!B:C,2,0)</f>
        <v>30GG4656</v>
      </c>
      <c r="D349" s="69">
        <f>VLOOKUP(B349,Master!B:L,11,0)</f>
        <v>45231</v>
      </c>
      <c r="E349" s="69">
        <f>VLOOKUP(B349,Master!B:P,15,0)</f>
        <v>0</v>
      </c>
      <c r="F349" s="68" t="str">
        <f t="shared" si="22"/>
        <v>ACTIVE</v>
      </c>
      <c r="G349" s="68" t="str">
        <f t="shared" si="22"/>
        <v>ACTIVE</v>
      </c>
      <c r="H349" s="68" t="str">
        <f t="shared" si="22"/>
        <v>ACTIVE</v>
      </c>
      <c r="I349" s="68" t="str">
        <f t="shared" si="22"/>
        <v>ACTIVE</v>
      </c>
      <c r="J349" s="68" t="str">
        <f t="shared" si="22"/>
        <v>ACTIVE</v>
      </c>
      <c r="K349" s="68" t="str">
        <f t="shared" si="22"/>
        <v>ACTIVE</v>
      </c>
      <c r="L349" s="68" t="str">
        <f t="shared" si="22"/>
        <v>ACTIVE</v>
      </c>
      <c r="M349" s="68" t="str">
        <f t="shared" si="22"/>
        <v>ACTIVE</v>
      </c>
      <c r="N349" s="68" t="str">
        <f t="shared" si="22"/>
        <v>ACTIVE</v>
      </c>
      <c r="O349" s="68" t="str">
        <f t="shared" si="22"/>
        <v>ACTIVE</v>
      </c>
      <c r="P349" s="68" t="str">
        <f t="shared" si="22"/>
        <v>ACTIVE</v>
      </c>
      <c r="Q349" s="68" t="str">
        <f t="shared" si="22"/>
        <v>ACTIVE</v>
      </c>
    </row>
    <row r="350" spans="2:17" x14ac:dyDescent="0.35">
      <c r="B350" s="70" t="str">
        <v>30CD4669</v>
      </c>
      <c r="C350" s="68" t="str">
        <f>VLOOKUP(B350,Master!B:C,2,0)</f>
        <v>30CD4669</v>
      </c>
      <c r="D350" s="69">
        <f>VLOOKUP(B350,Master!B:L,11,0)</f>
        <v>45261</v>
      </c>
      <c r="E350" s="69">
        <f>VLOOKUP(B350,Master!B:P,15,0)</f>
        <v>0</v>
      </c>
      <c r="F350" s="68" t="str">
        <f t="shared" si="22"/>
        <v>ACTIVE</v>
      </c>
      <c r="G350" s="68" t="str">
        <f t="shared" si="22"/>
        <v>ACTIVE</v>
      </c>
      <c r="H350" s="68" t="str">
        <f t="shared" si="22"/>
        <v>ACTIVE</v>
      </c>
      <c r="I350" s="68" t="str">
        <f t="shared" si="22"/>
        <v>ACTIVE</v>
      </c>
      <c r="J350" s="68" t="str">
        <f t="shared" si="22"/>
        <v>ACTIVE</v>
      </c>
      <c r="K350" s="68" t="str">
        <f t="shared" si="22"/>
        <v>ACTIVE</v>
      </c>
      <c r="L350" s="68" t="str">
        <f t="shared" si="22"/>
        <v>ACTIVE</v>
      </c>
      <c r="M350" s="68" t="str">
        <f t="shared" si="22"/>
        <v>ACTIVE</v>
      </c>
      <c r="N350" s="68" t="str">
        <f t="shared" si="22"/>
        <v>ACTIVE</v>
      </c>
      <c r="O350" s="68" t="str">
        <f t="shared" si="22"/>
        <v>ACTIVE</v>
      </c>
      <c r="P350" s="68" t="str">
        <f t="shared" si="22"/>
        <v>ACTIVE</v>
      </c>
      <c r="Q350" s="68" t="str">
        <f t="shared" si="22"/>
        <v>ACTIVE</v>
      </c>
    </row>
    <row r="351" spans="2:17" x14ac:dyDescent="0.35">
      <c r="B351" s="70" t="str">
        <v>30SS4642</v>
      </c>
      <c r="C351" s="68" t="str">
        <f>VLOOKUP(B351,Master!B:C,2,0)</f>
        <v>30SS4642</v>
      </c>
      <c r="D351" s="69">
        <f>VLOOKUP(B351,Master!B:L,11,0)</f>
        <v>45265</v>
      </c>
      <c r="E351" s="69">
        <f>VLOOKUP(B351,Master!B:P,15,0)</f>
        <v>0</v>
      </c>
      <c r="F351" s="68" t="str">
        <f t="shared" si="22"/>
        <v>ACTIVE</v>
      </c>
      <c r="G351" s="68" t="str">
        <f t="shared" si="22"/>
        <v>ACTIVE</v>
      </c>
      <c r="H351" s="68" t="str">
        <f t="shared" si="22"/>
        <v>ACTIVE</v>
      </c>
      <c r="I351" s="68" t="str">
        <f t="shared" si="22"/>
        <v>ACTIVE</v>
      </c>
      <c r="J351" s="68" t="str">
        <f t="shared" si="22"/>
        <v>ACTIVE</v>
      </c>
      <c r="K351" s="68" t="str">
        <f t="shared" si="22"/>
        <v>ACTIVE</v>
      </c>
      <c r="L351" s="68" t="str">
        <f t="shared" si="22"/>
        <v>ACTIVE</v>
      </c>
      <c r="M351" s="68" t="str">
        <f t="shared" si="22"/>
        <v>ACTIVE</v>
      </c>
      <c r="N351" s="68" t="str">
        <f t="shared" si="22"/>
        <v>ACTIVE</v>
      </c>
      <c r="O351" s="68" t="str">
        <f t="shared" si="22"/>
        <v>ACTIVE</v>
      </c>
      <c r="P351" s="68" t="str">
        <f t="shared" si="22"/>
        <v>ACTIVE</v>
      </c>
      <c r="Q351" s="68" t="str">
        <f t="shared" si="22"/>
        <v>ACTIVE</v>
      </c>
    </row>
    <row r="352" spans="2:17" x14ac:dyDescent="0.35">
      <c r="B352" s="70" t="str">
        <v>30GG4640</v>
      </c>
      <c r="C352" s="68" t="str">
        <f>VLOOKUP(B352,Master!B:C,2,0)</f>
        <v>30GG4640</v>
      </c>
      <c r="D352" s="69">
        <f>VLOOKUP(B352,Master!B:L,11,0)</f>
        <v>45266</v>
      </c>
      <c r="E352" s="69">
        <f>VLOOKUP(B352,Master!B:P,15,0)</f>
        <v>0</v>
      </c>
      <c r="F352" s="68" t="str">
        <f t="shared" si="22"/>
        <v>ACTIVE</v>
      </c>
      <c r="G352" s="68" t="str">
        <f t="shared" si="22"/>
        <v>ACTIVE</v>
      </c>
      <c r="H352" s="68" t="str">
        <f t="shared" si="22"/>
        <v>ACTIVE</v>
      </c>
      <c r="I352" s="68" t="str">
        <f t="shared" si="22"/>
        <v>ACTIVE</v>
      </c>
      <c r="J352" s="68" t="str">
        <f t="shared" si="22"/>
        <v>ACTIVE</v>
      </c>
      <c r="K352" s="68" t="str">
        <f t="shared" si="22"/>
        <v>ACTIVE</v>
      </c>
      <c r="L352" s="68" t="str">
        <f t="shared" si="22"/>
        <v>ACTIVE</v>
      </c>
      <c r="M352" s="68" t="str">
        <f t="shared" si="22"/>
        <v>ACTIVE</v>
      </c>
      <c r="N352" s="68" t="str">
        <f t="shared" si="22"/>
        <v>ACTIVE</v>
      </c>
      <c r="O352" s="68" t="str">
        <f t="shared" si="22"/>
        <v>ACTIVE</v>
      </c>
      <c r="P352" s="68" t="str">
        <f t="shared" si="22"/>
        <v>ACTIVE</v>
      </c>
      <c r="Q352" s="68" t="str">
        <f t="shared" si="22"/>
        <v>ACTIVE</v>
      </c>
    </row>
    <row r="353" spans="2:17" x14ac:dyDescent="0.35">
      <c r="B353" s="70" t="str">
        <v>30GG4666</v>
      </c>
      <c r="C353" s="68" t="str">
        <f>VLOOKUP(B353,Master!B:C,2,0)</f>
        <v>30GG4666</v>
      </c>
      <c r="D353" s="69">
        <f>VLOOKUP(B353,Master!B:L,11,0)</f>
        <v>45266</v>
      </c>
      <c r="E353" s="69">
        <f>VLOOKUP(B353,Master!B:P,15,0)</f>
        <v>0</v>
      </c>
      <c r="F353" s="68" t="str">
        <f t="shared" si="22"/>
        <v>ACTIVE</v>
      </c>
      <c r="G353" s="68" t="str">
        <f t="shared" si="22"/>
        <v>ACTIVE</v>
      </c>
      <c r="H353" s="68" t="str">
        <f t="shared" si="22"/>
        <v>ACTIVE</v>
      </c>
      <c r="I353" s="68" t="str">
        <f t="shared" si="22"/>
        <v>ACTIVE</v>
      </c>
      <c r="J353" s="68" t="str">
        <f t="shared" si="22"/>
        <v>ACTIVE</v>
      </c>
      <c r="K353" s="68" t="str">
        <f t="shared" si="22"/>
        <v>ACTIVE</v>
      </c>
      <c r="L353" s="68" t="str">
        <f t="shared" si="22"/>
        <v>ACTIVE</v>
      </c>
      <c r="M353" s="68" t="str">
        <f t="shared" si="22"/>
        <v>ACTIVE</v>
      </c>
      <c r="N353" s="68" t="str">
        <f t="shared" si="22"/>
        <v>ACTIVE</v>
      </c>
      <c r="O353" s="68" t="str">
        <f t="shared" si="22"/>
        <v>ACTIVE</v>
      </c>
      <c r="P353" s="68" t="str">
        <f t="shared" si="22"/>
        <v>ACTIVE</v>
      </c>
      <c r="Q353" s="68" t="str">
        <f t="shared" si="22"/>
        <v>ACTIVE</v>
      </c>
    </row>
    <row r="354" spans="2:17" x14ac:dyDescent="0.35">
      <c r="B354" s="70" t="str">
        <v>30GG4667</v>
      </c>
      <c r="C354" s="68" t="str">
        <f>VLOOKUP(B354,Master!B:C,2,0)</f>
        <v>30GG4667</v>
      </c>
      <c r="D354" s="69">
        <f>VLOOKUP(B354,Master!B:L,11,0)</f>
        <v>45267</v>
      </c>
      <c r="E354" s="69">
        <f>VLOOKUP(B354,Master!B:P,15,0)</f>
        <v>0</v>
      </c>
      <c r="F354" s="68" t="str">
        <f t="shared" si="22"/>
        <v>ACTIVE</v>
      </c>
      <c r="G354" s="68" t="str">
        <f t="shared" si="22"/>
        <v>ACTIVE</v>
      </c>
      <c r="H354" s="68" t="str">
        <f t="shared" si="22"/>
        <v>ACTIVE</v>
      </c>
      <c r="I354" s="68" t="str">
        <f t="shared" si="22"/>
        <v>ACTIVE</v>
      </c>
      <c r="J354" s="68" t="str">
        <f t="shared" si="22"/>
        <v>ACTIVE</v>
      </c>
      <c r="K354" s="68" t="str">
        <f t="shared" si="22"/>
        <v>ACTIVE</v>
      </c>
      <c r="L354" s="68" t="str">
        <f t="shared" si="22"/>
        <v>ACTIVE</v>
      </c>
      <c r="M354" s="68" t="str">
        <f t="shared" si="22"/>
        <v>ACTIVE</v>
      </c>
      <c r="N354" s="68" t="str">
        <f t="shared" si="22"/>
        <v>ACTIVE</v>
      </c>
      <c r="O354" s="68" t="str">
        <f t="shared" si="22"/>
        <v>ACTIVE</v>
      </c>
      <c r="P354" s="68" t="str">
        <f t="shared" si="22"/>
        <v>ACTIVE</v>
      </c>
      <c r="Q354" s="68" t="str">
        <f t="shared" si="22"/>
        <v>ACTIVE</v>
      </c>
    </row>
    <row r="355" spans="2:17" x14ac:dyDescent="0.35">
      <c r="B355" s="70" t="str">
        <v>10MT4696</v>
      </c>
      <c r="C355" s="68" t="str">
        <f>VLOOKUP(B355,Master!B:C,2,0)</f>
        <v>10MT4696</v>
      </c>
      <c r="D355" s="69">
        <f>VLOOKUP(B355,Master!B:L,11,0)</f>
        <v>45279</v>
      </c>
      <c r="E355" s="69">
        <f>VLOOKUP(B355,Master!B:P,15,0)</f>
        <v>0</v>
      </c>
      <c r="F355" s="68" t="str">
        <f t="shared" si="22"/>
        <v>ACTIVE</v>
      </c>
      <c r="G355" s="68" t="str">
        <f t="shared" si="22"/>
        <v>ACTIVE</v>
      </c>
      <c r="H355" s="68" t="str">
        <f t="shared" si="22"/>
        <v>ACTIVE</v>
      </c>
      <c r="I355" s="68" t="str">
        <f t="shared" si="22"/>
        <v>ACTIVE</v>
      </c>
      <c r="J355" s="68" t="str">
        <f t="shared" si="22"/>
        <v>ACTIVE</v>
      </c>
      <c r="K355" s="68" t="str">
        <f t="shared" si="22"/>
        <v>ACTIVE</v>
      </c>
      <c r="L355" s="68" t="str">
        <f t="shared" si="22"/>
        <v>ACTIVE</v>
      </c>
      <c r="M355" s="68" t="str">
        <f t="shared" si="22"/>
        <v>ACTIVE</v>
      </c>
      <c r="N355" s="68" t="str">
        <f t="shared" si="22"/>
        <v>ACTIVE</v>
      </c>
      <c r="O355" s="68" t="str">
        <f t="shared" si="22"/>
        <v>ACTIVE</v>
      </c>
      <c r="P355" s="68" t="str">
        <f t="shared" si="22"/>
        <v>ACTIVE</v>
      </c>
      <c r="Q355" s="68" t="str">
        <f t="shared" si="22"/>
        <v>ACTIVE</v>
      </c>
    </row>
    <row r="356" spans="2:17" x14ac:dyDescent="0.35">
      <c r="B356" s="70" t="str">
        <v>30MT4699</v>
      </c>
      <c r="C356" s="68" t="str">
        <f>VLOOKUP(B356,Master!B:C,2,0)</f>
        <v>30MT4699</v>
      </c>
      <c r="D356" s="69">
        <f>VLOOKUP(B356,Master!B:L,11,0)</f>
        <v>45284</v>
      </c>
      <c r="E356" s="69">
        <f>VLOOKUP(B356,Master!B:P,15,0)</f>
        <v>0</v>
      </c>
      <c r="F356" s="68" t="str">
        <f t="shared" ref="F356:Q371" si="23">IF($E356&gt;0,"CLOSED",IF($D356&lt;F$1,"ACTIVE","WAITING FOR OPEN"))</f>
        <v>ACTIVE</v>
      </c>
      <c r="G356" s="68" t="str">
        <f t="shared" si="23"/>
        <v>ACTIVE</v>
      </c>
      <c r="H356" s="68" t="str">
        <f t="shared" si="23"/>
        <v>ACTIVE</v>
      </c>
      <c r="I356" s="68" t="str">
        <f t="shared" si="23"/>
        <v>ACTIVE</v>
      </c>
      <c r="J356" s="68" t="str">
        <f t="shared" si="23"/>
        <v>ACTIVE</v>
      </c>
      <c r="K356" s="68" t="str">
        <f t="shared" si="23"/>
        <v>ACTIVE</v>
      </c>
      <c r="L356" s="68" t="str">
        <f t="shared" si="23"/>
        <v>ACTIVE</v>
      </c>
      <c r="M356" s="68" t="str">
        <f t="shared" si="23"/>
        <v>ACTIVE</v>
      </c>
      <c r="N356" s="68" t="str">
        <f t="shared" si="23"/>
        <v>ACTIVE</v>
      </c>
      <c r="O356" s="68" t="str">
        <f t="shared" si="23"/>
        <v>ACTIVE</v>
      </c>
      <c r="P356" s="68" t="str">
        <f t="shared" si="23"/>
        <v>ACTIVE</v>
      </c>
      <c r="Q356" s="68" t="str">
        <f t="shared" si="23"/>
        <v>ACTIVE</v>
      </c>
    </row>
    <row r="357" spans="2:17" x14ac:dyDescent="0.35">
      <c r="B357" s="70" t="str">
        <v>10UT4676</v>
      </c>
      <c r="C357" s="68" t="str">
        <f>VLOOKUP(B357,Master!B:C,2,0)</f>
        <v>10UT4676</v>
      </c>
      <c r="D357" s="69">
        <f>VLOOKUP(B357,Master!B:L,11,0)</f>
        <v>45295</v>
      </c>
      <c r="E357" s="69">
        <f>VLOOKUP(B357,Master!B:P,15,0)</f>
        <v>0</v>
      </c>
      <c r="F357" s="68" t="str">
        <f t="shared" si="23"/>
        <v>ACTIVE</v>
      </c>
      <c r="G357" s="68" t="str">
        <f t="shared" si="23"/>
        <v>ACTIVE</v>
      </c>
      <c r="H357" s="68" t="str">
        <f t="shared" si="23"/>
        <v>ACTIVE</v>
      </c>
      <c r="I357" s="68" t="str">
        <f t="shared" si="23"/>
        <v>ACTIVE</v>
      </c>
      <c r="J357" s="68" t="str">
        <f t="shared" si="23"/>
        <v>ACTIVE</v>
      </c>
      <c r="K357" s="68" t="str">
        <f t="shared" si="23"/>
        <v>ACTIVE</v>
      </c>
      <c r="L357" s="68" t="str">
        <f t="shared" si="23"/>
        <v>ACTIVE</v>
      </c>
      <c r="M357" s="68" t="str">
        <f t="shared" si="23"/>
        <v>ACTIVE</v>
      </c>
      <c r="N357" s="68" t="str">
        <f t="shared" si="23"/>
        <v>ACTIVE</v>
      </c>
      <c r="O357" s="68" t="str">
        <f t="shared" si="23"/>
        <v>ACTIVE</v>
      </c>
      <c r="P357" s="68" t="str">
        <f t="shared" si="23"/>
        <v>ACTIVE</v>
      </c>
      <c r="Q357" s="68" t="str">
        <f t="shared" si="23"/>
        <v>ACTIVE</v>
      </c>
    </row>
    <row r="358" spans="2:17" x14ac:dyDescent="0.35">
      <c r="B358" s="70" t="str">
        <v>30CD4682</v>
      </c>
      <c r="C358" s="68" t="str">
        <f>VLOOKUP(B358,Master!B:C,2,0)</f>
        <v>30CD4682</v>
      </c>
      <c r="D358" s="69">
        <f>VLOOKUP(B358,Master!B:L,11,0)</f>
        <v>45307</v>
      </c>
      <c r="E358" s="69">
        <f>VLOOKUP(B358,Master!B:P,15,0)</f>
        <v>0</v>
      </c>
      <c r="F358" s="68" t="str">
        <f t="shared" si="23"/>
        <v>ACTIVE</v>
      </c>
      <c r="G358" s="68" t="str">
        <f t="shared" si="23"/>
        <v>ACTIVE</v>
      </c>
      <c r="H358" s="68" t="str">
        <f t="shared" si="23"/>
        <v>ACTIVE</v>
      </c>
      <c r="I358" s="68" t="str">
        <f t="shared" si="23"/>
        <v>ACTIVE</v>
      </c>
      <c r="J358" s="68" t="str">
        <f t="shared" si="23"/>
        <v>ACTIVE</v>
      </c>
      <c r="K358" s="68" t="str">
        <f t="shared" si="23"/>
        <v>ACTIVE</v>
      </c>
      <c r="L358" s="68" t="str">
        <f t="shared" si="23"/>
        <v>ACTIVE</v>
      </c>
      <c r="M358" s="68" t="str">
        <f t="shared" si="23"/>
        <v>ACTIVE</v>
      </c>
      <c r="N358" s="68" t="str">
        <f t="shared" si="23"/>
        <v>ACTIVE</v>
      </c>
      <c r="O358" s="68" t="str">
        <f t="shared" si="23"/>
        <v>ACTIVE</v>
      </c>
      <c r="P358" s="68" t="str">
        <f t="shared" si="23"/>
        <v>ACTIVE</v>
      </c>
      <c r="Q358" s="68" t="str">
        <f t="shared" si="23"/>
        <v>ACTIVE</v>
      </c>
    </row>
    <row r="359" spans="2:17" x14ac:dyDescent="0.35">
      <c r="B359" s="70" t="str">
        <v>30MW4685</v>
      </c>
      <c r="C359" s="68" t="str">
        <f>VLOOKUP(B359,Master!B:C,2,0)</f>
        <v>30MW4685</v>
      </c>
      <c r="D359" s="69">
        <f>VLOOKUP(B359,Master!B:L,11,0)</f>
        <v>45302</v>
      </c>
      <c r="E359" s="69">
        <f>VLOOKUP(B359,Master!B:P,15,0)</f>
        <v>0</v>
      </c>
      <c r="F359" s="68" t="str">
        <f t="shared" si="23"/>
        <v>ACTIVE</v>
      </c>
      <c r="G359" s="68" t="str">
        <f t="shared" si="23"/>
        <v>ACTIVE</v>
      </c>
      <c r="H359" s="68" t="str">
        <f t="shared" si="23"/>
        <v>ACTIVE</v>
      </c>
      <c r="I359" s="68" t="str">
        <f t="shared" si="23"/>
        <v>ACTIVE</v>
      </c>
      <c r="J359" s="68" t="str">
        <f t="shared" si="23"/>
        <v>ACTIVE</v>
      </c>
      <c r="K359" s="68" t="str">
        <f t="shared" si="23"/>
        <v>ACTIVE</v>
      </c>
      <c r="L359" s="68" t="str">
        <f t="shared" si="23"/>
        <v>ACTIVE</v>
      </c>
      <c r="M359" s="68" t="str">
        <f t="shared" si="23"/>
        <v>ACTIVE</v>
      </c>
      <c r="N359" s="68" t="str">
        <f t="shared" si="23"/>
        <v>ACTIVE</v>
      </c>
      <c r="O359" s="68" t="str">
        <f t="shared" si="23"/>
        <v>ACTIVE</v>
      </c>
      <c r="P359" s="68" t="str">
        <f t="shared" si="23"/>
        <v>ACTIVE</v>
      </c>
      <c r="Q359" s="68" t="str">
        <f t="shared" si="23"/>
        <v>ACTIVE</v>
      </c>
    </row>
    <row r="360" spans="2:17" x14ac:dyDescent="0.35">
      <c r="B360" s="70" t="str">
        <v>30CD4698</v>
      </c>
      <c r="C360" s="68" t="str">
        <f>VLOOKUP(B360,Master!B:C,2,0)</f>
        <v>30CD4698</v>
      </c>
      <c r="D360" s="69">
        <f>VLOOKUP(B360,Master!B:L,11,0)</f>
        <v>45317</v>
      </c>
      <c r="E360" s="69">
        <f>VLOOKUP(B360,Master!B:P,15,0)</f>
        <v>0</v>
      </c>
      <c r="F360" s="68" t="str">
        <f t="shared" si="23"/>
        <v>ACTIVE</v>
      </c>
      <c r="G360" s="68" t="str">
        <f t="shared" si="23"/>
        <v>ACTIVE</v>
      </c>
      <c r="H360" s="68" t="str">
        <f t="shared" si="23"/>
        <v>ACTIVE</v>
      </c>
      <c r="I360" s="68" t="str">
        <f t="shared" si="23"/>
        <v>ACTIVE</v>
      </c>
      <c r="J360" s="68" t="str">
        <f t="shared" si="23"/>
        <v>ACTIVE</v>
      </c>
      <c r="K360" s="68" t="str">
        <f t="shared" si="23"/>
        <v>ACTIVE</v>
      </c>
      <c r="L360" s="68" t="str">
        <f t="shared" si="23"/>
        <v>ACTIVE</v>
      </c>
      <c r="M360" s="68" t="str">
        <f t="shared" si="23"/>
        <v>ACTIVE</v>
      </c>
      <c r="N360" s="68" t="str">
        <f t="shared" si="23"/>
        <v>ACTIVE</v>
      </c>
      <c r="O360" s="68" t="str">
        <f t="shared" si="23"/>
        <v>ACTIVE</v>
      </c>
      <c r="P360" s="68" t="str">
        <f t="shared" si="23"/>
        <v>ACTIVE</v>
      </c>
      <c r="Q360" s="68" t="str">
        <f t="shared" si="23"/>
        <v>ACTIVE</v>
      </c>
    </row>
    <row r="361" spans="2:17" x14ac:dyDescent="0.35">
      <c r="B361" s="70" t="str">
        <v>10IP4688</v>
      </c>
      <c r="C361" s="68" t="str">
        <f>VLOOKUP(B361,Master!B:C,2,0)</f>
        <v>10IP4688</v>
      </c>
      <c r="D361" s="69">
        <f>VLOOKUP(B361,Master!B:L,11,0)</f>
        <v>45328</v>
      </c>
      <c r="E361" s="69">
        <f>VLOOKUP(B361,Master!B:P,15,0)</f>
        <v>0</v>
      </c>
      <c r="F361" s="68" t="str">
        <f t="shared" si="23"/>
        <v>ACTIVE</v>
      </c>
      <c r="G361" s="68" t="str">
        <f t="shared" si="23"/>
        <v>ACTIVE</v>
      </c>
      <c r="H361" s="68" t="str">
        <f t="shared" si="23"/>
        <v>ACTIVE</v>
      </c>
      <c r="I361" s="68" t="str">
        <f t="shared" si="23"/>
        <v>ACTIVE</v>
      </c>
      <c r="J361" s="68" t="str">
        <f t="shared" si="23"/>
        <v>ACTIVE</v>
      </c>
      <c r="K361" s="68" t="str">
        <f t="shared" si="23"/>
        <v>ACTIVE</v>
      </c>
      <c r="L361" s="68" t="str">
        <f t="shared" si="23"/>
        <v>ACTIVE</v>
      </c>
      <c r="M361" s="68" t="str">
        <f t="shared" si="23"/>
        <v>ACTIVE</v>
      </c>
      <c r="N361" s="68" t="str">
        <f t="shared" si="23"/>
        <v>ACTIVE</v>
      </c>
      <c r="O361" s="68" t="str">
        <f t="shared" si="23"/>
        <v>ACTIVE</v>
      </c>
      <c r="P361" s="68" t="str">
        <f t="shared" si="23"/>
        <v>ACTIVE</v>
      </c>
      <c r="Q361" s="68" t="str">
        <f t="shared" si="23"/>
        <v>ACTIVE</v>
      </c>
    </row>
    <row r="362" spans="2:17" x14ac:dyDescent="0.35">
      <c r="B362" s="70" t="str">
        <v>10UT4695</v>
      </c>
      <c r="C362" s="68" t="str">
        <f>VLOOKUP(B362,Master!B:C,2,0)</f>
        <v>10UT4695</v>
      </c>
      <c r="D362" s="69">
        <f>VLOOKUP(B362,Master!B:L,11,0)</f>
        <v>45327</v>
      </c>
      <c r="E362" s="69">
        <f>VLOOKUP(B362,Master!B:P,15,0)</f>
        <v>0</v>
      </c>
      <c r="F362" s="68" t="str">
        <f t="shared" si="23"/>
        <v>ACTIVE</v>
      </c>
      <c r="G362" s="68" t="str">
        <f t="shared" si="23"/>
        <v>ACTIVE</v>
      </c>
      <c r="H362" s="68" t="str">
        <f t="shared" si="23"/>
        <v>ACTIVE</v>
      </c>
      <c r="I362" s="68" t="str">
        <f t="shared" si="23"/>
        <v>ACTIVE</v>
      </c>
      <c r="J362" s="68" t="str">
        <f t="shared" si="23"/>
        <v>ACTIVE</v>
      </c>
      <c r="K362" s="68" t="str">
        <f t="shared" si="23"/>
        <v>ACTIVE</v>
      </c>
      <c r="L362" s="68" t="str">
        <f t="shared" si="23"/>
        <v>ACTIVE</v>
      </c>
      <c r="M362" s="68" t="str">
        <f t="shared" si="23"/>
        <v>ACTIVE</v>
      </c>
      <c r="N362" s="68" t="str">
        <f t="shared" si="23"/>
        <v>ACTIVE</v>
      </c>
      <c r="O362" s="68" t="str">
        <f t="shared" si="23"/>
        <v>ACTIVE</v>
      </c>
      <c r="P362" s="68" t="str">
        <f t="shared" si="23"/>
        <v>ACTIVE</v>
      </c>
      <c r="Q362" s="68" t="str">
        <f t="shared" si="23"/>
        <v>ACTIVE</v>
      </c>
    </row>
    <row r="363" spans="2:17" x14ac:dyDescent="0.35">
      <c r="B363" s="70" t="str">
        <v>30CD4684</v>
      </c>
      <c r="C363" s="68" t="str">
        <f>VLOOKUP(B363,Master!B:C,2,0)</f>
        <v>30CD4684</v>
      </c>
      <c r="D363" s="69">
        <f>VLOOKUP(B363,Master!B:L,11,0)</f>
        <v>45324</v>
      </c>
      <c r="E363" s="69">
        <f>VLOOKUP(B363,Master!B:P,15,0)</f>
        <v>0</v>
      </c>
      <c r="F363" s="68" t="str">
        <f t="shared" si="23"/>
        <v>ACTIVE</v>
      </c>
      <c r="G363" s="68" t="str">
        <f t="shared" si="23"/>
        <v>ACTIVE</v>
      </c>
      <c r="H363" s="68" t="str">
        <f t="shared" si="23"/>
        <v>ACTIVE</v>
      </c>
      <c r="I363" s="68" t="str">
        <f t="shared" si="23"/>
        <v>ACTIVE</v>
      </c>
      <c r="J363" s="68" t="str">
        <f t="shared" si="23"/>
        <v>ACTIVE</v>
      </c>
      <c r="K363" s="68" t="str">
        <f t="shared" si="23"/>
        <v>ACTIVE</v>
      </c>
      <c r="L363" s="68" t="str">
        <f t="shared" si="23"/>
        <v>ACTIVE</v>
      </c>
      <c r="M363" s="68" t="str">
        <f t="shared" si="23"/>
        <v>ACTIVE</v>
      </c>
      <c r="N363" s="68" t="str">
        <f t="shared" si="23"/>
        <v>ACTIVE</v>
      </c>
      <c r="O363" s="68" t="str">
        <f t="shared" si="23"/>
        <v>ACTIVE</v>
      </c>
      <c r="P363" s="68" t="str">
        <f t="shared" si="23"/>
        <v>ACTIVE</v>
      </c>
      <c r="Q363" s="68" t="str">
        <f t="shared" si="23"/>
        <v>ACTIVE</v>
      </c>
    </row>
    <row r="364" spans="2:17" x14ac:dyDescent="0.35">
      <c r="B364" s="70" t="str">
        <v>09HNOCH002</v>
      </c>
      <c r="C364" s="68" t="str">
        <f>VLOOKUP(B364,Master!B:C,2,0)</f>
        <v>09HNOCH002</v>
      </c>
      <c r="D364" s="69">
        <f>VLOOKUP(B364,Master!B:L,11,0)</f>
        <v>45261</v>
      </c>
      <c r="E364" s="69">
        <f>VLOOKUP(B364,Master!B:P,15,0)</f>
        <v>0</v>
      </c>
      <c r="F364" s="68" t="str">
        <f t="shared" si="23"/>
        <v>ACTIVE</v>
      </c>
      <c r="G364" s="68" t="str">
        <f t="shared" si="23"/>
        <v>ACTIVE</v>
      </c>
      <c r="H364" s="68" t="str">
        <f t="shared" si="23"/>
        <v>ACTIVE</v>
      </c>
      <c r="I364" s="68" t="str">
        <f t="shared" si="23"/>
        <v>ACTIVE</v>
      </c>
      <c r="J364" s="68" t="str">
        <f t="shared" si="23"/>
        <v>ACTIVE</v>
      </c>
      <c r="K364" s="68" t="str">
        <f t="shared" si="23"/>
        <v>ACTIVE</v>
      </c>
      <c r="L364" s="68" t="str">
        <f t="shared" si="23"/>
        <v>ACTIVE</v>
      </c>
      <c r="M364" s="68" t="str">
        <f t="shared" si="23"/>
        <v>ACTIVE</v>
      </c>
      <c r="N364" s="68" t="str">
        <f t="shared" si="23"/>
        <v>ACTIVE</v>
      </c>
      <c r="O364" s="68" t="str">
        <f t="shared" si="23"/>
        <v>ACTIVE</v>
      </c>
      <c r="P364" s="68" t="str">
        <f t="shared" si="23"/>
        <v>ACTIVE</v>
      </c>
      <c r="Q364" s="68" t="str">
        <f t="shared" si="23"/>
        <v>ACTIVE</v>
      </c>
    </row>
    <row r="365" spans="2:17" x14ac:dyDescent="0.35">
      <c r="B365" s="70" t="str">
        <v>09HNOSK001</v>
      </c>
      <c r="C365" s="68" t="str">
        <f>VLOOKUP(B365,Master!B:C,2,0)</f>
        <v>09HNOSK001</v>
      </c>
      <c r="D365" s="69">
        <f>VLOOKUP(B365,Master!B:L,11,0)</f>
        <v>45261</v>
      </c>
      <c r="E365" s="69">
        <f>VLOOKUP(B365,Master!B:P,15,0)</f>
        <v>0</v>
      </c>
      <c r="F365" s="68" t="str">
        <f t="shared" si="23"/>
        <v>ACTIVE</v>
      </c>
      <c r="G365" s="68" t="str">
        <f t="shared" si="23"/>
        <v>ACTIVE</v>
      </c>
      <c r="H365" s="68" t="str">
        <f t="shared" si="23"/>
        <v>ACTIVE</v>
      </c>
      <c r="I365" s="68" t="str">
        <f t="shared" si="23"/>
        <v>ACTIVE</v>
      </c>
      <c r="J365" s="68" t="str">
        <f t="shared" si="23"/>
        <v>ACTIVE</v>
      </c>
      <c r="K365" s="68" t="str">
        <f t="shared" si="23"/>
        <v>ACTIVE</v>
      </c>
      <c r="L365" s="68" t="str">
        <f t="shared" si="23"/>
        <v>ACTIVE</v>
      </c>
      <c r="M365" s="68" t="str">
        <f t="shared" si="23"/>
        <v>ACTIVE</v>
      </c>
      <c r="N365" s="68" t="str">
        <f t="shared" si="23"/>
        <v>ACTIVE</v>
      </c>
      <c r="O365" s="68" t="str">
        <f t="shared" si="23"/>
        <v>ACTIVE</v>
      </c>
      <c r="P365" s="68" t="str">
        <f t="shared" si="23"/>
        <v>ACTIVE</v>
      </c>
      <c r="Q365" s="68" t="str">
        <f t="shared" si="23"/>
        <v>ACTIVE</v>
      </c>
    </row>
    <row r="366" spans="2:17" x14ac:dyDescent="0.35">
      <c r="B366" s="70" t="str">
        <v>09HNOSK002</v>
      </c>
      <c r="C366" s="68" t="str">
        <f>VLOOKUP(B366,Master!B:C,2,0)</f>
        <v>09HNOSK002</v>
      </c>
      <c r="D366" s="69">
        <f>VLOOKUP(B366,Master!B:L,11,0)</f>
        <v>45261</v>
      </c>
      <c r="E366" s="69">
        <f>VLOOKUP(B366,Master!B:P,15,0)</f>
        <v>0</v>
      </c>
      <c r="F366" s="68" t="str">
        <f t="shared" si="23"/>
        <v>ACTIVE</v>
      </c>
      <c r="G366" s="68" t="str">
        <f t="shared" si="23"/>
        <v>ACTIVE</v>
      </c>
      <c r="H366" s="68" t="str">
        <f t="shared" si="23"/>
        <v>ACTIVE</v>
      </c>
      <c r="I366" s="68" t="str">
        <f t="shared" si="23"/>
        <v>ACTIVE</v>
      </c>
      <c r="J366" s="68" t="str">
        <f t="shared" si="23"/>
        <v>ACTIVE</v>
      </c>
      <c r="K366" s="68" t="str">
        <f t="shared" si="23"/>
        <v>ACTIVE</v>
      </c>
      <c r="L366" s="68" t="str">
        <f t="shared" si="23"/>
        <v>ACTIVE</v>
      </c>
      <c r="M366" s="68" t="str">
        <f t="shared" si="23"/>
        <v>ACTIVE</v>
      </c>
      <c r="N366" s="68" t="str">
        <f t="shared" si="23"/>
        <v>ACTIVE</v>
      </c>
      <c r="O366" s="68" t="str">
        <f t="shared" si="23"/>
        <v>ACTIVE</v>
      </c>
      <c r="P366" s="68" t="str">
        <f t="shared" si="23"/>
        <v>ACTIVE</v>
      </c>
      <c r="Q366" s="68" t="str">
        <f t="shared" si="23"/>
        <v>ACTIVE</v>
      </c>
    </row>
    <row r="367" spans="2:17" x14ac:dyDescent="0.35">
      <c r="B367" s="70" t="str">
        <v>09HNOSK003</v>
      </c>
      <c r="C367" s="68" t="str">
        <f>VLOOKUP(B367,Master!B:C,2,0)</f>
        <v>09HNOSK003</v>
      </c>
      <c r="D367" s="69">
        <f>VLOOKUP(B367,Master!B:L,11,0)</f>
        <v>45261</v>
      </c>
      <c r="E367" s="69">
        <f>VLOOKUP(B367,Master!B:P,15,0)</f>
        <v>0</v>
      </c>
      <c r="F367" s="68" t="str">
        <f t="shared" si="23"/>
        <v>ACTIVE</v>
      </c>
      <c r="G367" s="68" t="str">
        <f t="shared" si="23"/>
        <v>ACTIVE</v>
      </c>
      <c r="H367" s="68" t="str">
        <f t="shared" si="23"/>
        <v>ACTIVE</v>
      </c>
      <c r="I367" s="68" t="str">
        <f t="shared" si="23"/>
        <v>ACTIVE</v>
      </c>
      <c r="J367" s="68" t="str">
        <f t="shared" si="23"/>
        <v>ACTIVE</v>
      </c>
      <c r="K367" s="68" t="str">
        <f t="shared" si="23"/>
        <v>ACTIVE</v>
      </c>
      <c r="L367" s="68" t="str">
        <f t="shared" si="23"/>
        <v>ACTIVE</v>
      </c>
      <c r="M367" s="68" t="str">
        <f t="shared" si="23"/>
        <v>ACTIVE</v>
      </c>
      <c r="N367" s="68" t="str">
        <f t="shared" si="23"/>
        <v>ACTIVE</v>
      </c>
      <c r="O367" s="68" t="str">
        <f t="shared" si="23"/>
        <v>ACTIVE</v>
      </c>
      <c r="P367" s="68" t="str">
        <f t="shared" si="23"/>
        <v>ACTIVE</v>
      </c>
      <c r="Q367" s="68" t="str">
        <f t="shared" si="23"/>
        <v>ACTIVE</v>
      </c>
    </row>
    <row r="368" spans="2:17" x14ac:dyDescent="0.35">
      <c r="B368" s="70" t="str">
        <v>09HNOMB001</v>
      </c>
      <c r="C368" s="68" t="str">
        <f>VLOOKUP(B368,Master!B:C,2,0)</f>
        <v>09HNOMB001</v>
      </c>
      <c r="D368" s="69">
        <f>VLOOKUP(B368,Master!B:L,11,0)</f>
        <v>45261</v>
      </c>
      <c r="E368" s="69">
        <f>VLOOKUP(B368,Master!B:P,15,0)</f>
        <v>0</v>
      </c>
      <c r="F368" s="68" t="str">
        <f t="shared" si="23"/>
        <v>ACTIVE</v>
      </c>
      <c r="G368" s="68" t="str">
        <f t="shared" si="23"/>
        <v>ACTIVE</v>
      </c>
      <c r="H368" s="68" t="str">
        <f t="shared" si="23"/>
        <v>ACTIVE</v>
      </c>
      <c r="I368" s="68" t="str">
        <f t="shared" si="23"/>
        <v>ACTIVE</v>
      </c>
      <c r="J368" s="68" t="str">
        <f t="shared" si="23"/>
        <v>ACTIVE</v>
      </c>
      <c r="K368" s="68" t="str">
        <f t="shared" si="23"/>
        <v>ACTIVE</v>
      </c>
      <c r="L368" s="68" t="str">
        <f t="shared" si="23"/>
        <v>ACTIVE</v>
      </c>
      <c r="M368" s="68" t="str">
        <f t="shared" si="23"/>
        <v>ACTIVE</v>
      </c>
      <c r="N368" s="68" t="str">
        <f t="shared" si="23"/>
        <v>ACTIVE</v>
      </c>
      <c r="O368" s="68" t="str">
        <f t="shared" si="23"/>
        <v>ACTIVE</v>
      </c>
      <c r="P368" s="68" t="str">
        <f t="shared" si="23"/>
        <v>ACTIVE</v>
      </c>
      <c r="Q368" s="68" t="str">
        <f t="shared" si="23"/>
        <v>ACTIVE</v>
      </c>
    </row>
    <row r="369" spans="2:17" x14ac:dyDescent="0.35">
      <c r="B369" s="70" t="str">
        <v>30CD4744</v>
      </c>
      <c r="C369" s="68" t="str">
        <f>VLOOKUP(B369,Master!B:C,2,0)</f>
        <v>30CD4744</v>
      </c>
      <c r="D369" s="69">
        <f>VLOOKUP(B369,Master!B:L,11,0)</f>
        <v>45406</v>
      </c>
      <c r="E369" s="69">
        <f>VLOOKUP(B369,Master!B:P,15,0)</f>
        <v>0</v>
      </c>
      <c r="F369" s="68" t="str">
        <f t="shared" si="23"/>
        <v>ACTIVE</v>
      </c>
      <c r="G369" s="68" t="str">
        <f t="shared" si="23"/>
        <v>ACTIVE</v>
      </c>
      <c r="H369" s="68" t="str">
        <f t="shared" si="23"/>
        <v>ACTIVE</v>
      </c>
      <c r="I369" s="68" t="str">
        <f t="shared" si="23"/>
        <v>ACTIVE</v>
      </c>
      <c r="J369" s="68" t="str">
        <f t="shared" si="23"/>
        <v>ACTIVE</v>
      </c>
      <c r="K369" s="68" t="str">
        <f t="shared" si="23"/>
        <v>ACTIVE</v>
      </c>
      <c r="L369" s="68" t="str">
        <f t="shared" si="23"/>
        <v>ACTIVE</v>
      </c>
      <c r="M369" s="68" t="str">
        <f t="shared" si="23"/>
        <v>ACTIVE</v>
      </c>
      <c r="N369" s="68" t="str">
        <f t="shared" si="23"/>
        <v>ACTIVE</v>
      </c>
      <c r="O369" s="68" t="str">
        <f t="shared" si="23"/>
        <v>ACTIVE</v>
      </c>
      <c r="P369" s="68" t="str">
        <f t="shared" si="23"/>
        <v>ACTIVE</v>
      </c>
      <c r="Q369" s="68" t="str">
        <f t="shared" si="23"/>
        <v>ACTIVE</v>
      </c>
    </row>
    <row r="370" spans="2:17" x14ac:dyDescent="0.35">
      <c r="B370" s="70" t="str">
        <v>30CD4745</v>
      </c>
      <c r="C370" s="68" t="str">
        <f>VLOOKUP(B370,Master!B:C,2,0)</f>
        <v>30CD4745</v>
      </c>
      <c r="D370" s="69">
        <f>VLOOKUP(B370,Master!B:L,11,0)</f>
        <v>45409</v>
      </c>
      <c r="E370" s="69">
        <f>VLOOKUP(B370,Master!B:P,15,0)</f>
        <v>0</v>
      </c>
      <c r="F370" s="68" t="str">
        <f t="shared" si="23"/>
        <v>ACTIVE</v>
      </c>
      <c r="G370" s="68" t="str">
        <f t="shared" si="23"/>
        <v>ACTIVE</v>
      </c>
      <c r="H370" s="68" t="str">
        <f t="shared" si="23"/>
        <v>ACTIVE</v>
      </c>
      <c r="I370" s="68" t="str">
        <f t="shared" si="23"/>
        <v>ACTIVE</v>
      </c>
      <c r="J370" s="68" t="str">
        <f t="shared" si="23"/>
        <v>ACTIVE</v>
      </c>
      <c r="K370" s="68" t="str">
        <f t="shared" si="23"/>
        <v>ACTIVE</v>
      </c>
      <c r="L370" s="68" t="str">
        <f t="shared" si="23"/>
        <v>ACTIVE</v>
      </c>
      <c r="M370" s="68" t="str">
        <f t="shared" si="23"/>
        <v>ACTIVE</v>
      </c>
      <c r="N370" s="68" t="str">
        <f t="shared" si="23"/>
        <v>ACTIVE</v>
      </c>
      <c r="O370" s="68" t="str">
        <f t="shared" si="23"/>
        <v>ACTIVE</v>
      </c>
      <c r="P370" s="68" t="str">
        <f t="shared" si="23"/>
        <v>ACTIVE</v>
      </c>
      <c r="Q370" s="68" t="str">
        <f t="shared" si="23"/>
        <v>ACTIVE</v>
      </c>
    </row>
    <row r="371" spans="2:17" x14ac:dyDescent="0.35">
      <c r="B371" s="70" t="str">
        <v>30GG4691</v>
      </c>
      <c r="C371" s="68" t="str">
        <f>VLOOKUP(B371,Master!B:C,2,0)</f>
        <v>30GG4691</v>
      </c>
      <c r="D371" s="69">
        <f>VLOOKUP(B371,Master!B:L,11,0)</f>
        <v>45383</v>
      </c>
      <c r="E371" s="69">
        <f>VLOOKUP(B371,Master!B:P,15,0)</f>
        <v>0</v>
      </c>
      <c r="F371" s="68" t="str">
        <f t="shared" si="23"/>
        <v>ACTIVE</v>
      </c>
      <c r="G371" s="68" t="str">
        <f t="shared" si="23"/>
        <v>ACTIVE</v>
      </c>
      <c r="H371" s="68" t="str">
        <f t="shared" si="23"/>
        <v>ACTIVE</v>
      </c>
      <c r="I371" s="68" t="str">
        <f t="shared" si="23"/>
        <v>ACTIVE</v>
      </c>
      <c r="J371" s="68" t="str">
        <f t="shared" si="23"/>
        <v>ACTIVE</v>
      </c>
      <c r="K371" s="68" t="str">
        <f t="shared" si="23"/>
        <v>ACTIVE</v>
      </c>
      <c r="L371" s="68" t="str">
        <f t="shared" si="23"/>
        <v>ACTIVE</v>
      </c>
      <c r="M371" s="68" t="str">
        <f t="shared" si="23"/>
        <v>ACTIVE</v>
      </c>
      <c r="N371" s="68" t="str">
        <f t="shared" si="23"/>
        <v>ACTIVE</v>
      </c>
      <c r="O371" s="68" t="str">
        <f t="shared" si="23"/>
        <v>ACTIVE</v>
      </c>
      <c r="P371" s="68" t="str">
        <f t="shared" si="23"/>
        <v>ACTIVE</v>
      </c>
      <c r="Q371" s="68" t="str">
        <f t="shared" si="23"/>
        <v>ACTIVE</v>
      </c>
    </row>
    <row r="372" spans="2:17" x14ac:dyDescent="0.35">
      <c r="B372" s="70" t="str">
        <v>30GG4738</v>
      </c>
      <c r="C372" s="68" t="str">
        <f>VLOOKUP(B372,Master!B:C,2,0)</f>
        <v>30GG4738</v>
      </c>
      <c r="D372" s="69">
        <f>VLOOKUP(B372,Master!B:L,11,0)</f>
        <v>45409</v>
      </c>
      <c r="E372" s="69">
        <f>VLOOKUP(B372,Master!B:P,15,0)</f>
        <v>0</v>
      </c>
      <c r="F372" s="68" t="str">
        <f t="shared" ref="F372:Q387" si="24">IF($E372&gt;0,"CLOSED",IF($D372&lt;F$1,"ACTIVE","WAITING FOR OPEN"))</f>
        <v>ACTIVE</v>
      </c>
      <c r="G372" s="68" t="str">
        <f t="shared" si="24"/>
        <v>ACTIVE</v>
      </c>
      <c r="H372" s="68" t="str">
        <f t="shared" si="24"/>
        <v>ACTIVE</v>
      </c>
      <c r="I372" s="68" t="str">
        <f t="shared" si="24"/>
        <v>ACTIVE</v>
      </c>
      <c r="J372" s="68" t="str">
        <f t="shared" si="24"/>
        <v>ACTIVE</v>
      </c>
      <c r="K372" s="68" t="str">
        <f t="shared" si="24"/>
        <v>ACTIVE</v>
      </c>
      <c r="L372" s="68" t="str">
        <f t="shared" si="24"/>
        <v>ACTIVE</v>
      </c>
      <c r="M372" s="68" t="str">
        <f t="shared" si="24"/>
        <v>ACTIVE</v>
      </c>
      <c r="N372" s="68" t="str">
        <f t="shared" si="24"/>
        <v>ACTIVE</v>
      </c>
      <c r="O372" s="68" t="str">
        <f t="shared" si="24"/>
        <v>ACTIVE</v>
      </c>
      <c r="P372" s="68" t="str">
        <f t="shared" si="24"/>
        <v>ACTIVE</v>
      </c>
      <c r="Q372" s="68" t="str">
        <f t="shared" si="24"/>
        <v>ACTIVE</v>
      </c>
    </row>
    <row r="373" spans="2:17" x14ac:dyDescent="0.35">
      <c r="B373" s="70" t="str">
        <v>10SG4736</v>
      </c>
      <c r="C373" s="68" t="str">
        <f>VLOOKUP(B373,Master!B:C,2,0)</f>
        <v>10SG4736</v>
      </c>
      <c r="D373" s="69">
        <f>VLOOKUP(B373,Master!B:L,11,0)</f>
        <v>45424</v>
      </c>
      <c r="E373" s="69">
        <f>VLOOKUP(B373,Master!B:P,15,0)</f>
        <v>0</v>
      </c>
      <c r="F373" s="68" t="str">
        <f t="shared" si="24"/>
        <v>ACTIVE</v>
      </c>
      <c r="G373" s="68" t="str">
        <f t="shared" si="24"/>
        <v>ACTIVE</v>
      </c>
      <c r="H373" s="68" t="str">
        <f t="shared" si="24"/>
        <v>ACTIVE</v>
      </c>
      <c r="I373" s="68" t="str">
        <f t="shared" si="24"/>
        <v>ACTIVE</v>
      </c>
      <c r="J373" s="68" t="str">
        <f t="shared" si="24"/>
        <v>ACTIVE</v>
      </c>
      <c r="K373" s="68" t="str">
        <f t="shared" si="24"/>
        <v>ACTIVE</v>
      </c>
      <c r="L373" s="68" t="str">
        <f t="shared" si="24"/>
        <v>ACTIVE</v>
      </c>
      <c r="M373" s="68" t="str">
        <f t="shared" si="24"/>
        <v>ACTIVE</v>
      </c>
      <c r="N373" s="68" t="str">
        <f t="shared" si="24"/>
        <v>ACTIVE</v>
      </c>
      <c r="O373" s="68" t="str">
        <f t="shared" si="24"/>
        <v>ACTIVE</v>
      </c>
      <c r="P373" s="68" t="str">
        <f t="shared" si="24"/>
        <v>ACTIVE</v>
      </c>
      <c r="Q373" s="68" t="str">
        <f t="shared" si="24"/>
        <v>ACTIVE</v>
      </c>
    </row>
    <row r="374" spans="2:17" x14ac:dyDescent="0.35">
      <c r="B374" s="70" t="str">
        <v>10SS4672</v>
      </c>
      <c r="C374" s="68" t="str">
        <f>VLOOKUP(B374,Master!B:C,2,0)</f>
        <v>10SS4672</v>
      </c>
      <c r="D374" s="69">
        <f>VLOOKUP(B374,Master!B:L,11,0)</f>
        <v>45435</v>
      </c>
      <c r="E374" s="69">
        <f>VLOOKUP(B374,Master!B:P,15,0)</f>
        <v>0</v>
      </c>
      <c r="F374" s="68" t="str">
        <f t="shared" si="24"/>
        <v>ACTIVE</v>
      </c>
      <c r="G374" s="68" t="str">
        <f t="shared" si="24"/>
        <v>ACTIVE</v>
      </c>
      <c r="H374" s="68" t="str">
        <f t="shared" si="24"/>
        <v>ACTIVE</v>
      </c>
      <c r="I374" s="68" t="str">
        <f t="shared" si="24"/>
        <v>ACTIVE</v>
      </c>
      <c r="J374" s="68" t="str">
        <f t="shared" si="24"/>
        <v>ACTIVE</v>
      </c>
      <c r="K374" s="68" t="str">
        <f t="shared" si="24"/>
        <v>ACTIVE</v>
      </c>
      <c r="L374" s="68" t="str">
        <f t="shared" si="24"/>
        <v>ACTIVE</v>
      </c>
      <c r="M374" s="68" t="str">
        <f t="shared" si="24"/>
        <v>ACTIVE</v>
      </c>
      <c r="N374" s="68" t="str">
        <f t="shared" si="24"/>
        <v>ACTIVE</v>
      </c>
      <c r="O374" s="68" t="str">
        <f t="shared" si="24"/>
        <v>ACTIVE</v>
      </c>
      <c r="P374" s="68" t="str">
        <f t="shared" si="24"/>
        <v>ACTIVE</v>
      </c>
      <c r="Q374" s="68" t="str">
        <f t="shared" si="24"/>
        <v>ACTIVE</v>
      </c>
    </row>
    <row r="375" spans="2:17" x14ac:dyDescent="0.35">
      <c r="B375" s="70" t="str">
        <v>30CD4737</v>
      </c>
      <c r="C375" s="68" t="str">
        <f>VLOOKUP(B375,Master!B:C,2,0)</f>
        <v>30CD4737</v>
      </c>
      <c r="D375" s="69">
        <f>VLOOKUP(B375,Master!B:L,11,0)</f>
        <v>45416</v>
      </c>
      <c r="E375" s="69">
        <f>VLOOKUP(B375,Master!B:P,15,0)</f>
        <v>0</v>
      </c>
      <c r="F375" s="68" t="str">
        <f t="shared" si="24"/>
        <v>ACTIVE</v>
      </c>
      <c r="G375" s="68" t="str">
        <f t="shared" si="24"/>
        <v>ACTIVE</v>
      </c>
      <c r="H375" s="68" t="str">
        <f t="shared" si="24"/>
        <v>ACTIVE</v>
      </c>
      <c r="I375" s="68" t="str">
        <f t="shared" si="24"/>
        <v>ACTIVE</v>
      </c>
      <c r="J375" s="68" t="str">
        <f t="shared" si="24"/>
        <v>ACTIVE</v>
      </c>
      <c r="K375" s="68" t="str">
        <f t="shared" si="24"/>
        <v>ACTIVE</v>
      </c>
      <c r="L375" s="68" t="str">
        <f t="shared" si="24"/>
        <v>ACTIVE</v>
      </c>
      <c r="M375" s="68" t="str">
        <f t="shared" si="24"/>
        <v>ACTIVE</v>
      </c>
      <c r="N375" s="68" t="str">
        <f t="shared" si="24"/>
        <v>ACTIVE</v>
      </c>
      <c r="O375" s="68" t="str">
        <f t="shared" si="24"/>
        <v>ACTIVE</v>
      </c>
      <c r="P375" s="68" t="str">
        <f t="shared" si="24"/>
        <v>ACTIVE</v>
      </c>
      <c r="Q375" s="68" t="str">
        <f t="shared" si="24"/>
        <v>ACTIVE</v>
      </c>
    </row>
    <row r="376" spans="2:17" x14ac:dyDescent="0.35">
      <c r="B376" s="70" t="str">
        <v>10GG4761</v>
      </c>
      <c r="C376" s="68" t="str">
        <f>VLOOKUP(B376,Master!B:C,2,0)</f>
        <v>10GG4761</v>
      </c>
      <c r="D376" s="69">
        <f>VLOOKUP(B376,Master!B:L,11,0)</f>
        <v>45472</v>
      </c>
      <c r="E376" s="69">
        <f>VLOOKUP(B376,Master!B:P,15,0)</f>
        <v>0</v>
      </c>
      <c r="F376" s="68" t="str">
        <f t="shared" si="24"/>
        <v>ACTIVE</v>
      </c>
      <c r="G376" s="68" t="str">
        <f t="shared" si="24"/>
        <v>ACTIVE</v>
      </c>
      <c r="H376" s="68" t="str">
        <f t="shared" si="24"/>
        <v>ACTIVE</v>
      </c>
      <c r="I376" s="68" t="str">
        <f t="shared" si="24"/>
        <v>ACTIVE</v>
      </c>
      <c r="J376" s="68" t="str">
        <f t="shared" si="24"/>
        <v>ACTIVE</v>
      </c>
      <c r="K376" s="68" t="str">
        <f t="shared" si="24"/>
        <v>ACTIVE</v>
      </c>
      <c r="L376" s="68" t="str">
        <f t="shared" si="24"/>
        <v>ACTIVE</v>
      </c>
      <c r="M376" s="68" t="str">
        <f t="shared" si="24"/>
        <v>ACTIVE</v>
      </c>
      <c r="N376" s="68" t="str">
        <f t="shared" si="24"/>
        <v>ACTIVE</v>
      </c>
      <c r="O376" s="68" t="str">
        <f t="shared" si="24"/>
        <v>ACTIVE</v>
      </c>
      <c r="P376" s="68" t="str">
        <f t="shared" si="24"/>
        <v>ACTIVE</v>
      </c>
      <c r="Q376" s="68" t="str">
        <f t="shared" si="24"/>
        <v>ACTIVE</v>
      </c>
    </row>
    <row r="377" spans="2:17" x14ac:dyDescent="0.35">
      <c r="B377" s="70" t="str">
        <v>10HC4740</v>
      </c>
      <c r="C377" s="68" t="str">
        <f>VLOOKUP(B377,Master!B:C,2,0)</f>
        <v>10HC4740</v>
      </c>
      <c r="D377" s="69">
        <f>VLOOKUP(B377,Master!B:L,11,0)</f>
        <v>45469</v>
      </c>
      <c r="E377" s="69">
        <f>VLOOKUP(B377,Master!B:P,15,0)</f>
        <v>0</v>
      </c>
      <c r="F377" s="68" t="str">
        <f t="shared" si="24"/>
        <v>ACTIVE</v>
      </c>
      <c r="G377" s="68" t="str">
        <f t="shared" si="24"/>
        <v>ACTIVE</v>
      </c>
      <c r="H377" s="68" t="str">
        <f t="shared" si="24"/>
        <v>ACTIVE</v>
      </c>
      <c r="I377" s="68" t="str">
        <f t="shared" si="24"/>
        <v>ACTIVE</v>
      </c>
      <c r="J377" s="68" t="str">
        <f t="shared" si="24"/>
        <v>ACTIVE</v>
      </c>
      <c r="K377" s="68" t="str">
        <f t="shared" si="24"/>
        <v>ACTIVE</v>
      </c>
      <c r="L377" s="68" t="str">
        <f t="shared" si="24"/>
        <v>ACTIVE</v>
      </c>
      <c r="M377" s="68" t="str">
        <f t="shared" si="24"/>
        <v>ACTIVE</v>
      </c>
      <c r="N377" s="68" t="str">
        <f t="shared" si="24"/>
        <v>ACTIVE</v>
      </c>
      <c r="O377" s="68" t="str">
        <f t="shared" si="24"/>
        <v>ACTIVE</v>
      </c>
      <c r="P377" s="68" t="str">
        <f t="shared" si="24"/>
        <v>ACTIVE</v>
      </c>
      <c r="Q377" s="68" t="str">
        <f t="shared" si="24"/>
        <v>ACTIVE</v>
      </c>
    </row>
    <row r="378" spans="2:17" x14ac:dyDescent="0.35">
      <c r="B378" s="70" t="str">
        <v>30CD4683</v>
      </c>
      <c r="C378" s="68" t="str">
        <f>VLOOKUP(B378,Master!B:C,2,0)</f>
        <v>30CD4683</v>
      </c>
      <c r="D378" s="69">
        <f>VLOOKUP(B378,Master!B:L,11,0)</f>
        <v>45462</v>
      </c>
      <c r="E378" s="69">
        <f>VLOOKUP(B378,Master!B:P,15,0)</f>
        <v>0</v>
      </c>
      <c r="F378" s="68" t="str">
        <f t="shared" si="24"/>
        <v>ACTIVE</v>
      </c>
      <c r="G378" s="68" t="str">
        <f t="shared" si="24"/>
        <v>ACTIVE</v>
      </c>
      <c r="H378" s="68" t="str">
        <f t="shared" si="24"/>
        <v>ACTIVE</v>
      </c>
      <c r="I378" s="68" t="str">
        <f t="shared" si="24"/>
        <v>ACTIVE</v>
      </c>
      <c r="J378" s="68" t="str">
        <f t="shared" si="24"/>
        <v>ACTIVE</v>
      </c>
      <c r="K378" s="68" t="str">
        <f t="shared" si="24"/>
        <v>ACTIVE</v>
      </c>
      <c r="L378" s="68" t="str">
        <f t="shared" si="24"/>
        <v>ACTIVE</v>
      </c>
      <c r="M378" s="68" t="str">
        <f t="shared" si="24"/>
        <v>ACTIVE</v>
      </c>
      <c r="N378" s="68" t="str">
        <f t="shared" si="24"/>
        <v>ACTIVE</v>
      </c>
      <c r="O378" s="68" t="str">
        <f t="shared" si="24"/>
        <v>ACTIVE</v>
      </c>
      <c r="P378" s="68" t="str">
        <f t="shared" si="24"/>
        <v>ACTIVE</v>
      </c>
      <c r="Q378" s="68" t="str">
        <f t="shared" si="24"/>
        <v>ACTIVE</v>
      </c>
    </row>
    <row r="379" spans="2:17" x14ac:dyDescent="0.35">
      <c r="B379" s="70" t="str">
        <v>30CD4777</v>
      </c>
      <c r="C379" s="68" t="str">
        <f>VLOOKUP(B379,Master!B:C,2,0)</f>
        <v>30CD4777</v>
      </c>
      <c r="D379" s="69">
        <f>VLOOKUP(B379,Master!B:L,11,0)</f>
        <v>45444</v>
      </c>
      <c r="E379" s="69">
        <f>VLOOKUP(B379,Master!B:P,15,0)</f>
        <v>0</v>
      </c>
      <c r="F379" s="68" t="str">
        <f t="shared" si="24"/>
        <v>ACTIVE</v>
      </c>
      <c r="G379" s="68" t="str">
        <f t="shared" si="24"/>
        <v>ACTIVE</v>
      </c>
      <c r="H379" s="68" t="str">
        <f t="shared" si="24"/>
        <v>ACTIVE</v>
      </c>
      <c r="I379" s="68" t="str">
        <f t="shared" si="24"/>
        <v>ACTIVE</v>
      </c>
      <c r="J379" s="68" t="str">
        <f t="shared" si="24"/>
        <v>ACTIVE</v>
      </c>
      <c r="K379" s="68" t="str">
        <f t="shared" si="24"/>
        <v>ACTIVE</v>
      </c>
      <c r="L379" s="68" t="str">
        <f t="shared" si="24"/>
        <v>ACTIVE</v>
      </c>
      <c r="M379" s="68" t="str">
        <f t="shared" si="24"/>
        <v>ACTIVE</v>
      </c>
      <c r="N379" s="68" t="str">
        <f t="shared" si="24"/>
        <v>ACTIVE</v>
      </c>
      <c r="O379" s="68" t="str">
        <f t="shared" si="24"/>
        <v>ACTIVE</v>
      </c>
      <c r="P379" s="68" t="str">
        <f t="shared" si="24"/>
        <v>ACTIVE</v>
      </c>
      <c r="Q379" s="68" t="str">
        <f t="shared" si="24"/>
        <v>ACTIVE</v>
      </c>
    </row>
    <row r="380" spans="2:17" x14ac:dyDescent="0.35">
      <c r="B380" s="70" t="str">
        <v>30GG4776</v>
      </c>
      <c r="C380" s="68" t="str">
        <f>VLOOKUP(B380,Master!B:C,2,0)</f>
        <v>30GG4776</v>
      </c>
      <c r="D380" s="69">
        <f>VLOOKUP(B380,Master!B:L,11,0)</f>
        <v>45444</v>
      </c>
      <c r="E380" s="69">
        <f>VLOOKUP(B380,Master!B:P,15,0)</f>
        <v>0</v>
      </c>
      <c r="F380" s="68" t="str">
        <f t="shared" si="24"/>
        <v>ACTIVE</v>
      </c>
      <c r="G380" s="68" t="str">
        <f t="shared" si="24"/>
        <v>ACTIVE</v>
      </c>
      <c r="H380" s="68" t="str">
        <f t="shared" si="24"/>
        <v>ACTIVE</v>
      </c>
      <c r="I380" s="68" t="str">
        <f t="shared" si="24"/>
        <v>ACTIVE</v>
      </c>
      <c r="J380" s="68" t="str">
        <f t="shared" si="24"/>
        <v>ACTIVE</v>
      </c>
      <c r="K380" s="68" t="str">
        <f t="shared" si="24"/>
        <v>ACTIVE</v>
      </c>
      <c r="L380" s="68" t="str">
        <f t="shared" si="24"/>
        <v>ACTIVE</v>
      </c>
      <c r="M380" s="68" t="str">
        <f t="shared" si="24"/>
        <v>ACTIVE</v>
      </c>
      <c r="N380" s="68" t="str">
        <f t="shared" si="24"/>
        <v>ACTIVE</v>
      </c>
      <c r="O380" s="68" t="str">
        <f t="shared" si="24"/>
        <v>ACTIVE</v>
      </c>
      <c r="P380" s="68" t="str">
        <f t="shared" si="24"/>
        <v>ACTIVE</v>
      </c>
      <c r="Q380" s="68" t="str">
        <f t="shared" si="24"/>
        <v>ACTIVE</v>
      </c>
    </row>
    <row r="381" spans="2:17" x14ac:dyDescent="0.35">
      <c r="B381" s="70" t="str">
        <v>30KK4778</v>
      </c>
      <c r="C381" s="68" t="str">
        <f>VLOOKUP(B381,Master!B:C,2,0)</f>
        <v>30KK4778</v>
      </c>
      <c r="D381" s="69">
        <f>VLOOKUP(B381,Master!B:L,11,0)</f>
        <v>45444</v>
      </c>
      <c r="E381" s="69">
        <f>VLOOKUP(B381,Master!B:P,15,0)</f>
        <v>0</v>
      </c>
      <c r="F381" s="68" t="str">
        <f t="shared" si="24"/>
        <v>ACTIVE</v>
      </c>
      <c r="G381" s="68" t="str">
        <f t="shared" si="24"/>
        <v>ACTIVE</v>
      </c>
      <c r="H381" s="68" t="str">
        <f t="shared" si="24"/>
        <v>ACTIVE</v>
      </c>
      <c r="I381" s="68" t="str">
        <f t="shared" si="24"/>
        <v>ACTIVE</v>
      </c>
      <c r="J381" s="68" t="str">
        <f t="shared" si="24"/>
        <v>ACTIVE</v>
      </c>
      <c r="K381" s="68" t="str">
        <f t="shared" si="24"/>
        <v>ACTIVE</v>
      </c>
      <c r="L381" s="68" t="str">
        <f t="shared" si="24"/>
        <v>ACTIVE</v>
      </c>
      <c r="M381" s="68" t="str">
        <f t="shared" si="24"/>
        <v>ACTIVE</v>
      </c>
      <c r="N381" s="68" t="str">
        <f t="shared" si="24"/>
        <v>ACTIVE</v>
      </c>
      <c r="O381" s="68" t="str">
        <f t="shared" si="24"/>
        <v>ACTIVE</v>
      </c>
      <c r="P381" s="68" t="str">
        <f t="shared" si="24"/>
        <v>ACTIVE</v>
      </c>
      <c r="Q381" s="68" t="str">
        <f t="shared" si="24"/>
        <v>ACTIVE</v>
      </c>
    </row>
    <row r="382" spans="2:17" x14ac:dyDescent="0.35">
      <c r="B382" s="70" t="str">
        <v>10CT4792</v>
      </c>
      <c r="C382" s="68" t="str">
        <f>VLOOKUP(B382,Master!B:C,2,0)</f>
        <v>10CT4792</v>
      </c>
      <c r="D382" s="69">
        <f>VLOOKUP(B382,Master!B:L,11,0)</f>
        <v>45487</v>
      </c>
      <c r="E382" s="69">
        <f>VLOOKUP(B382,Master!B:P,15,0)</f>
        <v>0</v>
      </c>
      <c r="F382" s="68" t="str">
        <f t="shared" si="24"/>
        <v>ACTIVE</v>
      </c>
      <c r="G382" s="68" t="str">
        <f t="shared" si="24"/>
        <v>ACTIVE</v>
      </c>
      <c r="H382" s="68" t="str">
        <f t="shared" si="24"/>
        <v>ACTIVE</v>
      </c>
      <c r="I382" s="68" t="str">
        <f t="shared" si="24"/>
        <v>ACTIVE</v>
      </c>
      <c r="J382" s="68" t="str">
        <f t="shared" si="24"/>
        <v>ACTIVE</v>
      </c>
      <c r="K382" s="68" t="str">
        <f t="shared" si="24"/>
        <v>ACTIVE</v>
      </c>
      <c r="L382" s="68" t="str">
        <f t="shared" si="24"/>
        <v>ACTIVE</v>
      </c>
      <c r="M382" s="68" t="str">
        <f t="shared" si="24"/>
        <v>ACTIVE</v>
      </c>
      <c r="N382" s="68" t="str">
        <f t="shared" si="24"/>
        <v>ACTIVE</v>
      </c>
      <c r="O382" s="68" t="str">
        <f t="shared" si="24"/>
        <v>ACTIVE</v>
      </c>
      <c r="P382" s="68" t="str">
        <f t="shared" si="24"/>
        <v>ACTIVE</v>
      </c>
      <c r="Q382" s="68" t="str">
        <f t="shared" si="24"/>
        <v>ACTIVE</v>
      </c>
    </row>
    <row r="383" spans="2:17" x14ac:dyDescent="0.35">
      <c r="B383" s="70" t="str">
        <v>10CT4791</v>
      </c>
      <c r="C383" s="68" t="str">
        <f>VLOOKUP(B383,Master!B:C,2,0)</f>
        <v>10CT4791</v>
      </c>
      <c r="D383" s="69">
        <f>VLOOKUP(B383,Master!B:L,11,0)</f>
        <v>45516</v>
      </c>
      <c r="E383" s="69">
        <f>VLOOKUP(B383,Master!B:P,15,0)</f>
        <v>0</v>
      </c>
      <c r="F383" s="68" t="str">
        <f t="shared" si="24"/>
        <v>ACTIVE</v>
      </c>
      <c r="G383" s="68" t="str">
        <f t="shared" si="24"/>
        <v>ACTIVE</v>
      </c>
      <c r="H383" s="68" t="str">
        <f t="shared" si="24"/>
        <v>ACTIVE</v>
      </c>
      <c r="I383" s="68" t="str">
        <f t="shared" si="24"/>
        <v>ACTIVE</v>
      </c>
      <c r="J383" s="68" t="str">
        <f t="shared" si="24"/>
        <v>ACTIVE</v>
      </c>
      <c r="K383" s="68" t="str">
        <f t="shared" si="24"/>
        <v>ACTIVE</v>
      </c>
      <c r="L383" s="68" t="str">
        <f t="shared" si="24"/>
        <v>ACTIVE</v>
      </c>
      <c r="M383" s="68" t="str">
        <f t="shared" si="24"/>
        <v>ACTIVE</v>
      </c>
      <c r="N383" s="68" t="str">
        <f t="shared" si="24"/>
        <v>ACTIVE</v>
      </c>
      <c r="O383" s="68" t="str">
        <f t="shared" si="24"/>
        <v>ACTIVE</v>
      </c>
      <c r="P383" s="68" t="str">
        <f t="shared" si="24"/>
        <v>ACTIVE</v>
      </c>
      <c r="Q383" s="68" t="str">
        <f t="shared" si="24"/>
        <v>ACTIVE</v>
      </c>
    </row>
    <row r="384" spans="2:17" x14ac:dyDescent="0.35">
      <c r="B384" s="70" t="str">
        <v>10FC4794</v>
      </c>
      <c r="C384" s="68" t="str">
        <f>VLOOKUP(B384,Master!B:C,2,0)</f>
        <v>10FC4794</v>
      </c>
      <c r="D384" s="69">
        <f>VLOOKUP(B384,Master!B:L,11,0)</f>
        <v>45507</v>
      </c>
      <c r="E384" s="69">
        <f>VLOOKUP(B384,Master!B:P,15,0)</f>
        <v>0</v>
      </c>
      <c r="F384" s="68" t="str">
        <f t="shared" si="24"/>
        <v>ACTIVE</v>
      </c>
      <c r="G384" s="68" t="str">
        <f t="shared" si="24"/>
        <v>ACTIVE</v>
      </c>
      <c r="H384" s="68" t="str">
        <f t="shared" si="24"/>
        <v>ACTIVE</v>
      </c>
      <c r="I384" s="68" t="str">
        <f t="shared" si="24"/>
        <v>ACTIVE</v>
      </c>
      <c r="J384" s="68" t="str">
        <f t="shared" si="24"/>
        <v>ACTIVE</v>
      </c>
      <c r="K384" s="68" t="str">
        <f t="shared" si="24"/>
        <v>ACTIVE</v>
      </c>
      <c r="L384" s="68" t="str">
        <f t="shared" si="24"/>
        <v>ACTIVE</v>
      </c>
      <c r="M384" s="68" t="str">
        <f t="shared" si="24"/>
        <v>ACTIVE</v>
      </c>
      <c r="N384" s="68" t="str">
        <f t="shared" si="24"/>
        <v>ACTIVE</v>
      </c>
      <c r="O384" s="68" t="str">
        <f t="shared" si="24"/>
        <v>ACTIVE</v>
      </c>
      <c r="P384" s="68" t="str">
        <f t="shared" si="24"/>
        <v>ACTIVE</v>
      </c>
      <c r="Q384" s="68" t="str">
        <f t="shared" si="24"/>
        <v>ACTIVE</v>
      </c>
    </row>
    <row r="385" spans="2:17" x14ac:dyDescent="0.35">
      <c r="B385" s="70" t="str">
        <v>10YT4764</v>
      </c>
      <c r="C385" s="68" t="str">
        <f>VLOOKUP(B385,Master!B:C,2,0)</f>
        <v>10YT4764</v>
      </c>
      <c r="D385" s="69">
        <f>VLOOKUP(B385,Master!B:L,11,0)</f>
        <v>45517</v>
      </c>
      <c r="E385" s="69">
        <f>VLOOKUP(B385,Master!B:P,15,0)</f>
        <v>0</v>
      </c>
      <c r="F385" s="68" t="str">
        <f t="shared" si="24"/>
        <v>ACTIVE</v>
      </c>
      <c r="G385" s="68" t="str">
        <f t="shared" si="24"/>
        <v>ACTIVE</v>
      </c>
      <c r="H385" s="68" t="str">
        <f t="shared" si="24"/>
        <v>ACTIVE</v>
      </c>
      <c r="I385" s="68" t="str">
        <f t="shared" si="24"/>
        <v>ACTIVE</v>
      </c>
      <c r="J385" s="68" t="str">
        <f t="shared" si="24"/>
        <v>ACTIVE</v>
      </c>
      <c r="K385" s="68" t="str">
        <f t="shared" si="24"/>
        <v>ACTIVE</v>
      </c>
      <c r="L385" s="68" t="str">
        <f t="shared" si="24"/>
        <v>ACTIVE</v>
      </c>
      <c r="M385" s="68" t="str">
        <f t="shared" si="24"/>
        <v>ACTIVE</v>
      </c>
      <c r="N385" s="68" t="str">
        <f t="shared" si="24"/>
        <v>ACTIVE</v>
      </c>
      <c r="O385" s="68" t="str">
        <f t="shared" si="24"/>
        <v>ACTIVE</v>
      </c>
      <c r="P385" s="68" t="str">
        <f t="shared" si="24"/>
        <v>ACTIVE</v>
      </c>
      <c r="Q385" s="68" t="str">
        <f t="shared" si="24"/>
        <v>ACTIVE</v>
      </c>
    </row>
    <row r="386" spans="2:17" x14ac:dyDescent="0.35">
      <c r="B386" s="70" t="str">
        <v>30GG4803</v>
      </c>
      <c r="C386" s="68" t="str">
        <f>VLOOKUP(B386,Master!B:C,2,0)</f>
        <v>30GG4803</v>
      </c>
      <c r="D386" s="69">
        <f>VLOOKUP(B386,Master!B:L,11,0)</f>
        <v>45534</v>
      </c>
      <c r="E386" s="69">
        <f>VLOOKUP(B386,Master!B:P,15,0)</f>
        <v>0</v>
      </c>
      <c r="F386" s="68" t="str">
        <f t="shared" si="24"/>
        <v>ACTIVE</v>
      </c>
      <c r="G386" s="68" t="str">
        <f t="shared" si="24"/>
        <v>ACTIVE</v>
      </c>
      <c r="H386" s="68" t="str">
        <f t="shared" si="24"/>
        <v>ACTIVE</v>
      </c>
      <c r="I386" s="68" t="str">
        <f t="shared" si="24"/>
        <v>ACTIVE</v>
      </c>
      <c r="J386" s="68" t="str">
        <f t="shared" si="24"/>
        <v>ACTIVE</v>
      </c>
      <c r="K386" s="68" t="str">
        <f t="shared" si="24"/>
        <v>ACTIVE</v>
      </c>
      <c r="L386" s="68" t="str">
        <f t="shared" si="24"/>
        <v>ACTIVE</v>
      </c>
      <c r="M386" s="68" t="str">
        <f t="shared" si="24"/>
        <v>ACTIVE</v>
      </c>
      <c r="N386" s="68" t="str">
        <f t="shared" si="24"/>
        <v>ACTIVE</v>
      </c>
      <c r="O386" s="68" t="str">
        <f t="shared" si="24"/>
        <v>ACTIVE</v>
      </c>
      <c r="P386" s="68" t="str">
        <f t="shared" si="24"/>
        <v>ACTIVE</v>
      </c>
      <c r="Q386" s="68" t="str">
        <f t="shared" si="24"/>
        <v>ACTIVE</v>
      </c>
    </row>
    <row r="387" spans="2:17" x14ac:dyDescent="0.35">
      <c r="B387" s="70" t="str">
        <v>30KK4805</v>
      </c>
      <c r="C387" s="68" t="str">
        <f>VLOOKUP(B387,Master!B:C,2,0)</f>
        <v>30KK4805</v>
      </c>
      <c r="D387" s="69">
        <f>VLOOKUP(B387,Master!B:L,11,0)</f>
        <v>45534</v>
      </c>
      <c r="E387" s="69">
        <f>VLOOKUP(B387,Master!B:P,15,0)</f>
        <v>0</v>
      </c>
      <c r="F387" s="68" t="str">
        <f t="shared" si="24"/>
        <v>ACTIVE</v>
      </c>
      <c r="G387" s="68" t="str">
        <f t="shared" si="24"/>
        <v>ACTIVE</v>
      </c>
      <c r="H387" s="68" t="str">
        <f t="shared" si="24"/>
        <v>ACTIVE</v>
      </c>
      <c r="I387" s="68" t="str">
        <f t="shared" si="24"/>
        <v>ACTIVE</v>
      </c>
      <c r="J387" s="68" t="str">
        <f t="shared" si="24"/>
        <v>ACTIVE</v>
      </c>
      <c r="K387" s="68" t="str">
        <f t="shared" si="24"/>
        <v>ACTIVE</v>
      </c>
      <c r="L387" s="68" t="str">
        <f t="shared" si="24"/>
        <v>ACTIVE</v>
      </c>
      <c r="M387" s="68" t="str">
        <f t="shared" si="24"/>
        <v>ACTIVE</v>
      </c>
      <c r="N387" s="68" t="str">
        <f t="shared" si="24"/>
        <v>ACTIVE</v>
      </c>
      <c r="O387" s="68" t="str">
        <f t="shared" si="24"/>
        <v>ACTIVE</v>
      </c>
      <c r="P387" s="68" t="str">
        <f t="shared" si="24"/>
        <v>ACTIVE</v>
      </c>
      <c r="Q387" s="68" t="str">
        <f t="shared" si="24"/>
        <v>ACTIVE</v>
      </c>
    </row>
    <row r="388" spans="2:17" x14ac:dyDescent="0.35">
      <c r="B388" s="70" t="str">
        <v>30MW4806</v>
      </c>
      <c r="C388" s="68" t="str">
        <f>VLOOKUP(B388,Master!B:C,2,0)</f>
        <v>30MW4806</v>
      </c>
      <c r="D388" s="69">
        <f>VLOOKUP(B388,Master!B:L,11,0)</f>
        <v>45534</v>
      </c>
      <c r="E388" s="69">
        <f>VLOOKUP(B388,Master!B:P,15,0)</f>
        <v>0</v>
      </c>
      <c r="F388" s="68" t="str">
        <f t="shared" ref="F388:Q403" si="25">IF($E388&gt;0,"CLOSED",IF($D388&lt;F$1,"ACTIVE","WAITING FOR OPEN"))</f>
        <v>ACTIVE</v>
      </c>
      <c r="G388" s="68" t="str">
        <f t="shared" si="25"/>
        <v>ACTIVE</v>
      </c>
      <c r="H388" s="68" t="str">
        <f t="shared" si="25"/>
        <v>ACTIVE</v>
      </c>
      <c r="I388" s="68" t="str">
        <f t="shared" si="25"/>
        <v>ACTIVE</v>
      </c>
      <c r="J388" s="68" t="str">
        <f t="shared" si="25"/>
        <v>ACTIVE</v>
      </c>
      <c r="K388" s="68" t="str">
        <f t="shared" si="25"/>
        <v>ACTIVE</v>
      </c>
      <c r="L388" s="68" t="str">
        <f t="shared" si="25"/>
        <v>ACTIVE</v>
      </c>
      <c r="M388" s="68" t="str">
        <f t="shared" si="25"/>
        <v>ACTIVE</v>
      </c>
      <c r="N388" s="68" t="str">
        <f t="shared" si="25"/>
        <v>ACTIVE</v>
      </c>
      <c r="O388" s="68" t="str">
        <f t="shared" si="25"/>
        <v>ACTIVE</v>
      </c>
      <c r="P388" s="68" t="str">
        <f t="shared" si="25"/>
        <v>ACTIVE</v>
      </c>
      <c r="Q388" s="68" t="str">
        <f t="shared" si="25"/>
        <v>ACTIVE</v>
      </c>
    </row>
    <row r="389" spans="2:17" x14ac:dyDescent="0.35">
      <c r="B389" s="70" t="str">
        <v>30SG4804</v>
      </c>
      <c r="C389" s="68" t="str">
        <f>VLOOKUP(B389,Master!B:C,2,0)</f>
        <v>30SG4804</v>
      </c>
      <c r="D389" s="69">
        <f>VLOOKUP(B389,Master!B:L,11,0)</f>
        <v>45534</v>
      </c>
      <c r="E389" s="69">
        <f>VLOOKUP(B389,Master!B:P,15,0)</f>
        <v>0</v>
      </c>
      <c r="F389" s="68" t="str">
        <f t="shared" si="25"/>
        <v>ACTIVE</v>
      </c>
      <c r="G389" s="68" t="str">
        <f t="shared" si="25"/>
        <v>ACTIVE</v>
      </c>
      <c r="H389" s="68" t="str">
        <f t="shared" si="25"/>
        <v>ACTIVE</v>
      </c>
      <c r="I389" s="68" t="str">
        <f t="shared" si="25"/>
        <v>ACTIVE</v>
      </c>
      <c r="J389" s="68" t="str">
        <f t="shared" si="25"/>
        <v>ACTIVE</v>
      </c>
      <c r="K389" s="68" t="str">
        <f t="shared" si="25"/>
        <v>ACTIVE</v>
      </c>
      <c r="L389" s="68" t="str">
        <f t="shared" si="25"/>
        <v>ACTIVE</v>
      </c>
      <c r="M389" s="68" t="str">
        <f t="shared" si="25"/>
        <v>ACTIVE</v>
      </c>
      <c r="N389" s="68" t="str">
        <f t="shared" si="25"/>
        <v>ACTIVE</v>
      </c>
      <c r="O389" s="68" t="str">
        <f t="shared" si="25"/>
        <v>ACTIVE</v>
      </c>
      <c r="P389" s="68" t="str">
        <f t="shared" si="25"/>
        <v>ACTIVE</v>
      </c>
      <c r="Q389" s="68" t="str">
        <f t="shared" si="25"/>
        <v>ACTIVE</v>
      </c>
    </row>
    <row r="390" spans="2:17" x14ac:dyDescent="0.35">
      <c r="B390" s="70" t="str">
        <v>30CD4749</v>
      </c>
      <c r="C390" s="68" t="str">
        <f>VLOOKUP(B390,Master!B:C,2,0)</f>
        <v>30CD4749</v>
      </c>
      <c r="D390" s="69">
        <f>VLOOKUP(B390,Master!B:L,11,0)</f>
        <v>45539</v>
      </c>
      <c r="E390" s="69">
        <f>VLOOKUP(B390,Master!B:P,15,0)</f>
        <v>0</v>
      </c>
      <c r="F390" s="68" t="str">
        <f t="shared" si="25"/>
        <v>ACTIVE</v>
      </c>
      <c r="G390" s="68" t="str">
        <f t="shared" si="25"/>
        <v>ACTIVE</v>
      </c>
      <c r="H390" s="68" t="str">
        <f t="shared" si="25"/>
        <v>ACTIVE</v>
      </c>
      <c r="I390" s="68" t="str">
        <f t="shared" si="25"/>
        <v>ACTIVE</v>
      </c>
      <c r="J390" s="68" t="str">
        <f t="shared" si="25"/>
        <v>ACTIVE</v>
      </c>
      <c r="K390" s="68" t="str">
        <f t="shared" si="25"/>
        <v>ACTIVE</v>
      </c>
      <c r="L390" s="68" t="str">
        <f t="shared" si="25"/>
        <v>ACTIVE</v>
      </c>
      <c r="M390" s="68" t="str">
        <f t="shared" si="25"/>
        <v>ACTIVE</v>
      </c>
      <c r="N390" s="68" t="str">
        <f t="shared" si="25"/>
        <v>ACTIVE</v>
      </c>
      <c r="O390" s="68" t="str">
        <f t="shared" si="25"/>
        <v>ACTIVE</v>
      </c>
      <c r="P390" s="68" t="str">
        <f t="shared" si="25"/>
        <v>ACTIVE</v>
      </c>
      <c r="Q390" s="68" t="str">
        <f t="shared" si="25"/>
        <v>ACTIVE</v>
      </c>
    </row>
    <row r="391" spans="2:17" x14ac:dyDescent="0.35">
      <c r="B391" s="70" t="str">
        <v>30CD4775</v>
      </c>
      <c r="C391" s="68" t="str">
        <f>VLOOKUP(B391,Master!B:C,2,0)</f>
        <v>30CD4775</v>
      </c>
      <c r="D391" s="69">
        <f>VLOOKUP(B391,Master!B:L,11,0)</f>
        <v>45551</v>
      </c>
      <c r="E391" s="69">
        <f>VLOOKUP(B391,Master!B:P,15,0)</f>
        <v>0</v>
      </c>
      <c r="F391" s="68" t="str">
        <f t="shared" si="25"/>
        <v>ACTIVE</v>
      </c>
      <c r="G391" s="68" t="str">
        <f t="shared" si="25"/>
        <v>ACTIVE</v>
      </c>
      <c r="H391" s="68" t="str">
        <f t="shared" si="25"/>
        <v>ACTIVE</v>
      </c>
      <c r="I391" s="68" t="str">
        <f t="shared" si="25"/>
        <v>ACTIVE</v>
      </c>
      <c r="J391" s="68" t="str">
        <f t="shared" si="25"/>
        <v>ACTIVE</v>
      </c>
      <c r="K391" s="68" t="str">
        <f t="shared" si="25"/>
        <v>ACTIVE</v>
      </c>
      <c r="L391" s="68" t="str">
        <f t="shared" si="25"/>
        <v>ACTIVE</v>
      </c>
      <c r="M391" s="68" t="str">
        <f t="shared" si="25"/>
        <v>ACTIVE</v>
      </c>
      <c r="N391" s="68" t="str">
        <f t="shared" si="25"/>
        <v>ACTIVE</v>
      </c>
      <c r="O391" s="68" t="str">
        <f t="shared" si="25"/>
        <v>ACTIVE</v>
      </c>
      <c r="P391" s="68" t="str">
        <f t="shared" si="25"/>
        <v>ACTIVE</v>
      </c>
      <c r="Q391" s="68" t="str">
        <f t="shared" si="25"/>
        <v>ACTIVE</v>
      </c>
    </row>
    <row r="392" spans="2:17" x14ac:dyDescent="0.35">
      <c r="B392" s="70" t="str">
        <v>30CD4795</v>
      </c>
      <c r="C392" s="68" t="str">
        <f>VLOOKUP(B392,Master!B:C,2,0)</f>
        <v>30CD4795</v>
      </c>
      <c r="D392" s="69">
        <f>VLOOKUP(B392,Master!B:L,11,0)</f>
        <v>45550</v>
      </c>
      <c r="E392" s="69">
        <f>VLOOKUP(B392,Master!B:P,15,0)</f>
        <v>0</v>
      </c>
      <c r="F392" s="68" t="str">
        <f t="shared" si="25"/>
        <v>ACTIVE</v>
      </c>
      <c r="G392" s="68" t="str">
        <f t="shared" si="25"/>
        <v>ACTIVE</v>
      </c>
      <c r="H392" s="68" t="str">
        <f t="shared" si="25"/>
        <v>ACTIVE</v>
      </c>
      <c r="I392" s="68" t="str">
        <f t="shared" si="25"/>
        <v>ACTIVE</v>
      </c>
      <c r="J392" s="68" t="str">
        <f t="shared" si="25"/>
        <v>ACTIVE</v>
      </c>
      <c r="K392" s="68" t="str">
        <f t="shared" si="25"/>
        <v>ACTIVE</v>
      </c>
      <c r="L392" s="68" t="str">
        <f t="shared" si="25"/>
        <v>ACTIVE</v>
      </c>
      <c r="M392" s="68" t="str">
        <f t="shared" si="25"/>
        <v>ACTIVE</v>
      </c>
      <c r="N392" s="68" t="str">
        <f t="shared" si="25"/>
        <v>ACTIVE</v>
      </c>
      <c r="O392" s="68" t="str">
        <f t="shared" si="25"/>
        <v>ACTIVE</v>
      </c>
      <c r="P392" s="68" t="str">
        <f t="shared" si="25"/>
        <v>ACTIVE</v>
      </c>
      <c r="Q392" s="68" t="str">
        <f t="shared" si="25"/>
        <v>ACTIVE</v>
      </c>
    </row>
    <row r="393" spans="2:17" x14ac:dyDescent="0.35">
      <c r="B393" s="70" t="str">
        <v>30GG4746</v>
      </c>
      <c r="C393" s="68" t="str">
        <f>VLOOKUP(B393,Master!B:C,2,0)</f>
        <v>30GG4746</v>
      </c>
      <c r="D393" s="69">
        <f>VLOOKUP(B393,Master!B:L,11,0)</f>
        <v>45539</v>
      </c>
      <c r="E393" s="69">
        <f>VLOOKUP(B393,Master!B:P,15,0)</f>
        <v>0</v>
      </c>
      <c r="F393" s="68" t="str">
        <f t="shared" si="25"/>
        <v>ACTIVE</v>
      </c>
      <c r="G393" s="68" t="str">
        <f t="shared" si="25"/>
        <v>ACTIVE</v>
      </c>
      <c r="H393" s="68" t="str">
        <f t="shared" si="25"/>
        <v>ACTIVE</v>
      </c>
      <c r="I393" s="68" t="str">
        <f t="shared" si="25"/>
        <v>ACTIVE</v>
      </c>
      <c r="J393" s="68" t="str">
        <f t="shared" si="25"/>
        <v>ACTIVE</v>
      </c>
      <c r="K393" s="68" t="str">
        <f t="shared" si="25"/>
        <v>ACTIVE</v>
      </c>
      <c r="L393" s="68" t="str">
        <f t="shared" si="25"/>
        <v>ACTIVE</v>
      </c>
      <c r="M393" s="68" t="str">
        <f t="shared" si="25"/>
        <v>ACTIVE</v>
      </c>
      <c r="N393" s="68" t="str">
        <f t="shared" si="25"/>
        <v>ACTIVE</v>
      </c>
      <c r="O393" s="68" t="str">
        <f t="shared" si="25"/>
        <v>ACTIVE</v>
      </c>
      <c r="P393" s="68" t="str">
        <f t="shared" si="25"/>
        <v>ACTIVE</v>
      </c>
      <c r="Q393" s="68" t="str">
        <f t="shared" si="25"/>
        <v>ACTIVE</v>
      </c>
    </row>
    <row r="394" spans="2:17" x14ac:dyDescent="0.35">
      <c r="B394" s="70" t="str">
        <v>30GG4774</v>
      </c>
      <c r="C394" s="68" t="str">
        <f>VLOOKUP(B394,Master!B:C,2,0)</f>
        <v>30GG4774</v>
      </c>
      <c r="D394" s="69">
        <f>VLOOKUP(B394,Master!B:L,11,0)</f>
        <v>45551</v>
      </c>
      <c r="E394" s="69">
        <f>VLOOKUP(B394,Master!B:P,15,0)</f>
        <v>0</v>
      </c>
      <c r="F394" s="68" t="str">
        <f t="shared" si="25"/>
        <v>ACTIVE</v>
      </c>
      <c r="G394" s="68" t="str">
        <f t="shared" si="25"/>
        <v>ACTIVE</v>
      </c>
      <c r="H394" s="68" t="str">
        <f t="shared" si="25"/>
        <v>ACTIVE</v>
      </c>
      <c r="I394" s="68" t="str">
        <f t="shared" si="25"/>
        <v>ACTIVE</v>
      </c>
      <c r="J394" s="68" t="str">
        <f t="shared" si="25"/>
        <v>ACTIVE</v>
      </c>
      <c r="K394" s="68" t="str">
        <f t="shared" si="25"/>
        <v>ACTIVE</v>
      </c>
      <c r="L394" s="68" t="str">
        <f t="shared" si="25"/>
        <v>ACTIVE</v>
      </c>
      <c r="M394" s="68" t="str">
        <f t="shared" si="25"/>
        <v>ACTIVE</v>
      </c>
      <c r="N394" s="68" t="str">
        <f t="shared" si="25"/>
        <v>ACTIVE</v>
      </c>
      <c r="O394" s="68" t="str">
        <f t="shared" si="25"/>
        <v>ACTIVE</v>
      </c>
      <c r="P394" s="68" t="str">
        <f t="shared" si="25"/>
        <v>ACTIVE</v>
      </c>
      <c r="Q394" s="68" t="str">
        <f t="shared" si="25"/>
        <v>ACTIVE</v>
      </c>
    </row>
    <row r="395" spans="2:17" x14ac:dyDescent="0.35">
      <c r="B395" s="70" t="str">
        <v>30KK4748</v>
      </c>
      <c r="C395" s="68" t="str">
        <f>VLOOKUP(B395,Master!B:C,2,0)</f>
        <v>30KK4748</v>
      </c>
      <c r="D395" s="69">
        <f>VLOOKUP(B395,Master!B:L,11,0)</f>
        <v>45539</v>
      </c>
      <c r="E395" s="69">
        <f>VLOOKUP(B395,Master!B:P,15,0)</f>
        <v>0</v>
      </c>
      <c r="F395" s="68" t="str">
        <f t="shared" si="25"/>
        <v>ACTIVE</v>
      </c>
      <c r="G395" s="68" t="str">
        <f t="shared" si="25"/>
        <v>ACTIVE</v>
      </c>
      <c r="H395" s="68" t="str">
        <f t="shared" si="25"/>
        <v>ACTIVE</v>
      </c>
      <c r="I395" s="68" t="str">
        <f t="shared" si="25"/>
        <v>ACTIVE</v>
      </c>
      <c r="J395" s="68" t="str">
        <f t="shared" si="25"/>
        <v>ACTIVE</v>
      </c>
      <c r="K395" s="68" t="str">
        <f t="shared" si="25"/>
        <v>ACTIVE</v>
      </c>
      <c r="L395" s="68" t="str">
        <f t="shared" si="25"/>
        <v>ACTIVE</v>
      </c>
      <c r="M395" s="68" t="str">
        <f t="shared" si="25"/>
        <v>ACTIVE</v>
      </c>
      <c r="N395" s="68" t="str">
        <f t="shared" si="25"/>
        <v>ACTIVE</v>
      </c>
      <c r="O395" s="68" t="str">
        <f t="shared" si="25"/>
        <v>ACTIVE</v>
      </c>
      <c r="P395" s="68" t="str">
        <f t="shared" si="25"/>
        <v>ACTIVE</v>
      </c>
      <c r="Q395" s="68" t="str">
        <f t="shared" si="25"/>
        <v>ACTIVE</v>
      </c>
    </row>
    <row r="396" spans="2:17" x14ac:dyDescent="0.35">
      <c r="B396" s="70" t="str">
        <v>30KK4773</v>
      </c>
      <c r="C396" s="68" t="str">
        <f>VLOOKUP(B396,Master!B:C,2,0)</f>
        <v>30KK4773</v>
      </c>
      <c r="D396" s="69">
        <f>VLOOKUP(B396,Master!B:L,11,0)</f>
        <v>45551</v>
      </c>
      <c r="E396" s="69">
        <f>VLOOKUP(B396,Master!B:P,15,0)</f>
        <v>0</v>
      </c>
      <c r="F396" s="68" t="str">
        <f t="shared" si="25"/>
        <v>ACTIVE</v>
      </c>
      <c r="G396" s="68" t="str">
        <f t="shared" si="25"/>
        <v>ACTIVE</v>
      </c>
      <c r="H396" s="68" t="str">
        <f t="shared" si="25"/>
        <v>ACTIVE</v>
      </c>
      <c r="I396" s="68" t="str">
        <f t="shared" si="25"/>
        <v>ACTIVE</v>
      </c>
      <c r="J396" s="68" t="str">
        <f t="shared" si="25"/>
        <v>ACTIVE</v>
      </c>
      <c r="K396" s="68" t="str">
        <f t="shared" si="25"/>
        <v>ACTIVE</v>
      </c>
      <c r="L396" s="68" t="str">
        <f t="shared" si="25"/>
        <v>ACTIVE</v>
      </c>
      <c r="M396" s="68" t="str">
        <f t="shared" si="25"/>
        <v>ACTIVE</v>
      </c>
      <c r="N396" s="68" t="str">
        <f t="shared" si="25"/>
        <v>ACTIVE</v>
      </c>
      <c r="O396" s="68" t="str">
        <f t="shared" si="25"/>
        <v>ACTIVE</v>
      </c>
      <c r="P396" s="68" t="str">
        <f t="shared" si="25"/>
        <v>ACTIVE</v>
      </c>
      <c r="Q396" s="68" t="str">
        <f t="shared" si="25"/>
        <v>ACTIVE</v>
      </c>
    </row>
    <row r="397" spans="2:17" x14ac:dyDescent="0.35">
      <c r="B397" s="70" t="str">
        <v>30MW4747</v>
      </c>
      <c r="C397" s="68" t="str">
        <f>VLOOKUP(B397,Master!B:C,2,0)</f>
        <v>30MW4747</v>
      </c>
      <c r="D397" s="69">
        <f>VLOOKUP(B397,Master!B:L,11,0)</f>
        <v>45539</v>
      </c>
      <c r="E397" s="69">
        <f>VLOOKUP(B397,Master!B:P,15,0)</f>
        <v>0</v>
      </c>
      <c r="F397" s="68" t="str">
        <f t="shared" si="25"/>
        <v>ACTIVE</v>
      </c>
      <c r="G397" s="68" t="str">
        <f t="shared" si="25"/>
        <v>ACTIVE</v>
      </c>
      <c r="H397" s="68" t="str">
        <f t="shared" si="25"/>
        <v>ACTIVE</v>
      </c>
      <c r="I397" s="68" t="str">
        <f t="shared" si="25"/>
        <v>ACTIVE</v>
      </c>
      <c r="J397" s="68" t="str">
        <f t="shared" si="25"/>
        <v>ACTIVE</v>
      </c>
      <c r="K397" s="68" t="str">
        <f t="shared" si="25"/>
        <v>ACTIVE</v>
      </c>
      <c r="L397" s="68" t="str">
        <f t="shared" si="25"/>
        <v>ACTIVE</v>
      </c>
      <c r="M397" s="68" t="str">
        <f t="shared" si="25"/>
        <v>ACTIVE</v>
      </c>
      <c r="N397" s="68" t="str">
        <f t="shared" si="25"/>
        <v>ACTIVE</v>
      </c>
      <c r="O397" s="68" t="str">
        <f t="shared" si="25"/>
        <v>ACTIVE</v>
      </c>
      <c r="P397" s="68" t="str">
        <f t="shared" si="25"/>
        <v>ACTIVE</v>
      </c>
      <c r="Q397" s="68" t="str">
        <f t="shared" si="25"/>
        <v>ACTIVE</v>
      </c>
    </row>
    <row r="398" spans="2:17" x14ac:dyDescent="0.35">
      <c r="B398" s="70" t="str">
        <v>30SG4750</v>
      </c>
      <c r="C398" s="68" t="str">
        <f>VLOOKUP(B398,Master!B:C,2,0)</f>
        <v>30SG4750</v>
      </c>
      <c r="D398" s="69">
        <f>VLOOKUP(B398,Master!B:L,11,0)</f>
        <v>45539</v>
      </c>
      <c r="E398" s="69">
        <f>VLOOKUP(B398,Master!B:P,15,0)</f>
        <v>0</v>
      </c>
      <c r="F398" s="68" t="str">
        <f t="shared" si="25"/>
        <v>ACTIVE</v>
      </c>
      <c r="G398" s="68" t="str">
        <f t="shared" si="25"/>
        <v>ACTIVE</v>
      </c>
      <c r="H398" s="68" t="str">
        <f t="shared" si="25"/>
        <v>ACTIVE</v>
      </c>
      <c r="I398" s="68" t="str">
        <f t="shared" si="25"/>
        <v>ACTIVE</v>
      </c>
      <c r="J398" s="68" t="str">
        <f t="shared" si="25"/>
        <v>ACTIVE</v>
      </c>
      <c r="K398" s="68" t="str">
        <f t="shared" si="25"/>
        <v>ACTIVE</v>
      </c>
      <c r="L398" s="68" t="str">
        <f t="shared" si="25"/>
        <v>ACTIVE</v>
      </c>
      <c r="M398" s="68" t="str">
        <f t="shared" si="25"/>
        <v>ACTIVE</v>
      </c>
      <c r="N398" s="68" t="str">
        <f t="shared" si="25"/>
        <v>ACTIVE</v>
      </c>
      <c r="O398" s="68" t="str">
        <f t="shared" si="25"/>
        <v>ACTIVE</v>
      </c>
      <c r="P398" s="68" t="str">
        <f t="shared" si="25"/>
        <v>ACTIVE</v>
      </c>
      <c r="Q398" s="68" t="str">
        <f t="shared" si="25"/>
        <v>ACTIVE</v>
      </c>
    </row>
    <row r="399" spans="2:17" x14ac:dyDescent="0.35">
      <c r="B399" s="70" t="str">
        <v>10GG4825</v>
      </c>
      <c r="C399" s="68" t="str">
        <f>VLOOKUP(B399,Master!B:C,2,0)</f>
        <v>10GG4825</v>
      </c>
      <c r="D399" s="69">
        <f>VLOOKUP(B399,Master!B:L,11,0)</f>
        <v>45589</v>
      </c>
      <c r="E399" s="69">
        <f>VLOOKUP(B399,Master!B:P,15,0)</f>
        <v>0</v>
      </c>
      <c r="F399" s="68" t="str">
        <f t="shared" si="25"/>
        <v>ACTIVE</v>
      </c>
      <c r="G399" s="68" t="str">
        <f t="shared" si="25"/>
        <v>ACTIVE</v>
      </c>
      <c r="H399" s="68" t="str">
        <f t="shared" si="25"/>
        <v>ACTIVE</v>
      </c>
      <c r="I399" s="68" t="str">
        <f t="shared" si="25"/>
        <v>ACTIVE</v>
      </c>
      <c r="J399" s="68" t="str">
        <f t="shared" si="25"/>
        <v>ACTIVE</v>
      </c>
      <c r="K399" s="68" t="str">
        <f t="shared" si="25"/>
        <v>ACTIVE</v>
      </c>
      <c r="L399" s="68" t="str">
        <f t="shared" si="25"/>
        <v>ACTIVE</v>
      </c>
      <c r="M399" s="68" t="str">
        <f t="shared" si="25"/>
        <v>ACTIVE</v>
      </c>
      <c r="N399" s="68" t="str">
        <f t="shared" si="25"/>
        <v>ACTIVE</v>
      </c>
      <c r="O399" s="68" t="str">
        <f t="shared" si="25"/>
        <v>ACTIVE</v>
      </c>
      <c r="P399" s="68" t="str">
        <f t="shared" si="25"/>
        <v>ACTIVE</v>
      </c>
      <c r="Q399" s="68" t="str">
        <f t="shared" si="25"/>
        <v>ACTIVE</v>
      </c>
    </row>
    <row r="400" spans="2:17" x14ac:dyDescent="0.35">
      <c r="B400" s="70" t="str">
        <v>30KK4815</v>
      </c>
      <c r="C400" s="68" t="str">
        <f>VLOOKUP(B400,Master!B:C,2,0)</f>
        <v>30KK4815</v>
      </c>
      <c r="D400" s="69">
        <f>VLOOKUP(B400,Master!B:L,11,0)</f>
        <v>45576</v>
      </c>
      <c r="E400" s="69">
        <f>VLOOKUP(B400,Master!B:P,15,0)</f>
        <v>0</v>
      </c>
      <c r="F400" s="68" t="str">
        <f t="shared" si="25"/>
        <v>ACTIVE</v>
      </c>
      <c r="G400" s="68" t="str">
        <f t="shared" si="25"/>
        <v>ACTIVE</v>
      </c>
      <c r="H400" s="68" t="str">
        <f t="shared" si="25"/>
        <v>ACTIVE</v>
      </c>
      <c r="I400" s="68" t="str">
        <f t="shared" si="25"/>
        <v>ACTIVE</v>
      </c>
      <c r="J400" s="68" t="str">
        <f t="shared" si="25"/>
        <v>ACTIVE</v>
      </c>
      <c r="K400" s="68" t="str">
        <f t="shared" si="25"/>
        <v>ACTIVE</v>
      </c>
      <c r="L400" s="68" t="str">
        <f t="shared" si="25"/>
        <v>ACTIVE</v>
      </c>
      <c r="M400" s="68" t="str">
        <f t="shared" si="25"/>
        <v>ACTIVE</v>
      </c>
      <c r="N400" s="68" t="str">
        <f t="shared" si="25"/>
        <v>ACTIVE</v>
      </c>
      <c r="O400" s="68" t="str">
        <f t="shared" si="25"/>
        <v>ACTIVE</v>
      </c>
      <c r="P400" s="68" t="str">
        <f t="shared" si="25"/>
        <v>ACTIVE</v>
      </c>
      <c r="Q400" s="68" t="str">
        <f t="shared" si="25"/>
        <v>ACTIVE</v>
      </c>
    </row>
    <row r="401" spans="2:17" x14ac:dyDescent="0.35">
      <c r="B401" s="70" t="str">
        <v>30KK4817</v>
      </c>
      <c r="C401" s="68" t="str">
        <f>VLOOKUP(B401,Master!B:C,2,0)</f>
        <v>30KK4817</v>
      </c>
      <c r="D401" s="69">
        <f>VLOOKUP(B401,Master!B:L,11,0)</f>
        <v>45588</v>
      </c>
      <c r="E401" s="69">
        <f>VLOOKUP(B401,Master!B:P,15,0)</f>
        <v>0</v>
      </c>
      <c r="F401" s="68" t="str">
        <f t="shared" si="25"/>
        <v>ACTIVE</v>
      </c>
      <c r="G401" s="68" t="str">
        <f t="shared" si="25"/>
        <v>ACTIVE</v>
      </c>
      <c r="H401" s="68" t="str">
        <f t="shared" si="25"/>
        <v>ACTIVE</v>
      </c>
      <c r="I401" s="68" t="str">
        <f t="shared" si="25"/>
        <v>ACTIVE</v>
      </c>
      <c r="J401" s="68" t="str">
        <f t="shared" si="25"/>
        <v>ACTIVE</v>
      </c>
      <c r="K401" s="68" t="str">
        <f t="shared" si="25"/>
        <v>ACTIVE</v>
      </c>
      <c r="L401" s="68" t="str">
        <f t="shared" si="25"/>
        <v>ACTIVE</v>
      </c>
      <c r="M401" s="68" t="str">
        <f t="shared" si="25"/>
        <v>ACTIVE</v>
      </c>
      <c r="N401" s="68" t="str">
        <f t="shared" si="25"/>
        <v>ACTIVE</v>
      </c>
      <c r="O401" s="68" t="str">
        <f t="shared" si="25"/>
        <v>ACTIVE</v>
      </c>
      <c r="P401" s="68" t="str">
        <f t="shared" si="25"/>
        <v>ACTIVE</v>
      </c>
      <c r="Q401" s="68" t="str">
        <f t="shared" si="25"/>
        <v>ACTIVE</v>
      </c>
    </row>
    <row r="402" spans="2:17" x14ac:dyDescent="0.35">
      <c r="B402" s="70" t="str">
        <v>30GG4816</v>
      </c>
      <c r="C402" s="68" t="str">
        <f>VLOOKUP(B402,Master!B:C,2,0)</f>
        <v>30GG4816</v>
      </c>
      <c r="D402" s="69">
        <f>VLOOKUP(B402,Master!B:L,11,0)</f>
        <v>45575</v>
      </c>
      <c r="E402" s="69">
        <f>VLOOKUP(B402,Master!B:P,15,0)</f>
        <v>0</v>
      </c>
      <c r="F402" s="68" t="str">
        <f t="shared" si="25"/>
        <v>ACTIVE</v>
      </c>
      <c r="G402" s="68" t="str">
        <f t="shared" si="25"/>
        <v>ACTIVE</v>
      </c>
      <c r="H402" s="68" t="str">
        <f t="shared" si="25"/>
        <v>ACTIVE</v>
      </c>
      <c r="I402" s="68" t="str">
        <f t="shared" si="25"/>
        <v>ACTIVE</v>
      </c>
      <c r="J402" s="68" t="str">
        <f t="shared" si="25"/>
        <v>ACTIVE</v>
      </c>
      <c r="K402" s="68" t="str">
        <f t="shared" si="25"/>
        <v>ACTIVE</v>
      </c>
      <c r="L402" s="68" t="str">
        <f t="shared" si="25"/>
        <v>ACTIVE</v>
      </c>
      <c r="M402" s="68" t="str">
        <f t="shared" si="25"/>
        <v>ACTIVE</v>
      </c>
      <c r="N402" s="68" t="str">
        <f t="shared" si="25"/>
        <v>ACTIVE</v>
      </c>
      <c r="O402" s="68" t="str">
        <f t="shared" si="25"/>
        <v>ACTIVE</v>
      </c>
      <c r="P402" s="68" t="str">
        <f t="shared" si="25"/>
        <v>ACTIVE</v>
      </c>
      <c r="Q402" s="68" t="str">
        <f t="shared" si="25"/>
        <v>ACTIVE</v>
      </c>
    </row>
    <row r="403" spans="2:17" x14ac:dyDescent="0.35">
      <c r="B403" s="70" t="str">
        <v>30GG4818</v>
      </c>
      <c r="C403" s="68" t="str">
        <f>VLOOKUP(B403,Master!B:C,2,0)</f>
        <v>30GG4818</v>
      </c>
      <c r="D403" s="69">
        <f>VLOOKUP(B403,Master!B:L,11,0)</f>
        <v>45588</v>
      </c>
      <c r="E403" s="69">
        <f>VLOOKUP(B403,Master!B:P,15,0)</f>
        <v>0</v>
      </c>
      <c r="F403" s="68" t="str">
        <f t="shared" si="25"/>
        <v>ACTIVE</v>
      </c>
      <c r="G403" s="68" t="str">
        <f t="shared" si="25"/>
        <v>ACTIVE</v>
      </c>
      <c r="H403" s="68" t="str">
        <f t="shared" si="25"/>
        <v>ACTIVE</v>
      </c>
      <c r="I403" s="68" t="str">
        <f t="shared" si="25"/>
        <v>ACTIVE</v>
      </c>
      <c r="J403" s="68" t="str">
        <f t="shared" si="25"/>
        <v>ACTIVE</v>
      </c>
      <c r="K403" s="68" t="str">
        <f t="shared" si="25"/>
        <v>ACTIVE</v>
      </c>
      <c r="L403" s="68" t="str">
        <f t="shared" si="25"/>
        <v>ACTIVE</v>
      </c>
      <c r="M403" s="68" t="str">
        <f t="shared" si="25"/>
        <v>ACTIVE</v>
      </c>
      <c r="N403" s="68" t="str">
        <f t="shared" si="25"/>
        <v>ACTIVE</v>
      </c>
      <c r="O403" s="68" t="str">
        <f t="shared" si="25"/>
        <v>ACTIVE</v>
      </c>
      <c r="P403" s="68" t="str">
        <f t="shared" si="25"/>
        <v>ACTIVE</v>
      </c>
      <c r="Q403" s="68" t="str">
        <f t="shared" si="25"/>
        <v>ACTIVE</v>
      </c>
    </row>
    <row r="404" spans="2:17" x14ac:dyDescent="0.35">
      <c r="B404" s="70" t="str">
        <v>30KK4298</v>
      </c>
      <c r="C404" s="68" t="str">
        <f>VLOOKUP(B404,Master!B:C,2,0)</f>
        <v>30KK4298</v>
      </c>
      <c r="D404" s="69">
        <f>VLOOKUP(B404,Master!B:L,11,0)</f>
        <v>43823</v>
      </c>
      <c r="E404" s="69">
        <f>VLOOKUP(B404,Master!B:P,15,0)</f>
        <v>45747</v>
      </c>
      <c r="F404" s="68" t="str">
        <f t="shared" ref="F404:Q419" si="26">IF($E404&gt;0,"CLOSED",IF($D404&lt;F$1,"ACTIVE","WAITING FOR OPEN"))</f>
        <v>CLOSED</v>
      </c>
      <c r="G404" s="68" t="str">
        <f t="shared" si="26"/>
        <v>CLOSED</v>
      </c>
      <c r="H404" s="68" t="str">
        <f t="shared" si="26"/>
        <v>CLOSED</v>
      </c>
      <c r="I404" s="68" t="str">
        <f t="shared" si="26"/>
        <v>CLOSED</v>
      </c>
      <c r="J404" s="68" t="str">
        <f t="shared" si="26"/>
        <v>CLOSED</v>
      </c>
      <c r="K404" s="68" t="str">
        <f t="shared" si="26"/>
        <v>CLOSED</v>
      </c>
      <c r="L404" s="68" t="str">
        <f t="shared" si="26"/>
        <v>CLOSED</v>
      </c>
      <c r="M404" s="68" t="str">
        <f t="shared" si="26"/>
        <v>CLOSED</v>
      </c>
      <c r="N404" s="68" t="str">
        <f t="shared" si="26"/>
        <v>CLOSED</v>
      </c>
      <c r="O404" s="68" t="str">
        <f t="shared" si="26"/>
        <v>CLOSED</v>
      </c>
      <c r="P404" s="68" t="str">
        <f t="shared" si="26"/>
        <v>CLOSED</v>
      </c>
      <c r="Q404" s="68" t="str">
        <f t="shared" si="26"/>
        <v>CLOSED</v>
      </c>
    </row>
    <row r="405" spans="2:17" x14ac:dyDescent="0.35">
      <c r="B405" s="70" t="str">
        <v>10LC4847</v>
      </c>
      <c r="C405" s="68" t="str">
        <f>VLOOKUP(B405,Master!B:C,2,0)</f>
        <v>10LC4847</v>
      </c>
      <c r="D405" s="69">
        <f>VLOOKUP(B405,Master!B:L,11,0)</f>
        <v>45626</v>
      </c>
      <c r="E405" s="69">
        <f>VLOOKUP(B405,Master!B:P,15,0)</f>
        <v>0</v>
      </c>
      <c r="F405" s="68" t="str">
        <f t="shared" si="26"/>
        <v>ACTIVE</v>
      </c>
      <c r="G405" s="68" t="str">
        <f t="shared" si="26"/>
        <v>ACTIVE</v>
      </c>
      <c r="H405" s="68" t="str">
        <f t="shared" si="26"/>
        <v>ACTIVE</v>
      </c>
      <c r="I405" s="68" t="str">
        <f t="shared" si="26"/>
        <v>ACTIVE</v>
      </c>
      <c r="J405" s="68" t="str">
        <f t="shared" si="26"/>
        <v>ACTIVE</v>
      </c>
      <c r="K405" s="68" t="str">
        <f t="shared" si="26"/>
        <v>ACTIVE</v>
      </c>
      <c r="L405" s="68" t="str">
        <f t="shared" si="26"/>
        <v>ACTIVE</v>
      </c>
      <c r="M405" s="68" t="str">
        <f t="shared" si="26"/>
        <v>ACTIVE</v>
      </c>
      <c r="N405" s="68" t="str">
        <f t="shared" si="26"/>
        <v>ACTIVE</v>
      </c>
      <c r="O405" s="68" t="str">
        <f t="shared" si="26"/>
        <v>ACTIVE</v>
      </c>
      <c r="P405" s="68" t="str">
        <f t="shared" si="26"/>
        <v>ACTIVE</v>
      </c>
      <c r="Q405" s="68" t="str">
        <f t="shared" si="26"/>
        <v>ACTIVE</v>
      </c>
    </row>
    <row r="406" spans="2:17" x14ac:dyDescent="0.35">
      <c r="B406" s="70" t="str">
        <v>10UT4820</v>
      </c>
      <c r="C406" s="68" t="str">
        <f>VLOOKUP(B406,Master!B:C,2,0)</f>
        <v>10UT4820</v>
      </c>
      <c r="D406" s="69">
        <f>VLOOKUP(B406,Master!B:L,11,0)</f>
        <v>45624</v>
      </c>
      <c r="E406" s="69">
        <f>VLOOKUP(B406,Master!B:P,15,0)</f>
        <v>0</v>
      </c>
      <c r="F406" s="68" t="str">
        <f t="shared" si="26"/>
        <v>ACTIVE</v>
      </c>
      <c r="G406" s="68" t="str">
        <f t="shared" si="26"/>
        <v>ACTIVE</v>
      </c>
      <c r="H406" s="68" t="str">
        <f t="shared" si="26"/>
        <v>ACTIVE</v>
      </c>
      <c r="I406" s="68" t="str">
        <f t="shared" si="26"/>
        <v>ACTIVE</v>
      </c>
      <c r="J406" s="68" t="str">
        <f t="shared" si="26"/>
        <v>ACTIVE</v>
      </c>
      <c r="K406" s="68" t="str">
        <f t="shared" si="26"/>
        <v>ACTIVE</v>
      </c>
      <c r="L406" s="68" t="str">
        <f t="shared" si="26"/>
        <v>ACTIVE</v>
      </c>
      <c r="M406" s="68" t="str">
        <f t="shared" si="26"/>
        <v>ACTIVE</v>
      </c>
      <c r="N406" s="68" t="str">
        <f t="shared" si="26"/>
        <v>ACTIVE</v>
      </c>
      <c r="O406" s="68" t="str">
        <f t="shared" si="26"/>
        <v>ACTIVE</v>
      </c>
      <c r="P406" s="68" t="str">
        <f t="shared" si="26"/>
        <v>ACTIVE</v>
      </c>
      <c r="Q406" s="68" t="str">
        <f t="shared" si="26"/>
        <v>ACTIVE</v>
      </c>
    </row>
    <row r="407" spans="2:17" x14ac:dyDescent="0.35">
      <c r="B407" s="70" t="str">
        <v>10WM4788</v>
      </c>
      <c r="C407" s="68" t="str">
        <f>VLOOKUP(B407,Master!B:C,2,0)</f>
        <v>10WM4788</v>
      </c>
      <c r="D407" s="69">
        <f>VLOOKUP(B407,Master!B:L,11,0)</f>
        <v>45624</v>
      </c>
      <c r="E407" s="69">
        <f>VLOOKUP(B407,Master!B:P,15,0)</f>
        <v>0</v>
      </c>
      <c r="F407" s="68" t="str">
        <f t="shared" si="26"/>
        <v>ACTIVE</v>
      </c>
      <c r="G407" s="68" t="str">
        <f t="shared" si="26"/>
        <v>ACTIVE</v>
      </c>
      <c r="H407" s="68" t="str">
        <f t="shared" si="26"/>
        <v>ACTIVE</v>
      </c>
      <c r="I407" s="68" t="str">
        <f t="shared" si="26"/>
        <v>ACTIVE</v>
      </c>
      <c r="J407" s="68" t="str">
        <f t="shared" si="26"/>
        <v>ACTIVE</v>
      </c>
      <c r="K407" s="68" t="str">
        <f t="shared" si="26"/>
        <v>ACTIVE</v>
      </c>
      <c r="L407" s="68" t="str">
        <f t="shared" si="26"/>
        <v>ACTIVE</v>
      </c>
      <c r="M407" s="68" t="str">
        <f t="shared" si="26"/>
        <v>ACTIVE</v>
      </c>
      <c r="N407" s="68" t="str">
        <f t="shared" si="26"/>
        <v>ACTIVE</v>
      </c>
      <c r="O407" s="68" t="str">
        <f t="shared" si="26"/>
        <v>ACTIVE</v>
      </c>
      <c r="P407" s="68" t="str">
        <f t="shared" si="26"/>
        <v>ACTIVE</v>
      </c>
      <c r="Q407" s="68" t="str">
        <f t="shared" si="26"/>
        <v>ACTIVE</v>
      </c>
    </row>
    <row r="408" spans="2:17" x14ac:dyDescent="0.35">
      <c r="B408" s="70" t="str">
        <v>30CD4831</v>
      </c>
      <c r="C408" s="68" t="str">
        <f>VLOOKUP(B408,Master!B:C,2,0)</f>
        <v>30CD4831</v>
      </c>
      <c r="D408" s="69">
        <f>VLOOKUP(B408,Master!B:L,11,0)</f>
        <v>45612</v>
      </c>
      <c r="E408" s="69">
        <f>VLOOKUP(B408,Master!B:P,15,0)</f>
        <v>0</v>
      </c>
      <c r="F408" s="68" t="str">
        <f t="shared" si="26"/>
        <v>ACTIVE</v>
      </c>
      <c r="G408" s="68" t="str">
        <f t="shared" si="26"/>
        <v>ACTIVE</v>
      </c>
      <c r="H408" s="68" t="str">
        <f t="shared" si="26"/>
        <v>ACTIVE</v>
      </c>
      <c r="I408" s="68" t="str">
        <f t="shared" si="26"/>
        <v>ACTIVE</v>
      </c>
      <c r="J408" s="68" t="str">
        <f t="shared" si="26"/>
        <v>ACTIVE</v>
      </c>
      <c r="K408" s="68" t="str">
        <f t="shared" si="26"/>
        <v>ACTIVE</v>
      </c>
      <c r="L408" s="68" t="str">
        <f t="shared" si="26"/>
        <v>ACTIVE</v>
      </c>
      <c r="M408" s="68" t="str">
        <f t="shared" si="26"/>
        <v>ACTIVE</v>
      </c>
      <c r="N408" s="68" t="str">
        <f t="shared" si="26"/>
        <v>ACTIVE</v>
      </c>
      <c r="O408" s="68" t="str">
        <f t="shared" si="26"/>
        <v>ACTIVE</v>
      </c>
      <c r="P408" s="68" t="str">
        <f t="shared" si="26"/>
        <v>ACTIVE</v>
      </c>
      <c r="Q408" s="68" t="str">
        <f t="shared" si="26"/>
        <v>ACTIVE</v>
      </c>
    </row>
    <row r="409" spans="2:17" x14ac:dyDescent="0.35">
      <c r="B409" s="70" t="str">
        <v>30SM4841</v>
      </c>
      <c r="C409" s="68" t="str">
        <f>VLOOKUP(B409,Master!B:C,2,0)</f>
        <v>30SM4841</v>
      </c>
      <c r="D409" s="69">
        <f>VLOOKUP(B409,Master!B:L,11,0)</f>
        <v>45608</v>
      </c>
      <c r="E409" s="69">
        <f>VLOOKUP(B409,Master!B:P,15,0)</f>
        <v>0</v>
      </c>
      <c r="F409" s="68" t="str">
        <f t="shared" si="26"/>
        <v>ACTIVE</v>
      </c>
      <c r="G409" s="68" t="str">
        <f t="shared" si="26"/>
        <v>ACTIVE</v>
      </c>
      <c r="H409" s="68" t="str">
        <f t="shared" si="26"/>
        <v>ACTIVE</v>
      </c>
      <c r="I409" s="68" t="str">
        <f t="shared" si="26"/>
        <v>ACTIVE</v>
      </c>
      <c r="J409" s="68" t="str">
        <f t="shared" si="26"/>
        <v>ACTIVE</v>
      </c>
      <c r="K409" s="68" t="str">
        <f t="shared" si="26"/>
        <v>ACTIVE</v>
      </c>
      <c r="L409" s="68" t="str">
        <f t="shared" si="26"/>
        <v>ACTIVE</v>
      </c>
      <c r="M409" s="68" t="str">
        <f t="shared" si="26"/>
        <v>ACTIVE</v>
      </c>
      <c r="N409" s="68" t="str">
        <f t="shared" si="26"/>
        <v>ACTIVE</v>
      </c>
      <c r="O409" s="68" t="str">
        <f t="shared" si="26"/>
        <v>ACTIVE</v>
      </c>
      <c r="P409" s="68" t="str">
        <f t="shared" si="26"/>
        <v>ACTIVE</v>
      </c>
      <c r="Q409" s="68" t="str">
        <f t="shared" si="26"/>
        <v>ACTIVE</v>
      </c>
    </row>
    <row r="410" spans="2:17" x14ac:dyDescent="0.35">
      <c r="B410" s="70" t="str">
        <v>10IP4760</v>
      </c>
      <c r="C410" s="68" t="str">
        <f>VLOOKUP(B410,Master!B:C,2,0)</f>
        <v>10IP4760</v>
      </c>
      <c r="D410" s="69">
        <f>VLOOKUP(B410,Master!B:L,11,0)</f>
        <v>45632</v>
      </c>
      <c r="E410" s="69">
        <f>VLOOKUP(B410,Master!B:P,15,0)</f>
        <v>0</v>
      </c>
      <c r="F410" s="68" t="str">
        <f t="shared" si="26"/>
        <v>ACTIVE</v>
      </c>
      <c r="G410" s="68" t="str">
        <f t="shared" si="26"/>
        <v>ACTIVE</v>
      </c>
      <c r="H410" s="68" t="str">
        <f t="shared" si="26"/>
        <v>ACTIVE</v>
      </c>
      <c r="I410" s="68" t="str">
        <f t="shared" si="26"/>
        <v>ACTIVE</v>
      </c>
      <c r="J410" s="68" t="str">
        <f t="shared" si="26"/>
        <v>ACTIVE</v>
      </c>
      <c r="K410" s="68" t="str">
        <f t="shared" si="26"/>
        <v>ACTIVE</v>
      </c>
      <c r="L410" s="68" t="str">
        <f t="shared" si="26"/>
        <v>ACTIVE</v>
      </c>
      <c r="M410" s="68" t="str">
        <f t="shared" si="26"/>
        <v>ACTIVE</v>
      </c>
      <c r="N410" s="68" t="str">
        <f t="shared" si="26"/>
        <v>ACTIVE</v>
      </c>
      <c r="O410" s="68" t="str">
        <f t="shared" si="26"/>
        <v>ACTIVE</v>
      </c>
      <c r="P410" s="68" t="str">
        <f t="shared" si="26"/>
        <v>ACTIVE</v>
      </c>
      <c r="Q410" s="68" t="str">
        <f t="shared" si="26"/>
        <v>ACTIVE</v>
      </c>
    </row>
    <row r="411" spans="2:17" x14ac:dyDescent="0.35">
      <c r="B411" s="70" t="str">
        <v>10LC4845</v>
      </c>
      <c r="C411" s="68" t="str">
        <f>VLOOKUP(B411,Master!B:C,2,0)</f>
        <v>10LC4845</v>
      </c>
      <c r="D411" s="69">
        <f>VLOOKUP(B411,Master!B:L,11,0)</f>
        <v>45627</v>
      </c>
      <c r="E411" s="69">
        <f>VLOOKUP(B411,Master!B:P,15,0)</f>
        <v>0</v>
      </c>
      <c r="F411" s="68" t="str">
        <f t="shared" si="26"/>
        <v>ACTIVE</v>
      </c>
      <c r="G411" s="68" t="str">
        <f t="shared" si="26"/>
        <v>ACTIVE</v>
      </c>
      <c r="H411" s="68" t="str">
        <f t="shared" si="26"/>
        <v>ACTIVE</v>
      </c>
      <c r="I411" s="68" t="str">
        <f t="shared" si="26"/>
        <v>ACTIVE</v>
      </c>
      <c r="J411" s="68" t="str">
        <f t="shared" si="26"/>
        <v>ACTIVE</v>
      </c>
      <c r="K411" s="68" t="str">
        <f t="shared" si="26"/>
        <v>ACTIVE</v>
      </c>
      <c r="L411" s="68" t="str">
        <f t="shared" si="26"/>
        <v>ACTIVE</v>
      </c>
      <c r="M411" s="68" t="str">
        <f t="shared" si="26"/>
        <v>ACTIVE</v>
      </c>
      <c r="N411" s="68" t="str">
        <f t="shared" si="26"/>
        <v>ACTIVE</v>
      </c>
      <c r="O411" s="68" t="str">
        <f t="shared" si="26"/>
        <v>ACTIVE</v>
      </c>
      <c r="P411" s="68" t="str">
        <f t="shared" si="26"/>
        <v>ACTIVE</v>
      </c>
      <c r="Q411" s="68" t="str">
        <f t="shared" si="26"/>
        <v>ACTIVE</v>
      </c>
    </row>
    <row r="412" spans="2:17" x14ac:dyDescent="0.35">
      <c r="B412" s="70" t="str">
        <v>30CD4832</v>
      </c>
      <c r="C412" s="68" t="str">
        <f>VLOOKUP(B412,Master!B:C,2,0)</f>
        <v>30CD4832</v>
      </c>
      <c r="D412" s="69">
        <f>VLOOKUP(B412,Master!B:L,11,0)</f>
        <v>45640</v>
      </c>
      <c r="E412" s="69">
        <f>VLOOKUP(B412,Master!B:P,15,0)</f>
        <v>0</v>
      </c>
      <c r="F412" s="68" t="str">
        <f t="shared" si="26"/>
        <v>ACTIVE</v>
      </c>
      <c r="G412" s="68" t="str">
        <f t="shared" si="26"/>
        <v>ACTIVE</v>
      </c>
      <c r="H412" s="68" t="str">
        <f t="shared" si="26"/>
        <v>ACTIVE</v>
      </c>
      <c r="I412" s="68" t="str">
        <f t="shared" si="26"/>
        <v>ACTIVE</v>
      </c>
      <c r="J412" s="68" t="str">
        <f t="shared" si="26"/>
        <v>ACTIVE</v>
      </c>
      <c r="K412" s="68" t="str">
        <f t="shared" si="26"/>
        <v>ACTIVE</v>
      </c>
      <c r="L412" s="68" t="str">
        <f t="shared" si="26"/>
        <v>ACTIVE</v>
      </c>
      <c r="M412" s="68" t="str">
        <f t="shared" si="26"/>
        <v>ACTIVE</v>
      </c>
      <c r="N412" s="68" t="str">
        <f t="shared" si="26"/>
        <v>ACTIVE</v>
      </c>
      <c r="O412" s="68" t="str">
        <f t="shared" si="26"/>
        <v>ACTIVE</v>
      </c>
      <c r="P412" s="68" t="str">
        <f t="shared" si="26"/>
        <v>ACTIVE</v>
      </c>
      <c r="Q412" s="68" t="str">
        <f t="shared" si="26"/>
        <v>ACTIVE</v>
      </c>
    </row>
    <row r="413" spans="2:17" x14ac:dyDescent="0.35">
      <c r="B413" s="70" t="str">
        <v>30VX4843</v>
      </c>
      <c r="C413" s="68" t="str">
        <f>VLOOKUP(B413,Master!B:C,2,0)</f>
        <v>30VX4843</v>
      </c>
      <c r="D413" s="69">
        <f>VLOOKUP(B413,Master!B:L,11,0)</f>
        <v>45654</v>
      </c>
      <c r="E413" s="69">
        <f>VLOOKUP(B413,Master!B:P,15,0)</f>
        <v>0</v>
      </c>
      <c r="F413" s="68" t="str">
        <f t="shared" si="26"/>
        <v>ACTIVE</v>
      </c>
      <c r="G413" s="68" t="str">
        <f t="shared" si="26"/>
        <v>ACTIVE</v>
      </c>
      <c r="H413" s="68" t="str">
        <f t="shared" si="26"/>
        <v>ACTIVE</v>
      </c>
      <c r="I413" s="68" t="str">
        <f t="shared" si="26"/>
        <v>ACTIVE</v>
      </c>
      <c r="J413" s="68" t="str">
        <f t="shared" si="26"/>
        <v>ACTIVE</v>
      </c>
      <c r="K413" s="68" t="str">
        <f t="shared" si="26"/>
        <v>ACTIVE</v>
      </c>
      <c r="L413" s="68" t="str">
        <f t="shared" si="26"/>
        <v>ACTIVE</v>
      </c>
      <c r="M413" s="68" t="str">
        <f t="shared" si="26"/>
        <v>ACTIVE</v>
      </c>
      <c r="N413" s="68" t="str">
        <f t="shared" si="26"/>
        <v>ACTIVE</v>
      </c>
      <c r="O413" s="68" t="str">
        <f t="shared" si="26"/>
        <v>ACTIVE</v>
      </c>
      <c r="P413" s="68" t="str">
        <f t="shared" si="26"/>
        <v>ACTIVE</v>
      </c>
      <c r="Q413" s="68" t="str">
        <f t="shared" si="26"/>
        <v>ACTIVE</v>
      </c>
    </row>
    <row r="414" spans="2:17" x14ac:dyDescent="0.35">
      <c r="B414" s="70" t="str">
        <v>30WY4811</v>
      </c>
      <c r="C414" s="68" t="str">
        <f>VLOOKUP(B414,Master!B:C,2,0)</f>
        <v>30WY4811</v>
      </c>
      <c r="D414" s="69">
        <f>VLOOKUP(B414,Master!B:L,11,0)</f>
        <v>45632</v>
      </c>
      <c r="E414" s="69">
        <f>VLOOKUP(B414,Master!B:P,15,0)</f>
        <v>0</v>
      </c>
      <c r="F414" s="68" t="str">
        <f t="shared" si="26"/>
        <v>ACTIVE</v>
      </c>
      <c r="G414" s="68" t="str">
        <f t="shared" si="26"/>
        <v>ACTIVE</v>
      </c>
      <c r="H414" s="68" t="str">
        <f t="shared" si="26"/>
        <v>ACTIVE</v>
      </c>
      <c r="I414" s="68" t="str">
        <f t="shared" si="26"/>
        <v>ACTIVE</v>
      </c>
      <c r="J414" s="68" t="str">
        <f t="shared" si="26"/>
        <v>ACTIVE</v>
      </c>
      <c r="K414" s="68" t="str">
        <f t="shared" si="26"/>
        <v>ACTIVE</v>
      </c>
      <c r="L414" s="68" t="str">
        <f t="shared" si="26"/>
        <v>ACTIVE</v>
      </c>
      <c r="M414" s="68" t="str">
        <f t="shared" si="26"/>
        <v>ACTIVE</v>
      </c>
      <c r="N414" s="68" t="str">
        <f t="shared" si="26"/>
        <v>ACTIVE</v>
      </c>
      <c r="O414" s="68" t="str">
        <f t="shared" si="26"/>
        <v>ACTIVE</v>
      </c>
      <c r="P414" s="68" t="str">
        <f t="shared" si="26"/>
        <v>ACTIVE</v>
      </c>
      <c r="Q414" s="68" t="str">
        <f t="shared" si="26"/>
        <v>ACTIVE</v>
      </c>
    </row>
    <row r="415" spans="2:17" x14ac:dyDescent="0.35">
      <c r="B415" s="70" t="str">
        <v>30MT4854</v>
      </c>
      <c r="C415" s="68" t="str">
        <f>VLOOKUP(B415,Master!B:C,2,0)</f>
        <v>30MT4854</v>
      </c>
      <c r="D415" s="69">
        <f>VLOOKUP(B415,Master!B:L,11,0)</f>
        <v>45677</v>
      </c>
      <c r="E415" s="69">
        <f>VLOOKUP(B415,Master!B:P,15,0)</f>
        <v>0</v>
      </c>
      <c r="F415" s="68" t="str">
        <f t="shared" si="26"/>
        <v>ACTIVE</v>
      </c>
      <c r="G415" s="68" t="str">
        <f t="shared" si="26"/>
        <v>ACTIVE</v>
      </c>
      <c r="H415" s="68" t="str">
        <f t="shared" si="26"/>
        <v>ACTIVE</v>
      </c>
      <c r="I415" s="68" t="str">
        <f t="shared" si="26"/>
        <v>ACTIVE</v>
      </c>
      <c r="J415" s="68" t="str">
        <f t="shared" si="26"/>
        <v>ACTIVE</v>
      </c>
      <c r="K415" s="68" t="str">
        <f t="shared" si="26"/>
        <v>ACTIVE</v>
      </c>
      <c r="L415" s="68" t="str">
        <f t="shared" si="26"/>
        <v>ACTIVE</v>
      </c>
      <c r="M415" s="68" t="str">
        <f t="shared" si="26"/>
        <v>ACTIVE</v>
      </c>
      <c r="N415" s="68" t="str">
        <f t="shared" si="26"/>
        <v>ACTIVE</v>
      </c>
      <c r="O415" s="68" t="str">
        <f t="shared" si="26"/>
        <v>ACTIVE</v>
      </c>
      <c r="P415" s="68" t="str">
        <f t="shared" si="26"/>
        <v>ACTIVE</v>
      </c>
      <c r="Q415" s="68" t="str">
        <f t="shared" si="26"/>
        <v>ACTIVE</v>
      </c>
    </row>
    <row r="416" spans="2:17" x14ac:dyDescent="0.35">
      <c r="B416" s="70" t="str">
        <v>10CD4807</v>
      </c>
      <c r="C416" s="68" t="str">
        <f>VLOOKUP(B416,Master!B:C,2,0)</f>
        <v>10CD4807</v>
      </c>
      <c r="D416" s="69">
        <f>VLOOKUP(B416,Master!B:L,11,0)</f>
        <v>45667</v>
      </c>
      <c r="E416" s="69">
        <f>VLOOKUP(B416,Master!B:P,15,0)</f>
        <v>0</v>
      </c>
      <c r="F416" s="68" t="str">
        <f t="shared" si="26"/>
        <v>ACTIVE</v>
      </c>
      <c r="G416" s="68" t="str">
        <f t="shared" si="26"/>
        <v>ACTIVE</v>
      </c>
      <c r="H416" s="68" t="str">
        <f t="shared" si="26"/>
        <v>ACTIVE</v>
      </c>
      <c r="I416" s="68" t="str">
        <f t="shared" si="26"/>
        <v>ACTIVE</v>
      </c>
      <c r="J416" s="68" t="str">
        <f t="shared" si="26"/>
        <v>ACTIVE</v>
      </c>
      <c r="K416" s="68" t="str">
        <f t="shared" si="26"/>
        <v>ACTIVE</v>
      </c>
      <c r="L416" s="68" t="str">
        <f t="shared" si="26"/>
        <v>ACTIVE</v>
      </c>
      <c r="M416" s="68" t="str">
        <f t="shared" si="26"/>
        <v>ACTIVE</v>
      </c>
      <c r="N416" s="68" t="str">
        <f t="shared" si="26"/>
        <v>ACTIVE</v>
      </c>
      <c r="O416" s="68" t="str">
        <f t="shared" si="26"/>
        <v>ACTIVE</v>
      </c>
      <c r="P416" s="68" t="str">
        <f t="shared" si="26"/>
        <v>ACTIVE</v>
      </c>
      <c r="Q416" s="68" t="str">
        <f t="shared" si="26"/>
        <v>ACTIVE</v>
      </c>
    </row>
    <row r="417" spans="2:17" x14ac:dyDescent="0.35">
      <c r="B417" s="70" t="str">
        <v>30SX4842</v>
      </c>
      <c r="C417" s="68" t="str">
        <f>VLOOKUP(B417,Master!B:C,2,0)</f>
        <v>30SX4842</v>
      </c>
      <c r="D417" s="69">
        <f>VLOOKUP(B417,Master!B:L,11,0)</f>
        <v>45660</v>
      </c>
      <c r="E417" s="69">
        <f>VLOOKUP(B417,Master!B:P,15,0)</f>
        <v>0</v>
      </c>
      <c r="F417" s="68" t="str">
        <f t="shared" si="26"/>
        <v>ACTIVE</v>
      </c>
      <c r="G417" s="68" t="str">
        <f t="shared" si="26"/>
        <v>ACTIVE</v>
      </c>
      <c r="H417" s="68" t="str">
        <f t="shared" si="26"/>
        <v>ACTIVE</v>
      </c>
      <c r="I417" s="68" t="str">
        <f t="shared" si="26"/>
        <v>ACTIVE</v>
      </c>
      <c r="J417" s="68" t="str">
        <f t="shared" si="26"/>
        <v>ACTIVE</v>
      </c>
      <c r="K417" s="68" t="str">
        <f t="shared" si="26"/>
        <v>ACTIVE</v>
      </c>
      <c r="L417" s="68" t="str">
        <f t="shared" si="26"/>
        <v>ACTIVE</v>
      </c>
      <c r="M417" s="68" t="str">
        <f t="shared" si="26"/>
        <v>ACTIVE</v>
      </c>
      <c r="N417" s="68" t="str">
        <f t="shared" si="26"/>
        <v>ACTIVE</v>
      </c>
      <c r="O417" s="68" t="str">
        <f t="shared" si="26"/>
        <v>ACTIVE</v>
      </c>
      <c r="P417" s="68" t="str">
        <f t="shared" si="26"/>
        <v>ACTIVE</v>
      </c>
      <c r="Q417" s="68" t="str">
        <f t="shared" si="26"/>
        <v>ACTIVE</v>
      </c>
    </row>
    <row r="418" spans="2:17" x14ac:dyDescent="0.35">
      <c r="B418" s="70" t="str">
        <v>10LC4846</v>
      </c>
      <c r="C418" s="68" t="str">
        <f>VLOOKUP(B418,Master!B:C,2,0)</f>
        <v>10LC4846</v>
      </c>
      <c r="D418" s="69">
        <f>VLOOKUP(B418,Master!B:L,11,0)</f>
        <v>45658</v>
      </c>
      <c r="E418" s="69">
        <f>VLOOKUP(B418,Master!B:P,15,0)</f>
        <v>0</v>
      </c>
      <c r="F418" s="68" t="str">
        <f t="shared" si="26"/>
        <v>ACTIVE</v>
      </c>
      <c r="G418" s="68" t="str">
        <f t="shared" si="26"/>
        <v>ACTIVE</v>
      </c>
      <c r="H418" s="68" t="str">
        <f t="shared" si="26"/>
        <v>ACTIVE</v>
      </c>
      <c r="I418" s="68" t="str">
        <f t="shared" si="26"/>
        <v>ACTIVE</v>
      </c>
      <c r="J418" s="68" t="str">
        <f t="shared" si="26"/>
        <v>ACTIVE</v>
      </c>
      <c r="K418" s="68" t="str">
        <f t="shared" si="26"/>
        <v>ACTIVE</v>
      </c>
      <c r="L418" s="68" t="str">
        <f t="shared" si="26"/>
        <v>ACTIVE</v>
      </c>
      <c r="M418" s="68" t="str">
        <f t="shared" si="26"/>
        <v>ACTIVE</v>
      </c>
      <c r="N418" s="68" t="str">
        <f t="shared" si="26"/>
        <v>ACTIVE</v>
      </c>
      <c r="O418" s="68" t="str">
        <f t="shared" si="26"/>
        <v>ACTIVE</v>
      </c>
      <c r="P418" s="68" t="str">
        <f t="shared" si="26"/>
        <v>ACTIVE</v>
      </c>
      <c r="Q418" s="68" t="str">
        <f t="shared" si="26"/>
        <v>ACTIVE</v>
      </c>
    </row>
    <row r="419" spans="2:17" x14ac:dyDescent="0.35">
      <c r="B419" s="70" t="str">
        <v>1010101</v>
      </c>
      <c r="C419" s="68" t="str">
        <f>VLOOKUP(B419,Master!B:C,2,0)</f>
        <v>1010101</v>
      </c>
      <c r="D419" s="69">
        <f>VLOOKUP(B419,Master!B:L,11,0)</f>
        <v>45665</v>
      </c>
      <c r="E419" s="69">
        <f>VLOOKUP(B419,Master!B:P,15,0)</f>
        <v>0</v>
      </c>
      <c r="F419" s="68" t="str">
        <f t="shared" si="26"/>
        <v>ACTIVE</v>
      </c>
      <c r="G419" s="68" t="str">
        <f t="shared" si="26"/>
        <v>ACTIVE</v>
      </c>
      <c r="H419" s="68" t="str">
        <f t="shared" si="26"/>
        <v>ACTIVE</v>
      </c>
      <c r="I419" s="68" t="str">
        <f t="shared" si="26"/>
        <v>ACTIVE</v>
      </c>
      <c r="J419" s="68" t="str">
        <f t="shared" si="26"/>
        <v>ACTIVE</v>
      </c>
      <c r="K419" s="68" t="str">
        <f t="shared" si="26"/>
        <v>ACTIVE</v>
      </c>
      <c r="L419" s="68" t="str">
        <f t="shared" si="26"/>
        <v>ACTIVE</v>
      </c>
      <c r="M419" s="68" t="str">
        <f t="shared" si="26"/>
        <v>ACTIVE</v>
      </c>
      <c r="N419" s="68" t="str">
        <f t="shared" si="26"/>
        <v>ACTIVE</v>
      </c>
      <c r="O419" s="68" t="str">
        <f t="shared" si="26"/>
        <v>ACTIVE</v>
      </c>
      <c r="P419" s="68" t="str">
        <f t="shared" si="26"/>
        <v>ACTIVE</v>
      </c>
      <c r="Q419" s="68" t="str">
        <f t="shared" si="26"/>
        <v>ACTIVE</v>
      </c>
    </row>
    <row r="420" spans="2:17" x14ac:dyDescent="0.35">
      <c r="B420" s="70" t="str">
        <v>1010201</v>
      </c>
      <c r="C420" s="68" t="str">
        <f>VLOOKUP(B420,Master!B:C,2,0)</f>
        <v>1010201</v>
      </c>
      <c r="D420" s="69">
        <f>VLOOKUP(B420,Master!B:L,11,0)</f>
        <v>45665</v>
      </c>
      <c r="E420" s="69">
        <f>VLOOKUP(B420,Master!B:P,15,0)</f>
        <v>0</v>
      </c>
      <c r="F420" s="68" t="str">
        <f t="shared" ref="F420:Q435" si="27">IF($E420&gt;0,"CLOSED",IF($D420&lt;F$1,"ACTIVE","WAITING FOR OPEN"))</f>
        <v>ACTIVE</v>
      </c>
      <c r="G420" s="68" t="str">
        <f t="shared" si="27"/>
        <v>ACTIVE</v>
      </c>
      <c r="H420" s="68" t="str">
        <f t="shared" si="27"/>
        <v>ACTIVE</v>
      </c>
      <c r="I420" s="68" t="str">
        <f t="shared" si="27"/>
        <v>ACTIVE</v>
      </c>
      <c r="J420" s="68" t="str">
        <f t="shared" si="27"/>
        <v>ACTIVE</v>
      </c>
      <c r="K420" s="68" t="str">
        <f t="shared" si="27"/>
        <v>ACTIVE</v>
      </c>
      <c r="L420" s="68" t="str">
        <f t="shared" si="27"/>
        <v>ACTIVE</v>
      </c>
      <c r="M420" s="68" t="str">
        <f t="shared" si="27"/>
        <v>ACTIVE</v>
      </c>
      <c r="N420" s="68" t="str">
        <f t="shared" si="27"/>
        <v>ACTIVE</v>
      </c>
      <c r="O420" s="68" t="str">
        <f t="shared" si="27"/>
        <v>ACTIVE</v>
      </c>
      <c r="P420" s="68" t="str">
        <f t="shared" si="27"/>
        <v>ACTIVE</v>
      </c>
      <c r="Q420" s="68" t="str">
        <f t="shared" si="27"/>
        <v>ACTIVE</v>
      </c>
    </row>
    <row r="421" spans="2:17" x14ac:dyDescent="0.35">
      <c r="B421" s="70" t="str">
        <v>1010207</v>
      </c>
      <c r="C421" s="68" t="str">
        <f>VLOOKUP(B421,Master!B:C,2,0)</f>
        <v>1010207</v>
      </c>
      <c r="D421" s="69">
        <f>VLOOKUP(B421,Master!B:L,11,0)</f>
        <v>45665</v>
      </c>
      <c r="E421" s="69">
        <f>VLOOKUP(B421,Master!B:P,15,0)</f>
        <v>0</v>
      </c>
      <c r="F421" s="68" t="str">
        <f t="shared" si="27"/>
        <v>ACTIVE</v>
      </c>
      <c r="G421" s="68" t="str">
        <f t="shared" si="27"/>
        <v>ACTIVE</v>
      </c>
      <c r="H421" s="68" t="str">
        <f t="shared" si="27"/>
        <v>ACTIVE</v>
      </c>
      <c r="I421" s="68" t="str">
        <f t="shared" si="27"/>
        <v>ACTIVE</v>
      </c>
      <c r="J421" s="68" t="str">
        <f t="shared" si="27"/>
        <v>ACTIVE</v>
      </c>
      <c r="K421" s="68" t="str">
        <f t="shared" si="27"/>
        <v>ACTIVE</v>
      </c>
      <c r="L421" s="68" t="str">
        <f t="shared" si="27"/>
        <v>ACTIVE</v>
      </c>
      <c r="M421" s="68" t="str">
        <f t="shared" si="27"/>
        <v>ACTIVE</v>
      </c>
      <c r="N421" s="68" t="str">
        <f t="shared" si="27"/>
        <v>ACTIVE</v>
      </c>
      <c r="O421" s="68" t="str">
        <f t="shared" si="27"/>
        <v>ACTIVE</v>
      </c>
      <c r="P421" s="68" t="str">
        <f t="shared" si="27"/>
        <v>ACTIVE</v>
      </c>
      <c r="Q421" s="68" t="str">
        <f t="shared" si="27"/>
        <v>ACTIVE</v>
      </c>
    </row>
    <row r="422" spans="2:17" x14ac:dyDescent="0.35">
      <c r="B422" s="70" t="str">
        <v>1010208</v>
      </c>
      <c r="C422" s="68" t="str">
        <f>VLOOKUP(B422,Master!B:C,2,0)</f>
        <v>1010208</v>
      </c>
      <c r="D422" s="69">
        <f>VLOOKUP(B422,Master!B:L,11,0)</f>
        <v>45665</v>
      </c>
      <c r="E422" s="69">
        <f>VLOOKUP(B422,Master!B:P,15,0)</f>
        <v>0</v>
      </c>
      <c r="F422" s="68" t="str">
        <f t="shared" si="27"/>
        <v>ACTIVE</v>
      </c>
      <c r="G422" s="68" t="str">
        <f t="shared" si="27"/>
        <v>ACTIVE</v>
      </c>
      <c r="H422" s="68" t="str">
        <f t="shared" si="27"/>
        <v>ACTIVE</v>
      </c>
      <c r="I422" s="68" t="str">
        <f t="shared" si="27"/>
        <v>ACTIVE</v>
      </c>
      <c r="J422" s="68" t="str">
        <f t="shared" si="27"/>
        <v>ACTIVE</v>
      </c>
      <c r="K422" s="68" t="str">
        <f t="shared" si="27"/>
        <v>ACTIVE</v>
      </c>
      <c r="L422" s="68" t="str">
        <f t="shared" si="27"/>
        <v>ACTIVE</v>
      </c>
      <c r="M422" s="68" t="str">
        <f t="shared" si="27"/>
        <v>ACTIVE</v>
      </c>
      <c r="N422" s="68" t="str">
        <f t="shared" si="27"/>
        <v>ACTIVE</v>
      </c>
      <c r="O422" s="68" t="str">
        <f t="shared" si="27"/>
        <v>ACTIVE</v>
      </c>
      <c r="P422" s="68" t="str">
        <f t="shared" si="27"/>
        <v>ACTIVE</v>
      </c>
      <c r="Q422" s="68" t="str">
        <f t="shared" si="27"/>
        <v>ACTIVE</v>
      </c>
    </row>
    <row r="423" spans="2:17" x14ac:dyDescent="0.35">
      <c r="B423" s="70" t="str">
        <v>1010209</v>
      </c>
      <c r="C423" s="68" t="str">
        <f>VLOOKUP(B423,Master!B:C,2,0)</f>
        <v>1010209</v>
      </c>
      <c r="D423" s="69">
        <f>VLOOKUP(B423,Master!B:L,11,0)</f>
        <v>45665</v>
      </c>
      <c r="E423" s="69">
        <f>VLOOKUP(B423,Master!B:P,15,0)</f>
        <v>0</v>
      </c>
      <c r="F423" s="68" t="str">
        <f t="shared" si="27"/>
        <v>ACTIVE</v>
      </c>
      <c r="G423" s="68" t="str">
        <f t="shared" si="27"/>
        <v>ACTIVE</v>
      </c>
      <c r="H423" s="68" t="str">
        <f t="shared" si="27"/>
        <v>ACTIVE</v>
      </c>
      <c r="I423" s="68" t="str">
        <f t="shared" si="27"/>
        <v>ACTIVE</v>
      </c>
      <c r="J423" s="68" t="str">
        <f t="shared" si="27"/>
        <v>ACTIVE</v>
      </c>
      <c r="K423" s="68" t="str">
        <f t="shared" si="27"/>
        <v>ACTIVE</v>
      </c>
      <c r="L423" s="68" t="str">
        <f t="shared" si="27"/>
        <v>ACTIVE</v>
      </c>
      <c r="M423" s="68" t="str">
        <f t="shared" si="27"/>
        <v>ACTIVE</v>
      </c>
      <c r="N423" s="68" t="str">
        <f t="shared" si="27"/>
        <v>ACTIVE</v>
      </c>
      <c r="O423" s="68" t="str">
        <f t="shared" si="27"/>
        <v>ACTIVE</v>
      </c>
      <c r="P423" s="68" t="str">
        <f t="shared" si="27"/>
        <v>ACTIVE</v>
      </c>
      <c r="Q423" s="68" t="str">
        <f t="shared" si="27"/>
        <v>ACTIVE</v>
      </c>
    </row>
    <row r="424" spans="2:17" x14ac:dyDescent="0.35">
      <c r="B424" s="70" t="str">
        <v>1010304</v>
      </c>
      <c r="C424" s="68" t="str">
        <f>VLOOKUP(B424,Master!B:C,2,0)</f>
        <v>1010304</v>
      </c>
      <c r="D424" s="69">
        <f>VLOOKUP(B424,Master!B:L,11,0)</f>
        <v>45665</v>
      </c>
      <c r="E424" s="69">
        <f>VLOOKUP(B424,Master!B:P,15,0)</f>
        <v>0</v>
      </c>
      <c r="F424" s="68" t="str">
        <f t="shared" si="27"/>
        <v>ACTIVE</v>
      </c>
      <c r="G424" s="68" t="str">
        <f t="shared" si="27"/>
        <v>ACTIVE</v>
      </c>
      <c r="H424" s="68" t="str">
        <f t="shared" si="27"/>
        <v>ACTIVE</v>
      </c>
      <c r="I424" s="68" t="str">
        <f t="shared" si="27"/>
        <v>ACTIVE</v>
      </c>
      <c r="J424" s="68" t="str">
        <f t="shared" si="27"/>
        <v>ACTIVE</v>
      </c>
      <c r="K424" s="68" t="str">
        <f t="shared" si="27"/>
        <v>ACTIVE</v>
      </c>
      <c r="L424" s="68" t="str">
        <f t="shared" si="27"/>
        <v>ACTIVE</v>
      </c>
      <c r="M424" s="68" t="str">
        <f t="shared" si="27"/>
        <v>ACTIVE</v>
      </c>
      <c r="N424" s="68" t="str">
        <f t="shared" si="27"/>
        <v>ACTIVE</v>
      </c>
      <c r="O424" s="68" t="str">
        <f t="shared" si="27"/>
        <v>ACTIVE</v>
      </c>
      <c r="P424" s="68" t="str">
        <f t="shared" si="27"/>
        <v>ACTIVE</v>
      </c>
      <c r="Q424" s="68" t="str">
        <f t="shared" si="27"/>
        <v>ACTIVE</v>
      </c>
    </row>
    <row r="425" spans="2:17" x14ac:dyDescent="0.35">
      <c r="B425" s="70" t="str">
        <v>1010305</v>
      </c>
      <c r="C425" s="68" t="str">
        <f>VLOOKUP(B425,Master!B:C,2,0)</f>
        <v>1010305</v>
      </c>
      <c r="D425" s="69">
        <f>VLOOKUP(B425,Master!B:L,11,0)</f>
        <v>45665</v>
      </c>
      <c r="E425" s="69">
        <f>VLOOKUP(B425,Master!B:P,15,0)</f>
        <v>0</v>
      </c>
      <c r="F425" s="68" t="str">
        <f t="shared" si="27"/>
        <v>ACTIVE</v>
      </c>
      <c r="G425" s="68" t="str">
        <f t="shared" si="27"/>
        <v>ACTIVE</v>
      </c>
      <c r="H425" s="68" t="str">
        <f t="shared" si="27"/>
        <v>ACTIVE</v>
      </c>
      <c r="I425" s="68" t="str">
        <f t="shared" si="27"/>
        <v>ACTIVE</v>
      </c>
      <c r="J425" s="68" t="str">
        <f t="shared" si="27"/>
        <v>ACTIVE</v>
      </c>
      <c r="K425" s="68" t="str">
        <f t="shared" si="27"/>
        <v>ACTIVE</v>
      </c>
      <c r="L425" s="68" t="str">
        <f t="shared" si="27"/>
        <v>ACTIVE</v>
      </c>
      <c r="M425" s="68" t="str">
        <f t="shared" si="27"/>
        <v>ACTIVE</v>
      </c>
      <c r="N425" s="68" t="str">
        <f t="shared" si="27"/>
        <v>ACTIVE</v>
      </c>
      <c r="O425" s="68" t="str">
        <f t="shared" si="27"/>
        <v>ACTIVE</v>
      </c>
      <c r="P425" s="68" t="str">
        <f t="shared" si="27"/>
        <v>ACTIVE</v>
      </c>
      <c r="Q425" s="68" t="str">
        <f t="shared" si="27"/>
        <v>ACTIVE</v>
      </c>
    </row>
    <row r="426" spans="2:17" x14ac:dyDescent="0.35">
      <c r="B426" s="70" t="str">
        <v>1010306</v>
      </c>
      <c r="C426" s="68" t="str">
        <f>VLOOKUP(B426,Master!B:C,2,0)</f>
        <v>1010306</v>
      </c>
      <c r="D426" s="69">
        <f>VLOOKUP(B426,Master!B:L,11,0)</f>
        <v>45665</v>
      </c>
      <c r="E426" s="69">
        <f>VLOOKUP(B426,Master!B:P,15,0)</f>
        <v>0</v>
      </c>
      <c r="F426" s="68" t="str">
        <f t="shared" si="27"/>
        <v>ACTIVE</v>
      </c>
      <c r="G426" s="68" t="str">
        <f t="shared" si="27"/>
        <v>ACTIVE</v>
      </c>
      <c r="H426" s="68" t="str">
        <f t="shared" si="27"/>
        <v>ACTIVE</v>
      </c>
      <c r="I426" s="68" t="str">
        <f t="shared" si="27"/>
        <v>ACTIVE</v>
      </c>
      <c r="J426" s="68" t="str">
        <f t="shared" si="27"/>
        <v>ACTIVE</v>
      </c>
      <c r="K426" s="68" t="str">
        <f t="shared" si="27"/>
        <v>ACTIVE</v>
      </c>
      <c r="L426" s="68" t="str">
        <f t="shared" si="27"/>
        <v>ACTIVE</v>
      </c>
      <c r="M426" s="68" t="str">
        <f t="shared" si="27"/>
        <v>ACTIVE</v>
      </c>
      <c r="N426" s="68" t="str">
        <f t="shared" si="27"/>
        <v>ACTIVE</v>
      </c>
      <c r="O426" s="68" t="str">
        <f t="shared" si="27"/>
        <v>ACTIVE</v>
      </c>
      <c r="P426" s="68" t="str">
        <f t="shared" si="27"/>
        <v>ACTIVE</v>
      </c>
      <c r="Q426" s="68" t="str">
        <f t="shared" si="27"/>
        <v>ACTIVE</v>
      </c>
    </row>
    <row r="427" spans="2:17" x14ac:dyDescent="0.35">
      <c r="B427" s="70" t="str">
        <v>1010401</v>
      </c>
      <c r="C427" s="68" t="str">
        <f>VLOOKUP(B427,Master!B:C,2,0)</f>
        <v>1010401</v>
      </c>
      <c r="D427" s="69">
        <f>VLOOKUP(B427,Master!B:L,11,0)</f>
        <v>45665</v>
      </c>
      <c r="E427" s="69">
        <f>VLOOKUP(B427,Master!B:P,15,0)</f>
        <v>0</v>
      </c>
      <c r="F427" s="68" t="str">
        <f t="shared" si="27"/>
        <v>ACTIVE</v>
      </c>
      <c r="G427" s="68" t="str">
        <f t="shared" si="27"/>
        <v>ACTIVE</v>
      </c>
      <c r="H427" s="68" t="str">
        <f t="shared" si="27"/>
        <v>ACTIVE</v>
      </c>
      <c r="I427" s="68" t="str">
        <f t="shared" si="27"/>
        <v>ACTIVE</v>
      </c>
      <c r="J427" s="68" t="str">
        <f t="shared" si="27"/>
        <v>ACTIVE</v>
      </c>
      <c r="K427" s="68" t="str">
        <f t="shared" si="27"/>
        <v>ACTIVE</v>
      </c>
      <c r="L427" s="68" t="str">
        <f t="shared" si="27"/>
        <v>ACTIVE</v>
      </c>
      <c r="M427" s="68" t="str">
        <f t="shared" si="27"/>
        <v>ACTIVE</v>
      </c>
      <c r="N427" s="68" t="str">
        <f t="shared" si="27"/>
        <v>ACTIVE</v>
      </c>
      <c r="O427" s="68" t="str">
        <f t="shared" si="27"/>
        <v>ACTIVE</v>
      </c>
      <c r="P427" s="68" t="str">
        <f t="shared" si="27"/>
        <v>ACTIVE</v>
      </c>
      <c r="Q427" s="68" t="str">
        <f t="shared" si="27"/>
        <v>ACTIVE</v>
      </c>
    </row>
    <row r="428" spans="2:17" x14ac:dyDescent="0.35">
      <c r="B428" s="70" t="str">
        <v>1010502</v>
      </c>
      <c r="C428" s="68" t="str">
        <f>VLOOKUP(B428,Master!B:C,2,0)</f>
        <v>1010502</v>
      </c>
      <c r="D428" s="69">
        <f>VLOOKUP(B428,Master!B:L,11,0)</f>
        <v>45665</v>
      </c>
      <c r="E428" s="69">
        <f>VLOOKUP(B428,Master!B:P,15,0)</f>
        <v>0</v>
      </c>
      <c r="F428" s="68" t="str">
        <f t="shared" si="27"/>
        <v>ACTIVE</v>
      </c>
      <c r="G428" s="68" t="str">
        <f t="shared" si="27"/>
        <v>ACTIVE</v>
      </c>
      <c r="H428" s="68" t="str">
        <f t="shared" si="27"/>
        <v>ACTIVE</v>
      </c>
      <c r="I428" s="68" t="str">
        <f t="shared" si="27"/>
        <v>ACTIVE</v>
      </c>
      <c r="J428" s="68" t="str">
        <f t="shared" si="27"/>
        <v>ACTIVE</v>
      </c>
      <c r="K428" s="68" t="str">
        <f t="shared" si="27"/>
        <v>ACTIVE</v>
      </c>
      <c r="L428" s="68" t="str">
        <f t="shared" si="27"/>
        <v>ACTIVE</v>
      </c>
      <c r="M428" s="68" t="str">
        <f t="shared" si="27"/>
        <v>ACTIVE</v>
      </c>
      <c r="N428" s="68" t="str">
        <f t="shared" si="27"/>
        <v>ACTIVE</v>
      </c>
      <c r="O428" s="68" t="str">
        <f t="shared" si="27"/>
        <v>ACTIVE</v>
      </c>
      <c r="P428" s="68" t="str">
        <f t="shared" si="27"/>
        <v>ACTIVE</v>
      </c>
      <c r="Q428" s="68" t="str">
        <f t="shared" si="27"/>
        <v>ACTIVE</v>
      </c>
    </row>
    <row r="429" spans="2:17" x14ac:dyDescent="0.35">
      <c r="B429" s="70" t="str">
        <v>1010601</v>
      </c>
      <c r="C429" s="68" t="str">
        <f>VLOOKUP(B429,Master!B:C,2,0)</f>
        <v>1010601</v>
      </c>
      <c r="D429" s="69">
        <f>VLOOKUP(B429,Master!B:L,11,0)</f>
        <v>45665</v>
      </c>
      <c r="E429" s="69">
        <f>VLOOKUP(B429,Master!B:P,15,0)</f>
        <v>0</v>
      </c>
      <c r="F429" s="68" t="str">
        <f t="shared" si="27"/>
        <v>ACTIVE</v>
      </c>
      <c r="G429" s="68" t="str">
        <f t="shared" si="27"/>
        <v>ACTIVE</v>
      </c>
      <c r="H429" s="68" t="str">
        <f t="shared" si="27"/>
        <v>ACTIVE</v>
      </c>
      <c r="I429" s="68" t="str">
        <f t="shared" si="27"/>
        <v>ACTIVE</v>
      </c>
      <c r="J429" s="68" t="str">
        <f t="shared" si="27"/>
        <v>ACTIVE</v>
      </c>
      <c r="K429" s="68" t="str">
        <f t="shared" si="27"/>
        <v>ACTIVE</v>
      </c>
      <c r="L429" s="68" t="str">
        <f t="shared" si="27"/>
        <v>ACTIVE</v>
      </c>
      <c r="M429" s="68" t="str">
        <f t="shared" si="27"/>
        <v>ACTIVE</v>
      </c>
      <c r="N429" s="68" t="str">
        <f t="shared" si="27"/>
        <v>ACTIVE</v>
      </c>
      <c r="O429" s="68" t="str">
        <f t="shared" si="27"/>
        <v>ACTIVE</v>
      </c>
      <c r="P429" s="68" t="str">
        <f t="shared" si="27"/>
        <v>ACTIVE</v>
      </c>
      <c r="Q429" s="68" t="str">
        <f t="shared" si="27"/>
        <v>ACTIVE</v>
      </c>
    </row>
    <row r="430" spans="2:17" x14ac:dyDescent="0.35">
      <c r="B430" s="70" t="str">
        <v>1010602</v>
      </c>
      <c r="C430" s="68" t="str">
        <f>VLOOKUP(B430,Master!B:C,2,0)</f>
        <v>1010602</v>
      </c>
      <c r="D430" s="69">
        <f>VLOOKUP(B430,Master!B:L,11,0)</f>
        <v>45665</v>
      </c>
      <c r="E430" s="69">
        <f>VLOOKUP(B430,Master!B:P,15,0)</f>
        <v>0</v>
      </c>
      <c r="F430" s="68" t="str">
        <f t="shared" si="27"/>
        <v>ACTIVE</v>
      </c>
      <c r="G430" s="68" t="str">
        <f t="shared" si="27"/>
        <v>ACTIVE</v>
      </c>
      <c r="H430" s="68" t="str">
        <f t="shared" si="27"/>
        <v>ACTIVE</v>
      </c>
      <c r="I430" s="68" t="str">
        <f t="shared" si="27"/>
        <v>ACTIVE</v>
      </c>
      <c r="J430" s="68" t="str">
        <f t="shared" si="27"/>
        <v>ACTIVE</v>
      </c>
      <c r="K430" s="68" t="str">
        <f t="shared" si="27"/>
        <v>ACTIVE</v>
      </c>
      <c r="L430" s="68" t="str">
        <f t="shared" si="27"/>
        <v>ACTIVE</v>
      </c>
      <c r="M430" s="68" t="str">
        <f t="shared" si="27"/>
        <v>ACTIVE</v>
      </c>
      <c r="N430" s="68" t="str">
        <f t="shared" si="27"/>
        <v>ACTIVE</v>
      </c>
      <c r="O430" s="68" t="str">
        <f t="shared" si="27"/>
        <v>ACTIVE</v>
      </c>
      <c r="P430" s="68" t="str">
        <f t="shared" si="27"/>
        <v>ACTIVE</v>
      </c>
      <c r="Q430" s="68" t="str">
        <f t="shared" si="27"/>
        <v>ACTIVE</v>
      </c>
    </row>
    <row r="431" spans="2:17" x14ac:dyDescent="0.35">
      <c r="B431" s="70" t="str">
        <v>1010603</v>
      </c>
      <c r="C431" s="68" t="str">
        <f>VLOOKUP(B431,Master!B:C,2,0)</f>
        <v>1010603</v>
      </c>
      <c r="D431" s="69">
        <f>VLOOKUP(B431,Master!B:L,11,0)</f>
        <v>45665</v>
      </c>
      <c r="E431" s="69">
        <f>VLOOKUP(B431,Master!B:P,15,0)</f>
        <v>0</v>
      </c>
      <c r="F431" s="68" t="str">
        <f t="shared" si="27"/>
        <v>ACTIVE</v>
      </c>
      <c r="G431" s="68" t="str">
        <f t="shared" si="27"/>
        <v>ACTIVE</v>
      </c>
      <c r="H431" s="68" t="str">
        <f t="shared" si="27"/>
        <v>ACTIVE</v>
      </c>
      <c r="I431" s="68" t="str">
        <f t="shared" si="27"/>
        <v>ACTIVE</v>
      </c>
      <c r="J431" s="68" t="str">
        <f t="shared" si="27"/>
        <v>ACTIVE</v>
      </c>
      <c r="K431" s="68" t="str">
        <f t="shared" si="27"/>
        <v>ACTIVE</v>
      </c>
      <c r="L431" s="68" t="str">
        <f t="shared" si="27"/>
        <v>ACTIVE</v>
      </c>
      <c r="M431" s="68" t="str">
        <f t="shared" si="27"/>
        <v>ACTIVE</v>
      </c>
      <c r="N431" s="68" t="str">
        <f t="shared" si="27"/>
        <v>ACTIVE</v>
      </c>
      <c r="O431" s="68" t="str">
        <f t="shared" si="27"/>
        <v>ACTIVE</v>
      </c>
      <c r="P431" s="68" t="str">
        <f t="shared" si="27"/>
        <v>ACTIVE</v>
      </c>
      <c r="Q431" s="68" t="str">
        <f t="shared" si="27"/>
        <v>ACTIVE</v>
      </c>
    </row>
    <row r="432" spans="2:17" x14ac:dyDescent="0.35">
      <c r="B432" s="70" t="str">
        <v>1010702</v>
      </c>
      <c r="C432" s="68" t="str">
        <f>VLOOKUP(B432,Master!B:C,2,0)</f>
        <v>1010702</v>
      </c>
      <c r="D432" s="69">
        <f>VLOOKUP(B432,Master!B:L,11,0)</f>
        <v>45665</v>
      </c>
      <c r="E432" s="69">
        <f>VLOOKUP(B432,Master!B:P,15,0)</f>
        <v>0</v>
      </c>
      <c r="F432" s="68" t="str">
        <f t="shared" si="27"/>
        <v>ACTIVE</v>
      </c>
      <c r="G432" s="68" t="str">
        <f t="shared" si="27"/>
        <v>ACTIVE</v>
      </c>
      <c r="H432" s="68" t="str">
        <f t="shared" si="27"/>
        <v>ACTIVE</v>
      </c>
      <c r="I432" s="68" t="str">
        <f t="shared" si="27"/>
        <v>ACTIVE</v>
      </c>
      <c r="J432" s="68" t="str">
        <f t="shared" si="27"/>
        <v>ACTIVE</v>
      </c>
      <c r="K432" s="68" t="str">
        <f t="shared" si="27"/>
        <v>ACTIVE</v>
      </c>
      <c r="L432" s="68" t="str">
        <f t="shared" si="27"/>
        <v>ACTIVE</v>
      </c>
      <c r="M432" s="68" t="str">
        <f t="shared" si="27"/>
        <v>ACTIVE</v>
      </c>
      <c r="N432" s="68" t="str">
        <f t="shared" si="27"/>
        <v>ACTIVE</v>
      </c>
      <c r="O432" s="68" t="str">
        <f t="shared" si="27"/>
        <v>ACTIVE</v>
      </c>
      <c r="P432" s="68" t="str">
        <f t="shared" si="27"/>
        <v>ACTIVE</v>
      </c>
      <c r="Q432" s="68" t="str">
        <f t="shared" si="27"/>
        <v>ACTIVE</v>
      </c>
    </row>
    <row r="433" spans="2:17" x14ac:dyDescent="0.35">
      <c r="B433" s="70" t="str">
        <v>1010703</v>
      </c>
      <c r="C433" s="68" t="str">
        <f>VLOOKUP(B433,Master!B:C,2,0)</f>
        <v>1010703</v>
      </c>
      <c r="D433" s="69">
        <f>VLOOKUP(B433,Master!B:L,11,0)</f>
        <v>45665</v>
      </c>
      <c r="E433" s="69">
        <f>VLOOKUP(B433,Master!B:P,15,0)</f>
        <v>0</v>
      </c>
      <c r="F433" s="68" t="str">
        <f t="shared" si="27"/>
        <v>ACTIVE</v>
      </c>
      <c r="G433" s="68" t="str">
        <f t="shared" si="27"/>
        <v>ACTIVE</v>
      </c>
      <c r="H433" s="68" t="str">
        <f t="shared" si="27"/>
        <v>ACTIVE</v>
      </c>
      <c r="I433" s="68" t="str">
        <f t="shared" si="27"/>
        <v>ACTIVE</v>
      </c>
      <c r="J433" s="68" t="str">
        <f t="shared" si="27"/>
        <v>ACTIVE</v>
      </c>
      <c r="K433" s="68" t="str">
        <f t="shared" si="27"/>
        <v>ACTIVE</v>
      </c>
      <c r="L433" s="68" t="str">
        <f t="shared" si="27"/>
        <v>ACTIVE</v>
      </c>
      <c r="M433" s="68" t="str">
        <f t="shared" si="27"/>
        <v>ACTIVE</v>
      </c>
      <c r="N433" s="68" t="str">
        <f t="shared" si="27"/>
        <v>ACTIVE</v>
      </c>
      <c r="O433" s="68" t="str">
        <f t="shared" si="27"/>
        <v>ACTIVE</v>
      </c>
      <c r="P433" s="68" t="str">
        <f t="shared" si="27"/>
        <v>ACTIVE</v>
      </c>
      <c r="Q433" s="68" t="str">
        <f t="shared" si="27"/>
        <v>ACTIVE</v>
      </c>
    </row>
    <row r="434" spans="2:17" x14ac:dyDescent="0.35">
      <c r="B434" s="70" t="str">
        <v>1010708</v>
      </c>
      <c r="C434" s="68" t="str">
        <f>VLOOKUP(B434,Master!B:C,2,0)</f>
        <v>1010708</v>
      </c>
      <c r="D434" s="69">
        <f>VLOOKUP(B434,Master!B:L,11,0)</f>
        <v>45665</v>
      </c>
      <c r="E434" s="69">
        <f>VLOOKUP(B434,Master!B:P,15,0)</f>
        <v>0</v>
      </c>
      <c r="F434" s="68" t="str">
        <f t="shared" si="27"/>
        <v>ACTIVE</v>
      </c>
      <c r="G434" s="68" t="str">
        <f t="shared" si="27"/>
        <v>ACTIVE</v>
      </c>
      <c r="H434" s="68" t="str">
        <f t="shared" si="27"/>
        <v>ACTIVE</v>
      </c>
      <c r="I434" s="68" t="str">
        <f t="shared" si="27"/>
        <v>ACTIVE</v>
      </c>
      <c r="J434" s="68" t="str">
        <f t="shared" si="27"/>
        <v>ACTIVE</v>
      </c>
      <c r="K434" s="68" t="str">
        <f t="shared" si="27"/>
        <v>ACTIVE</v>
      </c>
      <c r="L434" s="68" t="str">
        <f t="shared" si="27"/>
        <v>ACTIVE</v>
      </c>
      <c r="M434" s="68" t="str">
        <f t="shared" si="27"/>
        <v>ACTIVE</v>
      </c>
      <c r="N434" s="68" t="str">
        <f t="shared" si="27"/>
        <v>ACTIVE</v>
      </c>
      <c r="O434" s="68" t="str">
        <f t="shared" si="27"/>
        <v>ACTIVE</v>
      </c>
      <c r="P434" s="68" t="str">
        <f t="shared" si="27"/>
        <v>ACTIVE</v>
      </c>
      <c r="Q434" s="68" t="str">
        <f t="shared" si="27"/>
        <v>ACTIVE</v>
      </c>
    </row>
    <row r="435" spans="2:17" x14ac:dyDescent="0.35">
      <c r="B435" s="70" t="str">
        <v>1010711</v>
      </c>
      <c r="C435" s="68" t="str">
        <f>VLOOKUP(B435,Master!B:C,2,0)</f>
        <v>1010711</v>
      </c>
      <c r="D435" s="69">
        <f>VLOOKUP(B435,Master!B:L,11,0)</f>
        <v>45665</v>
      </c>
      <c r="E435" s="69">
        <f>VLOOKUP(B435,Master!B:P,15,0)</f>
        <v>0</v>
      </c>
      <c r="F435" s="68" t="str">
        <f t="shared" si="27"/>
        <v>ACTIVE</v>
      </c>
      <c r="G435" s="68" t="str">
        <f t="shared" si="27"/>
        <v>ACTIVE</v>
      </c>
      <c r="H435" s="68" t="str">
        <f t="shared" si="27"/>
        <v>ACTIVE</v>
      </c>
      <c r="I435" s="68" t="str">
        <f t="shared" si="27"/>
        <v>ACTIVE</v>
      </c>
      <c r="J435" s="68" t="str">
        <f t="shared" si="27"/>
        <v>ACTIVE</v>
      </c>
      <c r="K435" s="68" t="str">
        <f t="shared" si="27"/>
        <v>ACTIVE</v>
      </c>
      <c r="L435" s="68" t="str">
        <f t="shared" si="27"/>
        <v>ACTIVE</v>
      </c>
      <c r="M435" s="68" t="str">
        <f t="shared" si="27"/>
        <v>ACTIVE</v>
      </c>
      <c r="N435" s="68" t="str">
        <f t="shared" si="27"/>
        <v>ACTIVE</v>
      </c>
      <c r="O435" s="68" t="str">
        <f t="shared" si="27"/>
        <v>ACTIVE</v>
      </c>
      <c r="P435" s="68" t="str">
        <f t="shared" si="27"/>
        <v>ACTIVE</v>
      </c>
      <c r="Q435" s="68" t="str">
        <f t="shared" si="27"/>
        <v>ACTIVE</v>
      </c>
    </row>
    <row r="436" spans="2:17" x14ac:dyDescent="0.35">
      <c r="B436" s="70" t="str">
        <v>1010712</v>
      </c>
      <c r="C436" s="68" t="str">
        <f>VLOOKUP(B436,Master!B:C,2,0)</f>
        <v>1010712</v>
      </c>
      <c r="D436" s="69">
        <f>VLOOKUP(B436,Master!B:L,11,0)</f>
        <v>45665</v>
      </c>
      <c r="E436" s="69">
        <f>VLOOKUP(B436,Master!B:P,15,0)</f>
        <v>0</v>
      </c>
      <c r="F436" s="68" t="str">
        <f t="shared" ref="F436:Q451" si="28">IF($E436&gt;0,"CLOSED",IF($D436&lt;F$1,"ACTIVE","WAITING FOR OPEN"))</f>
        <v>ACTIVE</v>
      </c>
      <c r="G436" s="68" t="str">
        <f t="shared" si="28"/>
        <v>ACTIVE</v>
      </c>
      <c r="H436" s="68" t="str">
        <f t="shared" si="28"/>
        <v>ACTIVE</v>
      </c>
      <c r="I436" s="68" t="str">
        <f t="shared" si="28"/>
        <v>ACTIVE</v>
      </c>
      <c r="J436" s="68" t="str">
        <f t="shared" si="28"/>
        <v>ACTIVE</v>
      </c>
      <c r="K436" s="68" t="str">
        <f t="shared" si="28"/>
        <v>ACTIVE</v>
      </c>
      <c r="L436" s="68" t="str">
        <f t="shared" si="28"/>
        <v>ACTIVE</v>
      </c>
      <c r="M436" s="68" t="str">
        <f t="shared" si="28"/>
        <v>ACTIVE</v>
      </c>
      <c r="N436" s="68" t="str">
        <f t="shared" si="28"/>
        <v>ACTIVE</v>
      </c>
      <c r="O436" s="68" t="str">
        <f t="shared" si="28"/>
        <v>ACTIVE</v>
      </c>
      <c r="P436" s="68" t="str">
        <f t="shared" si="28"/>
        <v>ACTIVE</v>
      </c>
      <c r="Q436" s="68" t="str">
        <f t="shared" si="28"/>
        <v>ACTIVE</v>
      </c>
    </row>
    <row r="437" spans="2:17" x14ac:dyDescent="0.35">
      <c r="B437" s="70" t="str">
        <v>1010901</v>
      </c>
      <c r="C437" s="68" t="str">
        <f>VLOOKUP(B437,Master!B:C,2,0)</f>
        <v>1010901</v>
      </c>
      <c r="D437" s="69">
        <f>VLOOKUP(B437,Master!B:L,11,0)</f>
        <v>45665</v>
      </c>
      <c r="E437" s="69">
        <f>VLOOKUP(B437,Master!B:P,15,0)</f>
        <v>0</v>
      </c>
      <c r="F437" s="68" t="str">
        <f t="shared" si="28"/>
        <v>ACTIVE</v>
      </c>
      <c r="G437" s="68" t="str">
        <f t="shared" si="28"/>
        <v>ACTIVE</v>
      </c>
      <c r="H437" s="68" t="str">
        <f t="shared" si="28"/>
        <v>ACTIVE</v>
      </c>
      <c r="I437" s="68" t="str">
        <f t="shared" si="28"/>
        <v>ACTIVE</v>
      </c>
      <c r="J437" s="68" t="str">
        <f t="shared" si="28"/>
        <v>ACTIVE</v>
      </c>
      <c r="K437" s="68" t="str">
        <f t="shared" si="28"/>
        <v>ACTIVE</v>
      </c>
      <c r="L437" s="68" t="str">
        <f t="shared" si="28"/>
        <v>ACTIVE</v>
      </c>
      <c r="M437" s="68" t="str">
        <f t="shared" si="28"/>
        <v>ACTIVE</v>
      </c>
      <c r="N437" s="68" t="str">
        <f t="shared" si="28"/>
        <v>ACTIVE</v>
      </c>
      <c r="O437" s="68" t="str">
        <f t="shared" si="28"/>
        <v>ACTIVE</v>
      </c>
      <c r="P437" s="68" t="str">
        <f t="shared" si="28"/>
        <v>ACTIVE</v>
      </c>
      <c r="Q437" s="68" t="str">
        <f t="shared" si="28"/>
        <v>ACTIVE</v>
      </c>
    </row>
    <row r="438" spans="2:17" x14ac:dyDescent="0.35">
      <c r="B438" s="70" t="str">
        <v>1010904</v>
      </c>
      <c r="C438" s="68" t="str">
        <f>VLOOKUP(B438,Master!B:C,2,0)</f>
        <v>1010904</v>
      </c>
      <c r="D438" s="69">
        <f>VLOOKUP(B438,Master!B:L,11,0)</f>
        <v>45665</v>
      </c>
      <c r="E438" s="69">
        <f>VLOOKUP(B438,Master!B:P,15,0)</f>
        <v>0</v>
      </c>
      <c r="F438" s="68" t="str">
        <f t="shared" si="28"/>
        <v>ACTIVE</v>
      </c>
      <c r="G438" s="68" t="str">
        <f t="shared" si="28"/>
        <v>ACTIVE</v>
      </c>
      <c r="H438" s="68" t="str">
        <f t="shared" si="28"/>
        <v>ACTIVE</v>
      </c>
      <c r="I438" s="68" t="str">
        <f t="shared" si="28"/>
        <v>ACTIVE</v>
      </c>
      <c r="J438" s="68" t="str">
        <f t="shared" si="28"/>
        <v>ACTIVE</v>
      </c>
      <c r="K438" s="68" t="str">
        <f t="shared" si="28"/>
        <v>ACTIVE</v>
      </c>
      <c r="L438" s="68" t="str">
        <f t="shared" si="28"/>
        <v>ACTIVE</v>
      </c>
      <c r="M438" s="68" t="str">
        <f t="shared" si="28"/>
        <v>ACTIVE</v>
      </c>
      <c r="N438" s="68" t="str">
        <f t="shared" si="28"/>
        <v>ACTIVE</v>
      </c>
      <c r="O438" s="68" t="str">
        <f t="shared" si="28"/>
        <v>ACTIVE</v>
      </c>
      <c r="P438" s="68" t="str">
        <f t="shared" si="28"/>
        <v>ACTIVE</v>
      </c>
      <c r="Q438" s="68" t="str">
        <f t="shared" si="28"/>
        <v>ACTIVE</v>
      </c>
    </row>
    <row r="439" spans="2:17" x14ac:dyDescent="0.35">
      <c r="B439" s="70" t="str">
        <v>1011001</v>
      </c>
      <c r="C439" s="68" t="str">
        <f>VLOOKUP(B439,Master!B:C,2,0)</f>
        <v>1011001</v>
      </c>
      <c r="D439" s="69">
        <f>VLOOKUP(B439,Master!B:L,11,0)</f>
        <v>45665</v>
      </c>
      <c r="E439" s="69">
        <f>VLOOKUP(B439,Master!B:P,15,0)</f>
        <v>0</v>
      </c>
      <c r="F439" s="68" t="str">
        <f t="shared" si="28"/>
        <v>ACTIVE</v>
      </c>
      <c r="G439" s="68" t="str">
        <f t="shared" si="28"/>
        <v>ACTIVE</v>
      </c>
      <c r="H439" s="68" t="str">
        <f t="shared" si="28"/>
        <v>ACTIVE</v>
      </c>
      <c r="I439" s="68" t="str">
        <f t="shared" si="28"/>
        <v>ACTIVE</v>
      </c>
      <c r="J439" s="68" t="str">
        <f t="shared" si="28"/>
        <v>ACTIVE</v>
      </c>
      <c r="K439" s="68" t="str">
        <f t="shared" si="28"/>
        <v>ACTIVE</v>
      </c>
      <c r="L439" s="68" t="str">
        <f t="shared" si="28"/>
        <v>ACTIVE</v>
      </c>
      <c r="M439" s="68" t="str">
        <f t="shared" si="28"/>
        <v>ACTIVE</v>
      </c>
      <c r="N439" s="68" t="str">
        <f t="shared" si="28"/>
        <v>ACTIVE</v>
      </c>
      <c r="O439" s="68" t="str">
        <f t="shared" si="28"/>
        <v>ACTIVE</v>
      </c>
      <c r="P439" s="68" t="str">
        <f t="shared" si="28"/>
        <v>ACTIVE</v>
      </c>
      <c r="Q439" s="68" t="str">
        <f t="shared" si="28"/>
        <v>ACTIVE</v>
      </c>
    </row>
    <row r="440" spans="2:17" x14ac:dyDescent="0.35">
      <c r="B440" s="70" t="str">
        <v>1011002</v>
      </c>
      <c r="C440" s="68" t="str">
        <f>VLOOKUP(B440,Master!B:C,2,0)</f>
        <v>1011002</v>
      </c>
      <c r="D440" s="69">
        <f>VLOOKUP(B440,Master!B:L,11,0)</f>
        <v>45665</v>
      </c>
      <c r="E440" s="69">
        <f>VLOOKUP(B440,Master!B:P,15,0)</f>
        <v>0</v>
      </c>
      <c r="F440" s="68" t="str">
        <f t="shared" si="28"/>
        <v>ACTIVE</v>
      </c>
      <c r="G440" s="68" t="str">
        <f t="shared" si="28"/>
        <v>ACTIVE</v>
      </c>
      <c r="H440" s="68" t="str">
        <f t="shared" si="28"/>
        <v>ACTIVE</v>
      </c>
      <c r="I440" s="68" t="str">
        <f t="shared" si="28"/>
        <v>ACTIVE</v>
      </c>
      <c r="J440" s="68" t="str">
        <f t="shared" si="28"/>
        <v>ACTIVE</v>
      </c>
      <c r="K440" s="68" t="str">
        <f t="shared" si="28"/>
        <v>ACTIVE</v>
      </c>
      <c r="L440" s="68" t="str">
        <f t="shared" si="28"/>
        <v>ACTIVE</v>
      </c>
      <c r="M440" s="68" t="str">
        <f t="shared" si="28"/>
        <v>ACTIVE</v>
      </c>
      <c r="N440" s="68" t="str">
        <f t="shared" si="28"/>
        <v>ACTIVE</v>
      </c>
      <c r="O440" s="68" t="str">
        <f t="shared" si="28"/>
        <v>ACTIVE</v>
      </c>
      <c r="P440" s="68" t="str">
        <f t="shared" si="28"/>
        <v>ACTIVE</v>
      </c>
      <c r="Q440" s="68" t="str">
        <f t="shared" si="28"/>
        <v>ACTIVE</v>
      </c>
    </row>
    <row r="441" spans="2:17" x14ac:dyDescent="0.35">
      <c r="B441" s="70" t="str">
        <v>1011003</v>
      </c>
      <c r="C441" s="68" t="str">
        <f>VLOOKUP(B441,Master!B:C,2,0)</f>
        <v>1011003</v>
      </c>
      <c r="D441" s="69">
        <f>VLOOKUP(B441,Master!B:L,11,0)</f>
        <v>45665</v>
      </c>
      <c r="E441" s="69">
        <f>VLOOKUP(B441,Master!B:P,15,0)</f>
        <v>0</v>
      </c>
      <c r="F441" s="68" t="str">
        <f t="shared" si="28"/>
        <v>ACTIVE</v>
      </c>
      <c r="G441" s="68" t="str">
        <f t="shared" si="28"/>
        <v>ACTIVE</v>
      </c>
      <c r="H441" s="68" t="str">
        <f t="shared" si="28"/>
        <v>ACTIVE</v>
      </c>
      <c r="I441" s="68" t="str">
        <f t="shared" si="28"/>
        <v>ACTIVE</v>
      </c>
      <c r="J441" s="68" t="str">
        <f t="shared" si="28"/>
        <v>ACTIVE</v>
      </c>
      <c r="K441" s="68" t="str">
        <f t="shared" si="28"/>
        <v>ACTIVE</v>
      </c>
      <c r="L441" s="68" t="str">
        <f t="shared" si="28"/>
        <v>ACTIVE</v>
      </c>
      <c r="M441" s="68" t="str">
        <f t="shared" si="28"/>
        <v>ACTIVE</v>
      </c>
      <c r="N441" s="68" t="str">
        <f t="shared" si="28"/>
        <v>ACTIVE</v>
      </c>
      <c r="O441" s="68" t="str">
        <f t="shared" si="28"/>
        <v>ACTIVE</v>
      </c>
      <c r="P441" s="68" t="str">
        <f t="shared" si="28"/>
        <v>ACTIVE</v>
      </c>
      <c r="Q441" s="68" t="str">
        <f t="shared" si="28"/>
        <v>ACTIVE</v>
      </c>
    </row>
    <row r="442" spans="2:17" x14ac:dyDescent="0.35">
      <c r="B442" s="70" t="str">
        <v>1011007</v>
      </c>
      <c r="C442" s="68" t="str">
        <f>VLOOKUP(B442,Master!B:C,2,0)</f>
        <v>1011007</v>
      </c>
      <c r="D442" s="69">
        <f>VLOOKUP(B442,Master!B:L,11,0)</f>
        <v>45665</v>
      </c>
      <c r="E442" s="69">
        <f>VLOOKUP(B442,Master!B:P,15,0)</f>
        <v>0</v>
      </c>
      <c r="F442" s="68" t="str">
        <f t="shared" si="28"/>
        <v>ACTIVE</v>
      </c>
      <c r="G442" s="68" t="str">
        <f t="shared" si="28"/>
        <v>ACTIVE</v>
      </c>
      <c r="H442" s="68" t="str">
        <f t="shared" si="28"/>
        <v>ACTIVE</v>
      </c>
      <c r="I442" s="68" t="str">
        <f t="shared" si="28"/>
        <v>ACTIVE</v>
      </c>
      <c r="J442" s="68" t="str">
        <f t="shared" si="28"/>
        <v>ACTIVE</v>
      </c>
      <c r="K442" s="68" t="str">
        <f t="shared" si="28"/>
        <v>ACTIVE</v>
      </c>
      <c r="L442" s="68" t="str">
        <f t="shared" si="28"/>
        <v>ACTIVE</v>
      </c>
      <c r="M442" s="68" t="str">
        <f t="shared" si="28"/>
        <v>ACTIVE</v>
      </c>
      <c r="N442" s="68" t="str">
        <f t="shared" si="28"/>
        <v>ACTIVE</v>
      </c>
      <c r="O442" s="68" t="str">
        <f t="shared" si="28"/>
        <v>ACTIVE</v>
      </c>
      <c r="P442" s="68" t="str">
        <f t="shared" si="28"/>
        <v>ACTIVE</v>
      </c>
      <c r="Q442" s="68" t="str">
        <f t="shared" si="28"/>
        <v>ACTIVE</v>
      </c>
    </row>
    <row r="443" spans="2:17" x14ac:dyDescent="0.35">
      <c r="B443" s="70" t="str">
        <v>1011107</v>
      </c>
      <c r="C443" s="68" t="str">
        <f>VLOOKUP(B443,Master!B:C,2,0)</f>
        <v>1011107</v>
      </c>
      <c r="D443" s="69">
        <f>VLOOKUP(B443,Master!B:L,11,0)</f>
        <v>45665</v>
      </c>
      <c r="E443" s="69">
        <f>VLOOKUP(B443,Master!B:P,15,0)</f>
        <v>0</v>
      </c>
      <c r="F443" s="68" t="str">
        <f t="shared" si="28"/>
        <v>ACTIVE</v>
      </c>
      <c r="G443" s="68" t="str">
        <f t="shared" si="28"/>
        <v>ACTIVE</v>
      </c>
      <c r="H443" s="68" t="str">
        <f t="shared" si="28"/>
        <v>ACTIVE</v>
      </c>
      <c r="I443" s="68" t="str">
        <f t="shared" si="28"/>
        <v>ACTIVE</v>
      </c>
      <c r="J443" s="68" t="str">
        <f t="shared" si="28"/>
        <v>ACTIVE</v>
      </c>
      <c r="K443" s="68" t="str">
        <f t="shared" si="28"/>
        <v>ACTIVE</v>
      </c>
      <c r="L443" s="68" t="str">
        <f t="shared" si="28"/>
        <v>ACTIVE</v>
      </c>
      <c r="M443" s="68" t="str">
        <f t="shared" si="28"/>
        <v>ACTIVE</v>
      </c>
      <c r="N443" s="68" t="str">
        <f t="shared" si="28"/>
        <v>ACTIVE</v>
      </c>
      <c r="O443" s="68" t="str">
        <f t="shared" si="28"/>
        <v>ACTIVE</v>
      </c>
      <c r="P443" s="68" t="str">
        <f t="shared" si="28"/>
        <v>ACTIVE</v>
      </c>
      <c r="Q443" s="68" t="str">
        <f t="shared" si="28"/>
        <v>ACTIVE</v>
      </c>
    </row>
    <row r="444" spans="2:17" x14ac:dyDescent="0.35">
      <c r="B444" s="70" t="str">
        <v>1011301</v>
      </c>
      <c r="C444" s="68" t="str">
        <f>VLOOKUP(B444,Master!B:C,2,0)</f>
        <v>1011301</v>
      </c>
      <c r="D444" s="69">
        <f>VLOOKUP(B444,Master!B:L,11,0)</f>
        <v>45665</v>
      </c>
      <c r="E444" s="69">
        <f>VLOOKUP(B444,Master!B:P,15,0)</f>
        <v>0</v>
      </c>
      <c r="F444" s="68" t="str">
        <f t="shared" si="28"/>
        <v>ACTIVE</v>
      </c>
      <c r="G444" s="68" t="str">
        <f t="shared" si="28"/>
        <v>ACTIVE</v>
      </c>
      <c r="H444" s="68" t="str">
        <f t="shared" si="28"/>
        <v>ACTIVE</v>
      </c>
      <c r="I444" s="68" t="str">
        <f t="shared" si="28"/>
        <v>ACTIVE</v>
      </c>
      <c r="J444" s="68" t="str">
        <f t="shared" si="28"/>
        <v>ACTIVE</v>
      </c>
      <c r="K444" s="68" t="str">
        <f t="shared" si="28"/>
        <v>ACTIVE</v>
      </c>
      <c r="L444" s="68" t="str">
        <f t="shared" si="28"/>
        <v>ACTIVE</v>
      </c>
      <c r="M444" s="68" t="str">
        <f t="shared" si="28"/>
        <v>ACTIVE</v>
      </c>
      <c r="N444" s="68" t="str">
        <f t="shared" si="28"/>
        <v>ACTIVE</v>
      </c>
      <c r="O444" s="68" t="str">
        <f t="shared" si="28"/>
        <v>ACTIVE</v>
      </c>
      <c r="P444" s="68" t="str">
        <f t="shared" si="28"/>
        <v>ACTIVE</v>
      </c>
      <c r="Q444" s="68" t="str">
        <f t="shared" si="28"/>
        <v>ACTIVE</v>
      </c>
    </row>
    <row r="445" spans="2:17" x14ac:dyDescent="0.35">
      <c r="B445" s="70" t="str">
        <v>1011303</v>
      </c>
      <c r="C445" s="68" t="str">
        <f>VLOOKUP(B445,Master!B:C,2,0)</f>
        <v>1011303</v>
      </c>
      <c r="D445" s="69">
        <f>VLOOKUP(B445,Master!B:L,11,0)</f>
        <v>45665</v>
      </c>
      <c r="E445" s="69">
        <f>VLOOKUP(B445,Master!B:P,15,0)</f>
        <v>0</v>
      </c>
      <c r="F445" s="68" t="str">
        <f t="shared" si="28"/>
        <v>ACTIVE</v>
      </c>
      <c r="G445" s="68" t="str">
        <f t="shared" si="28"/>
        <v>ACTIVE</v>
      </c>
      <c r="H445" s="68" t="str">
        <f t="shared" si="28"/>
        <v>ACTIVE</v>
      </c>
      <c r="I445" s="68" t="str">
        <f t="shared" si="28"/>
        <v>ACTIVE</v>
      </c>
      <c r="J445" s="68" t="str">
        <f t="shared" si="28"/>
        <v>ACTIVE</v>
      </c>
      <c r="K445" s="68" t="str">
        <f t="shared" si="28"/>
        <v>ACTIVE</v>
      </c>
      <c r="L445" s="68" t="str">
        <f t="shared" si="28"/>
        <v>ACTIVE</v>
      </c>
      <c r="M445" s="68" t="str">
        <f t="shared" si="28"/>
        <v>ACTIVE</v>
      </c>
      <c r="N445" s="68" t="str">
        <f t="shared" si="28"/>
        <v>ACTIVE</v>
      </c>
      <c r="O445" s="68" t="str">
        <f t="shared" si="28"/>
        <v>ACTIVE</v>
      </c>
      <c r="P445" s="68" t="str">
        <f t="shared" si="28"/>
        <v>ACTIVE</v>
      </c>
      <c r="Q445" s="68" t="str">
        <f t="shared" si="28"/>
        <v>ACTIVE</v>
      </c>
    </row>
    <row r="446" spans="2:17" x14ac:dyDescent="0.35">
      <c r="B446" s="70" t="str">
        <v>1011304</v>
      </c>
      <c r="C446" s="68" t="str">
        <f>VLOOKUP(B446,Master!B:C,2,0)</f>
        <v>1011304</v>
      </c>
      <c r="D446" s="69">
        <f>VLOOKUP(B446,Master!B:L,11,0)</f>
        <v>45665</v>
      </c>
      <c r="E446" s="69">
        <f>VLOOKUP(B446,Master!B:P,15,0)</f>
        <v>0</v>
      </c>
      <c r="F446" s="68" t="str">
        <f t="shared" si="28"/>
        <v>ACTIVE</v>
      </c>
      <c r="G446" s="68" t="str">
        <f t="shared" si="28"/>
        <v>ACTIVE</v>
      </c>
      <c r="H446" s="68" t="str">
        <f t="shared" si="28"/>
        <v>ACTIVE</v>
      </c>
      <c r="I446" s="68" t="str">
        <f t="shared" si="28"/>
        <v>ACTIVE</v>
      </c>
      <c r="J446" s="68" t="str">
        <f t="shared" si="28"/>
        <v>ACTIVE</v>
      </c>
      <c r="K446" s="68" t="str">
        <f t="shared" si="28"/>
        <v>ACTIVE</v>
      </c>
      <c r="L446" s="68" t="str">
        <f t="shared" si="28"/>
        <v>ACTIVE</v>
      </c>
      <c r="M446" s="68" t="str">
        <f t="shared" si="28"/>
        <v>ACTIVE</v>
      </c>
      <c r="N446" s="68" t="str">
        <f t="shared" si="28"/>
        <v>ACTIVE</v>
      </c>
      <c r="O446" s="68" t="str">
        <f t="shared" si="28"/>
        <v>ACTIVE</v>
      </c>
      <c r="P446" s="68" t="str">
        <f t="shared" si="28"/>
        <v>ACTIVE</v>
      </c>
      <c r="Q446" s="68" t="str">
        <f t="shared" si="28"/>
        <v>ACTIVE</v>
      </c>
    </row>
    <row r="447" spans="2:17" x14ac:dyDescent="0.35">
      <c r="B447" s="70" t="str">
        <v>1011310</v>
      </c>
      <c r="C447" s="68" t="str">
        <f>VLOOKUP(B447,Master!B:C,2,0)</f>
        <v>1011310</v>
      </c>
      <c r="D447" s="69">
        <f>VLOOKUP(B447,Master!B:L,11,0)</f>
        <v>45665</v>
      </c>
      <c r="E447" s="69">
        <f>VLOOKUP(B447,Master!B:P,15,0)</f>
        <v>0</v>
      </c>
      <c r="F447" s="68" t="str">
        <f t="shared" si="28"/>
        <v>ACTIVE</v>
      </c>
      <c r="G447" s="68" t="str">
        <f t="shared" si="28"/>
        <v>ACTIVE</v>
      </c>
      <c r="H447" s="68" t="str">
        <f t="shared" si="28"/>
        <v>ACTIVE</v>
      </c>
      <c r="I447" s="68" t="str">
        <f t="shared" si="28"/>
        <v>ACTIVE</v>
      </c>
      <c r="J447" s="68" t="str">
        <f t="shared" si="28"/>
        <v>ACTIVE</v>
      </c>
      <c r="K447" s="68" t="str">
        <f t="shared" si="28"/>
        <v>ACTIVE</v>
      </c>
      <c r="L447" s="68" t="str">
        <f t="shared" si="28"/>
        <v>ACTIVE</v>
      </c>
      <c r="M447" s="68" t="str">
        <f t="shared" si="28"/>
        <v>ACTIVE</v>
      </c>
      <c r="N447" s="68" t="str">
        <f t="shared" si="28"/>
        <v>ACTIVE</v>
      </c>
      <c r="O447" s="68" t="str">
        <f t="shared" si="28"/>
        <v>ACTIVE</v>
      </c>
      <c r="P447" s="68" t="str">
        <f t="shared" si="28"/>
        <v>ACTIVE</v>
      </c>
      <c r="Q447" s="68" t="str">
        <f t="shared" si="28"/>
        <v>ACTIVE</v>
      </c>
    </row>
    <row r="448" spans="2:17" x14ac:dyDescent="0.35">
      <c r="B448" s="70" t="str">
        <v>1011313</v>
      </c>
      <c r="C448" s="68" t="str">
        <f>VLOOKUP(B448,Master!B:C,2,0)</f>
        <v>1011313</v>
      </c>
      <c r="D448" s="69">
        <f>VLOOKUP(B448,Master!B:L,11,0)</f>
        <v>45665</v>
      </c>
      <c r="E448" s="69">
        <f>VLOOKUP(B448,Master!B:P,15,0)</f>
        <v>0</v>
      </c>
      <c r="F448" s="68" t="str">
        <f t="shared" si="28"/>
        <v>ACTIVE</v>
      </c>
      <c r="G448" s="68" t="str">
        <f t="shared" si="28"/>
        <v>ACTIVE</v>
      </c>
      <c r="H448" s="68" t="str">
        <f t="shared" si="28"/>
        <v>ACTIVE</v>
      </c>
      <c r="I448" s="68" t="str">
        <f t="shared" si="28"/>
        <v>ACTIVE</v>
      </c>
      <c r="J448" s="68" t="str">
        <f t="shared" si="28"/>
        <v>ACTIVE</v>
      </c>
      <c r="K448" s="68" t="str">
        <f t="shared" si="28"/>
        <v>ACTIVE</v>
      </c>
      <c r="L448" s="68" t="str">
        <f t="shared" si="28"/>
        <v>ACTIVE</v>
      </c>
      <c r="M448" s="68" t="str">
        <f t="shared" si="28"/>
        <v>ACTIVE</v>
      </c>
      <c r="N448" s="68" t="str">
        <f t="shared" si="28"/>
        <v>ACTIVE</v>
      </c>
      <c r="O448" s="68" t="str">
        <f t="shared" si="28"/>
        <v>ACTIVE</v>
      </c>
      <c r="P448" s="68" t="str">
        <f t="shared" si="28"/>
        <v>ACTIVE</v>
      </c>
      <c r="Q448" s="68" t="str">
        <f t="shared" si="28"/>
        <v>ACTIVE</v>
      </c>
    </row>
    <row r="449" spans="2:17" x14ac:dyDescent="0.35">
      <c r="B449" s="70" t="str">
        <v>1011405</v>
      </c>
      <c r="C449" s="68" t="str">
        <f>VLOOKUP(B449,Master!B:C,2,0)</f>
        <v>1011405</v>
      </c>
      <c r="D449" s="69">
        <f>VLOOKUP(B449,Master!B:L,11,0)</f>
        <v>45665</v>
      </c>
      <c r="E449" s="69">
        <f>VLOOKUP(B449,Master!B:P,15,0)</f>
        <v>0</v>
      </c>
      <c r="F449" s="68" t="str">
        <f t="shared" si="28"/>
        <v>ACTIVE</v>
      </c>
      <c r="G449" s="68" t="str">
        <f t="shared" si="28"/>
        <v>ACTIVE</v>
      </c>
      <c r="H449" s="68" t="str">
        <f t="shared" si="28"/>
        <v>ACTIVE</v>
      </c>
      <c r="I449" s="68" t="str">
        <f t="shared" si="28"/>
        <v>ACTIVE</v>
      </c>
      <c r="J449" s="68" t="str">
        <f t="shared" si="28"/>
        <v>ACTIVE</v>
      </c>
      <c r="K449" s="68" t="str">
        <f t="shared" si="28"/>
        <v>ACTIVE</v>
      </c>
      <c r="L449" s="68" t="str">
        <f t="shared" si="28"/>
        <v>ACTIVE</v>
      </c>
      <c r="M449" s="68" t="str">
        <f t="shared" si="28"/>
        <v>ACTIVE</v>
      </c>
      <c r="N449" s="68" t="str">
        <f t="shared" si="28"/>
        <v>ACTIVE</v>
      </c>
      <c r="O449" s="68" t="str">
        <f t="shared" si="28"/>
        <v>ACTIVE</v>
      </c>
      <c r="P449" s="68" t="str">
        <f t="shared" si="28"/>
        <v>ACTIVE</v>
      </c>
      <c r="Q449" s="68" t="str">
        <f t="shared" si="28"/>
        <v>ACTIVE</v>
      </c>
    </row>
    <row r="450" spans="2:17" x14ac:dyDescent="0.35">
      <c r="B450" s="70" t="str">
        <v>1011406</v>
      </c>
      <c r="C450" s="68" t="str">
        <f>VLOOKUP(B450,Master!B:C,2,0)</f>
        <v>1011406</v>
      </c>
      <c r="D450" s="69">
        <f>VLOOKUP(B450,Master!B:L,11,0)</f>
        <v>45665</v>
      </c>
      <c r="E450" s="69">
        <f>VLOOKUP(B450,Master!B:P,15,0)</f>
        <v>0</v>
      </c>
      <c r="F450" s="68" t="str">
        <f t="shared" si="28"/>
        <v>ACTIVE</v>
      </c>
      <c r="G450" s="68" t="str">
        <f t="shared" si="28"/>
        <v>ACTIVE</v>
      </c>
      <c r="H450" s="68" t="str">
        <f t="shared" si="28"/>
        <v>ACTIVE</v>
      </c>
      <c r="I450" s="68" t="str">
        <f t="shared" si="28"/>
        <v>ACTIVE</v>
      </c>
      <c r="J450" s="68" t="str">
        <f t="shared" si="28"/>
        <v>ACTIVE</v>
      </c>
      <c r="K450" s="68" t="str">
        <f t="shared" si="28"/>
        <v>ACTIVE</v>
      </c>
      <c r="L450" s="68" t="str">
        <f t="shared" si="28"/>
        <v>ACTIVE</v>
      </c>
      <c r="M450" s="68" t="str">
        <f t="shared" si="28"/>
        <v>ACTIVE</v>
      </c>
      <c r="N450" s="68" t="str">
        <f t="shared" si="28"/>
        <v>ACTIVE</v>
      </c>
      <c r="O450" s="68" t="str">
        <f t="shared" si="28"/>
        <v>ACTIVE</v>
      </c>
      <c r="P450" s="68" t="str">
        <f t="shared" si="28"/>
        <v>ACTIVE</v>
      </c>
      <c r="Q450" s="68" t="str">
        <f t="shared" si="28"/>
        <v>ACTIVE</v>
      </c>
    </row>
    <row r="451" spans="2:17" x14ac:dyDescent="0.35">
      <c r="B451" s="70" t="str">
        <v>1011502</v>
      </c>
      <c r="C451" s="68" t="str">
        <f>VLOOKUP(B451,Master!B:C,2,0)</f>
        <v>1011502</v>
      </c>
      <c r="D451" s="69">
        <f>VLOOKUP(B451,Master!B:L,11,0)</f>
        <v>45665</v>
      </c>
      <c r="E451" s="69">
        <f>VLOOKUP(B451,Master!B:P,15,0)</f>
        <v>0</v>
      </c>
      <c r="F451" s="68" t="str">
        <f t="shared" si="28"/>
        <v>ACTIVE</v>
      </c>
      <c r="G451" s="68" t="str">
        <f t="shared" si="28"/>
        <v>ACTIVE</v>
      </c>
      <c r="H451" s="68" t="str">
        <f t="shared" si="28"/>
        <v>ACTIVE</v>
      </c>
      <c r="I451" s="68" t="str">
        <f t="shared" si="28"/>
        <v>ACTIVE</v>
      </c>
      <c r="J451" s="68" t="str">
        <f t="shared" si="28"/>
        <v>ACTIVE</v>
      </c>
      <c r="K451" s="68" t="str">
        <f t="shared" si="28"/>
        <v>ACTIVE</v>
      </c>
      <c r="L451" s="68" t="str">
        <f t="shared" si="28"/>
        <v>ACTIVE</v>
      </c>
      <c r="M451" s="68" t="str">
        <f t="shared" si="28"/>
        <v>ACTIVE</v>
      </c>
      <c r="N451" s="68" t="str">
        <f t="shared" si="28"/>
        <v>ACTIVE</v>
      </c>
      <c r="O451" s="68" t="str">
        <f t="shared" si="28"/>
        <v>ACTIVE</v>
      </c>
      <c r="P451" s="68" t="str">
        <f t="shared" si="28"/>
        <v>ACTIVE</v>
      </c>
      <c r="Q451" s="68" t="str">
        <f t="shared" si="28"/>
        <v>ACTIVE</v>
      </c>
    </row>
    <row r="452" spans="2:17" x14ac:dyDescent="0.35">
      <c r="B452" s="70" t="str">
        <v>1011603</v>
      </c>
      <c r="C452" s="68" t="str">
        <f>VLOOKUP(B452,Master!B:C,2,0)</f>
        <v>1011603</v>
      </c>
      <c r="D452" s="69">
        <f>VLOOKUP(B452,Master!B:L,11,0)</f>
        <v>45665</v>
      </c>
      <c r="E452" s="69">
        <f>VLOOKUP(B452,Master!B:P,15,0)</f>
        <v>0</v>
      </c>
      <c r="F452" s="68" t="str">
        <f t="shared" ref="F452:Q467" si="29">IF($E452&gt;0,"CLOSED",IF($D452&lt;F$1,"ACTIVE","WAITING FOR OPEN"))</f>
        <v>ACTIVE</v>
      </c>
      <c r="G452" s="68" t="str">
        <f t="shared" si="29"/>
        <v>ACTIVE</v>
      </c>
      <c r="H452" s="68" t="str">
        <f t="shared" si="29"/>
        <v>ACTIVE</v>
      </c>
      <c r="I452" s="68" t="str">
        <f t="shared" si="29"/>
        <v>ACTIVE</v>
      </c>
      <c r="J452" s="68" t="str">
        <f t="shared" si="29"/>
        <v>ACTIVE</v>
      </c>
      <c r="K452" s="68" t="str">
        <f t="shared" si="29"/>
        <v>ACTIVE</v>
      </c>
      <c r="L452" s="68" t="str">
        <f t="shared" si="29"/>
        <v>ACTIVE</v>
      </c>
      <c r="M452" s="68" t="str">
        <f t="shared" si="29"/>
        <v>ACTIVE</v>
      </c>
      <c r="N452" s="68" t="str">
        <f t="shared" si="29"/>
        <v>ACTIVE</v>
      </c>
      <c r="O452" s="68" t="str">
        <f t="shared" si="29"/>
        <v>ACTIVE</v>
      </c>
      <c r="P452" s="68" t="str">
        <f t="shared" si="29"/>
        <v>ACTIVE</v>
      </c>
      <c r="Q452" s="68" t="str">
        <f t="shared" si="29"/>
        <v>ACTIVE</v>
      </c>
    </row>
    <row r="453" spans="2:17" x14ac:dyDescent="0.35">
      <c r="B453" s="70" t="str">
        <v>1011605</v>
      </c>
      <c r="C453" s="68" t="str">
        <f>VLOOKUP(B453,Master!B:C,2,0)</f>
        <v>1011605</v>
      </c>
      <c r="D453" s="69">
        <f>VLOOKUP(B453,Master!B:L,11,0)</f>
        <v>45665</v>
      </c>
      <c r="E453" s="69">
        <f>VLOOKUP(B453,Master!B:P,15,0)</f>
        <v>0</v>
      </c>
      <c r="F453" s="68" t="str">
        <f t="shared" si="29"/>
        <v>ACTIVE</v>
      </c>
      <c r="G453" s="68" t="str">
        <f t="shared" si="29"/>
        <v>ACTIVE</v>
      </c>
      <c r="H453" s="68" t="str">
        <f t="shared" si="29"/>
        <v>ACTIVE</v>
      </c>
      <c r="I453" s="68" t="str">
        <f t="shared" si="29"/>
        <v>ACTIVE</v>
      </c>
      <c r="J453" s="68" t="str">
        <f t="shared" si="29"/>
        <v>ACTIVE</v>
      </c>
      <c r="K453" s="68" t="str">
        <f t="shared" si="29"/>
        <v>ACTIVE</v>
      </c>
      <c r="L453" s="68" t="str">
        <f t="shared" si="29"/>
        <v>ACTIVE</v>
      </c>
      <c r="M453" s="68" t="str">
        <f t="shared" si="29"/>
        <v>ACTIVE</v>
      </c>
      <c r="N453" s="68" t="str">
        <f t="shared" si="29"/>
        <v>ACTIVE</v>
      </c>
      <c r="O453" s="68" t="str">
        <f t="shared" si="29"/>
        <v>ACTIVE</v>
      </c>
      <c r="P453" s="68" t="str">
        <f t="shared" si="29"/>
        <v>ACTIVE</v>
      </c>
      <c r="Q453" s="68" t="str">
        <f t="shared" si="29"/>
        <v>ACTIVE</v>
      </c>
    </row>
    <row r="454" spans="2:17" x14ac:dyDescent="0.35">
      <c r="B454" s="70" t="str">
        <v>1011701</v>
      </c>
      <c r="C454" s="68" t="str">
        <f>VLOOKUP(B454,Master!B:C,2,0)</f>
        <v>1011701</v>
      </c>
      <c r="D454" s="69">
        <f>VLOOKUP(B454,Master!B:L,11,0)</f>
        <v>45665</v>
      </c>
      <c r="E454" s="69">
        <f>VLOOKUP(B454,Master!B:P,15,0)</f>
        <v>0</v>
      </c>
      <c r="F454" s="68" t="str">
        <f t="shared" si="29"/>
        <v>ACTIVE</v>
      </c>
      <c r="G454" s="68" t="str">
        <f t="shared" si="29"/>
        <v>ACTIVE</v>
      </c>
      <c r="H454" s="68" t="str">
        <f t="shared" si="29"/>
        <v>ACTIVE</v>
      </c>
      <c r="I454" s="68" t="str">
        <f t="shared" si="29"/>
        <v>ACTIVE</v>
      </c>
      <c r="J454" s="68" t="str">
        <f t="shared" si="29"/>
        <v>ACTIVE</v>
      </c>
      <c r="K454" s="68" t="str">
        <f t="shared" si="29"/>
        <v>ACTIVE</v>
      </c>
      <c r="L454" s="68" t="str">
        <f t="shared" si="29"/>
        <v>ACTIVE</v>
      </c>
      <c r="M454" s="68" t="str">
        <f t="shared" si="29"/>
        <v>ACTIVE</v>
      </c>
      <c r="N454" s="68" t="str">
        <f t="shared" si="29"/>
        <v>ACTIVE</v>
      </c>
      <c r="O454" s="68" t="str">
        <f t="shared" si="29"/>
        <v>ACTIVE</v>
      </c>
      <c r="P454" s="68" t="str">
        <f t="shared" si="29"/>
        <v>ACTIVE</v>
      </c>
      <c r="Q454" s="68" t="str">
        <f t="shared" si="29"/>
        <v>ACTIVE</v>
      </c>
    </row>
    <row r="455" spans="2:17" x14ac:dyDescent="0.35">
      <c r="B455" s="70" t="str">
        <v>1011801</v>
      </c>
      <c r="C455" s="68" t="str">
        <f>VLOOKUP(B455,Master!B:C,2,0)</f>
        <v>1011801</v>
      </c>
      <c r="D455" s="69">
        <f>VLOOKUP(B455,Master!B:L,11,0)</f>
        <v>45665</v>
      </c>
      <c r="E455" s="69">
        <f>VLOOKUP(B455,Master!B:P,15,0)</f>
        <v>0</v>
      </c>
      <c r="F455" s="68" t="str">
        <f t="shared" si="29"/>
        <v>ACTIVE</v>
      </c>
      <c r="G455" s="68" t="str">
        <f t="shared" si="29"/>
        <v>ACTIVE</v>
      </c>
      <c r="H455" s="68" t="str">
        <f t="shared" si="29"/>
        <v>ACTIVE</v>
      </c>
      <c r="I455" s="68" t="str">
        <f t="shared" si="29"/>
        <v>ACTIVE</v>
      </c>
      <c r="J455" s="68" t="str">
        <f t="shared" si="29"/>
        <v>ACTIVE</v>
      </c>
      <c r="K455" s="68" t="str">
        <f t="shared" si="29"/>
        <v>ACTIVE</v>
      </c>
      <c r="L455" s="68" t="str">
        <f t="shared" si="29"/>
        <v>ACTIVE</v>
      </c>
      <c r="M455" s="68" t="str">
        <f t="shared" si="29"/>
        <v>ACTIVE</v>
      </c>
      <c r="N455" s="68" t="str">
        <f t="shared" si="29"/>
        <v>ACTIVE</v>
      </c>
      <c r="O455" s="68" t="str">
        <f t="shared" si="29"/>
        <v>ACTIVE</v>
      </c>
      <c r="P455" s="68" t="str">
        <f t="shared" si="29"/>
        <v>ACTIVE</v>
      </c>
      <c r="Q455" s="68" t="str">
        <f t="shared" si="29"/>
        <v>ACTIVE</v>
      </c>
    </row>
    <row r="456" spans="2:17" x14ac:dyDescent="0.35">
      <c r="B456" s="70" t="str">
        <v>1011804</v>
      </c>
      <c r="C456" s="68" t="str">
        <f>VLOOKUP(B456,Master!B:C,2,0)</f>
        <v>1011804</v>
      </c>
      <c r="D456" s="69">
        <f>VLOOKUP(B456,Master!B:L,11,0)</f>
        <v>45665</v>
      </c>
      <c r="E456" s="69">
        <f>VLOOKUP(B456,Master!B:P,15,0)</f>
        <v>0</v>
      </c>
      <c r="F456" s="68" t="str">
        <f t="shared" si="29"/>
        <v>ACTIVE</v>
      </c>
      <c r="G456" s="68" t="str">
        <f t="shared" si="29"/>
        <v>ACTIVE</v>
      </c>
      <c r="H456" s="68" t="str">
        <f t="shared" si="29"/>
        <v>ACTIVE</v>
      </c>
      <c r="I456" s="68" t="str">
        <f t="shared" si="29"/>
        <v>ACTIVE</v>
      </c>
      <c r="J456" s="68" t="str">
        <f t="shared" si="29"/>
        <v>ACTIVE</v>
      </c>
      <c r="K456" s="68" t="str">
        <f t="shared" si="29"/>
        <v>ACTIVE</v>
      </c>
      <c r="L456" s="68" t="str">
        <f t="shared" si="29"/>
        <v>ACTIVE</v>
      </c>
      <c r="M456" s="68" t="str">
        <f t="shared" si="29"/>
        <v>ACTIVE</v>
      </c>
      <c r="N456" s="68" t="str">
        <f t="shared" si="29"/>
        <v>ACTIVE</v>
      </c>
      <c r="O456" s="68" t="str">
        <f t="shared" si="29"/>
        <v>ACTIVE</v>
      </c>
      <c r="P456" s="68" t="str">
        <f t="shared" si="29"/>
        <v>ACTIVE</v>
      </c>
      <c r="Q456" s="68" t="str">
        <f t="shared" si="29"/>
        <v>ACTIVE</v>
      </c>
    </row>
    <row r="457" spans="2:17" x14ac:dyDescent="0.35">
      <c r="B457" s="70" t="str">
        <v>1011812</v>
      </c>
      <c r="C457" s="68" t="str">
        <f>VLOOKUP(B457,Master!B:C,2,0)</f>
        <v>1011812</v>
      </c>
      <c r="D457" s="69">
        <f>VLOOKUP(B457,Master!B:L,11,0)</f>
        <v>45665</v>
      </c>
      <c r="E457" s="69">
        <f>VLOOKUP(B457,Master!B:P,15,0)</f>
        <v>0</v>
      </c>
      <c r="F457" s="68" t="str">
        <f t="shared" si="29"/>
        <v>ACTIVE</v>
      </c>
      <c r="G457" s="68" t="str">
        <f t="shared" si="29"/>
        <v>ACTIVE</v>
      </c>
      <c r="H457" s="68" t="str">
        <f t="shared" si="29"/>
        <v>ACTIVE</v>
      </c>
      <c r="I457" s="68" t="str">
        <f t="shared" si="29"/>
        <v>ACTIVE</v>
      </c>
      <c r="J457" s="68" t="str">
        <f t="shared" si="29"/>
        <v>ACTIVE</v>
      </c>
      <c r="K457" s="68" t="str">
        <f t="shared" si="29"/>
        <v>ACTIVE</v>
      </c>
      <c r="L457" s="68" t="str">
        <f t="shared" si="29"/>
        <v>ACTIVE</v>
      </c>
      <c r="M457" s="68" t="str">
        <f t="shared" si="29"/>
        <v>ACTIVE</v>
      </c>
      <c r="N457" s="68" t="str">
        <f t="shared" si="29"/>
        <v>ACTIVE</v>
      </c>
      <c r="O457" s="68" t="str">
        <f t="shared" si="29"/>
        <v>ACTIVE</v>
      </c>
      <c r="P457" s="68" t="str">
        <f t="shared" si="29"/>
        <v>ACTIVE</v>
      </c>
      <c r="Q457" s="68" t="str">
        <f t="shared" si="29"/>
        <v>ACTIVE</v>
      </c>
    </row>
    <row r="458" spans="2:17" x14ac:dyDescent="0.35">
      <c r="B458" s="70" t="str">
        <v>1011813</v>
      </c>
      <c r="C458" s="68" t="str">
        <f>VLOOKUP(B458,Master!B:C,2,0)</f>
        <v>1011813</v>
      </c>
      <c r="D458" s="69">
        <f>VLOOKUP(B458,Master!B:L,11,0)</f>
        <v>45665</v>
      </c>
      <c r="E458" s="69">
        <f>VLOOKUP(B458,Master!B:P,15,0)</f>
        <v>0</v>
      </c>
      <c r="F458" s="68" t="str">
        <f t="shared" si="29"/>
        <v>ACTIVE</v>
      </c>
      <c r="G458" s="68" t="str">
        <f t="shared" si="29"/>
        <v>ACTIVE</v>
      </c>
      <c r="H458" s="68" t="str">
        <f t="shared" si="29"/>
        <v>ACTIVE</v>
      </c>
      <c r="I458" s="68" t="str">
        <f t="shared" si="29"/>
        <v>ACTIVE</v>
      </c>
      <c r="J458" s="68" t="str">
        <f t="shared" si="29"/>
        <v>ACTIVE</v>
      </c>
      <c r="K458" s="68" t="str">
        <f t="shared" si="29"/>
        <v>ACTIVE</v>
      </c>
      <c r="L458" s="68" t="str">
        <f t="shared" si="29"/>
        <v>ACTIVE</v>
      </c>
      <c r="M458" s="68" t="str">
        <f t="shared" si="29"/>
        <v>ACTIVE</v>
      </c>
      <c r="N458" s="68" t="str">
        <f t="shared" si="29"/>
        <v>ACTIVE</v>
      </c>
      <c r="O458" s="68" t="str">
        <f t="shared" si="29"/>
        <v>ACTIVE</v>
      </c>
      <c r="P458" s="68" t="str">
        <f t="shared" si="29"/>
        <v>ACTIVE</v>
      </c>
      <c r="Q458" s="68" t="str">
        <f t="shared" si="29"/>
        <v>ACTIVE</v>
      </c>
    </row>
    <row r="459" spans="2:17" x14ac:dyDescent="0.35">
      <c r="B459" s="70" t="str">
        <v>1011904</v>
      </c>
      <c r="C459" s="68" t="str">
        <f>VLOOKUP(B459,Master!B:C,2,0)</f>
        <v>1011904</v>
      </c>
      <c r="D459" s="69">
        <f>VLOOKUP(B459,Master!B:L,11,0)</f>
        <v>45665</v>
      </c>
      <c r="E459" s="69">
        <f>VLOOKUP(B459,Master!B:P,15,0)</f>
        <v>0</v>
      </c>
      <c r="F459" s="68" t="str">
        <f t="shared" si="29"/>
        <v>ACTIVE</v>
      </c>
      <c r="G459" s="68" t="str">
        <f t="shared" si="29"/>
        <v>ACTIVE</v>
      </c>
      <c r="H459" s="68" t="str">
        <f t="shared" si="29"/>
        <v>ACTIVE</v>
      </c>
      <c r="I459" s="68" t="str">
        <f t="shared" si="29"/>
        <v>ACTIVE</v>
      </c>
      <c r="J459" s="68" t="str">
        <f t="shared" si="29"/>
        <v>ACTIVE</v>
      </c>
      <c r="K459" s="68" t="str">
        <f t="shared" si="29"/>
        <v>ACTIVE</v>
      </c>
      <c r="L459" s="68" t="str">
        <f t="shared" si="29"/>
        <v>ACTIVE</v>
      </c>
      <c r="M459" s="68" t="str">
        <f t="shared" si="29"/>
        <v>ACTIVE</v>
      </c>
      <c r="N459" s="68" t="str">
        <f t="shared" si="29"/>
        <v>ACTIVE</v>
      </c>
      <c r="O459" s="68" t="str">
        <f t="shared" si="29"/>
        <v>ACTIVE</v>
      </c>
      <c r="P459" s="68" t="str">
        <f t="shared" si="29"/>
        <v>ACTIVE</v>
      </c>
      <c r="Q459" s="68" t="str">
        <f t="shared" si="29"/>
        <v>ACTIVE</v>
      </c>
    </row>
    <row r="460" spans="2:17" x14ac:dyDescent="0.35">
      <c r="B460" s="70" t="str">
        <v>1011905</v>
      </c>
      <c r="C460" s="68" t="str">
        <f>VLOOKUP(B460,Master!B:C,2,0)</f>
        <v>1011905</v>
      </c>
      <c r="D460" s="69">
        <f>VLOOKUP(B460,Master!B:L,11,0)</f>
        <v>45665</v>
      </c>
      <c r="E460" s="69">
        <f>VLOOKUP(B460,Master!B:P,15,0)</f>
        <v>0</v>
      </c>
      <c r="F460" s="68" t="str">
        <f t="shared" si="29"/>
        <v>ACTIVE</v>
      </c>
      <c r="G460" s="68" t="str">
        <f t="shared" si="29"/>
        <v>ACTIVE</v>
      </c>
      <c r="H460" s="68" t="str">
        <f t="shared" si="29"/>
        <v>ACTIVE</v>
      </c>
      <c r="I460" s="68" t="str">
        <f t="shared" si="29"/>
        <v>ACTIVE</v>
      </c>
      <c r="J460" s="68" t="str">
        <f t="shared" si="29"/>
        <v>ACTIVE</v>
      </c>
      <c r="K460" s="68" t="str">
        <f t="shared" si="29"/>
        <v>ACTIVE</v>
      </c>
      <c r="L460" s="68" t="str">
        <f t="shared" si="29"/>
        <v>ACTIVE</v>
      </c>
      <c r="M460" s="68" t="str">
        <f t="shared" si="29"/>
        <v>ACTIVE</v>
      </c>
      <c r="N460" s="68" t="str">
        <f t="shared" si="29"/>
        <v>ACTIVE</v>
      </c>
      <c r="O460" s="68" t="str">
        <f t="shared" si="29"/>
        <v>ACTIVE</v>
      </c>
      <c r="P460" s="68" t="str">
        <f t="shared" si="29"/>
        <v>ACTIVE</v>
      </c>
      <c r="Q460" s="68" t="str">
        <f t="shared" si="29"/>
        <v>ACTIVE</v>
      </c>
    </row>
    <row r="461" spans="2:17" x14ac:dyDescent="0.35">
      <c r="B461" s="70" t="str">
        <v>1012001</v>
      </c>
      <c r="C461" s="68" t="str">
        <f>VLOOKUP(B461,Master!B:C,2,0)</f>
        <v>1012001</v>
      </c>
      <c r="D461" s="69">
        <f>VLOOKUP(B461,Master!B:L,11,0)</f>
        <v>45665</v>
      </c>
      <c r="E461" s="69">
        <f>VLOOKUP(B461,Master!B:P,15,0)</f>
        <v>0</v>
      </c>
      <c r="F461" s="68" t="str">
        <f t="shared" si="29"/>
        <v>ACTIVE</v>
      </c>
      <c r="G461" s="68" t="str">
        <f t="shared" si="29"/>
        <v>ACTIVE</v>
      </c>
      <c r="H461" s="68" t="str">
        <f t="shared" si="29"/>
        <v>ACTIVE</v>
      </c>
      <c r="I461" s="68" t="str">
        <f t="shared" si="29"/>
        <v>ACTIVE</v>
      </c>
      <c r="J461" s="68" t="str">
        <f t="shared" si="29"/>
        <v>ACTIVE</v>
      </c>
      <c r="K461" s="68" t="str">
        <f t="shared" si="29"/>
        <v>ACTIVE</v>
      </c>
      <c r="L461" s="68" t="str">
        <f t="shared" si="29"/>
        <v>ACTIVE</v>
      </c>
      <c r="M461" s="68" t="str">
        <f t="shared" si="29"/>
        <v>ACTIVE</v>
      </c>
      <c r="N461" s="68" t="str">
        <f t="shared" si="29"/>
        <v>ACTIVE</v>
      </c>
      <c r="O461" s="68" t="str">
        <f t="shared" si="29"/>
        <v>ACTIVE</v>
      </c>
      <c r="P461" s="68" t="str">
        <f t="shared" si="29"/>
        <v>ACTIVE</v>
      </c>
      <c r="Q461" s="68" t="str">
        <f t="shared" si="29"/>
        <v>ACTIVE</v>
      </c>
    </row>
    <row r="462" spans="2:17" x14ac:dyDescent="0.35">
      <c r="B462" s="70" t="str">
        <v>1012101</v>
      </c>
      <c r="C462" s="68" t="str">
        <f>VLOOKUP(B462,Master!B:C,2,0)</f>
        <v>1012101</v>
      </c>
      <c r="D462" s="69">
        <f>VLOOKUP(B462,Master!B:L,11,0)</f>
        <v>45665</v>
      </c>
      <c r="E462" s="69">
        <f>VLOOKUP(B462,Master!B:P,15,0)</f>
        <v>0</v>
      </c>
      <c r="F462" s="68" t="str">
        <f t="shared" si="29"/>
        <v>ACTIVE</v>
      </c>
      <c r="G462" s="68" t="str">
        <f t="shared" si="29"/>
        <v>ACTIVE</v>
      </c>
      <c r="H462" s="68" t="str">
        <f t="shared" si="29"/>
        <v>ACTIVE</v>
      </c>
      <c r="I462" s="68" t="str">
        <f t="shared" si="29"/>
        <v>ACTIVE</v>
      </c>
      <c r="J462" s="68" t="str">
        <f t="shared" si="29"/>
        <v>ACTIVE</v>
      </c>
      <c r="K462" s="68" t="str">
        <f t="shared" si="29"/>
        <v>ACTIVE</v>
      </c>
      <c r="L462" s="68" t="str">
        <f t="shared" si="29"/>
        <v>ACTIVE</v>
      </c>
      <c r="M462" s="68" t="str">
        <f t="shared" si="29"/>
        <v>ACTIVE</v>
      </c>
      <c r="N462" s="68" t="str">
        <f t="shared" si="29"/>
        <v>ACTIVE</v>
      </c>
      <c r="O462" s="68" t="str">
        <f t="shared" si="29"/>
        <v>ACTIVE</v>
      </c>
      <c r="P462" s="68" t="str">
        <f t="shared" si="29"/>
        <v>ACTIVE</v>
      </c>
      <c r="Q462" s="68" t="str">
        <f t="shared" si="29"/>
        <v>ACTIVE</v>
      </c>
    </row>
    <row r="463" spans="2:17" x14ac:dyDescent="0.35">
      <c r="B463" s="70" t="str">
        <v>2010101</v>
      </c>
      <c r="C463" s="68" t="str">
        <f>VLOOKUP(B463,Master!B:C,2,0)</f>
        <v>2010101</v>
      </c>
      <c r="D463" s="69">
        <f>VLOOKUP(B463,Master!B:L,11,0)</f>
        <v>45665</v>
      </c>
      <c r="E463" s="69">
        <f>VLOOKUP(B463,Master!B:P,15,0)</f>
        <v>0</v>
      </c>
      <c r="F463" s="68" t="str">
        <f t="shared" si="29"/>
        <v>ACTIVE</v>
      </c>
      <c r="G463" s="68" t="str">
        <f t="shared" si="29"/>
        <v>ACTIVE</v>
      </c>
      <c r="H463" s="68" t="str">
        <f t="shared" si="29"/>
        <v>ACTIVE</v>
      </c>
      <c r="I463" s="68" t="str">
        <f t="shared" si="29"/>
        <v>ACTIVE</v>
      </c>
      <c r="J463" s="68" t="str">
        <f t="shared" si="29"/>
        <v>ACTIVE</v>
      </c>
      <c r="K463" s="68" t="str">
        <f t="shared" si="29"/>
        <v>ACTIVE</v>
      </c>
      <c r="L463" s="68" t="str">
        <f t="shared" si="29"/>
        <v>ACTIVE</v>
      </c>
      <c r="M463" s="68" t="str">
        <f t="shared" si="29"/>
        <v>ACTIVE</v>
      </c>
      <c r="N463" s="68" t="str">
        <f t="shared" si="29"/>
        <v>ACTIVE</v>
      </c>
      <c r="O463" s="68" t="str">
        <f t="shared" si="29"/>
        <v>ACTIVE</v>
      </c>
      <c r="P463" s="68" t="str">
        <f t="shared" si="29"/>
        <v>ACTIVE</v>
      </c>
      <c r="Q463" s="68" t="str">
        <f t="shared" si="29"/>
        <v>ACTIVE</v>
      </c>
    </row>
    <row r="464" spans="2:17" x14ac:dyDescent="0.35">
      <c r="B464" s="70" t="str">
        <v>2010203</v>
      </c>
      <c r="C464" s="68" t="str">
        <f>VLOOKUP(B464,Master!B:C,2,0)</f>
        <v>2010203</v>
      </c>
      <c r="D464" s="69">
        <f>VLOOKUP(B464,Master!B:L,11,0)</f>
        <v>45665</v>
      </c>
      <c r="E464" s="69">
        <f>VLOOKUP(B464,Master!B:P,15,0)</f>
        <v>0</v>
      </c>
      <c r="F464" s="68" t="str">
        <f t="shared" si="29"/>
        <v>ACTIVE</v>
      </c>
      <c r="G464" s="68" t="str">
        <f t="shared" si="29"/>
        <v>ACTIVE</v>
      </c>
      <c r="H464" s="68" t="str">
        <f t="shared" si="29"/>
        <v>ACTIVE</v>
      </c>
      <c r="I464" s="68" t="str">
        <f t="shared" si="29"/>
        <v>ACTIVE</v>
      </c>
      <c r="J464" s="68" t="str">
        <f t="shared" si="29"/>
        <v>ACTIVE</v>
      </c>
      <c r="K464" s="68" t="str">
        <f t="shared" si="29"/>
        <v>ACTIVE</v>
      </c>
      <c r="L464" s="68" t="str">
        <f t="shared" si="29"/>
        <v>ACTIVE</v>
      </c>
      <c r="M464" s="68" t="str">
        <f t="shared" si="29"/>
        <v>ACTIVE</v>
      </c>
      <c r="N464" s="68" t="str">
        <f t="shared" si="29"/>
        <v>ACTIVE</v>
      </c>
      <c r="O464" s="68" t="str">
        <f t="shared" si="29"/>
        <v>ACTIVE</v>
      </c>
      <c r="P464" s="68" t="str">
        <f t="shared" si="29"/>
        <v>ACTIVE</v>
      </c>
      <c r="Q464" s="68" t="str">
        <f t="shared" si="29"/>
        <v>ACTIVE</v>
      </c>
    </row>
    <row r="465" spans="2:17" x14ac:dyDescent="0.35">
      <c r="B465" s="70" t="str">
        <v>2010303</v>
      </c>
      <c r="C465" s="68" t="str">
        <f>VLOOKUP(B465,Master!B:C,2,0)</f>
        <v>2010303</v>
      </c>
      <c r="D465" s="69">
        <f>VLOOKUP(B465,Master!B:L,11,0)</f>
        <v>45665</v>
      </c>
      <c r="E465" s="69">
        <f>VLOOKUP(B465,Master!B:P,15,0)</f>
        <v>0</v>
      </c>
      <c r="F465" s="68" t="str">
        <f t="shared" si="29"/>
        <v>ACTIVE</v>
      </c>
      <c r="G465" s="68" t="str">
        <f t="shared" si="29"/>
        <v>ACTIVE</v>
      </c>
      <c r="H465" s="68" t="str">
        <f t="shared" si="29"/>
        <v>ACTIVE</v>
      </c>
      <c r="I465" s="68" t="str">
        <f t="shared" si="29"/>
        <v>ACTIVE</v>
      </c>
      <c r="J465" s="68" t="str">
        <f t="shared" si="29"/>
        <v>ACTIVE</v>
      </c>
      <c r="K465" s="68" t="str">
        <f t="shared" si="29"/>
        <v>ACTIVE</v>
      </c>
      <c r="L465" s="68" t="str">
        <f t="shared" si="29"/>
        <v>ACTIVE</v>
      </c>
      <c r="M465" s="68" t="str">
        <f t="shared" si="29"/>
        <v>ACTIVE</v>
      </c>
      <c r="N465" s="68" t="str">
        <f t="shared" si="29"/>
        <v>ACTIVE</v>
      </c>
      <c r="O465" s="68" t="str">
        <f t="shared" si="29"/>
        <v>ACTIVE</v>
      </c>
      <c r="P465" s="68" t="str">
        <f t="shared" si="29"/>
        <v>ACTIVE</v>
      </c>
      <c r="Q465" s="68" t="str">
        <f t="shared" si="29"/>
        <v>ACTIVE</v>
      </c>
    </row>
    <row r="466" spans="2:17" x14ac:dyDescent="0.35">
      <c r="B466" s="70" t="str">
        <v>2010306</v>
      </c>
      <c r="C466" s="68" t="str">
        <f>VLOOKUP(B466,Master!B:C,2,0)</f>
        <v>2010306</v>
      </c>
      <c r="D466" s="69">
        <f>VLOOKUP(B466,Master!B:L,11,0)</f>
        <v>45665</v>
      </c>
      <c r="E466" s="69">
        <f>VLOOKUP(B466,Master!B:P,15,0)</f>
        <v>0</v>
      </c>
      <c r="F466" s="68" t="str">
        <f t="shared" si="29"/>
        <v>ACTIVE</v>
      </c>
      <c r="G466" s="68" t="str">
        <f t="shared" si="29"/>
        <v>ACTIVE</v>
      </c>
      <c r="H466" s="68" t="str">
        <f t="shared" si="29"/>
        <v>ACTIVE</v>
      </c>
      <c r="I466" s="68" t="str">
        <f t="shared" si="29"/>
        <v>ACTIVE</v>
      </c>
      <c r="J466" s="68" t="str">
        <f t="shared" si="29"/>
        <v>ACTIVE</v>
      </c>
      <c r="K466" s="68" t="str">
        <f t="shared" si="29"/>
        <v>ACTIVE</v>
      </c>
      <c r="L466" s="68" t="str">
        <f t="shared" si="29"/>
        <v>ACTIVE</v>
      </c>
      <c r="M466" s="68" t="str">
        <f t="shared" si="29"/>
        <v>ACTIVE</v>
      </c>
      <c r="N466" s="68" t="str">
        <f t="shared" si="29"/>
        <v>ACTIVE</v>
      </c>
      <c r="O466" s="68" t="str">
        <f t="shared" si="29"/>
        <v>ACTIVE</v>
      </c>
      <c r="P466" s="68" t="str">
        <f t="shared" si="29"/>
        <v>ACTIVE</v>
      </c>
      <c r="Q466" s="68" t="str">
        <f t="shared" si="29"/>
        <v>ACTIVE</v>
      </c>
    </row>
    <row r="467" spans="2:17" x14ac:dyDescent="0.35">
      <c r="B467" s="70" t="str">
        <v>2010309</v>
      </c>
      <c r="C467" s="68" t="str">
        <f>VLOOKUP(B467,Master!B:C,2,0)</f>
        <v>2010309</v>
      </c>
      <c r="D467" s="69">
        <f>VLOOKUP(B467,Master!B:L,11,0)</f>
        <v>45665</v>
      </c>
      <c r="E467" s="69">
        <f>VLOOKUP(B467,Master!B:P,15,0)</f>
        <v>0</v>
      </c>
      <c r="F467" s="68" t="str">
        <f t="shared" si="29"/>
        <v>ACTIVE</v>
      </c>
      <c r="G467" s="68" t="str">
        <f t="shared" si="29"/>
        <v>ACTIVE</v>
      </c>
      <c r="H467" s="68" t="str">
        <f t="shared" si="29"/>
        <v>ACTIVE</v>
      </c>
      <c r="I467" s="68" t="str">
        <f t="shared" si="29"/>
        <v>ACTIVE</v>
      </c>
      <c r="J467" s="68" t="str">
        <f t="shared" si="29"/>
        <v>ACTIVE</v>
      </c>
      <c r="K467" s="68" t="str">
        <f t="shared" si="29"/>
        <v>ACTIVE</v>
      </c>
      <c r="L467" s="68" t="str">
        <f t="shared" si="29"/>
        <v>ACTIVE</v>
      </c>
      <c r="M467" s="68" t="str">
        <f t="shared" si="29"/>
        <v>ACTIVE</v>
      </c>
      <c r="N467" s="68" t="str">
        <f t="shared" si="29"/>
        <v>ACTIVE</v>
      </c>
      <c r="O467" s="68" t="str">
        <f t="shared" si="29"/>
        <v>ACTIVE</v>
      </c>
      <c r="P467" s="68" t="str">
        <f t="shared" si="29"/>
        <v>ACTIVE</v>
      </c>
      <c r="Q467" s="68" t="str">
        <f t="shared" si="29"/>
        <v>ACTIVE</v>
      </c>
    </row>
    <row r="468" spans="2:17" x14ac:dyDescent="0.35">
      <c r="B468" s="70" t="str">
        <v>2010310</v>
      </c>
      <c r="C468" s="68" t="str">
        <f>VLOOKUP(B468,Master!B:C,2,0)</f>
        <v>2010310</v>
      </c>
      <c r="D468" s="69">
        <f>VLOOKUP(B468,Master!B:L,11,0)</f>
        <v>45665</v>
      </c>
      <c r="E468" s="69">
        <f>VLOOKUP(B468,Master!B:P,15,0)</f>
        <v>0</v>
      </c>
      <c r="F468" s="68" t="str">
        <f t="shared" ref="F468:Q483" si="30">IF($E468&gt;0,"CLOSED",IF($D468&lt;F$1,"ACTIVE","WAITING FOR OPEN"))</f>
        <v>ACTIVE</v>
      </c>
      <c r="G468" s="68" t="str">
        <f t="shared" si="30"/>
        <v>ACTIVE</v>
      </c>
      <c r="H468" s="68" t="str">
        <f t="shared" si="30"/>
        <v>ACTIVE</v>
      </c>
      <c r="I468" s="68" t="str">
        <f t="shared" si="30"/>
        <v>ACTIVE</v>
      </c>
      <c r="J468" s="68" t="str">
        <f t="shared" si="30"/>
        <v>ACTIVE</v>
      </c>
      <c r="K468" s="68" t="str">
        <f t="shared" si="30"/>
        <v>ACTIVE</v>
      </c>
      <c r="L468" s="68" t="str">
        <f t="shared" si="30"/>
        <v>ACTIVE</v>
      </c>
      <c r="M468" s="68" t="str">
        <f t="shared" si="30"/>
        <v>ACTIVE</v>
      </c>
      <c r="N468" s="68" t="str">
        <f t="shared" si="30"/>
        <v>ACTIVE</v>
      </c>
      <c r="O468" s="68" t="str">
        <f t="shared" si="30"/>
        <v>ACTIVE</v>
      </c>
      <c r="P468" s="68" t="str">
        <f t="shared" si="30"/>
        <v>ACTIVE</v>
      </c>
      <c r="Q468" s="68" t="str">
        <f t="shared" si="30"/>
        <v>ACTIVE</v>
      </c>
    </row>
    <row r="469" spans="2:17" x14ac:dyDescent="0.35">
      <c r="B469" s="70" t="str">
        <v>2010312</v>
      </c>
      <c r="C469" s="68" t="str">
        <f>VLOOKUP(B469,Master!B:C,2,0)</f>
        <v>2010312</v>
      </c>
      <c r="D469" s="69">
        <f>VLOOKUP(B469,Master!B:L,11,0)</f>
        <v>45665</v>
      </c>
      <c r="E469" s="69">
        <f>VLOOKUP(B469,Master!B:P,15,0)</f>
        <v>0</v>
      </c>
      <c r="F469" s="68" t="str">
        <f t="shared" si="30"/>
        <v>ACTIVE</v>
      </c>
      <c r="G469" s="68" t="str">
        <f t="shared" si="30"/>
        <v>ACTIVE</v>
      </c>
      <c r="H469" s="68" t="str">
        <f t="shared" si="30"/>
        <v>ACTIVE</v>
      </c>
      <c r="I469" s="68" t="str">
        <f t="shared" si="30"/>
        <v>ACTIVE</v>
      </c>
      <c r="J469" s="68" t="str">
        <f t="shared" si="30"/>
        <v>ACTIVE</v>
      </c>
      <c r="K469" s="68" t="str">
        <f t="shared" si="30"/>
        <v>ACTIVE</v>
      </c>
      <c r="L469" s="68" t="str">
        <f t="shared" si="30"/>
        <v>ACTIVE</v>
      </c>
      <c r="M469" s="68" t="str">
        <f t="shared" si="30"/>
        <v>ACTIVE</v>
      </c>
      <c r="N469" s="68" t="str">
        <f t="shared" si="30"/>
        <v>ACTIVE</v>
      </c>
      <c r="O469" s="68" t="str">
        <f t="shared" si="30"/>
        <v>ACTIVE</v>
      </c>
      <c r="P469" s="68" t="str">
        <f t="shared" si="30"/>
        <v>ACTIVE</v>
      </c>
      <c r="Q469" s="68" t="str">
        <f t="shared" si="30"/>
        <v>ACTIVE</v>
      </c>
    </row>
    <row r="470" spans="2:17" x14ac:dyDescent="0.35">
      <c r="B470" s="70" t="str">
        <v>2010313</v>
      </c>
      <c r="C470" s="68" t="str">
        <f>VLOOKUP(B470,Master!B:C,2,0)</f>
        <v>2010313</v>
      </c>
      <c r="D470" s="69">
        <f>VLOOKUP(B470,Master!B:L,11,0)</f>
        <v>45665</v>
      </c>
      <c r="E470" s="69">
        <f>VLOOKUP(B470,Master!B:P,15,0)</f>
        <v>0</v>
      </c>
      <c r="F470" s="68" t="str">
        <f t="shared" si="30"/>
        <v>ACTIVE</v>
      </c>
      <c r="G470" s="68" t="str">
        <f t="shared" si="30"/>
        <v>ACTIVE</v>
      </c>
      <c r="H470" s="68" t="str">
        <f t="shared" si="30"/>
        <v>ACTIVE</v>
      </c>
      <c r="I470" s="68" t="str">
        <f t="shared" si="30"/>
        <v>ACTIVE</v>
      </c>
      <c r="J470" s="68" t="str">
        <f t="shared" si="30"/>
        <v>ACTIVE</v>
      </c>
      <c r="K470" s="68" t="str">
        <f t="shared" si="30"/>
        <v>ACTIVE</v>
      </c>
      <c r="L470" s="68" t="str">
        <f t="shared" si="30"/>
        <v>ACTIVE</v>
      </c>
      <c r="M470" s="68" t="str">
        <f t="shared" si="30"/>
        <v>ACTIVE</v>
      </c>
      <c r="N470" s="68" t="str">
        <f t="shared" si="30"/>
        <v>ACTIVE</v>
      </c>
      <c r="O470" s="68" t="str">
        <f t="shared" si="30"/>
        <v>ACTIVE</v>
      </c>
      <c r="P470" s="68" t="str">
        <f t="shared" si="30"/>
        <v>ACTIVE</v>
      </c>
      <c r="Q470" s="68" t="str">
        <f t="shared" si="30"/>
        <v>ACTIVE</v>
      </c>
    </row>
    <row r="471" spans="2:17" x14ac:dyDescent="0.35">
      <c r="B471" s="70" t="str">
        <v>2010315</v>
      </c>
      <c r="C471" s="68" t="str">
        <f>VLOOKUP(B471,Master!B:C,2,0)</f>
        <v>2010315</v>
      </c>
      <c r="D471" s="69">
        <f>VLOOKUP(B471,Master!B:L,11,0)</f>
        <v>45665</v>
      </c>
      <c r="E471" s="69">
        <f>VLOOKUP(B471,Master!B:P,15,0)</f>
        <v>0</v>
      </c>
      <c r="F471" s="68" t="str">
        <f t="shared" si="30"/>
        <v>ACTIVE</v>
      </c>
      <c r="G471" s="68" t="str">
        <f t="shared" si="30"/>
        <v>ACTIVE</v>
      </c>
      <c r="H471" s="68" t="str">
        <f t="shared" si="30"/>
        <v>ACTIVE</v>
      </c>
      <c r="I471" s="68" t="str">
        <f t="shared" si="30"/>
        <v>ACTIVE</v>
      </c>
      <c r="J471" s="68" t="str">
        <f t="shared" si="30"/>
        <v>ACTIVE</v>
      </c>
      <c r="K471" s="68" t="str">
        <f t="shared" si="30"/>
        <v>ACTIVE</v>
      </c>
      <c r="L471" s="68" t="str">
        <f t="shared" si="30"/>
        <v>ACTIVE</v>
      </c>
      <c r="M471" s="68" t="str">
        <f t="shared" si="30"/>
        <v>ACTIVE</v>
      </c>
      <c r="N471" s="68" t="str">
        <f t="shared" si="30"/>
        <v>ACTIVE</v>
      </c>
      <c r="O471" s="68" t="str">
        <f t="shared" si="30"/>
        <v>ACTIVE</v>
      </c>
      <c r="P471" s="68" t="str">
        <f t="shared" si="30"/>
        <v>ACTIVE</v>
      </c>
      <c r="Q471" s="68" t="str">
        <f t="shared" si="30"/>
        <v>ACTIVE</v>
      </c>
    </row>
    <row r="472" spans="2:17" x14ac:dyDescent="0.35">
      <c r="B472" s="70" t="str">
        <v>2010402</v>
      </c>
      <c r="C472" s="68" t="str">
        <f>VLOOKUP(B472,Master!B:C,2,0)</f>
        <v>2010402</v>
      </c>
      <c r="D472" s="69">
        <f>VLOOKUP(B472,Master!B:L,11,0)</f>
        <v>45665</v>
      </c>
      <c r="E472" s="69">
        <f>VLOOKUP(B472,Master!B:P,15,0)</f>
        <v>0</v>
      </c>
      <c r="F472" s="68" t="str">
        <f t="shared" si="30"/>
        <v>ACTIVE</v>
      </c>
      <c r="G472" s="68" t="str">
        <f t="shared" si="30"/>
        <v>ACTIVE</v>
      </c>
      <c r="H472" s="68" t="str">
        <f t="shared" si="30"/>
        <v>ACTIVE</v>
      </c>
      <c r="I472" s="68" t="str">
        <f t="shared" si="30"/>
        <v>ACTIVE</v>
      </c>
      <c r="J472" s="68" t="str">
        <f t="shared" si="30"/>
        <v>ACTIVE</v>
      </c>
      <c r="K472" s="68" t="str">
        <f t="shared" si="30"/>
        <v>ACTIVE</v>
      </c>
      <c r="L472" s="68" t="str">
        <f t="shared" si="30"/>
        <v>ACTIVE</v>
      </c>
      <c r="M472" s="68" t="str">
        <f t="shared" si="30"/>
        <v>ACTIVE</v>
      </c>
      <c r="N472" s="68" t="str">
        <f t="shared" si="30"/>
        <v>ACTIVE</v>
      </c>
      <c r="O472" s="68" t="str">
        <f t="shared" si="30"/>
        <v>ACTIVE</v>
      </c>
      <c r="P472" s="68" t="str">
        <f t="shared" si="30"/>
        <v>ACTIVE</v>
      </c>
      <c r="Q472" s="68" t="str">
        <f t="shared" si="30"/>
        <v>ACTIVE</v>
      </c>
    </row>
    <row r="473" spans="2:17" x14ac:dyDescent="0.35">
      <c r="B473" s="70" t="str">
        <v>2010403</v>
      </c>
      <c r="C473" s="68" t="str">
        <f>VLOOKUP(B473,Master!B:C,2,0)</f>
        <v>2010403</v>
      </c>
      <c r="D473" s="69">
        <f>VLOOKUP(B473,Master!B:L,11,0)</f>
        <v>45665</v>
      </c>
      <c r="E473" s="69">
        <f>VLOOKUP(B473,Master!B:P,15,0)</f>
        <v>0</v>
      </c>
      <c r="F473" s="68" t="str">
        <f t="shared" si="30"/>
        <v>ACTIVE</v>
      </c>
      <c r="G473" s="68" t="str">
        <f t="shared" si="30"/>
        <v>ACTIVE</v>
      </c>
      <c r="H473" s="68" t="str">
        <f t="shared" si="30"/>
        <v>ACTIVE</v>
      </c>
      <c r="I473" s="68" t="str">
        <f t="shared" si="30"/>
        <v>ACTIVE</v>
      </c>
      <c r="J473" s="68" t="str">
        <f t="shared" si="30"/>
        <v>ACTIVE</v>
      </c>
      <c r="K473" s="68" t="str">
        <f t="shared" si="30"/>
        <v>ACTIVE</v>
      </c>
      <c r="L473" s="68" t="str">
        <f t="shared" si="30"/>
        <v>ACTIVE</v>
      </c>
      <c r="M473" s="68" t="str">
        <f t="shared" si="30"/>
        <v>ACTIVE</v>
      </c>
      <c r="N473" s="68" t="str">
        <f t="shared" si="30"/>
        <v>ACTIVE</v>
      </c>
      <c r="O473" s="68" t="str">
        <f t="shared" si="30"/>
        <v>ACTIVE</v>
      </c>
      <c r="P473" s="68" t="str">
        <f t="shared" si="30"/>
        <v>ACTIVE</v>
      </c>
      <c r="Q473" s="68" t="str">
        <f t="shared" si="30"/>
        <v>ACTIVE</v>
      </c>
    </row>
    <row r="474" spans="2:17" x14ac:dyDescent="0.35">
      <c r="B474" s="70" t="str">
        <v>2010501</v>
      </c>
      <c r="C474" s="68" t="str">
        <f>VLOOKUP(B474,Master!B:C,2,0)</f>
        <v>2010501</v>
      </c>
      <c r="D474" s="69">
        <f>VLOOKUP(B474,Master!B:L,11,0)</f>
        <v>45665</v>
      </c>
      <c r="E474" s="69">
        <f>VLOOKUP(B474,Master!B:P,15,0)</f>
        <v>0</v>
      </c>
      <c r="F474" s="68" t="str">
        <f t="shared" si="30"/>
        <v>ACTIVE</v>
      </c>
      <c r="G474" s="68" t="str">
        <f t="shared" si="30"/>
        <v>ACTIVE</v>
      </c>
      <c r="H474" s="68" t="str">
        <f t="shared" si="30"/>
        <v>ACTIVE</v>
      </c>
      <c r="I474" s="68" t="str">
        <f t="shared" si="30"/>
        <v>ACTIVE</v>
      </c>
      <c r="J474" s="68" t="str">
        <f t="shared" si="30"/>
        <v>ACTIVE</v>
      </c>
      <c r="K474" s="68" t="str">
        <f t="shared" si="30"/>
        <v>ACTIVE</v>
      </c>
      <c r="L474" s="68" t="str">
        <f t="shared" si="30"/>
        <v>ACTIVE</v>
      </c>
      <c r="M474" s="68" t="str">
        <f t="shared" si="30"/>
        <v>ACTIVE</v>
      </c>
      <c r="N474" s="68" t="str">
        <f t="shared" si="30"/>
        <v>ACTIVE</v>
      </c>
      <c r="O474" s="68" t="str">
        <f t="shared" si="30"/>
        <v>ACTIVE</v>
      </c>
      <c r="P474" s="68" t="str">
        <f t="shared" si="30"/>
        <v>ACTIVE</v>
      </c>
      <c r="Q474" s="68" t="str">
        <f t="shared" si="30"/>
        <v>ACTIVE</v>
      </c>
    </row>
    <row r="475" spans="2:17" x14ac:dyDescent="0.35">
      <c r="B475" s="70" t="str">
        <v>2010507</v>
      </c>
      <c r="C475" s="68" t="str">
        <f>VLOOKUP(B475,Master!B:C,2,0)</f>
        <v>2010507</v>
      </c>
      <c r="D475" s="69">
        <f>VLOOKUP(B475,Master!B:L,11,0)</f>
        <v>45665</v>
      </c>
      <c r="E475" s="69">
        <f>VLOOKUP(B475,Master!B:P,15,0)</f>
        <v>0</v>
      </c>
      <c r="F475" s="68" t="str">
        <f t="shared" si="30"/>
        <v>ACTIVE</v>
      </c>
      <c r="G475" s="68" t="str">
        <f t="shared" si="30"/>
        <v>ACTIVE</v>
      </c>
      <c r="H475" s="68" t="str">
        <f t="shared" si="30"/>
        <v>ACTIVE</v>
      </c>
      <c r="I475" s="68" t="str">
        <f t="shared" si="30"/>
        <v>ACTIVE</v>
      </c>
      <c r="J475" s="68" t="str">
        <f t="shared" si="30"/>
        <v>ACTIVE</v>
      </c>
      <c r="K475" s="68" t="str">
        <f t="shared" si="30"/>
        <v>ACTIVE</v>
      </c>
      <c r="L475" s="68" t="str">
        <f t="shared" si="30"/>
        <v>ACTIVE</v>
      </c>
      <c r="M475" s="68" t="str">
        <f t="shared" si="30"/>
        <v>ACTIVE</v>
      </c>
      <c r="N475" s="68" t="str">
        <f t="shared" si="30"/>
        <v>ACTIVE</v>
      </c>
      <c r="O475" s="68" t="str">
        <f t="shared" si="30"/>
        <v>ACTIVE</v>
      </c>
      <c r="P475" s="68" t="str">
        <f t="shared" si="30"/>
        <v>ACTIVE</v>
      </c>
      <c r="Q475" s="68" t="str">
        <f t="shared" si="30"/>
        <v>ACTIVE</v>
      </c>
    </row>
    <row r="476" spans="2:17" x14ac:dyDescent="0.35">
      <c r="B476" s="70" t="str">
        <v>2010601</v>
      </c>
      <c r="C476" s="68" t="str">
        <f>VLOOKUP(B476,Master!B:C,2,0)</f>
        <v>2010601</v>
      </c>
      <c r="D476" s="69">
        <f>VLOOKUP(B476,Master!B:L,11,0)</f>
        <v>45665</v>
      </c>
      <c r="E476" s="69">
        <f>VLOOKUP(B476,Master!B:P,15,0)</f>
        <v>0</v>
      </c>
      <c r="F476" s="68" t="str">
        <f t="shared" si="30"/>
        <v>ACTIVE</v>
      </c>
      <c r="G476" s="68" t="str">
        <f t="shared" si="30"/>
        <v>ACTIVE</v>
      </c>
      <c r="H476" s="68" t="str">
        <f t="shared" si="30"/>
        <v>ACTIVE</v>
      </c>
      <c r="I476" s="68" t="str">
        <f t="shared" si="30"/>
        <v>ACTIVE</v>
      </c>
      <c r="J476" s="68" t="str">
        <f t="shared" si="30"/>
        <v>ACTIVE</v>
      </c>
      <c r="K476" s="68" t="str">
        <f t="shared" si="30"/>
        <v>ACTIVE</v>
      </c>
      <c r="L476" s="68" t="str">
        <f t="shared" si="30"/>
        <v>ACTIVE</v>
      </c>
      <c r="M476" s="68" t="str">
        <f t="shared" si="30"/>
        <v>ACTIVE</v>
      </c>
      <c r="N476" s="68" t="str">
        <f t="shared" si="30"/>
        <v>ACTIVE</v>
      </c>
      <c r="O476" s="68" t="str">
        <f t="shared" si="30"/>
        <v>ACTIVE</v>
      </c>
      <c r="P476" s="68" t="str">
        <f t="shared" si="30"/>
        <v>ACTIVE</v>
      </c>
      <c r="Q476" s="68" t="str">
        <f t="shared" si="30"/>
        <v>ACTIVE</v>
      </c>
    </row>
    <row r="477" spans="2:17" x14ac:dyDescent="0.35">
      <c r="B477" s="70" t="str">
        <v>2010602</v>
      </c>
      <c r="C477" s="68" t="str">
        <f>VLOOKUP(B477,Master!B:C,2,0)</f>
        <v>2010602</v>
      </c>
      <c r="D477" s="69">
        <f>VLOOKUP(B477,Master!B:L,11,0)</f>
        <v>45665</v>
      </c>
      <c r="E477" s="69">
        <f>VLOOKUP(B477,Master!B:P,15,0)</f>
        <v>0</v>
      </c>
      <c r="F477" s="68" t="str">
        <f t="shared" si="30"/>
        <v>ACTIVE</v>
      </c>
      <c r="G477" s="68" t="str">
        <f t="shared" si="30"/>
        <v>ACTIVE</v>
      </c>
      <c r="H477" s="68" t="str">
        <f t="shared" si="30"/>
        <v>ACTIVE</v>
      </c>
      <c r="I477" s="68" t="str">
        <f t="shared" si="30"/>
        <v>ACTIVE</v>
      </c>
      <c r="J477" s="68" t="str">
        <f t="shared" si="30"/>
        <v>ACTIVE</v>
      </c>
      <c r="K477" s="68" t="str">
        <f t="shared" si="30"/>
        <v>ACTIVE</v>
      </c>
      <c r="L477" s="68" t="str">
        <f t="shared" si="30"/>
        <v>ACTIVE</v>
      </c>
      <c r="M477" s="68" t="str">
        <f t="shared" si="30"/>
        <v>ACTIVE</v>
      </c>
      <c r="N477" s="68" t="str">
        <f t="shared" si="30"/>
        <v>ACTIVE</v>
      </c>
      <c r="O477" s="68" t="str">
        <f t="shared" si="30"/>
        <v>ACTIVE</v>
      </c>
      <c r="P477" s="68" t="str">
        <f t="shared" si="30"/>
        <v>ACTIVE</v>
      </c>
      <c r="Q477" s="68" t="str">
        <f t="shared" si="30"/>
        <v>ACTIVE</v>
      </c>
    </row>
    <row r="478" spans="2:17" x14ac:dyDescent="0.35">
      <c r="B478" s="70" t="str">
        <v>2010604</v>
      </c>
      <c r="C478" s="68" t="str">
        <f>VLOOKUP(B478,Master!B:C,2,0)</f>
        <v>2010604</v>
      </c>
      <c r="D478" s="69">
        <f>VLOOKUP(B478,Master!B:L,11,0)</f>
        <v>45665</v>
      </c>
      <c r="E478" s="69">
        <f>VLOOKUP(B478,Master!B:P,15,0)</f>
        <v>0</v>
      </c>
      <c r="F478" s="68" t="str">
        <f t="shared" si="30"/>
        <v>ACTIVE</v>
      </c>
      <c r="G478" s="68" t="str">
        <f t="shared" si="30"/>
        <v>ACTIVE</v>
      </c>
      <c r="H478" s="68" t="str">
        <f t="shared" si="30"/>
        <v>ACTIVE</v>
      </c>
      <c r="I478" s="68" t="str">
        <f t="shared" si="30"/>
        <v>ACTIVE</v>
      </c>
      <c r="J478" s="68" t="str">
        <f t="shared" si="30"/>
        <v>ACTIVE</v>
      </c>
      <c r="K478" s="68" t="str">
        <f t="shared" si="30"/>
        <v>ACTIVE</v>
      </c>
      <c r="L478" s="68" t="str">
        <f t="shared" si="30"/>
        <v>ACTIVE</v>
      </c>
      <c r="M478" s="68" t="str">
        <f t="shared" si="30"/>
        <v>ACTIVE</v>
      </c>
      <c r="N478" s="68" t="str">
        <f t="shared" si="30"/>
        <v>ACTIVE</v>
      </c>
      <c r="O478" s="68" t="str">
        <f t="shared" si="30"/>
        <v>ACTIVE</v>
      </c>
      <c r="P478" s="68" t="str">
        <f t="shared" si="30"/>
        <v>ACTIVE</v>
      </c>
      <c r="Q478" s="68" t="str">
        <f t="shared" si="30"/>
        <v>ACTIVE</v>
      </c>
    </row>
    <row r="479" spans="2:17" x14ac:dyDescent="0.35">
      <c r="B479" s="70" t="str">
        <v>2010701</v>
      </c>
      <c r="C479" s="68" t="str">
        <f>VLOOKUP(B479,Master!B:C,2,0)</f>
        <v>2010701</v>
      </c>
      <c r="D479" s="69">
        <f>VLOOKUP(B479,Master!B:L,11,0)</f>
        <v>45665</v>
      </c>
      <c r="E479" s="69">
        <f>VLOOKUP(B479,Master!B:P,15,0)</f>
        <v>0</v>
      </c>
      <c r="F479" s="68" t="str">
        <f t="shared" si="30"/>
        <v>ACTIVE</v>
      </c>
      <c r="G479" s="68" t="str">
        <f t="shared" si="30"/>
        <v>ACTIVE</v>
      </c>
      <c r="H479" s="68" t="str">
        <f t="shared" si="30"/>
        <v>ACTIVE</v>
      </c>
      <c r="I479" s="68" t="str">
        <f t="shared" si="30"/>
        <v>ACTIVE</v>
      </c>
      <c r="J479" s="68" t="str">
        <f t="shared" si="30"/>
        <v>ACTIVE</v>
      </c>
      <c r="K479" s="68" t="str">
        <f t="shared" si="30"/>
        <v>ACTIVE</v>
      </c>
      <c r="L479" s="68" t="str">
        <f t="shared" si="30"/>
        <v>ACTIVE</v>
      </c>
      <c r="M479" s="68" t="str">
        <f t="shared" si="30"/>
        <v>ACTIVE</v>
      </c>
      <c r="N479" s="68" t="str">
        <f t="shared" si="30"/>
        <v>ACTIVE</v>
      </c>
      <c r="O479" s="68" t="str">
        <f t="shared" si="30"/>
        <v>ACTIVE</v>
      </c>
      <c r="P479" s="68" t="str">
        <f t="shared" si="30"/>
        <v>ACTIVE</v>
      </c>
      <c r="Q479" s="68" t="str">
        <f t="shared" si="30"/>
        <v>ACTIVE</v>
      </c>
    </row>
    <row r="480" spans="2:17" x14ac:dyDescent="0.35">
      <c r="B480" s="70" t="str">
        <v>2010704</v>
      </c>
      <c r="C480" s="68" t="str">
        <f>VLOOKUP(B480,Master!B:C,2,0)</f>
        <v>2010704</v>
      </c>
      <c r="D480" s="69">
        <f>VLOOKUP(B480,Master!B:L,11,0)</f>
        <v>45665</v>
      </c>
      <c r="E480" s="69">
        <f>VLOOKUP(B480,Master!B:P,15,0)</f>
        <v>0</v>
      </c>
      <c r="F480" s="68" t="str">
        <f t="shared" si="30"/>
        <v>ACTIVE</v>
      </c>
      <c r="G480" s="68" t="str">
        <f t="shared" si="30"/>
        <v>ACTIVE</v>
      </c>
      <c r="H480" s="68" t="str">
        <f t="shared" si="30"/>
        <v>ACTIVE</v>
      </c>
      <c r="I480" s="68" t="str">
        <f t="shared" si="30"/>
        <v>ACTIVE</v>
      </c>
      <c r="J480" s="68" t="str">
        <f t="shared" si="30"/>
        <v>ACTIVE</v>
      </c>
      <c r="K480" s="68" t="str">
        <f t="shared" si="30"/>
        <v>ACTIVE</v>
      </c>
      <c r="L480" s="68" t="str">
        <f t="shared" si="30"/>
        <v>ACTIVE</v>
      </c>
      <c r="M480" s="68" t="str">
        <f t="shared" si="30"/>
        <v>ACTIVE</v>
      </c>
      <c r="N480" s="68" t="str">
        <f t="shared" si="30"/>
        <v>ACTIVE</v>
      </c>
      <c r="O480" s="68" t="str">
        <f t="shared" si="30"/>
        <v>ACTIVE</v>
      </c>
      <c r="P480" s="68" t="str">
        <f t="shared" si="30"/>
        <v>ACTIVE</v>
      </c>
      <c r="Q480" s="68" t="str">
        <f t="shared" si="30"/>
        <v>ACTIVE</v>
      </c>
    </row>
    <row r="481" spans="2:17" x14ac:dyDescent="0.35">
      <c r="B481" s="70" t="str">
        <v>2010804</v>
      </c>
      <c r="C481" s="68" t="str">
        <f>VLOOKUP(B481,Master!B:C,2,0)</f>
        <v>2010804</v>
      </c>
      <c r="D481" s="69">
        <f>VLOOKUP(B481,Master!B:L,11,0)</f>
        <v>45665</v>
      </c>
      <c r="E481" s="69">
        <f>VLOOKUP(B481,Master!B:P,15,0)</f>
        <v>0</v>
      </c>
      <c r="F481" s="68" t="str">
        <f t="shared" si="30"/>
        <v>ACTIVE</v>
      </c>
      <c r="G481" s="68" t="str">
        <f t="shared" si="30"/>
        <v>ACTIVE</v>
      </c>
      <c r="H481" s="68" t="str">
        <f t="shared" si="30"/>
        <v>ACTIVE</v>
      </c>
      <c r="I481" s="68" t="str">
        <f t="shared" si="30"/>
        <v>ACTIVE</v>
      </c>
      <c r="J481" s="68" t="str">
        <f t="shared" si="30"/>
        <v>ACTIVE</v>
      </c>
      <c r="K481" s="68" t="str">
        <f t="shared" si="30"/>
        <v>ACTIVE</v>
      </c>
      <c r="L481" s="68" t="str">
        <f t="shared" si="30"/>
        <v>ACTIVE</v>
      </c>
      <c r="M481" s="68" t="str">
        <f t="shared" si="30"/>
        <v>ACTIVE</v>
      </c>
      <c r="N481" s="68" t="str">
        <f t="shared" si="30"/>
        <v>ACTIVE</v>
      </c>
      <c r="O481" s="68" t="str">
        <f t="shared" si="30"/>
        <v>ACTIVE</v>
      </c>
      <c r="P481" s="68" t="str">
        <f t="shared" si="30"/>
        <v>ACTIVE</v>
      </c>
      <c r="Q481" s="68" t="str">
        <f t="shared" si="30"/>
        <v>ACTIVE</v>
      </c>
    </row>
    <row r="482" spans="2:17" x14ac:dyDescent="0.35">
      <c r="B482" s="70" t="str">
        <v>2010902</v>
      </c>
      <c r="C482" s="68" t="str">
        <f>VLOOKUP(B482,Master!B:C,2,0)</f>
        <v>2010902</v>
      </c>
      <c r="D482" s="69">
        <f>VLOOKUP(B482,Master!B:L,11,0)</f>
        <v>45665</v>
      </c>
      <c r="E482" s="69">
        <f>VLOOKUP(B482,Master!B:P,15,0)</f>
        <v>0</v>
      </c>
      <c r="F482" s="68" t="str">
        <f t="shared" si="30"/>
        <v>ACTIVE</v>
      </c>
      <c r="G482" s="68" t="str">
        <f t="shared" si="30"/>
        <v>ACTIVE</v>
      </c>
      <c r="H482" s="68" t="str">
        <f t="shared" si="30"/>
        <v>ACTIVE</v>
      </c>
      <c r="I482" s="68" t="str">
        <f t="shared" si="30"/>
        <v>ACTIVE</v>
      </c>
      <c r="J482" s="68" t="str">
        <f t="shared" si="30"/>
        <v>ACTIVE</v>
      </c>
      <c r="K482" s="68" t="str">
        <f t="shared" si="30"/>
        <v>ACTIVE</v>
      </c>
      <c r="L482" s="68" t="str">
        <f t="shared" si="30"/>
        <v>ACTIVE</v>
      </c>
      <c r="M482" s="68" t="str">
        <f t="shared" si="30"/>
        <v>ACTIVE</v>
      </c>
      <c r="N482" s="68" t="str">
        <f t="shared" si="30"/>
        <v>ACTIVE</v>
      </c>
      <c r="O482" s="68" t="str">
        <f t="shared" si="30"/>
        <v>ACTIVE</v>
      </c>
      <c r="P482" s="68" t="str">
        <f t="shared" si="30"/>
        <v>ACTIVE</v>
      </c>
      <c r="Q482" s="68" t="str">
        <f t="shared" si="30"/>
        <v>ACTIVE</v>
      </c>
    </row>
    <row r="483" spans="2:17" x14ac:dyDescent="0.35">
      <c r="B483" s="70" t="str">
        <v>2011001</v>
      </c>
      <c r="C483" s="68" t="str">
        <f>VLOOKUP(B483,Master!B:C,2,0)</f>
        <v>2011001</v>
      </c>
      <c r="D483" s="69">
        <f>VLOOKUP(B483,Master!B:L,11,0)</f>
        <v>45665</v>
      </c>
      <c r="E483" s="69">
        <f>VLOOKUP(B483,Master!B:P,15,0)</f>
        <v>0</v>
      </c>
      <c r="F483" s="68" t="str">
        <f t="shared" si="30"/>
        <v>ACTIVE</v>
      </c>
      <c r="G483" s="68" t="str">
        <f t="shared" si="30"/>
        <v>ACTIVE</v>
      </c>
      <c r="H483" s="68" t="str">
        <f t="shared" si="30"/>
        <v>ACTIVE</v>
      </c>
      <c r="I483" s="68" t="str">
        <f t="shared" si="30"/>
        <v>ACTIVE</v>
      </c>
      <c r="J483" s="68" t="str">
        <f t="shared" si="30"/>
        <v>ACTIVE</v>
      </c>
      <c r="K483" s="68" t="str">
        <f t="shared" si="30"/>
        <v>ACTIVE</v>
      </c>
      <c r="L483" s="68" t="str">
        <f t="shared" si="30"/>
        <v>ACTIVE</v>
      </c>
      <c r="M483" s="68" t="str">
        <f t="shared" si="30"/>
        <v>ACTIVE</v>
      </c>
      <c r="N483" s="68" t="str">
        <f t="shared" si="30"/>
        <v>ACTIVE</v>
      </c>
      <c r="O483" s="68" t="str">
        <f t="shared" si="30"/>
        <v>ACTIVE</v>
      </c>
      <c r="P483" s="68" t="str">
        <f t="shared" si="30"/>
        <v>ACTIVE</v>
      </c>
      <c r="Q483" s="68" t="str">
        <f t="shared" si="30"/>
        <v>ACTIVE</v>
      </c>
    </row>
    <row r="484" spans="2:17" x14ac:dyDescent="0.35">
      <c r="B484" s="70" t="str">
        <v>2011104</v>
      </c>
      <c r="C484" s="68" t="str">
        <f>VLOOKUP(B484,Master!B:C,2,0)</f>
        <v>2011104</v>
      </c>
      <c r="D484" s="69">
        <f>VLOOKUP(B484,Master!B:L,11,0)</f>
        <v>45665</v>
      </c>
      <c r="E484" s="69">
        <f>VLOOKUP(B484,Master!B:P,15,0)</f>
        <v>0</v>
      </c>
      <c r="F484" s="68" t="str">
        <f t="shared" ref="F484:Q499" si="31">IF($E484&gt;0,"CLOSED",IF($D484&lt;F$1,"ACTIVE","WAITING FOR OPEN"))</f>
        <v>ACTIVE</v>
      </c>
      <c r="G484" s="68" t="str">
        <f t="shared" si="31"/>
        <v>ACTIVE</v>
      </c>
      <c r="H484" s="68" t="str">
        <f t="shared" si="31"/>
        <v>ACTIVE</v>
      </c>
      <c r="I484" s="68" t="str">
        <f t="shared" si="31"/>
        <v>ACTIVE</v>
      </c>
      <c r="J484" s="68" t="str">
        <f t="shared" si="31"/>
        <v>ACTIVE</v>
      </c>
      <c r="K484" s="68" t="str">
        <f t="shared" si="31"/>
        <v>ACTIVE</v>
      </c>
      <c r="L484" s="68" t="str">
        <f t="shared" si="31"/>
        <v>ACTIVE</v>
      </c>
      <c r="M484" s="68" t="str">
        <f t="shared" si="31"/>
        <v>ACTIVE</v>
      </c>
      <c r="N484" s="68" t="str">
        <f t="shared" si="31"/>
        <v>ACTIVE</v>
      </c>
      <c r="O484" s="68" t="str">
        <f t="shared" si="31"/>
        <v>ACTIVE</v>
      </c>
      <c r="P484" s="68" t="str">
        <f t="shared" si="31"/>
        <v>ACTIVE</v>
      </c>
      <c r="Q484" s="68" t="str">
        <f t="shared" si="31"/>
        <v>ACTIVE</v>
      </c>
    </row>
    <row r="485" spans="2:17" x14ac:dyDescent="0.35">
      <c r="B485" s="70" t="str">
        <v>2011201</v>
      </c>
      <c r="C485" s="68" t="str">
        <f>VLOOKUP(B485,Master!B:C,2,0)</f>
        <v>2011201</v>
      </c>
      <c r="D485" s="69">
        <f>VLOOKUP(B485,Master!B:L,11,0)</f>
        <v>45665</v>
      </c>
      <c r="E485" s="69">
        <f>VLOOKUP(B485,Master!B:P,15,0)</f>
        <v>0</v>
      </c>
      <c r="F485" s="68" t="str">
        <f t="shared" si="31"/>
        <v>ACTIVE</v>
      </c>
      <c r="G485" s="68" t="str">
        <f t="shared" si="31"/>
        <v>ACTIVE</v>
      </c>
      <c r="H485" s="68" t="str">
        <f t="shared" si="31"/>
        <v>ACTIVE</v>
      </c>
      <c r="I485" s="68" t="str">
        <f t="shared" si="31"/>
        <v>ACTIVE</v>
      </c>
      <c r="J485" s="68" t="str">
        <f t="shared" si="31"/>
        <v>ACTIVE</v>
      </c>
      <c r="K485" s="68" t="str">
        <f t="shared" si="31"/>
        <v>ACTIVE</v>
      </c>
      <c r="L485" s="68" t="str">
        <f t="shared" si="31"/>
        <v>ACTIVE</v>
      </c>
      <c r="M485" s="68" t="str">
        <f t="shared" si="31"/>
        <v>ACTIVE</v>
      </c>
      <c r="N485" s="68" t="str">
        <f t="shared" si="31"/>
        <v>ACTIVE</v>
      </c>
      <c r="O485" s="68" t="str">
        <f t="shared" si="31"/>
        <v>ACTIVE</v>
      </c>
      <c r="P485" s="68" t="str">
        <f t="shared" si="31"/>
        <v>ACTIVE</v>
      </c>
      <c r="Q485" s="68" t="str">
        <f t="shared" si="31"/>
        <v>ACTIVE</v>
      </c>
    </row>
    <row r="486" spans="2:17" x14ac:dyDescent="0.35">
      <c r="B486" s="70" t="str">
        <v>2020101</v>
      </c>
      <c r="C486" s="68" t="str">
        <f>VLOOKUP(B486,Master!B:C,2,0)</f>
        <v>2020101</v>
      </c>
      <c r="D486" s="69">
        <f>VLOOKUP(B486,Master!B:L,11,0)</f>
        <v>45665</v>
      </c>
      <c r="E486" s="69">
        <f>VLOOKUP(B486,Master!B:P,15,0)</f>
        <v>0</v>
      </c>
      <c r="F486" s="68" t="str">
        <f t="shared" si="31"/>
        <v>ACTIVE</v>
      </c>
      <c r="G486" s="68" t="str">
        <f t="shared" si="31"/>
        <v>ACTIVE</v>
      </c>
      <c r="H486" s="68" t="str">
        <f t="shared" si="31"/>
        <v>ACTIVE</v>
      </c>
      <c r="I486" s="68" t="str">
        <f t="shared" si="31"/>
        <v>ACTIVE</v>
      </c>
      <c r="J486" s="68" t="str">
        <f t="shared" si="31"/>
        <v>ACTIVE</v>
      </c>
      <c r="K486" s="68" t="str">
        <f t="shared" si="31"/>
        <v>ACTIVE</v>
      </c>
      <c r="L486" s="68" t="str">
        <f t="shared" si="31"/>
        <v>ACTIVE</v>
      </c>
      <c r="M486" s="68" t="str">
        <f t="shared" si="31"/>
        <v>ACTIVE</v>
      </c>
      <c r="N486" s="68" t="str">
        <f t="shared" si="31"/>
        <v>ACTIVE</v>
      </c>
      <c r="O486" s="68" t="str">
        <f t="shared" si="31"/>
        <v>ACTIVE</v>
      </c>
      <c r="P486" s="68" t="str">
        <f t="shared" si="31"/>
        <v>ACTIVE</v>
      </c>
      <c r="Q486" s="68" t="str">
        <f t="shared" si="31"/>
        <v>ACTIVE</v>
      </c>
    </row>
    <row r="487" spans="2:17" x14ac:dyDescent="0.35">
      <c r="B487" s="70" t="str">
        <v>2050101</v>
      </c>
      <c r="C487" s="68" t="str">
        <f>VLOOKUP(B487,Master!B:C,2,0)</f>
        <v>2050101</v>
      </c>
      <c r="D487" s="69">
        <f>VLOOKUP(B487,Master!B:L,11,0)</f>
        <v>45665</v>
      </c>
      <c r="E487" s="69">
        <f>VLOOKUP(B487,Master!B:P,15,0)</f>
        <v>0</v>
      </c>
      <c r="F487" s="68" t="str">
        <f t="shared" si="31"/>
        <v>ACTIVE</v>
      </c>
      <c r="G487" s="68" t="str">
        <f t="shared" si="31"/>
        <v>ACTIVE</v>
      </c>
      <c r="H487" s="68" t="str">
        <f t="shared" si="31"/>
        <v>ACTIVE</v>
      </c>
      <c r="I487" s="68" t="str">
        <f t="shared" si="31"/>
        <v>ACTIVE</v>
      </c>
      <c r="J487" s="68" t="str">
        <f t="shared" si="31"/>
        <v>ACTIVE</v>
      </c>
      <c r="K487" s="68" t="str">
        <f t="shared" si="31"/>
        <v>ACTIVE</v>
      </c>
      <c r="L487" s="68" t="str">
        <f t="shared" si="31"/>
        <v>ACTIVE</v>
      </c>
      <c r="M487" s="68" t="str">
        <f t="shared" si="31"/>
        <v>ACTIVE</v>
      </c>
      <c r="N487" s="68" t="str">
        <f t="shared" si="31"/>
        <v>ACTIVE</v>
      </c>
      <c r="O487" s="68" t="str">
        <f t="shared" si="31"/>
        <v>ACTIVE</v>
      </c>
      <c r="P487" s="68" t="str">
        <f t="shared" si="31"/>
        <v>ACTIVE</v>
      </c>
      <c r="Q487" s="68" t="str">
        <f t="shared" si="31"/>
        <v>ACTIVE</v>
      </c>
    </row>
    <row r="488" spans="2:17" x14ac:dyDescent="0.35">
      <c r="B488" s="70" t="str">
        <v>3010102</v>
      </c>
      <c r="C488" s="68" t="str">
        <f>VLOOKUP(B488,Master!B:C,2,0)</f>
        <v>3010102</v>
      </c>
      <c r="D488" s="69">
        <f>VLOOKUP(B488,Master!B:L,11,0)</f>
        <v>45665</v>
      </c>
      <c r="E488" s="69">
        <f>VLOOKUP(B488,Master!B:P,15,0)</f>
        <v>0</v>
      </c>
      <c r="F488" s="68" t="str">
        <f t="shared" si="31"/>
        <v>ACTIVE</v>
      </c>
      <c r="G488" s="68" t="str">
        <f t="shared" si="31"/>
        <v>ACTIVE</v>
      </c>
      <c r="H488" s="68" t="str">
        <f t="shared" si="31"/>
        <v>ACTIVE</v>
      </c>
      <c r="I488" s="68" t="str">
        <f t="shared" si="31"/>
        <v>ACTIVE</v>
      </c>
      <c r="J488" s="68" t="str">
        <f t="shared" si="31"/>
        <v>ACTIVE</v>
      </c>
      <c r="K488" s="68" t="str">
        <f t="shared" si="31"/>
        <v>ACTIVE</v>
      </c>
      <c r="L488" s="68" t="str">
        <f t="shared" si="31"/>
        <v>ACTIVE</v>
      </c>
      <c r="M488" s="68" t="str">
        <f t="shared" si="31"/>
        <v>ACTIVE</v>
      </c>
      <c r="N488" s="68" t="str">
        <f t="shared" si="31"/>
        <v>ACTIVE</v>
      </c>
      <c r="O488" s="68" t="str">
        <f t="shared" si="31"/>
        <v>ACTIVE</v>
      </c>
      <c r="P488" s="68" t="str">
        <f t="shared" si="31"/>
        <v>ACTIVE</v>
      </c>
      <c r="Q488" s="68" t="str">
        <f t="shared" si="31"/>
        <v>ACTIVE</v>
      </c>
    </row>
    <row r="489" spans="2:17" x14ac:dyDescent="0.35">
      <c r="B489" s="70" t="str">
        <v>3020101</v>
      </c>
      <c r="C489" s="68" t="str">
        <f>VLOOKUP(B489,Master!B:C,2,0)</f>
        <v>3020101</v>
      </c>
      <c r="D489" s="69">
        <f>VLOOKUP(B489,Master!B:L,11,0)</f>
        <v>45665</v>
      </c>
      <c r="E489" s="69">
        <f>VLOOKUP(B489,Master!B:P,15,0)</f>
        <v>0</v>
      </c>
      <c r="F489" s="68" t="str">
        <f t="shared" si="31"/>
        <v>ACTIVE</v>
      </c>
      <c r="G489" s="68" t="str">
        <f t="shared" si="31"/>
        <v>ACTIVE</v>
      </c>
      <c r="H489" s="68" t="str">
        <f t="shared" si="31"/>
        <v>ACTIVE</v>
      </c>
      <c r="I489" s="68" t="str">
        <f t="shared" si="31"/>
        <v>ACTIVE</v>
      </c>
      <c r="J489" s="68" t="str">
        <f t="shared" si="31"/>
        <v>ACTIVE</v>
      </c>
      <c r="K489" s="68" t="str">
        <f t="shared" si="31"/>
        <v>ACTIVE</v>
      </c>
      <c r="L489" s="68" t="str">
        <f t="shared" si="31"/>
        <v>ACTIVE</v>
      </c>
      <c r="M489" s="68" t="str">
        <f t="shared" si="31"/>
        <v>ACTIVE</v>
      </c>
      <c r="N489" s="68" t="str">
        <f t="shared" si="31"/>
        <v>ACTIVE</v>
      </c>
      <c r="O489" s="68" t="str">
        <f t="shared" si="31"/>
        <v>ACTIVE</v>
      </c>
      <c r="P489" s="68" t="str">
        <f t="shared" si="31"/>
        <v>ACTIVE</v>
      </c>
      <c r="Q489" s="68" t="str">
        <f t="shared" si="31"/>
        <v>ACTIVE</v>
      </c>
    </row>
    <row r="490" spans="2:17" x14ac:dyDescent="0.35">
      <c r="B490" s="70" t="str">
        <v>3040101</v>
      </c>
      <c r="C490" s="68" t="str">
        <f>VLOOKUP(B490,Master!B:C,2,0)</f>
        <v>3040101</v>
      </c>
      <c r="D490" s="69">
        <f>VLOOKUP(B490,Master!B:L,11,0)</f>
        <v>45665</v>
      </c>
      <c r="E490" s="69">
        <f>VLOOKUP(B490,Master!B:P,15,0)</f>
        <v>0</v>
      </c>
      <c r="F490" s="68" t="str">
        <f t="shared" si="31"/>
        <v>ACTIVE</v>
      </c>
      <c r="G490" s="68" t="str">
        <f t="shared" si="31"/>
        <v>ACTIVE</v>
      </c>
      <c r="H490" s="68" t="str">
        <f t="shared" si="31"/>
        <v>ACTIVE</v>
      </c>
      <c r="I490" s="68" t="str">
        <f t="shared" si="31"/>
        <v>ACTIVE</v>
      </c>
      <c r="J490" s="68" t="str">
        <f t="shared" si="31"/>
        <v>ACTIVE</v>
      </c>
      <c r="K490" s="68" t="str">
        <f t="shared" si="31"/>
        <v>ACTIVE</v>
      </c>
      <c r="L490" s="68" t="str">
        <f t="shared" si="31"/>
        <v>ACTIVE</v>
      </c>
      <c r="M490" s="68" t="str">
        <f t="shared" si="31"/>
        <v>ACTIVE</v>
      </c>
      <c r="N490" s="68" t="str">
        <f t="shared" si="31"/>
        <v>ACTIVE</v>
      </c>
      <c r="O490" s="68" t="str">
        <f t="shared" si="31"/>
        <v>ACTIVE</v>
      </c>
      <c r="P490" s="68" t="str">
        <f t="shared" si="31"/>
        <v>ACTIVE</v>
      </c>
      <c r="Q490" s="68" t="str">
        <f t="shared" si="31"/>
        <v>ACTIVE</v>
      </c>
    </row>
    <row r="491" spans="2:17" x14ac:dyDescent="0.35">
      <c r="B491" s="70" t="str">
        <v>3060101</v>
      </c>
      <c r="C491" s="68" t="str">
        <f>VLOOKUP(B491,Master!B:C,2,0)</f>
        <v>3060101</v>
      </c>
      <c r="D491" s="69">
        <f>VLOOKUP(B491,Master!B:L,11,0)</f>
        <v>45665</v>
      </c>
      <c r="E491" s="69">
        <f>VLOOKUP(B491,Master!B:P,15,0)</f>
        <v>0</v>
      </c>
      <c r="F491" s="68" t="str">
        <f t="shared" si="31"/>
        <v>ACTIVE</v>
      </c>
      <c r="G491" s="68" t="str">
        <f t="shared" si="31"/>
        <v>ACTIVE</v>
      </c>
      <c r="H491" s="68" t="str">
        <f t="shared" si="31"/>
        <v>ACTIVE</v>
      </c>
      <c r="I491" s="68" t="str">
        <f t="shared" si="31"/>
        <v>ACTIVE</v>
      </c>
      <c r="J491" s="68" t="str">
        <f t="shared" si="31"/>
        <v>ACTIVE</v>
      </c>
      <c r="K491" s="68" t="str">
        <f t="shared" si="31"/>
        <v>ACTIVE</v>
      </c>
      <c r="L491" s="68" t="str">
        <f t="shared" si="31"/>
        <v>ACTIVE</v>
      </c>
      <c r="M491" s="68" t="str">
        <f t="shared" si="31"/>
        <v>ACTIVE</v>
      </c>
      <c r="N491" s="68" t="str">
        <f t="shared" si="31"/>
        <v>ACTIVE</v>
      </c>
      <c r="O491" s="68" t="str">
        <f t="shared" si="31"/>
        <v>ACTIVE</v>
      </c>
      <c r="P491" s="68" t="str">
        <f t="shared" si="31"/>
        <v>ACTIVE</v>
      </c>
      <c r="Q491" s="68" t="str">
        <f t="shared" si="31"/>
        <v>ACTIVE</v>
      </c>
    </row>
    <row r="492" spans="2:17" x14ac:dyDescent="0.35">
      <c r="B492" s="70" t="str">
        <v>4030101</v>
      </c>
      <c r="C492" s="68" t="str">
        <f>VLOOKUP(B492,Master!B:C,2,0)</f>
        <v>4030101</v>
      </c>
      <c r="D492" s="69">
        <f>VLOOKUP(B492,Master!B:L,11,0)</f>
        <v>45665</v>
      </c>
      <c r="E492" s="69">
        <f>VLOOKUP(B492,Master!B:P,15,0)</f>
        <v>0</v>
      </c>
      <c r="F492" s="68" t="str">
        <f t="shared" si="31"/>
        <v>ACTIVE</v>
      </c>
      <c r="G492" s="68" t="str">
        <f t="shared" si="31"/>
        <v>ACTIVE</v>
      </c>
      <c r="H492" s="68" t="str">
        <f t="shared" si="31"/>
        <v>ACTIVE</v>
      </c>
      <c r="I492" s="68" t="str">
        <f t="shared" si="31"/>
        <v>ACTIVE</v>
      </c>
      <c r="J492" s="68" t="str">
        <f t="shared" si="31"/>
        <v>ACTIVE</v>
      </c>
      <c r="K492" s="68" t="str">
        <f t="shared" si="31"/>
        <v>ACTIVE</v>
      </c>
      <c r="L492" s="68" t="str">
        <f t="shared" si="31"/>
        <v>ACTIVE</v>
      </c>
      <c r="M492" s="68" t="str">
        <f t="shared" si="31"/>
        <v>ACTIVE</v>
      </c>
      <c r="N492" s="68" t="str">
        <f t="shared" si="31"/>
        <v>ACTIVE</v>
      </c>
      <c r="O492" s="68" t="str">
        <f t="shared" si="31"/>
        <v>ACTIVE</v>
      </c>
      <c r="P492" s="68" t="str">
        <f t="shared" si="31"/>
        <v>ACTIVE</v>
      </c>
      <c r="Q492" s="68" t="str">
        <f t="shared" si="31"/>
        <v>ACTIVE</v>
      </c>
    </row>
    <row r="493" spans="2:17" x14ac:dyDescent="0.35">
      <c r="B493" s="70" t="str">
        <v>4030102</v>
      </c>
      <c r="C493" s="68" t="str">
        <f>VLOOKUP(B493,Master!B:C,2,0)</f>
        <v>4030102</v>
      </c>
      <c r="D493" s="69">
        <f>VLOOKUP(B493,Master!B:L,11,0)</f>
        <v>45665</v>
      </c>
      <c r="E493" s="69">
        <f>VLOOKUP(B493,Master!B:P,15,0)</f>
        <v>0</v>
      </c>
      <c r="F493" s="68" t="str">
        <f t="shared" si="31"/>
        <v>ACTIVE</v>
      </c>
      <c r="G493" s="68" t="str">
        <f t="shared" si="31"/>
        <v>ACTIVE</v>
      </c>
      <c r="H493" s="68" t="str">
        <f t="shared" si="31"/>
        <v>ACTIVE</v>
      </c>
      <c r="I493" s="68" t="str">
        <f t="shared" si="31"/>
        <v>ACTIVE</v>
      </c>
      <c r="J493" s="68" t="str">
        <f t="shared" si="31"/>
        <v>ACTIVE</v>
      </c>
      <c r="K493" s="68" t="str">
        <f t="shared" si="31"/>
        <v>ACTIVE</v>
      </c>
      <c r="L493" s="68" t="str">
        <f t="shared" si="31"/>
        <v>ACTIVE</v>
      </c>
      <c r="M493" s="68" t="str">
        <f t="shared" si="31"/>
        <v>ACTIVE</v>
      </c>
      <c r="N493" s="68" t="str">
        <f t="shared" si="31"/>
        <v>ACTIVE</v>
      </c>
      <c r="O493" s="68" t="str">
        <f t="shared" si="31"/>
        <v>ACTIVE</v>
      </c>
      <c r="P493" s="68" t="str">
        <f t="shared" si="31"/>
        <v>ACTIVE</v>
      </c>
      <c r="Q493" s="68" t="str">
        <f t="shared" si="31"/>
        <v>ACTIVE</v>
      </c>
    </row>
    <row r="494" spans="2:17" x14ac:dyDescent="0.35">
      <c r="B494" s="70" t="str">
        <v>4030103</v>
      </c>
      <c r="C494" s="68" t="str">
        <f>VLOOKUP(B494,Master!B:C,2,0)</f>
        <v>4030103</v>
      </c>
      <c r="D494" s="69">
        <f>VLOOKUP(B494,Master!B:L,11,0)</f>
        <v>45665</v>
      </c>
      <c r="E494" s="69">
        <f>VLOOKUP(B494,Master!B:P,15,0)</f>
        <v>0</v>
      </c>
      <c r="F494" s="68" t="str">
        <f t="shared" si="31"/>
        <v>ACTIVE</v>
      </c>
      <c r="G494" s="68" t="str">
        <f t="shared" si="31"/>
        <v>ACTIVE</v>
      </c>
      <c r="H494" s="68" t="str">
        <f t="shared" si="31"/>
        <v>ACTIVE</v>
      </c>
      <c r="I494" s="68" t="str">
        <f t="shared" si="31"/>
        <v>ACTIVE</v>
      </c>
      <c r="J494" s="68" t="str">
        <f t="shared" si="31"/>
        <v>ACTIVE</v>
      </c>
      <c r="K494" s="68" t="str">
        <f t="shared" si="31"/>
        <v>ACTIVE</v>
      </c>
      <c r="L494" s="68" t="str">
        <f t="shared" si="31"/>
        <v>ACTIVE</v>
      </c>
      <c r="M494" s="68" t="str">
        <f t="shared" si="31"/>
        <v>ACTIVE</v>
      </c>
      <c r="N494" s="68" t="str">
        <f t="shared" si="31"/>
        <v>ACTIVE</v>
      </c>
      <c r="O494" s="68" t="str">
        <f t="shared" si="31"/>
        <v>ACTIVE</v>
      </c>
      <c r="P494" s="68" t="str">
        <f t="shared" si="31"/>
        <v>ACTIVE</v>
      </c>
      <c r="Q494" s="68" t="str">
        <f t="shared" si="31"/>
        <v>ACTIVE</v>
      </c>
    </row>
    <row r="495" spans="2:17" x14ac:dyDescent="0.35">
      <c r="B495" s="70" t="str">
        <v>10IP4838</v>
      </c>
      <c r="C495" s="68" t="str">
        <f>VLOOKUP(B495,Master!B:C,2,0)</f>
        <v>10IP4838</v>
      </c>
      <c r="D495" s="69">
        <f>VLOOKUP(B495,Master!B:L,11,0)</f>
        <v>45693</v>
      </c>
      <c r="E495" s="69">
        <f>VLOOKUP(B495,Master!B:P,15,0)</f>
        <v>0</v>
      </c>
      <c r="F495" s="68" t="str">
        <f t="shared" si="31"/>
        <v>ACTIVE</v>
      </c>
      <c r="G495" s="68" t="str">
        <f t="shared" si="31"/>
        <v>ACTIVE</v>
      </c>
      <c r="H495" s="68" t="str">
        <f t="shared" si="31"/>
        <v>ACTIVE</v>
      </c>
      <c r="I495" s="68" t="str">
        <f t="shared" si="31"/>
        <v>ACTIVE</v>
      </c>
      <c r="J495" s="68" t="str">
        <f t="shared" si="31"/>
        <v>ACTIVE</v>
      </c>
      <c r="K495" s="68" t="str">
        <f t="shared" si="31"/>
        <v>ACTIVE</v>
      </c>
      <c r="L495" s="68" t="str">
        <f t="shared" si="31"/>
        <v>ACTIVE</v>
      </c>
      <c r="M495" s="68" t="str">
        <f t="shared" si="31"/>
        <v>ACTIVE</v>
      </c>
      <c r="N495" s="68" t="str">
        <f t="shared" si="31"/>
        <v>ACTIVE</v>
      </c>
      <c r="O495" s="68" t="str">
        <f t="shared" si="31"/>
        <v>ACTIVE</v>
      </c>
      <c r="P495" s="68" t="str">
        <f t="shared" si="31"/>
        <v>ACTIVE</v>
      </c>
      <c r="Q495" s="68" t="str">
        <f t="shared" si="31"/>
        <v>ACTIVE</v>
      </c>
    </row>
    <row r="496" spans="2:17" x14ac:dyDescent="0.35">
      <c r="B496" s="70" t="str">
        <v>10SX4836</v>
      </c>
      <c r="C496" s="68" t="str">
        <f>VLOOKUP(B496,Master!B:C,2,0)</f>
        <v>10SX4836</v>
      </c>
      <c r="D496" s="69">
        <f>VLOOKUP(B496,Master!B:L,11,0)</f>
        <v>45689</v>
      </c>
      <c r="E496" s="69">
        <f>VLOOKUP(B496,Master!B:P,15,0)</f>
        <v>0</v>
      </c>
      <c r="F496" s="68" t="str">
        <f t="shared" si="31"/>
        <v>ACTIVE</v>
      </c>
      <c r="G496" s="68" t="str">
        <f t="shared" si="31"/>
        <v>ACTIVE</v>
      </c>
      <c r="H496" s="68" t="str">
        <f t="shared" si="31"/>
        <v>ACTIVE</v>
      </c>
      <c r="I496" s="68" t="str">
        <f t="shared" si="31"/>
        <v>ACTIVE</v>
      </c>
      <c r="J496" s="68" t="str">
        <f t="shared" si="31"/>
        <v>ACTIVE</v>
      </c>
      <c r="K496" s="68" t="str">
        <f t="shared" si="31"/>
        <v>ACTIVE</v>
      </c>
      <c r="L496" s="68" t="str">
        <f t="shared" si="31"/>
        <v>ACTIVE</v>
      </c>
      <c r="M496" s="68" t="str">
        <f t="shared" si="31"/>
        <v>ACTIVE</v>
      </c>
      <c r="N496" s="68" t="str">
        <f t="shared" si="31"/>
        <v>ACTIVE</v>
      </c>
      <c r="O496" s="68" t="str">
        <f t="shared" si="31"/>
        <v>ACTIVE</v>
      </c>
      <c r="P496" s="68" t="str">
        <f t="shared" si="31"/>
        <v>ACTIVE</v>
      </c>
      <c r="Q496" s="68" t="str">
        <f t="shared" si="31"/>
        <v>ACTIVE</v>
      </c>
    </row>
    <row r="497" spans="2:17" x14ac:dyDescent="0.35">
      <c r="B497" s="70" t="str">
        <v>30WM4849</v>
      </c>
      <c r="C497" s="68" t="str">
        <f>VLOOKUP(B497,Master!B:C,2,0)</f>
        <v>30WM4849</v>
      </c>
      <c r="D497" s="69">
        <f>VLOOKUP(B497,Master!B:L,11,0)</f>
        <v>45733</v>
      </c>
      <c r="E497" s="69">
        <f>VLOOKUP(B497,Master!B:P,15,0)</f>
        <v>0</v>
      </c>
      <c r="F497" s="68" t="str">
        <f t="shared" si="31"/>
        <v>ACTIVE</v>
      </c>
      <c r="G497" s="68" t="str">
        <f t="shared" si="31"/>
        <v>ACTIVE</v>
      </c>
      <c r="H497" s="68" t="str">
        <f t="shared" si="31"/>
        <v>ACTIVE</v>
      </c>
      <c r="I497" s="68" t="str">
        <f t="shared" si="31"/>
        <v>ACTIVE</v>
      </c>
      <c r="J497" s="68" t="str">
        <f t="shared" si="31"/>
        <v>ACTIVE</v>
      </c>
      <c r="K497" s="68" t="str">
        <f t="shared" si="31"/>
        <v>ACTIVE</v>
      </c>
      <c r="L497" s="68" t="str">
        <f t="shared" si="31"/>
        <v>ACTIVE</v>
      </c>
      <c r="M497" s="68" t="str">
        <f t="shared" si="31"/>
        <v>ACTIVE</v>
      </c>
      <c r="N497" s="68" t="str">
        <f t="shared" si="31"/>
        <v>ACTIVE</v>
      </c>
      <c r="O497" s="68" t="str">
        <f t="shared" si="31"/>
        <v>ACTIVE</v>
      </c>
      <c r="P497" s="68" t="str">
        <f t="shared" si="31"/>
        <v>ACTIVE</v>
      </c>
      <c r="Q497" s="68" t="str">
        <f t="shared" si="31"/>
        <v>ACTIVE</v>
      </c>
    </row>
    <row r="498" spans="2:17" x14ac:dyDescent="0.35">
      <c r="B498" s="70" t="str">
        <v>10FC4867</v>
      </c>
      <c r="C498" s="68" t="str">
        <f>VLOOKUP(B498,Master!B:C,2,0)</f>
        <v>10FC4867</v>
      </c>
      <c r="D498" s="69">
        <f>VLOOKUP(B498,Master!B:L,11,0)</f>
        <v>45745</v>
      </c>
      <c r="E498" s="69">
        <f>VLOOKUP(B498,Master!B:P,15,0)</f>
        <v>0</v>
      </c>
      <c r="F498" s="68" t="str">
        <f t="shared" si="31"/>
        <v>ACTIVE</v>
      </c>
      <c r="G498" s="68" t="str">
        <f t="shared" si="31"/>
        <v>ACTIVE</v>
      </c>
      <c r="H498" s="68" t="str">
        <f t="shared" si="31"/>
        <v>ACTIVE</v>
      </c>
      <c r="I498" s="68" t="str">
        <f t="shared" si="31"/>
        <v>ACTIVE</v>
      </c>
      <c r="J498" s="68" t="str">
        <f t="shared" si="31"/>
        <v>ACTIVE</v>
      </c>
      <c r="K498" s="68" t="str">
        <f t="shared" si="31"/>
        <v>ACTIVE</v>
      </c>
      <c r="L498" s="68" t="str">
        <f t="shared" si="31"/>
        <v>ACTIVE</v>
      </c>
      <c r="M498" s="68" t="str">
        <f t="shared" si="31"/>
        <v>ACTIVE</v>
      </c>
      <c r="N498" s="68" t="str">
        <f t="shared" si="31"/>
        <v>ACTIVE</v>
      </c>
      <c r="O498" s="68" t="str">
        <f t="shared" si="31"/>
        <v>ACTIVE</v>
      </c>
      <c r="P498" s="68" t="str">
        <f t="shared" si="31"/>
        <v>ACTIVE</v>
      </c>
      <c r="Q498" s="68" t="str">
        <f t="shared" si="31"/>
        <v>ACTIVE</v>
      </c>
    </row>
    <row r="499" spans="2:17" x14ac:dyDescent="0.35">
      <c r="B499" s="70" t="str">
        <v>30CD4878</v>
      </c>
      <c r="C499" s="68" t="str">
        <f>VLOOKUP(B499,Master!B:C,2,0)</f>
        <v>30CD4878</v>
      </c>
      <c r="D499" s="69">
        <f>VLOOKUP(B499,Master!B:L,11,0)</f>
        <v>45762</v>
      </c>
      <c r="E499" s="69">
        <f>VLOOKUP(B499,Master!B:P,15,0)</f>
        <v>0</v>
      </c>
      <c r="F499" s="68" t="str">
        <f t="shared" si="31"/>
        <v>ACTIVE</v>
      </c>
      <c r="G499" s="68" t="str">
        <f t="shared" si="31"/>
        <v>ACTIVE</v>
      </c>
      <c r="H499" s="68" t="str">
        <f t="shared" si="31"/>
        <v>ACTIVE</v>
      </c>
      <c r="I499" s="68" t="str">
        <f t="shared" si="31"/>
        <v>ACTIVE</v>
      </c>
      <c r="J499" s="68" t="str">
        <f t="shared" si="31"/>
        <v>ACTIVE</v>
      </c>
      <c r="K499" s="68" t="str">
        <f t="shared" si="31"/>
        <v>ACTIVE</v>
      </c>
      <c r="L499" s="68" t="str">
        <f t="shared" si="31"/>
        <v>ACTIVE</v>
      </c>
      <c r="M499" s="68" t="str">
        <f t="shared" si="31"/>
        <v>ACTIVE</v>
      </c>
      <c r="N499" s="68" t="str">
        <f t="shared" si="31"/>
        <v>ACTIVE</v>
      </c>
      <c r="O499" s="68" t="str">
        <f t="shared" si="31"/>
        <v>ACTIVE</v>
      </c>
      <c r="P499" s="68" t="str">
        <f t="shared" si="31"/>
        <v>ACTIVE</v>
      </c>
      <c r="Q499" s="68" t="str">
        <f t="shared" si="31"/>
        <v>ACTIVE</v>
      </c>
    </row>
    <row r="500" spans="2:17" x14ac:dyDescent="0.35">
      <c r="B500" s="70" t="str">
        <v>30CD4755</v>
      </c>
      <c r="C500" s="68" t="str">
        <f>VLOOKUP(B500,Master!B:C,2,0)</f>
        <v>30CD4755</v>
      </c>
      <c r="D500" s="69">
        <f>VLOOKUP(B500,Master!B:L,11,0)</f>
        <v>45861</v>
      </c>
      <c r="E500" s="69">
        <f>VLOOKUP(B500,Master!B:P,15,0)</f>
        <v>0</v>
      </c>
      <c r="F500" s="68" t="str">
        <f t="shared" ref="F500:Q515" si="32">IF($E500&gt;0,"CLOSED",IF($D500&lt;F$1,"ACTIVE","WAITING FOR OPEN"))</f>
        <v>ACTIVE</v>
      </c>
      <c r="G500" s="68" t="str">
        <f t="shared" si="32"/>
        <v>ACTIVE</v>
      </c>
      <c r="H500" s="68" t="str">
        <f t="shared" si="32"/>
        <v>ACTIVE</v>
      </c>
      <c r="I500" s="68" t="str">
        <f t="shared" si="32"/>
        <v>ACTIVE</v>
      </c>
      <c r="J500" s="68" t="str">
        <f t="shared" si="32"/>
        <v>ACTIVE</v>
      </c>
      <c r="K500" s="68" t="str">
        <f t="shared" si="32"/>
        <v>ACTIVE</v>
      </c>
      <c r="L500" s="68" t="str">
        <f t="shared" si="32"/>
        <v>ACTIVE</v>
      </c>
      <c r="M500" s="68" t="str">
        <f t="shared" si="32"/>
        <v>ACTIVE</v>
      </c>
      <c r="N500" s="68" t="str">
        <f t="shared" si="32"/>
        <v>ACTIVE</v>
      </c>
      <c r="O500" s="68" t="str">
        <f t="shared" si="32"/>
        <v>ACTIVE</v>
      </c>
      <c r="P500" s="68" t="str">
        <f t="shared" si="32"/>
        <v>ACTIVE</v>
      </c>
      <c r="Q500" s="68" t="str">
        <f t="shared" si="32"/>
        <v>ACTIVE</v>
      </c>
    </row>
    <row r="501" spans="2:17" x14ac:dyDescent="0.35">
      <c r="B501" s="70" t="str">
        <v>10WY4830</v>
      </c>
      <c r="C501" s="68" t="str">
        <f>VLOOKUP(B501,Master!B:C,2,0)</f>
        <v>10WY4830</v>
      </c>
      <c r="D501" s="69">
        <f>VLOOKUP(B501,Master!B:L,11,0)</f>
        <v>45782</v>
      </c>
      <c r="E501" s="69">
        <f>VLOOKUP(B501,Master!B:P,15,0)</f>
        <v>0</v>
      </c>
      <c r="F501" s="68" t="str">
        <f t="shared" si="32"/>
        <v>ACTIVE</v>
      </c>
      <c r="G501" s="68" t="str">
        <f t="shared" si="32"/>
        <v>ACTIVE</v>
      </c>
      <c r="H501" s="68" t="str">
        <f t="shared" si="32"/>
        <v>ACTIVE</v>
      </c>
      <c r="I501" s="68" t="str">
        <f t="shared" si="32"/>
        <v>ACTIVE</v>
      </c>
      <c r="J501" s="68" t="str">
        <f t="shared" si="32"/>
        <v>ACTIVE</v>
      </c>
      <c r="K501" s="68" t="str">
        <f t="shared" si="32"/>
        <v>ACTIVE</v>
      </c>
      <c r="L501" s="68" t="str">
        <f t="shared" si="32"/>
        <v>ACTIVE</v>
      </c>
      <c r="M501" s="68" t="str">
        <f t="shared" si="32"/>
        <v>ACTIVE</v>
      </c>
      <c r="N501" s="68" t="str">
        <f t="shared" si="32"/>
        <v>ACTIVE</v>
      </c>
      <c r="O501" s="68" t="str">
        <f t="shared" si="32"/>
        <v>ACTIVE</v>
      </c>
      <c r="P501" s="68" t="str">
        <f t="shared" si="32"/>
        <v>ACTIVE</v>
      </c>
      <c r="Q501" s="68" t="str">
        <f t="shared" si="32"/>
        <v>ACTIVE</v>
      </c>
    </row>
    <row r="502" spans="2:17" x14ac:dyDescent="0.35">
      <c r="B502" s="70" t="str">
        <v>10SM4866</v>
      </c>
      <c r="C502" s="68" t="str">
        <f>VLOOKUP(B502,Master!B:C,2,0)</f>
        <v>10SM4866</v>
      </c>
      <c r="D502" s="69">
        <f>VLOOKUP(B502,Master!B:L,11,0)</f>
        <v>45748</v>
      </c>
      <c r="E502" s="69">
        <f>VLOOKUP(B502,Master!B:P,15,0)</f>
        <v>0</v>
      </c>
      <c r="F502" s="68" t="str">
        <f t="shared" si="32"/>
        <v>ACTIVE</v>
      </c>
      <c r="G502" s="68" t="str">
        <f t="shared" si="32"/>
        <v>ACTIVE</v>
      </c>
      <c r="H502" s="68" t="str">
        <f t="shared" si="32"/>
        <v>ACTIVE</v>
      </c>
      <c r="I502" s="68" t="str">
        <f t="shared" si="32"/>
        <v>ACTIVE</v>
      </c>
      <c r="J502" s="68" t="str">
        <f t="shared" si="32"/>
        <v>ACTIVE</v>
      </c>
      <c r="K502" s="68" t="str">
        <f t="shared" si="32"/>
        <v>ACTIVE</v>
      </c>
      <c r="L502" s="68" t="str">
        <f t="shared" si="32"/>
        <v>ACTIVE</v>
      </c>
      <c r="M502" s="68" t="str">
        <f t="shared" si="32"/>
        <v>ACTIVE</v>
      </c>
      <c r="N502" s="68" t="str">
        <f t="shared" si="32"/>
        <v>ACTIVE</v>
      </c>
      <c r="O502" s="68" t="str">
        <f t="shared" si="32"/>
        <v>ACTIVE</v>
      </c>
      <c r="P502" s="68" t="str">
        <f t="shared" si="32"/>
        <v>ACTIVE</v>
      </c>
      <c r="Q502" s="68" t="str">
        <f t="shared" si="32"/>
        <v>ACTIVE</v>
      </c>
    </row>
    <row r="503" spans="2:17" x14ac:dyDescent="0.35">
      <c r="B503" s="70" t="str">
        <v>10GG4890</v>
      </c>
      <c r="C503" s="68" t="str">
        <f>VLOOKUP(B503,Master!B:C,2,0)</f>
        <v>10GG4890</v>
      </c>
      <c r="D503" s="69">
        <f>VLOOKUP(B503,Master!B:L,11,0)</f>
        <v>45753</v>
      </c>
      <c r="E503" s="69">
        <f>VLOOKUP(B503,Master!B:P,15,0)</f>
        <v>0</v>
      </c>
      <c r="F503" s="68" t="str">
        <f t="shared" si="32"/>
        <v>ACTIVE</v>
      </c>
      <c r="G503" s="68" t="str">
        <f t="shared" si="32"/>
        <v>ACTIVE</v>
      </c>
      <c r="H503" s="68" t="str">
        <f t="shared" si="32"/>
        <v>ACTIVE</v>
      </c>
      <c r="I503" s="68" t="str">
        <f t="shared" si="32"/>
        <v>ACTIVE</v>
      </c>
      <c r="J503" s="68" t="str">
        <f t="shared" si="32"/>
        <v>ACTIVE</v>
      </c>
      <c r="K503" s="68" t="str">
        <f t="shared" si="32"/>
        <v>ACTIVE</v>
      </c>
      <c r="L503" s="68" t="str">
        <f t="shared" si="32"/>
        <v>ACTIVE</v>
      </c>
      <c r="M503" s="68" t="str">
        <f t="shared" si="32"/>
        <v>ACTIVE</v>
      </c>
      <c r="N503" s="68" t="str">
        <f t="shared" si="32"/>
        <v>ACTIVE</v>
      </c>
      <c r="O503" s="68" t="str">
        <f t="shared" si="32"/>
        <v>ACTIVE</v>
      </c>
      <c r="P503" s="68" t="str">
        <f t="shared" si="32"/>
        <v>ACTIVE</v>
      </c>
      <c r="Q503" s="68" t="str">
        <f t="shared" si="32"/>
        <v>ACTIVE</v>
      </c>
    </row>
    <row r="504" spans="2:17" x14ac:dyDescent="0.35">
      <c r="B504" s="70" t="str">
        <v>30KK4887</v>
      </c>
      <c r="C504" s="68" t="str">
        <f>VLOOKUP(B504,Master!B:C,2,0)</f>
        <v>30KK4887</v>
      </c>
      <c r="D504" s="69">
        <f>VLOOKUP(B504,Master!B:L,11,0)</f>
        <v>45765</v>
      </c>
      <c r="E504" s="69">
        <f>VLOOKUP(B504,Master!B:P,15,0)</f>
        <v>0</v>
      </c>
      <c r="F504" s="68" t="str">
        <f t="shared" si="32"/>
        <v>ACTIVE</v>
      </c>
      <c r="G504" s="68" t="str">
        <f t="shared" si="32"/>
        <v>ACTIVE</v>
      </c>
      <c r="H504" s="68" t="str">
        <f t="shared" si="32"/>
        <v>ACTIVE</v>
      </c>
      <c r="I504" s="68" t="str">
        <f t="shared" si="32"/>
        <v>ACTIVE</v>
      </c>
      <c r="J504" s="68" t="str">
        <f t="shared" si="32"/>
        <v>ACTIVE</v>
      </c>
      <c r="K504" s="68" t="str">
        <f t="shared" si="32"/>
        <v>ACTIVE</v>
      </c>
      <c r="L504" s="68" t="str">
        <f t="shared" si="32"/>
        <v>ACTIVE</v>
      </c>
      <c r="M504" s="68" t="str">
        <f t="shared" si="32"/>
        <v>ACTIVE</v>
      </c>
      <c r="N504" s="68" t="str">
        <f t="shared" si="32"/>
        <v>ACTIVE</v>
      </c>
      <c r="O504" s="68" t="str">
        <f t="shared" si="32"/>
        <v>ACTIVE</v>
      </c>
      <c r="P504" s="68" t="str">
        <f t="shared" si="32"/>
        <v>ACTIVE</v>
      </c>
      <c r="Q504" s="68" t="str">
        <f t="shared" si="32"/>
        <v>ACTIVE</v>
      </c>
    </row>
    <row r="505" spans="2:17" x14ac:dyDescent="0.35">
      <c r="B505" s="70" t="str">
        <v>10GG4886</v>
      </c>
      <c r="C505" s="68" t="str">
        <f>VLOOKUP(B505,Master!B:C,2,0)</f>
        <v>10GG4886</v>
      </c>
      <c r="D505" s="69">
        <f>VLOOKUP(B505,Master!B:L,11,0)</f>
        <v>45775</v>
      </c>
      <c r="E505" s="69">
        <f>VLOOKUP(B505,Master!B:P,15,0)</f>
        <v>0</v>
      </c>
      <c r="F505" s="68" t="str">
        <f t="shared" si="32"/>
        <v>ACTIVE</v>
      </c>
      <c r="G505" s="68" t="str">
        <f t="shared" si="32"/>
        <v>ACTIVE</v>
      </c>
      <c r="H505" s="68" t="str">
        <f t="shared" si="32"/>
        <v>ACTIVE</v>
      </c>
      <c r="I505" s="68" t="str">
        <f t="shared" si="32"/>
        <v>ACTIVE</v>
      </c>
      <c r="J505" s="68" t="str">
        <f t="shared" si="32"/>
        <v>ACTIVE</v>
      </c>
      <c r="K505" s="68" t="str">
        <f t="shared" si="32"/>
        <v>ACTIVE</v>
      </c>
      <c r="L505" s="68" t="str">
        <f t="shared" si="32"/>
        <v>ACTIVE</v>
      </c>
      <c r="M505" s="68" t="str">
        <f t="shared" si="32"/>
        <v>ACTIVE</v>
      </c>
      <c r="N505" s="68" t="str">
        <f t="shared" si="32"/>
        <v>ACTIVE</v>
      </c>
      <c r="O505" s="68" t="str">
        <f t="shared" si="32"/>
        <v>ACTIVE</v>
      </c>
      <c r="P505" s="68" t="str">
        <f t="shared" si="32"/>
        <v>ACTIVE</v>
      </c>
      <c r="Q505" s="68" t="str">
        <f t="shared" si="32"/>
        <v>ACTIVE</v>
      </c>
    </row>
    <row r="506" spans="2:17" x14ac:dyDescent="0.35">
      <c r="B506" s="70" t="str">
        <v>10KK4898</v>
      </c>
      <c r="C506" s="68" t="str">
        <f>VLOOKUP(B506,Master!B:C,2,0)</f>
        <v>10KK4898</v>
      </c>
      <c r="D506" s="69">
        <f>VLOOKUP(B506,Master!B:L,11,0)</f>
        <v>45777</v>
      </c>
      <c r="E506" s="69">
        <f>VLOOKUP(B506,Master!B:P,15,0)</f>
        <v>0</v>
      </c>
      <c r="F506" s="68" t="str">
        <f t="shared" si="32"/>
        <v>ACTIVE</v>
      </c>
      <c r="G506" s="68" t="str">
        <f t="shared" si="32"/>
        <v>ACTIVE</v>
      </c>
      <c r="H506" s="68" t="str">
        <f t="shared" si="32"/>
        <v>ACTIVE</v>
      </c>
      <c r="I506" s="68" t="str">
        <f t="shared" si="32"/>
        <v>ACTIVE</v>
      </c>
      <c r="J506" s="68" t="str">
        <f t="shared" si="32"/>
        <v>ACTIVE</v>
      </c>
      <c r="K506" s="68" t="str">
        <f t="shared" si="32"/>
        <v>ACTIVE</v>
      </c>
      <c r="L506" s="68" t="str">
        <f t="shared" si="32"/>
        <v>ACTIVE</v>
      </c>
      <c r="M506" s="68" t="str">
        <f t="shared" si="32"/>
        <v>ACTIVE</v>
      </c>
      <c r="N506" s="68" t="str">
        <f t="shared" si="32"/>
        <v>ACTIVE</v>
      </c>
      <c r="O506" s="68" t="str">
        <f t="shared" si="32"/>
        <v>ACTIVE</v>
      </c>
      <c r="P506" s="68" t="str">
        <f t="shared" si="32"/>
        <v>ACTIVE</v>
      </c>
      <c r="Q506" s="68" t="str">
        <f t="shared" si="32"/>
        <v>ACTIVE</v>
      </c>
    </row>
    <row r="507" spans="2:17" x14ac:dyDescent="0.35">
      <c r="B507" s="70" t="str">
        <v>10DN4929</v>
      </c>
      <c r="C507" s="68" t="str">
        <f>VLOOKUP(B507,Master!B:C,2,0)</f>
        <v>10DN4929</v>
      </c>
      <c r="D507" s="69">
        <f>VLOOKUP(B507,Master!B:L,11,0)</f>
        <v>45924</v>
      </c>
      <c r="E507" s="69">
        <f>VLOOKUP(B507,Master!B:P,15,0)</f>
        <v>0</v>
      </c>
      <c r="F507" s="68" t="str">
        <f t="shared" si="32"/>
        <v>ACTIVE</v>
      </c>
      <c r="G507" s="68" t="str">
        <f t="shared" si="32"/>
        <v>ACTIVE</v>
      </c>
      <c r="H507" s="68" t="str">
        <f t="shared" si="32"/>
        <v>ACTIVE</v>
      </c>
      <c r="I507" s="68" t="str">
        <f t="shared" si="32"/>
        <v>ACTIVE</v>
      </c>
      <c r="J507" s="68" t="str">
        <f t="shared" si="32"/>
        <v>ACTIVE</v>
      </c>
      <c r="K507" s="68" t="str">
        <f t="shared" si="32"/>
        <v>ACTIVE</v>
      </c>
      <c r="L507" s="68" t="str">
        <f t="shared" si="32"/>
        <v>ACTIVE</v>
      </c>
      <c r="M507" s="68" t="str">
        <f t="shared" si="32"/>
        <v>ACTIVE</v>
      </c>
      <c r="N507" s="68" t="str">
        <f t="shared" si="32"/>
        <v>ACTIVE</v>
      </c>
      <c r="O507" s="68" t="str">
        <f t="shared" si="32"/>
        <v>ACTIVE</v>
      </c>
      <c r="P507" s="68" t="str">
        <f t="shared" si="32"/>
        <v>ACTIVE</v>
      </c>
      <c r="Q507" s="68" t="str">
        <f t="shared" si="32"/>
        <v>ACTIVE</v>
      </c>
    </row>
    <row r="508" spans="2:17" x14ac:dyDescent="0.35">
      <c r="B508" s="70" t="str">
        <v>10GG4937</v>
      </c>
      <c r="C508" s="68" t="str">
        <f>VLOOKUP(B508,Master!B:C,2,0)</f>
        <v>10GG4937</v>
      </c>
      <c r="D508" s="69">
        <f>VLOOKUP(B508,Master!B:L,11,0)</f>
        <v>45835</v>
      </c>
      <c r="E508" s="69">
        <f>VLOOKUP(B508,Master!B:P,15,0)</f>
        <v>0</v>
      </c>
      <c r="F508" s="68" t="str">
        <f t="shared" si="32"/>
        <v>ACTIVE</v>
      </c>
      <c r="G508" s="68" t="str">
        <f t="shared" si="32"/>
        <v>ACTIVE</v>
      </c>
      <c r="H508" s="68" t="str">
        <f t="shared" si="32"/>
        <v>ACTIVE</v>
      </c>
      <c r="I508" s="68" t="str">
        <f t="shared" si="32"/>
        <v>ACTIVE</v>
      </c>
      <c r="J508" s="68" t="str">
        <f t="shared" si="32"/>
        <v>ACTIVE</v>
      </c>
      <c r="K508" s="68" t="str">
        <f t="shared" si="32"/>
        <v>ACTIVE</v>
      </c>
      <c r="L508" s="68" t="str">
        <f t="shared" si="32"/>
        <v>ACTIVE</v>
      </c>
      <c r="M508" s="68" t="str">
        <f t="shared" si="32"/>
        <v>ACTIVE</v>
      </c>
      <c r="N508" s="68" t="str">
        <f t="shared" si="32"/>
        <v>ACTIVE</v>
      </c>
      <c r="O508" s="68" t="str">
        <f t="shared" si="32"/>
        <v>ACTIVE</v>
      </c>
      <c r="P508" s="68" t="str">
        <f t="shared" si="32"/>
        <v>ACTIVE</v>
      </c>
      <c r="Q508" s="68" t="str">
        <f t="shared" si="32"/>
        <v>ACTIVE</v>
      </c>
    </row>
    <row r="509" spans="2:17" x14ac:dyDescent="0.35">
      <c r="B509" s="70" t="str">
        <v>10LC4879</v>
      </c>
      <c r="C509" s="68" t="str">
        <f>VLOOKUP(B509,Master!B:C,2,0)</f>
        <v>10LC4879</v>
      </c>
      <c r="D509" s="69">
        <f>VLOOKUP(B509,Master!B:L,11,0)</f>
        <v>45838</v>
      </c>
      <c r="E509" s="69">
        <f>VLOOKUP(B509,Master!B:P,15,0)</f>
        <v>0</v>
      </c>
      <c r="F509" s="68" t="str">
        <f t="shared" si="32"/>
        <v>ACTIVE</v>
      </c>
      <c r="G509" s="68" t="str">
        <f t="shared" si="32"/>
        <v>ACTIVE</v>
      </c>
      <c r="H509" s="68" t="str">
        <f t="shared" si="32"/>
        <v>ACTIVE</v>
      </c>
      <c r="I509" s="68" t="str">
        <f t="shared" si="32"/>
        <v>ACTIVE</v>
      </c>
      <c r="J509" s="68" t="str">
        <f t="shared" si="32"/>
        <v>ACTIVE</v>
      </c>
      <c r="K509" s="68" t="str">
        <f t="shared" si="32"/>
        <v>ACTIVE</v>
      </c>
      <c r="L509" s="68" t="str">
        <f t="shared" si="32"/>
        <v>ACTIVE</v>
      </c>
      <c r="M509" s="68" t="str">
        <f t="shared" si="32"/>
        <v>ACTIVE</v>
      </c>
      <c r="N509" s="68" t="str">
        <f t="shared" si="32"/>
        <v>ACTIVE</v>
      </c>
      <c r="O509" s="68" t="str">
        <f t="shared" si="32"/>
        <v>ACTIVE</v>
      </c>
      <c r="P509" s="68" t="str">
        <f t="shared" si="32"/>
        <v>ACTIVE</v>
      </c>
      <c r="Q509" s="68" t="str">
        <f t="shared" si="32"/>
        <v>ACTIVE</v>
      </c>
    </row>
    <row r="510" spans="2:17" x14ac:dyDescent="0.35">
      <c r="B510" s="70" t="str">
        <v>09HNOMB002</v>
      </c>
      <c r="C510" s="68" t="str">
        <f>VLOOKUP(B510,Master!B:C,2,0)</f>
        <v>09HNOMB002</v>
      </c>
      <c r="D510" s="69">
        <f>VLOOKUP(B510,Master!B:L,11,0)</f>
        <v>45797</v>
      </c>
      <c r="E510" s="69">
        <f>VLOOKUP(B510,Master!B:P,15,0)</f>
        <v>0</v>
      </c>
      <c r="F510" s="68" t="str">
        <f t="shared" si="32"/>
        <v>ACTIVE</v>
      </c>
      <c r="G510" s="68" t="str">
        <f t="shared" si="32"/>
        <v>ACTIVE</v>
      </c>
      <c r="H510" s="68" t="str">
        <f t="shared" si="32"/>
        <v>ACTIVE</v>
      </c>
      <c r="I510" s="68" t="str">
        <f t="shared" si="32"/>
        <v>ACTIVE</v>
      </c>
      <c r="J510" s="68" t="str">
        <f t="shared" si="32"/>
        <v>ACTIVE</v>
      </c>
      <c r="K510" s="68" t="str">
        <f t="shared" si="32"/>
        <v>ACTIVE</v>
      </c>
      <c r="L510" s="68" t="str">
        <f t="shared" si="32"/>
        <v>ACTIVE</v>
      </c>
      <c r="M510" s="68" t="str">
        <f t="shared" si="32"/>
        <v>ACTIVE</v>
      </c>
      <c r="N510" s="68" t="str">
        <f t="shared" si="32"/>
        <v>ACTIVE</v>
      </c>
      <c r="O510" s="68" t="str">
        <f t="shared" si="32"/>
        <v>ACTIVE</v>
      </c>
      <c r="P510" s="68" t="str">
        <f t="shared" si="32"/>
        <v>ACTIVE</v>
      </c>
      <c r="Q510" s="68" t="str">
        <f t="shared" si="32"/>
        <v>ACTIVE</v>
      </c>
    </row>
    <row r="511" spans="2:17" x14ac:dyDescent="0.35">
      <c r="B511" s="70" t="str">
        <v>10GG4939</v>
      </c>
      <c r="C511" s="68" t="str">
        <f>VLOOKUP(B511,Master!B:C,2,0)</f>
        <v>10GG4939</v>
      </c>
      <c r="D511" s="69">
        <f>VLOOKUP(B511,Master!B:L,11,0)</f>
        <v>45848</v>
      </c>
      <c r="E511" s="69">
        <f>VLOOKUP(B511,Master!B:P,15,0)</f>
        <v>0</v>
      </c>
      <c r="F511" s="68" t="str">
        <f t="shared" si="32"/>
        <v>ACTIVE</v>
      </c>
      <c r="G511" s="68" t="str">
        <f t="shared" si="32"/>
        <v>ACTIVE</v>
      </c>
      <c r="H511" s="68" t="str">
        <f t="shared" si="32"/>
        <v>ACTIVE</v>
      </c>
      <c r="I511" s="68" t="str">
        <f t="shared" si="32"/>
        <v>ACTIVE</v>
      </c>
      <c r="J511" s="68" t="str">
        <f t="shared" si="32"/>
        <v>ACTIVE</v>
      </c>
      <c r="K511" s="68" t="str">
        <f t="shared" si="32"/>
        <v>ACTIVE</v>
      </c>
      <c r="L511" s="68" t="str">
        <f t="shared" si="32"/>
        <v>ACTIVE</v>
      </c>
      <c r="M511" s="68" t="str">
        <f t="shared" si="32"/>
        <v>ACTIVE</v>
      </c>
      <c r="N511" s="68" t="str">
        <f t="shared" si="32"/>
        <v>ACTIVE</v>
      </c>
      <c r="O511" s="68" t="str">
        <f t="shared" si="32"/>
        <v>ACTIVE</v>
      </c>
      <c r="P511" s="68" t="str">
        <f t="shared" si="32"/>
        <v>ACTIVE</v>
      </c>
      <c r="Q511" s="68" t="str">
        <f t="shared" si="32"/>
        <v>ACTIVE</v>
      </c>
    </row>
    <row r="512" spans="2:17" x14ac:dyDescent="0.35">
      <c r="B512" s="70" t="str">
        <v>10KK4949</v>
      </c>
      <c r="C512" s="68" t="str">
        <f>VLOOKUP(B512,Master!B:C,2,0)</f>
        <v>10KK4949</v>
      </c>
      <c r="D512" s="69">
        <f>VLOOKUP(B512,Master!B:L,11,0)</f>
        <v>45866</v>
      </c>
      <c r="E512" s="69">
        <f>VLOOKUP(B512,Master!B:P,15,0)</f>
        <v>0</v>
      </c>
      <c r="F512" s="68" t="str">
        <f t="shared" si="32"/>
        <v>ACTIVE</v>
      </c>
      <c r="G512" s="68" t="str">
        <f t="shared" si="32"/>
        <v>ACTIVE</v>
      </c>
      <c r="H512" s="68" t="str">
        <f t="shared" si="32"/>
        <v>ACTIVE</v>
      </c>
      <c r="I512" s="68" t="str">
        <f t="shared" si="32"/>
        <v>ACTIVE</v>
      </c>
      <c r="J512" s="68" t="str">
        <f t="shared" si="32"/>
        <v>ACTIVE</v>
      </c>
      <c r="K512" s="68" t="str">
        <f t="shared" si="32"/>
        <v>ACTIVE</v>
      </c>
      <c r="L512" s="68" t="str">
        <f t="shared" si="32"/>
        <v>ACTIVE</v>
      </c>
      <c r="M512" s="68" t="str">
        <f t="shared" si="32"/>
        <v>ACTIVE</v>
      </c>
      <c r="N512" s="68" t="str">
        <f t="shared" si="32"/>
        <v>ACTIVE</v>
      </c>
      <c r="O512" s="68" t="str">
        <f t="shared" si="32"/>
        <v>ACTIVE</v>
      </c>
      <c r="P512" s="68" t="str">
        <f t="shared" si="32"/>
        <v>ACTIVE</v>
      </c>
      <c r="Q512" s="68" t="str">
        <f t="shared" si="32"/>
        <v>ACTIVE</v>
      </c>
    </row>
    <row r="513" spans="2:17" x14ac:dyDescent="0.35">
      <c r="B513" s="70" t="str">
        <v>10MW4940</v>
      </c>
      <c r="C513" s="68" t="str">
        <f>VLOOKUP(B513,Master!B:C,2,0)</f>
        <v>10MW4940</v>
      </c>
      <c r="D513" s="69">
        <f>VLOOKUP(B513,Master!B:L,11,0)</f>
        <v>45864</v>
      </c>
      <c r="E513" s="69">
        <f>VLOOKUP(B513,Master!B:P,15,0)</f>
        <v>0</v>
      </c>
      <c r="F513" s="68" t="str">
        <f t="shared" si="32"/>
        <v>ACTIVE</v>
      </c>
      <c r="G513" s="68" t="str">
        <f t="shared" si="32"/>
        <v>ACTIVE</v>
      </c>
      <c r="H513" s="68" t="str">
        <f t="shared" si="32"/>
        <v>ACTIVE</v>
      </c>
      <c r="I513" s="68" t="str">
        <f t="shared" si="32"/>
        <v>ACTIVE</v>
      </c>
      <c r="J513" s="68" t="str">
        <f t="shared" si="32"/>
        <v>ACTIVE</v>
      </c>
      <c r="K513" s="68" t="str">
        <f t="shared" si="32"/>
        <v>ACTIVE</v>
      </c>
      <c r="L513" s="68" t="str">
        <f t="shared" si="32"/>
        <v>ACTIVE</v>
      </c>
      <c r="M513" s="68" t="str">
        <f t="shared" si="32"/>
        <v>ACTIVE</v>
      </c>
      <c r="N513" s="68" t="str">
        <f t="shared" si="32"/>
        <v>ACTIVE</v>
      </c>
      <c r="O513" s="68" t="str">
        <f t="shared" si="32"/>
        <v>ACTIVE</v>
      </c>
      <c r="P513" s="68" t="str">
        <f t="shared" si="32"/>
        <v>ACTIVE</v>
      </c>
      <c r="Q513" s="68" t="str">
        <f t="shared" si="32"/>
        <v>ACTIVE</v>
      </c>
    </row>
    <row r="514" spans="2:17" x14ac:dyDescent="0.35">
      <c r="B514" s="70" t="str">
        <v>10UT4895</v>
      </c>
      <c r="C514" s="68" t="str">
        <f>VLOOKUP(B514,Master!B:C,2,0)</f>
        <v>10UT4895</v>
      </c>
      <c r="D514" s="69">
        <f>VLOOKUP(B514,Master!B:L,11,0)</f>
        <v>45853</v>
      </c>
      <c r="E514" s="69">
        <f>VLOOKUP(B514,Master!B:P,15,0)</f>
        <v>0</v>
      </c>
      <c r="F514" s="68" t="str">
        <f t="shared" si="32"/>
        <v>ACTIVE</v>
      </c>
      <c r="G514" s="68" t="str">
        <f t="shared" si="32"/>
        <v>ACTIVE</v>
      </c>
      <c r="H514" s="68" t="str">
        <f t="shared" si="32"/>
        <v>ACTIVE</v>
      </c>
      <c r="I514" s="68" t="str">
        <f t="shared" si="32"/>
        <v>ACTIVE</v>
      </c>
      <c r="J514" s="68" t="str">
        <f t="shared" si="32"/>
        <v>ACTIVE</v>
      </c>
      <c r="K514" s="68" t="str">
        <f t="shared" si="32"/>
        <v>ACTIVE</v>
      </c>
      <c r="L514" s="68" t="str">
        <f t="shared" si="32"/>
        <v>ACTIVE</v>
      </c>
      <c r="M514" s="68" t="str">
        <f t="shared" si="32"/>
        <v>ACTIVE</v>
      </c>
      <c r="N514" s="68" t="str">
        <f t="shared" si="32"/>
        <v>ACTIVE</v>
      </c>
      <c r="O514" s="68" t="str">
        <f t="shared" si="32"/>
        <v>ACTIVE</v>
      </c>
      <c r="P514" s="68" t="str">
        <f t="shared" si="32"/>
        <v>ACTIVE</v>
      </c>
      <c r="Q514" s="68" t="str">
        <f t="shared" si="32"/>
        <v>ACTIVE</v>
      </c>
    </row>
    <row r="515" spans="2:17" x14ac:dyDescent="0.35">
      <c r="B515" s="70" t="str">
        <v>30HB4930</v>
      </c>
      <c r="C515" s="68" t="str">
        <f>VLOOKUP(B515,Master!B:C,2,0)</f>
        <v>30HB4930</v>
      </c>
      <c r="D515" s="69">
        <f>VLOOKUP(B515,Master!B:L,11,0)</f>
        <v>45844</v>
      </c>
      <c r="E515" s="69">
        <f>VLOOKUP(B515,Master!B:P,15,0)</f>
        <v>0</v>
      </c>
      <c r="F515" s="68" t="str">
        <f t="shared" si="32"/>
        <v>ACTIVE</v>
      </c>
      <c r="G515" s="68" t="str">
        <f t="shared" si="32"/>
        <v>ACTIVE</v>
      </c>
      <c r="H515" s="68" t="str">
        <f t="shared" si="32"/>
        <v>ACTIVE</v>
      </c>
      <c r="I515" s="68" t="str">
        <f t="shared" si="32"/>
        <v>ACTIVE</v>
      </c>
      <c r="J515" s="68" t="str">
        <f t="shared" si="32"/>
        <v>ACTIVE</v>
      </c>
      <c r="K515" s="68" t="str">
        <f t="shared" si="32"/>
        <v>ACTIVE</v>
      </c>
      <c r="L515" s="68" t="str">
        <f t="shared" si="32"/>
        <v>ACTIVE</v>
      </c>
      <c r="M515" s="68" t="str">
        <f t="shared" si="32"/>
        <v>ACTIVE</v>
      </c>
      <c r="N515" s="68" t="str">
        <f t="shared" si="32"/>
        <v>ACTIVE</v>
      </c>
      <c r="O515" s="68" t="str">
        <f t="shared" si="32"/>
        <v>ACTIVE</v>
      </c>
      <c r="P515" s="68" t="str">
        <f t="shared" si="32"/>
        <v>ACTIVE</v>
      </c>
      <c r="Q515" s="68" t="str">
        <f t="shared" si="32"/>
        <v>ACTIVE</v>
      </c>
    </row>
    <row r="516" spans="2:17" x14ac:dyDescent="0.35">
      <c r="B516" s="70" t="str">
        <v>10LC4961</v>
      </c>
      <c r="C516" s="68" t="str">
        <f>VLOOKUP(B516,Master!B:C,2,0)</f>
        <v>10LC4961</v>
      </c>
      <c r="D516" s="69">
        <f>VLOOKUP(B516,Master!B:L,11,0)</f>
        <v>45916</v>
      </c>
      <c r="E516" s="69">
        <f>VLOOKUP(B516,Master!B:P,15,0)</f>
        <v>0</v>
      </c>
      <c r="F516" s="68" t="str">
        <f t="shared" ref="F516:Q531" si="33">IF($E516&gt;0,"CLOSED",IF($D516&lt;F$1,"ACTIVE","WAITING FOR OPEN"))</f>
        <v>ACTIVE</v>
      </c>
      <c r="G516" s="68" t="str">
        <f t="shared" si="33"/>
        <v>ACTIVE</v>
      </c>
      <c r="H516" s="68" t="str">
        <f t="shared" si="33"/>
        <v>ACTIVE</v>
      </c>
      <c r="I516" s="68" t="str">
        <f t="shared" si="33"/>
        <v>ACTIVE</v>
      </c>
      <c r="J516" s="68" t="str">
        <f t="shared" si="33"/>
        <v>ACTIVE</v>
      </c>
      <c r="K516" s="68" t="str">
        <f t="shared" si="33"/>
        <v>ACTIVE</v>
      </c>
      <c r="L516" s="68" t="str">
        <f t="shared" si="33"/>
        <v>ACTIVE</v>
      </c>
      <c r="M516" s="68" t="str">
        <f t="shared" si="33"/>
        <v>ACTIVE</v>
      </c>
      <c r="N516" s="68" t="str">
        <f t="shared" si="33"/>
        <v>ACTIVE</v>
      </c>
      <c r="O516" s="68" t="str">
        <f t="shared" si="33"/>
        <v>ACTIVE</v>
      </c>
      <c r="P516" s="68" t="str">
        <f t="shared" si="33"/>
        <v>ACTIVE</v>
      </c>
      <c r="Q516" s="68" t="str">
        <f t="shared" si="33"/>
        <v>ACTIVE</v>
      </c>
    </row>
    <row r="517" spans="2:17" x14ac:dyDescent="0.35">
      <c r="B517" s="70" t="str">
        <v>10LC4962</v>
      </c>
      <c r="C517" s="68" t="str">
        <f>VLOOKUP(B517,Master!B:C,2,0)</f>
        <v>10LC4962</v>
      </c>
      <c r="D517" s="69">
        <f>VLOOKUP(B517,Master!B:L,11,0)</f>
        <v>45916</v>
      </c>
      <c r="E517" s="69">
        <f>VLOOKUP(B517,Master!B:P,15,0)</f>
        <v>0</v>
      </c>
      <c r="F517" s="68" t="str">
        <f t="shared" si="33"/>
        <v>ACTIVE</v>
      </c>
      <c r="G517" s="68" t="str">
        <f t="shared" si="33"/>
        <v>ACTIVE</v>
      </c>
      <c r="H517" s="68" t="str">
        <f t="shared" si="33"/>
        <v>ACTIVE</v>
      </c>
      <c r="I517" s="68" t="str">
        <f t="shared" si="33"/>
        <v>ACTIVE</v>
      </c>
      <c r="J517" s="68" t="str">
        <f t="shared" si="33"/>
        <v>ACTIVE</v>
      </c>
      <c r="K517" s="68" t="str">
        <f t="shared" si="33"/>
        <v>ACTIVE</v>
      </c>
      <c r="L517" s="68" t="str">
        <f t="shared" si="33"/>
        <v>ACTIVE</v>
      </c>
      <c r="M517" s="68" t="str">
        <f t="shared" si="33"/>
        <v>ACTIVE</v>
      </c>
      <c r="N517" s="68" t="str">
        <f t="shared" si="33"/>
        <v>ACTIVE</v>
      </c>
      <c r="O517" s="68" t="str">
        <f t="shared" si="33"/>
        <v>ACTIVE</v>
      </c>
      <c r="P517" s="68" t="str">
        <f t="shared" si="33"/>
        <v>ACTIVE</v>
      </c>
      <c r="Q517" s="68" t="str">
        <f t="shared" si="33"/>
        <v>ACTIVE</v>
      </c>
    </row>
    <row r="518" spans="2:17" x14ac:dyDescent="0.35">
      <c r="B518" s="70" t="str">
        <v>10LC4963</v>
      </c>
      <c r="C518" s="68" t="str">
        <f>VLOOKUP(B518,Master!B:C,2,0)</f>
        <v>10LC4963</v>
      </c>
      <c r="D518" s="69">
        <f>VLOOKUP(B518,Master!B:L,11,0)</f>
        <v>45916</v>
      </c>
      <c r="E518" s="69">
        <f>VLOOKUP(B518,Master!B:P,15,0)</f>
        <v>0</v>
      </c>
      <c r="F518" s="68" t="str">
        <f t="shared" si="33"/>
        <v>ACTIVE</v>
      </c>
      <c r="G518" s="68" t="str">
        <f t="shared" si="33"/>
        <v>ACTIVE</v>
      </c>
      <c r="H518" s="68" t="str">
        <f t="shared" si="33"/>
        <v>ACTIVE</v>
      </c>
      <c r="I518" s="68" t="str">
        <f t="shared" si="33"/>
        <v>ACTIVE</v>
      </c>
      <c r="J518" s="68" t="str">
        <f t="shared" si="33"/>
        <v>ACTIVE</v>
      </c>
      <c r="K518" s="68" t="str">
        <f t="shared" si="33"/>
        <v>ACTIVE</v>
      </c>
      <c r="L518" s="68" t="str">
        <f t="shared" si="33"/>
        <v>ACTIVE</v>
      </c>
      <c r="M518" s="68" t="str">
        <f t="shared" si="33"/>
        <v>ACTIVE</v>
      </c>
      <c r="N518" s="68" t="str">
        <f t="shared" si="33"/>
        <v>ACTIVE</v>
      </c>
      <c r="O518" s="68" t="str">
        <f t="shared" si="33"/>
        <v>ACTIVE</v>
      </c>
      <c r="P518" s="68" t="str">
        <f t="shared" si="33"/>
        <v>ACTIVE</v>
      </c>
      <c r="Q518" s="68" t="str">
        <f t="shared" si="33"/>
        <v>ACTIVE</v>
      </c>
    </row>
    <row r="519" spans="2:17" x14ac:dyDescent="0.35">
      <c r="B519" s="70" t="str">
        <v>30KK4942</v>
      </c>
      <c r="C519" s="68" t="str">
        <f>VLOOKUP(B519,Master!B:C,2,0)</f>
        <v>30KK4942</v>
      </c>
      <c r="D519" s="69">
        <f>VLOOKUP(B519,Master!B:L,11,0)</f>
        <v>45923</v>
      </c>
      <c r="E519" s="69">
        <f>VLOOKUP(B519,Master!B:P,15,0)</f>
        <v>0</v>
      </c>
      <c r="F519" s="68" t="str">
        <f t="shared" si="33"/>
        <v>ACTIVE</v>
      </c>
      <c r="G519" s="68" t="str">
        <f t="shared" si="33"/>
        <v>ACTIVE</v>
      </c>
      <c r="H519" s="68" t="str">
        <f t="shared" si="33"/>
        <v>ACTIVE</v>
      </c>
      <c r="I519" s="68" t="str">
        <f t="shared" si="33"/>
        <v>ACTIVE</v>
      </c>
      <c r="J519" s="68" t="str">
        <f t="shared" si="33"/>
        <v>ACTIVE</v>
      </c>
      <c r="K519" s="68" t="str">
        <f t="shared" si="33"/>
        <v>ACTIVE</v>
      </c>
      <c r="L519" s="68" t="str">
        <f t="shared" si="33"/>
        <v>ACTIVE</v>
      </c>
      <c r="M519" s="68" t="str">
        <f t="shared" si="33"/>
        <v>ACTIVE</v>
      </c>
      <c r="N519" s="68" t="str">
        <f t="shared" si="33"/>
        <v>ACTIVE</v>
      </c>
      <c r="O519" s="68" t="str">
        <f t="shared" si="33"/>
        <v>ACTIVE</v>
      </c>
      <c r="P519" s="68" t="str">
        <f t="shared" si="33"/>
        <v>ACTIVE</v>
      </c>
      <c r="Q519" s="68" t="str">
        <f t="shared" si="33"/>
        <v>ACTIVE</v>
      </c>
    </row>
    <row r="520" spans="2:17" x14ac:dyDescent="0.35">
      <c r="B520" s="70" t="str">
        <v>30MT4943</v>
      </c>
      <c r="C520" s="68" t="str">
        <f>VLOOKUP(B520,Master!B:C,2,0)</f>
        <v>30MT4943</v>
      </c>
      <c r="D520" s="69">
        <f>VLOOKUP(B520,Master!B:L,11,0)</f>
        <v>45919</v>
      </c>
      <c r="E520" s="69">
        <f>VLOOKUP(B520,Master!B:P,15,0)</f>
        <v>0</v>
      </c>
      <c r="F520" s="68" t="str">
        <f t="shared" si="33"/>
        <v>ACTIVE</v>
      </c>
      <c r="G520" s="68" t="str">
        <f t="shared" si="33"/>
        <v>ACTIVE</v>
      </c>
      <c r="H520" s="68" t="str">
        <f t="shared" si="33"/>
        <v>ACTIVE</v>
      </c>
      <c r="I520" s="68" t="str">
        <f t="shared" si="33"/>
        <v>ACTIVE</v>
      </c>
      <c r="J520" s="68" t="str">
        <f t="shared" si="33"/>
        <v>ACTIVE</v>
      </c>
      <c r="K520" s="68" t="str">
        <f t="shared" si="33"/>
        <v>ACTIVE</v>
      </c>
      <c r="L520" s="68" t="str">
        <f t="shared" si="33"/>
        <v>ACTIVE</v>
      </c>
      <c r="M520" s="68" t="str">
        <f t="shared" si="33"/>
        <v>ACTIVE</v>
      </c>
      <c r="N520" s="68" t="str">
        <f t="shared" si="33"/>
        <v>ACTIVE</v>
      </c>
      <c r="O520" s="68" t="str">
        <f t="shared" si="33"/>
        <v>ACTIVE</v>
      </c>
      <c r="P520" s="68" t="str">
        <f t="shared" si="33"/>
        <v>ACTIVE</v>
      </c>
      <c r="Q520" s="68" t="str">
        <f t="shared" si="33"/>
        <v>ACTIVE</v>
      </c>
    </row>
    <row r="521" spans="2:17" x14ac:dyDescent="0.35">
      <c r="B521" s="70" t="str">
        <v>30SG4951</v>
      </c>
      <c r="C521" s="68" t="str">
        <f>VLOOKUP(B521,Master!B:C,2,0)</f>
        <v>30SG4951</v>
      </c>
      <c r="D521" s="69">
        <f>VLOOKUP(B521,Master!B:L,11,0)</f>
        <v>45915</v>
      </c>
      <c r="E521" s="69">
        <f>VLOOKUP(B521,Master!B:P,15,0)</f>
        <v>0</v>
      </c>
      <c r="F521" s="68" t="str">
        <f t="shared" si="33"/>
        <v>ACTIVE</v>
      </c>
      <c r="G521" s="68" t="str">
        <f t="shared" si="33"/>
        <v>ACTIVE</v>
      </c>
      <c r="H521" s="68" t="str">
        <f t="shared" si="33"/>
        <v>ACTIVE</v>
      </c>
      <c r="I521" s="68" t="str">
        <f t="shared" si="33"/>
        <v>ACTIVE</v>
      </c>
      <c r="J521" s="68" t="str">
        <f t="shared" si="33"/>
        <v>ACTIVE</v>
      </c>
      <c r="K521" s="68" t="str">
        <f t="shared" si="33"/>
        <v>ACTIVE</v>
      </c>
      <c r="L521" s="68" t="str">
        <f t="shared" si="33"/>
        <v>ACTIVE</v>
      </c>
      <c r="M521" s="68" t="str">
        <f t="shared" si="33"/>
        <v>ACTIVE</v>
      </c>
      <c r="N521" s="68" t="str">
        <f t="shared" si="33"/>
        <v>ACTIVE</v>
      </c>
      <c r="O521" s="68" t="str">
        <f t="shared" si="33"/>
        <v>ACTIVE</v>
      </c>
      <c r="P521" s="68" t="str">
        <f t="shared" si="33"/>
        <v>ACTIVE</v>
      </c>
      <c r="Q521" s="68" t="str">
        <f t="shared" si="33"/>
        <v>ACTIVE</v>
      </c>
    </row>
    <row r="522" spans="2:17" x14ac:dyDescent="0.35">
      <c r="B522" s="70" t="str">
        <v>30GG4941</v>
      </c>
      <c r="C522" s="68" t="str">
        <f>VLOOKUP(B522,Master!B:C,2,0)</f>
        <v>30GG4941</v>
      </c>
      <c r="D522" s="69">
        <f>VLOOKUP(B522,Master!B:L,11,0)</f>
        <v>45923</v>
      </c>
      <c r="E522" s="69">
        <f>VLOOKUP(B522,Master!B:P,15,0)</f>
        <v>0</v>
      </c>
      <c r="F522" s="68" t="str">
        <f t="shared" si="33"/>
        <v>ACTIVE</v>
      </c>
      <c r="G522" s="68" t="str">
        <f t="shared" si="33"/>
        <v>ACTIVE</v>
      </c>
      <c r="H522" s="68" t="str">
        <f t="shared" si="33"/>
        <v>ACTIVE</v>
      </c>
      <c r="I522" s="68" t="str">
        <f t="shared" si="33"/>
        <v>ACTIVE</v>
      </c>
      <c r="J522" s="68" t="str">
        <f t="shared" si="33"/>
        <v>ACTIVE</v>
      </c>
      <c r="K522" s="68" t="str">
        <f t="shared" si="33"/>
        <v>ACTIVE</v>
      </c>
      <c r="L522" s="68" t="str">
        <f t="shared" si="33"/>
        <v>ACTIVE</v>
      </c>
      <c r="M522" s="68" t="str">
        <f t="shared" si="33"/>
        <v>ACTIVE</v>
      </c>
      <c r="N522" s="68" t="str">
        <f t="shared" si="33"/>
        <v>ACTIVE</v>
      </c>
      <c r="O522" s="68" t="str">
        <f t="shared" si="33"/>
        <v>ACTIVE</v>
      </c>
      <c r="P522" s="68" t="str">
        <f t="shared" si="33"/>
        <v>ACTIVE</v>
      </c>
      <c r="Q522" s="68" t="str">
        <f t="shared" si="33"/>
        <v>ACTIVE</v>
      </c>
    </row>
    <row r="523" spans="2:17" x14ac:dyDescent="0.35">
      <c r="B523" s="70" t="str">
        <v>10UN4931</v>
      </c>
      <c r="C523" s="68" t="str">
        <f>VLOOKUP(B523,Master!B:C,2,0)</f>
        <v>10UN4931</v>
      </c>
      <c r="D523" s="69">
        <f>VLOOKUP(B523,Master!B:L,11,0)</f>
        <v>45901</v>
      </c>
      <c r="E523" s="69">
        <f>VLOOKUP(B523,Master!B:P,15,0)</f>
        <v>0</v>
      </c>
      <c r="F523" s="68" t="str">
        <f t="shared" si="33"/>
        <v>ACTIVE</v>
      </c>
      <c r="G523" s="68" t="str">
        <f t="shared" si="33"/>
        <v>ACTIVE</v>
      </c>
      <c r="H523" s="68" t="str">
        <f t="shared" si="33"/>
        <v>ACTIVE</v>
      </c>
      <c r="I523" s="68" t="str">
        <f t="shared" si="33"/>
        <v>ACTIVE</v>
      </c>
      <c r="J523" s="68" t="str">
        <f t="shared" si="33"/>
        <v>ACTIVE</v>
      </c>
      <c r="K523" s="68" t="str">
        <f t="shared" si="33"/>
        <v>ACTIVE</v>
      </c>
      <c r="L523" s="68" t="str">
        <f t="shared" si="33"/>
        <v>ACTIVE</v>
      </c>
      <c r="M523" s="68" t="str">
        <f t="shared" si="33"/>
        <v>ACTIVE</v>
      </c>
      <c r="N523" s="68" t="str">
        <f t="shared" si="33"/>
        <v>ACTIVE</v>
      </c>
      <c r="O523" s="68" t="str">
        <f t="shared" si="33"/>
        <v>ACTIVE</v>
      </c>
      <c r="P523" s="68" t="str">
        <f t="shared" si="33"/>
        <v>ACTIVE</v>
      </c>
      <c r="Q523" s="68" t="str">
        <f t="shared" si="33"/>
        <v>ACTIVE</v>
      </c>
    </row>
    <row r="524" spans="2:17" x14ac:dyDescent="0.35">
      <c r="B524" s="70" t="str">
        <v>10UT4932</v>
      </c>
      <c r="C524" s="68" t="str">
        <f>VLOOKUP(B524,Master!B:C,2,0)</f>
        <v>10UT4932</v>
      </c>
      <c r="D524" s="69">
        <f>VLOOKUP(B524,Master!B:L,11,0)</f>
        <v>45901</v>
      </c>
      <c r="E524" s="69">
        <f>VLOOKUP(B524,Master!B:P,15,0)</f>
        <v>0</v>
      </c>
      <c r="F524" s="68" t="str">
        <f t="shared" si="33"/>
        <v>ACTIVE</v>
      </c>
      <c r="G524" s="68" t="str">
        <f t="shared" si="33"/>
        <v>ACTIVE</v>
      </c>
      <c r="H524" s="68" t="str">
        <f t="shared" si="33"/>
        <v>ACTIVE</v>
      </c>
      <c r="I524" s="68" t="str">
        <f t="shared" si="33"/>
        <v>ACTIVE</v>
      </c>
      <c r="J524" s="68" t="str">
        <f t="shared" si="33"/>
        <v>ACTIVE</v>
      </c>
      <c r="K524" s="68" t="str">
        <f t="shared" si="33"/>
        <v>ACTIVE</v>
      </c>
      <c r="L524" s="68" t="str">
        <f t="shared" si="33"/>
        <v>ACTIVE</v>
      </c>
      <c r="M524" s="68" t="str">
        <f t="shared" si="33"/>
        <v>ACTIVE</v>
      </c>
      <c r="N524" s="68" t="str">
        <f t="shared" si="33"/>
        <v>ACTIVE</v>
      </c>
      <c r="O524" s="68" t="str">
        <f t="shared" si="33"/>
        <v>ACTIVE</v>
      </c>
      <c r="P524" s="68" t="str">
        <f t="shared" si="33"/>
        <v>ACTIVE</v>
      </c>
      <c r="Q524" s="68" t="str">
        <f t="shared" si="33"/>
        <v>ACTIVE</v>
      </c>
    </row>
    <row r="525" spans="2:17" x14ac:dyDescent="0.35">
      <c r="B525" s="70" t="str">
        <v>10UT4933</v>
      </c>
      <c r="C525" s="68" t="str">
        <f>VLOOKUP(B525,Master!B:C,2,0)</f>
        <v>10UT4933</v>
      </c>
      <c r="D525" s="69">
        <f>VLOOKUP(B525,Master!B:L,11,0)</f>
        <v>45905</v>
      </c>
      <c r="E525" s="69">
        <f>VLOOKUP(B525,Master!B:P,15,0)</f>
        <v>0</v>
      </c>
      <c r="F525" s="68" t="str">
        <f t="shared" si="33"/>
        <v>ACTIVE</v>
      </c>
      <c r="G525" s="68" t="str">
        <f t="shared" si="33"/>
        <v>ACTIVE</v>
      </c>
      <c r="H525" s="68" t="str">
        <f t="shared" si="33"/>
        <v>ACTIVE</v>
      </c>
      <c r="I525" s="68" t="str">
        <f t="shared" si="33"/>
        <v>ACTIVE</v>
      </c>
      <c r="J525" s="68" t="str">
        <f t="shared" si="33"/>
        <v>ACTIVE</v>
      </c>
      <c r="K525" s="68" t="str">
        <f t="shared" si="33"/>
        <v>ACTIVE</v>
      </c>
      <c r="L525" s="68" t="str">
        <f t="shared" si="33"/>
        <v>ACTIVE</v>
      </c>
      <c r="M525" s="68" t="str">
        <f t="shared" si="33"/>
        <v>ACTIVE</v>
      </c>
      <c r="N525" s="68" t="str">
        <f t="shared" si="33"/>
        <v>ACTIVE</v>
      </c>
      <c r="O525" s="68" t="str">
        <f t="shared" si="33"/>
        <v>ACTIVE</v>
      </c>
      <c r="P525" s="68" t="str">
        <f t="shared" si="33"/>
        <v>ACTIVE</v>
      </c>
      <c r="Q525" s="68" t="str">
        <f t="shared" si="33"/>
        <v>ACTIVE</v>
      </c>
    </row>
    <row r="526" spans="2:17" x14ac:dyDescent="0.35">
      <c r="B526" s="70" t="str">
        <v>10UT4934</v>
      </c>
      <c r="C526" s="68" t="str">
        <f>VLOOKUP(B526,Master!B:C,2,0)</f>
        <v>10UT4934</v>
      </c>
      <c r="D526" s="69">
        <f>VLOOKUP(B526,Master!B:L,11,0)</f>
        <v>45925</v>
      </c>
      <c r="E526" s="69">
        <f>VLOOKUP(B526,Master!B:P,15,0)</f>
        <v>0</v>
      </c>
      <c r="F526" s="68" t="str">
        <f t="shared" si="33"/>
        <v>ACTIVE</v>
      </c>
      <c r="G526" s="68" t="str">
        <f t="shared" si="33"/>
        <v>ACTIVE</v>
      </c>
      <c r="H526" s="68" t="str">
        <f t="shared" si="33"/>
        <v>ACTIVE</v>
      </c>
      <c r="I526" s="68" t="str">
        <f t="shared" si="33"/>
        <v>ACTIVE</v>
      </c>
      <c r="J526" s="68" t="str">
        <f t="shared" si="33"/>
        <v>ACTIVE</v>
      </c>
      <c r="K526" s="68" t="str">
        <f t="shared" si="33"/>
        <v>ACTIVE</v>
      </c>
      <c r="L526" s="68" t="str">
        <f t="shared" si="33"/>
        <v>ACTIVE</v>
      </c>
      <c r="M526" s="68" t="str">
        <f t="shared" si="33"/>
        <v>ACTIVE</v>
      </c>
      <c r="N526" s="68" t="str">
        <f t="shared" si="33"/>
        <v>ACTIVE</v>
      </c>
      <c r="O526" s="68" t="str">
        <f t="shared" si="33"/>
        <v>ACTIVE</v>
      </c>
      <c r="P526" s="68" t="str">
        <f t="shared" si="33"/>
        <v>ACTIVE</v>
      </c>
      <c r="Q526" s="68" t="str">
        <f t="shared" si="33"/>
        <v>ACTIVE</v>
      </c>
    </row>
    <row r="527" spans="2:17" x14ac:dyDescent="0.35">
      <c r="B527" s="70" t="str">
        <v>10UT4971</v>
      </c>
      <c r="C527" s="68" t="str">
        <f>VLOOKUP(B527,Master!B:C,2,0)</f>
        <v>10UT4971</v>
      </c>
      <c r="D527" s="69">
        <f>VLOOKUP(B527,Master!B:L,11,0)</f>
        <v>45917</v>
      </c>
      <c r="E527" s="69">
        <f>VLOOKUP(B527,Master!B:P,15,0)</f>
        <v>0</v>
      </c>
      <c r="F527" s="68" t="str">
        <f t="shared" si="33"/>
        <v>ACTIVE</v>
      </c>
      <c r="G527" s="68" t="str">
        <f t="shared" si="33"/>
        <v>ACTIVE</v>
      </c>
      <c r="H527" s="68" t="str">
        <f t="shared" si="33"/>
        <v>ACTIVE</v>
      </c>
      <c r="I527" s="68" t="str">
        <f t="shared" si="33"/>
        <v>ACTIVE</v>
      </c>
      <c r="J527" s="68" t="str">
        <f t="shared" si="33"/>
        <v>ACTIVE</v>
      </c>
      <c r="K527" s="68" t="str">
        <f t="shared" si="33"/>
        <v>ACTIVE</v>
      </c>
      <c r="L527" s="68" t="str">
        <f t="shared" si="33"/>
        <v>ACTIVE</v>
      </c>
      <c r="M527" s="68" t="str">
        <f t="shared" si="33"/>
        <v>ACTIVE</v>
      </c>
      <c r="N527" s="68" t="str">
        <f t="shared" si="33"/>
        <v>ACTIVE</v>
      </c>
      <c r="O527" s="68" t="str">
        <f t="shared" si="33"/>
        <v>ACTIVE</v>
      </c>
      <c r="P527" s="68" t="str">
        <f t="shared" si="33"/>
        <v>ACTIVE</v>
      </c>
      <c r="Q527" s="68" t="str">
        <f t="shared" si="33"/>
        <v>ACTIVE</v>
      </c>
    </row>
    <row r="528" spans="2:17" x14ac:dyDescent="0.35">
      <c r="B528" s="70" t="str">
        <v>10CK4952</v>
      </c>
      <c r="C528" s="68" t="str">
        <f>VLOOKUP(B528,Master!B:C,2,0)</f>
        <v>10CK4952</v>
      </c>
      <c r="D528" s="69">
        <f>VLOOKUP(B528,Master!B:L,11,0)</f>
        <v>45944</v>
      </c>
      <c r="E528" s="69">
        <f>VLOOKUP(B528,Master!B:P,15,0)</f>
        <v>0</v>
      </c>
      <c r="F528" s="68" t="str">
        <f t="shared" si="33"/>
        <v>ACTIVE</v>
      </c>
      <c r="G528" s="68" t="str">
        <f t="shared" si="33"/>
        <v>ACTIVE</v>
      </c>
      <c r="H528" s="68" t="str">
        <f t="shared" si="33"/>
        <v>ACTIVE</v>
      </c>
      <c r="I528" s="68" t="str">
        <f t="shared" si="33"/>
        <v>ACTIVE</v>
      </c>
      <c r="J528" s="68" t="str">
        <f t="shared" si="33"/>
        <v>ACTIVE</v>
      </c>
      <c r="K528" s="68" t="str">
        <f t="shared" si="33"/>
        <v>ACTIVE</v>
      </c>
      <c r="L528" s="68" t="str">
        <f t="shared" si="33"/>
        <v>ACTIVE</v>
      </c>
      <c r="M528" s="68" t="str">
        <f t="shared" si="33"/>
        <v>ACTIVE</v>
      </c>
      <c r="N528" s="68" t="str">
        <f t="shared" si="33"/>
        <v>ACTIVE</v>
      </c>
      <c r="O528" s="68" t="str">
        <f t="shared" si="33"/>
        <v>ACTIVE</v>
      </c>
      <c r="P528" s="68" t="str">
        <f t="shared" si="33"/>
        <v>ACTIVE</v>
      </c>
      <c r="Q528" s="68" t="str">
        <f t="shared" si="33"/>
        <v>ACTIVE</v>
      </c>
    </row>
    <row r="529" spans="2:17" x14ac:dyDescent="0.35">
      <c r="B529" s="70" t="str">
        <v>30GG4955</v>
      </c>
      <c r="C529" s="68" t="str">
        <f>VLOOKUP(B529,Master!B:C,2,0)</f>
        <v>30GG4955</v>
      </c>
      <c r="D529" s="69">
        <f>VLOOKUP(B529,Master!B:L,11,0)</f>
        <v>45944</v>
      </c>
      <c r="E529" s="69">
        <f>VLOOKUP(B529,Master!B:P,15,0)</f>
        <v>0</v>
      </c>
      <c r="F529" s="68" t="str">
        <f t="shared" si="33"/>
        <v>ACTIVE</v>
      </c>
      <c r="G529" s="68" t="str">
        <f t="shared" si="33"/>
        <v>ACTIVE</v>
      </c>
      <c r="H529" s="68" t="str">
        <f t="shared" si="33"/>
        <v>ACTIVE</v>
      </c>
      <c r="I529" s="68" t="str">
        <f t="shared" si="33"/>
        <v>ACTIVE</v>
      </c>
      <c r="J529" s="68" t="str">
        <f t="shared" si="33"/>
        <v>ACTIVE</v>
      </c>
      <c r="K529" s="68" t="str">
        <f t="shared" si="33"/>
        <v>ACTIVE</v>
      </c>
      <c r="L529" s="68" t="str">
        <f t="shared" si="33"/>
        <v>ACTIVE</v>
      </c>
      <c r="M529" s="68" t="str">
        <f t="shared" si="33"/>
        <v>ACTIVE</v>
      </c>
      <c r="N529" s="68" t="str">
        <f t="shared" si="33"/>
        <v>ACTIVE</v>
      </c>
      <c r="O529" s="68" t="str">
        <f t="shared" si="33"/>
        <v>ACTIVE</v>
      </c>
      <c r="P529" s="68" t="str">
        <f t="shared" si="33"/>
        <v>ACTIVE</v>
      </c>
      <c r="Q529" s="68" t="str">
        <f t="shared" si="33"/>
        <v>ACTIVE</v>
      </c>
    </row>
    <row r="530" spans="2:17" x14ac:dyDescent="0.35">
      <c r="B530" s="70" t="str">
        <v>09HNONR001</v>
      </c>
      <c r="C530" s="68" t="str">
        <f>VLOOKUP(B530,Master!B:C,2,0)</f>
        <v>09HNONR001</v>
      </c>
      <c r="D530" s="69">
        <f>VLOOKUP(B530,Master!B:L,11,0)</f>
        <v>45949</v>
      </c>
      <c r="E530" s="69">
        <f>VLOOKUP(B530,Master!B:P,15,0)</f>
        <v>0</v>
      </c>
      <c r="F530" s="68" t="str">
        <f t="shared" si="33"/>
        <v>ACTIVE</v>
      </c>
      <c r="G530" s="68" t="str">
        <f t="shared" si="33"/>
        <v>ACTIVE</v>
      </c>
      <c r="H530" s="68" t="str">
        <f t="shared" si="33"/>
        <v>ACTIVE</v>
      </c>
      <c r="I530" s="68" t="str">
        <f t="shared" si="33"/>
        <v>ACTIVE</v>
      </c>
      <c r="J530" s="68" t="str">
        <f t="shared" si="33"/>
        <v>ACTIVE</v>
      </c>
      <c r="K530" s="68" t="str">
        <f t="shared" si="33"/>
        <v>ACTIVE</v>
      </c>
      <c r="L530" s="68" t="str">
        <f t="shared" si="33"/>
        <v>ACTIVE</v>
      </c>
      <c r="M530" s="68" t="str">
        <f t="shared" si="33"/>
        <v>ACTIVE</v>
      </c>
      <c r="N530" s="68" t="str">
        <f t="shared" si="33"/>
        <v>ACTIVE</v>
      </c>
      <c r="O530" s="68" t="str">
        <f t="shared" si="33"/>
        <v>ACTIVE</v>
      </c>
      <c r="P530" s="68" t="str">
        <f t="shared" si="33"/>
        <v>ACTIVE</v>
      </c>
      <c r="Q530" s="68" t="str">
        <f t="shared" si="33"/>
        <v>ACTIVE</v>
      </c>
    </row>
    <row r="531" spans="2:17" x14ac:dyDescent="0.35">
      <c r="B531" s="70" t="str">
        <v>10LC4969</v>
      </c>
      <c r="C531" s="68" t="str">
        <f>VLOOKUP(B531,Master!B:C,2,0)</f>
        <v>10LC4969</v>
      </c>
      <c r="D531" s="69">
        <f>VLOOKUP(B531,Master!B:L,11,0)</f>
        <v>45931</v>
      </c>
      <c r="E531" s="69">
        <f>VLOOKUP(B531,Master!B:P,15,0)</f>
        <v>0</v>
      </c>
      <c r="F531" s="68" t="str">
        <f t="shared" si="33"/>
        <v>ACTIVE</v>
      </c>
      <c r="G531" s="68" t="str">
        <f t="shared" si="33"/>
        <v>ACTIVE</v>
      </c>
      <c r="H531" s="68" t="str">
        <f t="shared" si="33"/>
        <v>ACTIVE</v>
      </c>
      <c r="I531" s="68" t="str">
        <f t="shared" si="33"/>
        <v>ACTIVE</v>
      </c>
      <c r="J531" s="68" t="str">
        <f t="shared" si="33"/>
        <v>ACTIVE</v>
      </c>
      <c r="K531" s="68" t="str">
        <f t="shared" si="33"/>
        <v>ACTIVE</v>
      </c>
      <c r="L531" s="68" t="str">
        <f t="shared" si="33"/>
        <v>ACTIVE</v>
      </c>
      <c r="M531" s="68" t="str">
        <f t="shared" si="33"/>
        <v>ACTIVE</v>
      </c>
      <c r="N531" s="68" t="str">
        <f t="shared" si="33"/>
        <v>ACTIVE</v>
      </c>
      <c r="O531" s="68" t="str">
        <f t="shared" si="33"/>
        <v>ACTIVE</v>
      </c>
      <c r="P531" s="68" t="str">
        <f t="shared" si="33"/>
        <v>ACTIVE</v>
      </c>
      <c r="Q531" s="68" t="str">
        <f t="shared" si="33"/>
        <v>ACTIVE</v>
      </c>
    </row>
    <row r="532" spans="2:17" x14ac:dyDescent="0.35">
      <c r="B532" s="70" t="str">
        <v>30LC4975</v>
      </c>
      <c r="C532" s="68" t="str">
        <f>VLOOKUP(B532,Master!B:C,2,0)</f>
        <v>30LC4975</v>
      </c>
      <c r="D532" s="69">
        <f>VLOOKUP(B532,Master!B:L,11,0)</f>
        <v>45931</v>
      </c>
      <c r="E532" s="69">
        <f>VLOOKUP(B532,Master!B:P,15,0)</f>
        <v>0</v>
      </c>
      <c r="F532" s="68" t="str">
        <f t="shared" ref="F532:Q547" si="34">IF($E532&gt;0,"CLOSED",IF($D532&lt;F$1,"ACTIVE","WAITING FOR OPEN"))</f>
        <v>ACTIVE</v>
      </c>
      <c r="G532" s="68" t="str">
        <f t="shared" si="34"/>
        <v>ACTIVE</v>
      </c>
      <c r="H532" s="68" t="str">
        <f t="shared" si="34"/>
        <v>ACTIVE</v>
      </c>
      <c r="I532" s="68" t="str">
        <f t="shared" si="34"/>
        <v>ACTIVE</v>
      </c>
      <c r="J532" s="68" t="str">
        <f t="shared" si="34"/>
        <v>ACTIVE</v>
      </c>
      <c r="K532" s="68" t="str">
        <f t="shared" si="34"/>
        <v>ACTIVE</v>
      </c>
      <c r="L532" s="68" t="str">
        <f t="shared" si="34"/>
        <v>ACTIVE</v>
      </c>
      <c r="M532" s="68" t="str">
        <f t="shared" si="34"/>
        <v>ACTIVE</v>
      </c>
      <c r="N532" s="68" t="str">
        <f t="shared" si="34"/>
        <v>ACTIVE</v>
      </c>
      <c r="O532" s="68" t="str">
        <f t="shared" si="34"/>
        <v>ACTIVE</v>
      </c>
      <c r="P532" s="68" t="str">
        <f t="shared" si="34"/>
        <v>ACTIVE</v>
      </c>
      <c r="Q532" s="68" t="str">
        <f t="shared" si="34"/>
        <v>ACTIVE</v>
      </c>
    </row>
    <row r="533" spans="2:17" x14ac:dyDescent="0.35">
      <c r="B533" s="70" t="str">
        <v>30LC4974</v>
      </c>
      <c r="C533" s="68" t="str">
        <f>VLOOKUP(B533,Master!B:C,2,0)</f>
        <v>30LC4974</v>
      </c>
      <c r="D533" s="69">
        <f>VLOOKUP(B533,Master!B:L,11,0)</f>
        <v>45931</v>
      </c>
      <c r="E533" s="69">
        <f>VLOOKUP(B533,Master!B:P,15,0)</f>
        <v>0</v>
      </c>
      <c r="F533" s="68" t="str">
        <f t="shared" si="34"/>
        <v>ACTIVE</v>
      </c>
      <c r="G533" s="68" t="str">
        <f t="shared" si="34"/>
        <v>ACTIVE</v>
      </c>
      <c r="H533" s="68" t="str">
        <f t="shared" si="34"/>
        <v>ACTIVE</v>
      </c>
      <c r="I533" s="68" t="str">
        <f t="shared" si="34"/>
        <v>ACTIVE</v>
      </c>
      <c r="J533" s="68" t="str">
        <f t="shared" si="34"/>
        <v>ACTIVE</v>
      </c>
      <c r="K533" s="68" t="str">
        <f t="shared" si="34"/>
        <v>ACTIVE</v>
      </c>
      <c r="L533" s="68" t="str">
        <f t="shared" si="34"/>
        <v>ACTIVE</v>
      </c>
      <c r="M533" s="68" t="str">
        <f t="shared" si="34"/>
        <v>ACTIVE</v>
      </c>
      <c r="N533" s="68" t="str">
        <f t="shared" si="34"/>
        <v>ACTIVE</v>
      </c>
      <c r="O533" s="68" t="str">
        <f t="shared" si="34"/>
        <v>ACTIVE</v>
      </c>
      <c r="P533" s="68" t="str">
        <f t="shared" si="34"/>
        <v>ACTIVE</v>
      </c>
      <c r="Q533" s="68" t="str">
        <f t="shared" si="34"/>
        <v>ACTIVE</v>
      </c>
    </row>
    <row r="534" spans="2:17" x14ac:dyDescent="0.35">
      <c r="B534" s="70" t="str">
        <v>30LC4973</v>
      </c>
      <c r="C534" s="68" t="str">
        <f>VLOOKUP(B534,Master!B:C,2,0)</f>
        <v>30LC4973</v>
      </c>
      <c r="D534" s="69">
        <f>VLOOKUP(B534,Master!B:L,11,0)</f>
        <v>45931</v>
      </c>
      <c r="E534" s="69">
        <f>VLOOKUP(B534,Master!B:P,15,0)</f>
        <v>0</v>
      </c>
      <c r="F534" s="68" t="str">
        <f t="shared" si="34"/>
        <v>ACTIVE</v>
      </c>
      <c r="G534" s="68" t="str">
        <f t="shared" si="34"/>
        <v>ACTIVE</v>
      </c>
      <c r="H534" s="68" t="str">
        <f t="shared" si="34"/>
        <v>ACTIVE</v>
      </c>
      <c r="I534" s="68" t="str">
        <f t="shared" si="34"/>
        <v>ACTIVE</v>
      </c>
      <c r="J534" s="68" t="str">
        <f t="shared" si="34"/>
        <v>ACTIVE</v>
      </c>
      <c r="K534" s="68" t="str">
        <f t="shared" si="34"/>
        <v>ACTIVE</v>
      </c>
      <c r="L534" s="68" t="str">
        <f t="shared" si="34"/>
        <v>ACTIVE</v>
      </c>
      <c r="M534" s="68" t="str">
        <f t="shared" si="34"/>
        <v>ACTIVE</v>
      </c>
      <c r="N534" s="68" t="str">
        <f t="shared" si="34"/>
        <v>ACTIVE</v>
      </c>
      <c r="O534" s="68" t="str">
        <f t="shared" si="34"/>
        <v>ACTIVE</v>
      </c>
      <c r="P534" s="68" t="str">
        <f t="shared" si="34"/>
        <v>ACTIVE</v>
      </c>
      <c r="Q534" s="68" t="str">
        <f t="shared" si="34"/>
        <v>ACTIVE</v>
      </c>
    </row>
    <row r="535" spans="2:17" x14ac:dyDescent="0.35">
      <c r="B535" s="70" t="str">
        <v>30LC4977</v>
      </c>
      <c r="C535" s="68" t="str">
        <f>VLOOKUP(B535,Master!B:C,2,0)</f>
        <v>30LC4977</v>
      </c>
      <c r="D535" s="69">
        <f>VLOOKUP(B535,Master!B:L,11,0)</f>
        <v>45931</v>
      </c>
      <c r="E535" s="69">
        <f>VLOOKUP(B535,Master!B:P,15,0)</f>
        <v>0</v>
      </c>
      <c r="F535" s="68" t="str">
        <f t="shared" si="34"/>
        <v>ACTIVE</v>
      </c>
      <c r="G535" s="68" t="str">
        <f t="shared" si="34"/>
        <v>ACTIVE</v>
      </c>
      <c r="H535" s="68" t="str">
        <f t="shared" si="34"/>
        <v>ACTIVE</v>
      </c>
      <c r="I535" s="68" t="str">
        <f t="shared" si="34"/>
        <v>ACTIVE</v>
      </c>
      <c r="J535" s="68" t="str">
        <f t="shared" si="34"/>
        <v>ACTIVE</v>
      </c>
      <c r="K535" s="68" t="str">
        <f t="shared" si="34"/>
        <v>ACTIVE</v>
      </c>
      <c r="L535" s="68" t="str">
        <f t="shared" si="34"/>
        <v>ACTIVE</v>
      </c>
      <c r="M535" s="68" t="str">
        <f t="shared" si="34"/>
        <v>ACTIVE</v>
      </c>
      <c r="N535" s="68" t="str">
        <f t="shared" si="34"/>
        <v>ACTIVE</v>
      </c>
      <c r="O535" s="68" t="str">
        <f t="shared" si="34"/>
        <v>ACTIVE</v>
      </c>
      <c r="P535" s="68" t="str">
        <f t="shared" si="34"/>
        <v>ACTIVE</v>
      </c>
      <c r="Q535" s="68" t="str">
        <f t="shared" si="34"/>
        <v>ACTIVE</v>
      </c>
    </row>
    <row r="536" spans="2:17" x14ac:dyDescent="0.35">
      <c r="B536" s="70" t="str">
        <v>10UP4881</v>
      </c>
      <c r="C536" s="68" t="str">
        <f>VLOOKUP(B536,Master!B:C,2,0)</f>
        <v>10UP4881</v>
      </c>
      <c r="D536" s="69">
        <f>VLOOKUP(B536,Master!B:L,11,0)</f>
        <v>45957</v>
      </c>
      <c r="E536" s="69">
        <f>VLOOKUP(B536,Master!B:P,15,0)</f>
        <v>0</v>
      </c>
      <c r="F536" s="68" t="str">
        <f t="shared" si="34"/>
        <v>ACTIVE</v>
      </c>
      <c r="G536" s="68" t="str">
        <f t="shared" si="34"/>
        <v>ACTIVE</v>
      </c>
      <c r="H536" s="68" t="str">
        <f t="shared" si="34"/>
        <v>ACTIVE</v>
      </c>
      <c r="I536" s="68" t="str">
        <f t="shared" si="34"/>
        <v>ACTIVE</v>
      </c>
      <c r="J536" s="68" t="str">
        <f t="shared" si="34"/>
        <v>ACTIVE</v>
      </c>
      <c r="K536" s="68" t="str">
        <f t="shared" si="34"/>
        <v>ACTIVE</v>
      </c>
      <c r="L536" s="68" t="str">
        <f t="shared" si="34"/>
        <v>ACTIVE</v>
      </c>
      <c r="M536" s="68" t="str">
        <f t="shared" si="34"/>
        <v>ACTIVE</v>
      </c>
      <c r="N536" s="68" t="str">
        <f t="shared" si="34"/>
        <v>ACTIVE</v>
      </c>
      <c r="O536" s="68" t="str">
        <f t="shared" si="34"/>
        <v>ACTIVE</v>
      </c>
      <c r="P536" s="68" t="str">
        <f t="shared" si="34"/>
        <v>ACTIVE</v>
      </c>
      <c r="Q536" s="68" t="str">
        <f t="shared" si="34"/>
        <v>ACTIVE</v>
      </c>
    </row>
    <row r="537" spans="2:17" x14ac:dyDescent="0.35">
      <c r="B537" s="70" t="str">
        <v>30KK4986</v>
      </c>
      <c r="C537" s="68" t="str">
        <f>VLOOKUP(B537,Master!B:C,2,0)</f>
        <v>30KK4986</v>
      </c>
      <c r="D537" s="69">
        <f>VLOOKUP(B537,Master!B:L,11,0)</f>
        <v>45936</v>
      </c>
      <c r="E537" s="69">
        <f>VLOOKUP(B537,Master!B:P,15,0)</f>
        <v>0</v>
      </c>
      <c r="F537" s="68" t="str">
        <f t="shared" si="34"/>
        <v>ACTIVE</v>
      </c>
      <c r="G537" s="68" t="str">
        <f t="shared" si="34"/>
        <v>ACTIVE</v>
      </c>
      <c r="H537" s="68" t="str">
        <f t="shared" si="34"/>
        <v>ACTIVE</v>
      </c>
      <c r="I537" s="68" t="str">
        <f t="shared" si="34"/>
        <v>ACTIVE</v>
      </c>
      <c r="J537" s="68" t="str">
        <f t="shared" si="34"/>
        <v>ACTIVE</v>
      </c>
      <c r="K537" s="68" t="str">
        <f t="shared" si="34"/>
        <v>ACTIVE</v>
      </c>
      <c r="L537" s="68" t="str">
        <f t="shared" si="34"/>
        <v>ACTIVE</v>
      </c>
      <c r="M537" s="68" t="str">
        <f t="shared" si="34"/>
        <v>ACTIVE</v>
      </c>
      <c r="N537" s="68" t="str">
        <f t="shared" si="34"/>
        <v>ACTIVE</v>
      </c>
      <c r="O537" s="68" t="str">
        <f t="shared" si="34"/>
        <v>ACTIVE</v>
      </c>
      <c r="P537" s="68" t="str">
        <f t="shared" si="34"/>
        <v>ACTIVE</v>
      </c>
      <c r="Q537" s="68" t="str">
        <f t="shared" si="34"/>
        <v>ACTIVE</v>
      </c>
    </row>
    <row r="538" spans="2:17" x14ac:dyDescent="0.35">
      <c r="B538" s="70" t="str">
        <v>10UT4972</v>
      </c>
      <c r="C538" s="68" t="str">
        <f>VLOOKUP(B538,Master!B:C,2,0)</f>
        <v>10UT4972</v>
      </c>
      <c r="D538" s="69">
        <f>VLOOKUP(B538,Master!B:L,11,0)</f>
        <v>45957</v>
      </c>
      <c r="E538" s="69">
        <f>VLOOKUP(B538,Master!B:P,15,0)</f>
        <v>0</v>
      </c>
      <c r="F538" s="68" t="str">
        <f t="shared" si="34"/>
        <v>ACTIVE</v>
      </c>
      <c r="G538" s="68" t="str">
        <f t="shared" si="34"/>
        <v>ACTIVE</v>
      </c>
      <c r="H538" s="68" t="str">
        <f t="shared" si="34"/>
        <v>ACTIVE</v>
      </c>
      <c r="I538" s="68" t="str">
        <f t="shared" si="34"/>
        <v>ACTIVE</v>
      </c>
      <c r="J538" s="68" t="str">
        <f t="shared" si="34"/>
        <v>ACTIVE</v>
      </c>
      <c r="K538" s="68" t="str">
        <f t="shared" si="34"/>
        <v>ACTIVE</v>
      </c>
      <c r="L538" s="68" t="str">
        <f t="shared" si="34"/>
        <v>ACTIVE</v>
      </c>
      <c r="M538" s="68" t="str">
        <f t="shared" si="34"/>
        <v>ACTIVE</v>
      </c>
      <c r="N538" s="68" t="str">
        <f t="shared" si="34"/>
        <v>ACTIVE</v>
      </c>
      <c r="O538" s="68" t="str">
        <f t="shared" si="34"/>
        <v>ACTIVE</v>
      </c>
      <c r="P538" s="68" t="str">
        <f t="shared" si="34"/>
        <v>ACTIVE</v>
      </c>
      <c r="Q538" s="68" t="str">
        <f t="shared" si="34"/>
        <v>ACTIVE</v>
      </c>
    </row>
    <row r="539" spans="2:17" x14ac:dyDescent="0.35">
      <c r="B539" s="70" t="str">
        <v>30LC4964</v>
      </c>
      <c r="C539" s="68" t="str">
        <f>VLOOKUP(B539,Master!B:C,2,0)</f>
        <v>30LC4964</v>
      </c>
      <c r="D539" s="69">
        <f>VLOOKUP(B539,Master!B:L,11,0)</f>
        <v>45968</v>
      </c>
      <c r="E539" s="69">
        <f>VLOOKUP(B539,Master!B:P,15,0)</f>
        <v>0</v>
      </c>
      <c r="F539" s="68" t="str">
        <f t="shared" si="34"/>
        <v>ACTIVE</v>
      </c>
      <c r="G539" s="68" t="str">
        <f t="shared" si="34"/>
        <v>ACTIVE</v>
      </c>
      <c r="H539" s="68" t="str">
        <f t="shared" si="34"/>
        <v>ACTIVE</v>
      </c>
      <c r="I539" s="68" t="str">
        <f t="shared" si="34"/>
        <v>ACTIVE</v>
      </c>
      <c r="J539" s="68" t="str">
        <f t="shared" si="34"/>
        <v>ACTIVE</v>
      </c>
      <c r="K539" s="68" t="str">
        <f t="shared" si="34"/>
        <v>ACTIVE</v>
      </c>
      <c r="L539" s="68" t="str">
        <f t="shared" si="34"/>
        <v>ACTIVE</v>
      </c>
      <c r="M539" s="68" t="str">
        <f t="shared" si="34"/>
        <v>ACTIVE</v>
      </c>
      <c r="N539" s="68" t="str">
        <f t="shared" si="34"/>
        <v>ACTIVE</v>
      </c>
      <c r="O539" s="68" t="str">
        <f t="shared" si="34"/>
        <v>ACTIVE</v>
      </c>
      <c r="P539" s="68" t="str">
        <f t="shared" si="34"/>
        <v>ACTIVE</v>
      </c>
      <c r="Q539" s="68" t="str">
        <f t="shared" si="34"/>
        <v>ACTIVE</v>
      </c>
    </row>
    <row r="540" spans="2:17" x14ac:dyDescent="0.35">
      <c r="B540" s="70" t="str">
        <v>10UP4966</v>
      </c>
      <c r="C540" s="68" t="str">
        <f>VLOOKUP(B540,Master!B:C,2,0)</f>
        <v>10UP4966</v>
      </c>
      <c r="D540" s="69">
        <f>VLOOKUP(B540,Master!B:L,11,0)</f>
        <v>46003</v>
      </c>
      <c r="E540" s="69">
        <f>VLOOKUP(B540,Master!B:P,15,0)</f>
        <v>0</v>
      </c>
      <c r="F540" s="68" t="str">
        <f t="shared" si="34"/>
        <v>ACTIVE</v>
      </c>
      <c r="G540" s="68" t="str">
        <f t="shared" si="34"/>
        <v>ACTIVE</v>
      </c>
      <c r="H540" s="68" t="str">
        <f t="shared" si="34"/>
        <v>ACTIVE</v>
      </c>
      <c r="I540" s="68" t="str">
        <f t="shared" si="34"/>
        <v>ACTIVE</v>
      </c>
      <c r="J540" s="68" t="str">
        <f t="shared" si="34"/>
        <v>ACTIVE</v>
      </c>
      <c r="K540" s="68" t="str">
        <f t="shared" si="34"/>
        <v>ACTIVE</v>
      </c>
      <c r="L540" s="68" t="str">
        <f t="shared" si="34"/>
        <v>ACTIVE</v>
      </c>
      <c r="M540" s="68" t="str">
        <f t="shared" si="34"/>
        <v>ACTIVE</v>
      </c>
      <c r="N540" s="68" t="str">
        <f t="shared" si="34"/>
        <v>ACTIVE</v>
      </c>
      <c r="O540" s="68" t="str">
        <f t="shared" si="34"/>
        <v>ACTIVE</v>
      </c>
      <c r="P540" s="68" t="str">
        <f t="shared" si="34"/>
        <v>ACTIVE</v>
      </c>
      <c r="Q540" s="68" t="str">
        <f t="shared" si="34"/>
        <v>ACTIVE</v>
      </c>
    </row>
    <row r="541" spans="2:17" x14ac:dyDescent="0.35">
      <c r="B541" s="70" t="str">
        <v>30DN4958</v>
      </c>
      <c r="C541" s="68" t="str">
        <f>VLOOKUP(B541,Master!B:C,2,0)</f>
        <v>30DN4958</v>
      </c>
      <c r="D541" s="69">
        <f>VLOOKUP(B541,Master!B:L,11,0)</f>
        <v>46017</v>
      </c>
      <c r="E541" s="69">
        <f>VLOOKUP(B541,Master!B:P,15,0)</f>
        <v>0</v>
      </c>
      <c r="F541" s="68" t="str">
        <f t="shared" si="34"/>
        <v>ACTIVE</v>
      </c>
      <c r="G541" s="68" t="str">
        <f t="shared" si="34"/>
        <v>ACTIVE</v>
      </c>
      <c r="H541" s="68" t="str">
        <f t="shared" si="34"/>
        <v>ACTIVE</v>
      </c>
      <c r="I541" s="68" t="str">
        <f t="shared" si="34"/>
        <v>ACTIVE</v>
      </c>
      <c r="J541" s="68" t="str">
        <f t="shared" si="34"/>
        <v>ACTIVE</v>
      </c>
      <c r="K541" s="68" t="str">
        <f t="shared" si="34"/>
        <v>ACTIVE</v>
      </c>
      <c r="L541" s="68" t="str">
        <f t="shared" si="34"/>
        <v>ACTIVE</v>
      </c>
      <c r="M541" s="68" t="str">
        <f t="shared" si="34"/>
        <v>ACTIVE</v>
      </c>
      <c r="N541" s="68" t="str">
        <f t="shared" si="34"/>
        <v>ACTIVE</v>
      </c>
      <c r="O541" s="68" t="str">
        <f t="shared" si="34"/>
        <v>ACTIVE</v>
      </c>
      <c r="P541" s="68" t="str">
        <f t="shared" si="34"/>
        <v>ACTIVE</v>
      </c>
      <c r="Q541" s="68" t="str">
        <f t="shared" si="34"/>
        <v>ACTIVE</v>
      </c>
    </row>
    <row r="542" spans="2:17" x14ac:dyDescent="0.35">
      <c r="B542" s="70" t="str">
        <v>10KK4987</v>
      </c>
      <c r="C542" s="68" t="str">
        <f>VLOOKUP(B542,Master!B:C,2,0)</f>
        <v>10KK4987</v>
      </c>
      <c r="D542" s="69">
        <f>VLOOKUP(B542,Master!B:L,11,0)</f>
        <v>46021</v>
      </c>
      <c r="E542" s="69">
        <f>VLOOKUP(B542,Master!B:P,15,0)</f>
        <v>0</v>
      </c>
      <c r="F542" s="68" t="str">
        <f t="shared" si="34"/>
        <v>ACTIVE</v>
      </c>
      <c r="G542" s="68" t="str">
        <f t="shared" si="34"/>
        <v>ACTIVE</v>
      </c>
      <c r="H542" s="68" t="str">
        <f t="shared" si="34"/>
        <v>ACTIVE</v>
      </c>
      <c r="I542" s="68" t="str">
        <f t="shared" si="34"/>
        <v>ACTIVE</v>
      </c>
      <c r="J542" s="68" t="str">
        <f t="shared" si="34"/>
        <v>ACTIVE</v>
      </c>
      <c r="K542" s="68" t="str">
        <f t="shared" si="34"/>
        <v>ACTIVE</v>
      </c>
      <c r="L542" s="68" t="str">
        <f t="shared" si="34"/>
        <v>ACTIVE</v>
      </c>
      <c r="M542" s="68" t="str">
        <f t="shared" si="34"/>
        <v>ACTIVE</v>
      </c>
      <c r="N542" s="68" t="str">
        <f t="shared" si="34"/>
        <v>ACTIVE</v>
      </c>
      <c r="O542" s="68" t="str">
        <f t="shared" si="34"/>
        <v>ACTIVE</v>
      </c>
      <c r="P542" s="68" t="str">
        <f t="shared" si="34"/>
        <v>ACTIVE</v>
      </c>
      <c r="Q542" s="68" t="str">
        <f t="shared" si="34"/>
        <v>ACTIVE</v>
      </c>
    </row>
    <row r="543" spans="2:17" x14ac:dyDescent="0.35">
      <c r="B543" s="70" t="str">
        <v>10DN4993</v>
      </c>
      <c r="C543" s="68" t="str">
        <f>VLOOKUP(B543,Master!B:C,2,0)</f>
        <v>10DN4993</v>
      </c>
      <c r="D543" s="69">
        <f>VLOOKUP(B543,Master!B:L,11,0)</f>
        <v>46018</v>
      </c>
      <c r="E543" s="69">
        <f>VLOOKUP(B543,Master!B:P,15,0)</f>
        <v>0</v>
      </c>
      <c r="F543" s="68" t="str">
        <f t="shared" si="34"/>
        <v>ACTIVE</v>
      </c>
      <c r="G543" s="68" t="str">
        <f t="shared" si="34"/>
        <v>ACTIVE</v>
      </c>
      <c r="H543" s="68" t="str">
        <f t="shared" si="34"/>
        <v>ACTIVE</v>
      </c>
      <c r="I543" s="68" t="str">
        <f t="shared" si="34"/>
        <v>ACTIVE</v>
      </c>
      <c r="J543" s="68" t="str">
        <f t="shared" si="34"/>
        <v>ACTIVE</v>
      </c>
      <c r="K543" s="68" t="str">
        <f t="shared" si="34"/>
        <v>ACTIVE</v>
      </c>
      <c r="L543" s="68" t="str">
        <f t="shared" si="34"/>
        <v>ACTIVE</v>
      </c>
      <c r="M543" s="68" t="str">
        <f t="shared" si="34"/>
        <v>ACTIVE</v>
      </c>
      <c r="N543" s="68" t="str">
        <f t="shared" si="34"/>
        <v>ACTIVE</v>
      </c>
      <c r="O543" s="68" t="str">
        <f t="shared" si="34"/>
        <v>ACTIVE</v>
      </c>
      <c r="P543" s="68" t="str">
        <f t="shared" si="34"/>
        <v>ACTIVE</v>
      </c>
      <c r="Q543" s="68" t="str">
        <f t="shared" si="34"/>
        <v>ACTIVE</v>
      </c>
    </row>
    <row r="544" spans="2:17" x14ac:dyDescent="0.35">
      <c r="B544" s="70" t="str">
        <v>30DN4960</v>
      </c>
      <c r="C544" s="68" t="str">
        <f>VLOOKUP(B544,Master!B:C,2,0)</f>
        <v>30DN4960</v>
      </c>
      <c r="D544" s="69">
        <f>VLOOKUP(B544,Master!B:L,11,0)</f>
        <v>46016</v>
      </c>
      <c r="E544" s="69">
        <f>VLOOKUP(B544,Master!B:P,15,0)</f>
        <v>0</v>
      </c>
      <c r="F544" s="68" t="str">
        <f t="shared" si="34"/>
        <v>ACTIVE</v>
      </c>
      <c r="G544" s="68" t="str">
        <f t="shared" si="34"/>
        <v>ACTIVE</v>
      </c>
      <c r="H544" s="68" t="str">
        <f t="shared" si="34"/>
        <v>ACTIVE</v>
      </c>
      <c r="I544" s="68" t="str">
        <f t="shared" si="34"/>
        <v>ACTIVE</v>
      </c>
      <c r="J544" s="68" t="str">
        <f t="shared" si="34"/>
        <v>ACTIVE</v>
      </c>
      <c r="K544" s="68" t="str">
        <f t="shared" si="34"/>
        <v>ACTIVE</v>
      </c>
      <c r="L544" s="68" t="str">
        <f t="shared" si="34"/>
        <v>ACTIVE</v>
      </c>
      <c r="M544" s="68" t="str">
        <f t="shared" si="34"/>
        <v>ACTIVE</v>
      </c>
      <c r="N544" s="68" t="str">
        <f t="shared" si="34"/>
        <v>ACTIVE</v>
      </c>
      <c r="O544" s="68" t="str">
        <f t="shared" si="34"/>
        <v>ACTIVE</v>
      </c>
      <c r="P544" s="68" t="str">
        <f t="shared" si="34"/>
        <v>ACTIVE</v>
      </c>
      <c r="Q544" s="68" t="str">
        <f t="shared" si="34"/>
        <v>ACTIVE</v>
      </c>
    </row>
    <row r="545" spans="2:17" x14ac:dyDescent="0.35">
      <c r="B545" s="70" t="str">
        <v>10PZ4944</v>
      </c>
      <c r="C545" s="68" t="str">
        <f>VLOOKUP(B545,Master!B:C,2,0)</f>
        <v>10PZ4944</v>
      </c>
      <c r="D545" s="69">
        <f>VLOOKUP(B545,Master!B:L,11,0)</f>
        <v>45997</v>
      </c>
      <c r="E545" s="69">
        <f>VLOOKUP(B545,Master!B:P,15,0)</f>
        <v>0</v>
      </c>
      <c r="F545" s="68" t="str">
        <f t="shared" si="34"/>
        <v>ACTIVE</v>
      </c>
      <c r="G545" s="68" t="str">
        <f t="shared" si="34"/>
        <v>ACTIVE</v>
      </c>
      <c r="H545" s="68" t="str">
        <f t="shared" si="34"/>
        <v>ACTIVE</v>
      </c>
      <c r="I545" s="68" t="str">
        <f t="shared" si="34"/>
        <v>ACTIVE</v>
      </c>
      <c r="J545" s="68" t="str">
        <f t="shared" si="34"/>
        <v>ACTIVE</v>
      </c>
      <c r="K545" s="68" t="str">
        <f t="shared" si="34"/>
        <v>ACTIVE</v>
      </c>
      <c r="L545" s="68" t="str">
        <f t="shared" si="34"/>
        <v>ACTIVE</v>
      </c>
      <c r="M545" s="68" t="str">
        <f t="shared" si="34"/>
        <v>ACTIVE</v>
      </c>
      <c r="N545" s="68" t="str">
        <f t="shared" si="34"/>
        <v>ACTIVE</v>
      </c>
      <c r="O545" s="68" t="str">
        <f t="shared" si="34"/>
        <v>ACTIVE</v>
      </c>
      <c r="P545" s="68" t="str">
        <f t="shared" si="34"/>
        <v>ACTIVE</v>
      </c>
      <c r="Q545" s="68" t="str">
        <f t="shared" si="34"/>
        <v>ACTIVE</v>
      </c>
    </row>
    <row r="546" spans="2:17" x14ac:dyDescent="0.35">
      <c r="B546" s="70" t="str">
        <v>1011715</v>
      </c>
      <c r="C546" s="68" t="str">
        <f>VLOOKUP(B546,Master!B:C,2,0)</f>
        <v>1011715</v>
      </c>
      <c r="D546" s="69">
        <f>VLOOKUP(B546,Master!B:L,11,0)</f>
        <v>46007</v>
      </c>
      <c r="E546" s="69">
        <f>VLOOKUP(B546,Master!B:P,15,0)</f>
        <v>0</v>
      </c>
      <c r="F546" s="68" t="str">
        <f t="shared" si="34"/>
        <v>ACTIVE</v>
      </c>
      <c r="G546" s="68" t="str">
        <f t="shared" si="34"/>
        <v>ACTIVE</v>
      </c>
      <c r="H546" s="68" t="str">
        <f t="shared" si="34"/>
        <v>ACTIVE</v>
      </c>
      <c r="I546" s="68" t="str">
        <f t="shared" si="34"/>
        <v>ACTIVE</v>
      </c>
      <c r="J546" s="68" t="str">
        <f t="shared" si="34"/>
        <v>ACTIVE</v>
      </c>
      <c r="K546" s="68" t="str">
        <f t="shared" si="34"/>
        <v>ACTIVE</v>
      </c>
      <c r="L546" s="68" t="str">
        <f t="shared" si="34"/>
        <v>ACTIVE</v>
      </c>
      <c r="M546" s="68" t="str">
        <f t="shared" si="34"/>
        <v>ACTIVE</v>
      </c>
      <c r="N546" s="68" t="str">
        <f t="shared" si="34"/>
        <v>ACTIVE</v>
      </c>
      <c r="O546" s="68" t="str">
        <f t="shared" si="34"/>
        <v>ACTIVE</v>
      </c>
      <c r="P546" s="68" t="str">
        <f t="shared" si="34"/>
        <v>ACTIVE</v>
      </c>
      <c r="Q546" s="68" t="str">
        <f t="shared" si="34"/>
        <v>ACTIVE</v>
      </c>
    </row>
    <row r="547" spans="2:17" x14ac:dyDescent="0.35">
      <c r="B547" s="70" t="str">
        <v>1010211</v>
      </c>
      <c r="C547" s="68" t="str">
        <f>VLOOKUP(B547,Master!B:C,2,0)</f>
        <v>1010211</v>
      </c>
      <c r="D547" s="69">
        <f>VLOOKUP(B547,Master!B:L,11,0)</f>
        <v>46011</v>
      </c>
      <c r="E547" s="69">
        <f>VLOOKUP(B547,Master!B:P,15,0)</f>
        <v>0</v>
      </c>
      <c r="F547" s="68" t="str">
        <f t="shared" si="34"/>
        <v>ACTIVE</v>
      </c>
      <c r="G547" s="68" t="str">
        <f t="shared" si="34"/>
        <v>ACTIVE</v>
      </c>
      <c r="H547" s="68" t="str">
        <f t="shared" si="34"/>
        <v>ACTIVE</v>
      </c>
      <c r="I547" s="68" t="str">
        <f t="shared" si="34"/>
        <v>ACTIVE</v>
      </c>
      <c r="J547" s="68" t="str">
        <f t="shared" si="34"/>
        <v>ACTIVE</v>
      </c>
      <c r="K547" s="68" t="str">
        <f t="shared" si="34"/>
        <v>ACTIVE</v>
      </c>
      <c r="L547" s="68" t="str">
        <f t="shared" si="34"/>
        <v>ACTIVE</v>
      </c>
      <c r="M547" s="68" t="str">
        <f t="shared" si="34"/>
        <v>ACTIVE</v>
      </c>
      <c r="N547" s="68" t="str">
        <f t="shared" si="34"/>
        <v>ACTIVE</v>
      </c>
      <c r="O547" s="68" t="str">
        <f t="shared" si="34"/>
        <v>ACTIVE</v>
      </c>
      <c r="P547" s="68" t="str">
        <f t="shared" si="34"/>
        <v>ACTIVE</v>
      </c>
      <c r="Q547" s="68" t="str">
        <f t="shared" si="34"/>
        <v>ACTIVE</v>
      </c>
    </row>
    <row r="548" spans="2:17" x14ac:dyDescent="0.35">
      <c r="B548" s="70" t="str">
        <v>4050101</v>
      </c>
      <c r="C548" s="68" t="str">
        <f>VLOOKUP(B548,Master!B:C,2,0)</f>
        <v>4050101</v>
      </c>
      <c r="D548" s="69">
        <f>VLOOKUP(B548,Master!B:L,11,0)</f>
        <v>46005</v>
      </c>
      <c r="E548" s="69">
        <f>VLOOKUP(B548,Master!B:P,15,0)</f>
        <v>0</v>
      </c>
      <c r="F548" s="68" t="str">
        <f t="shared" ref="F548:Q563" si="35">IF($E548&gt;0,"CLOSED",IF($D548&lt;F$1,"ACTIVE","WAITING FOR OPEN"))</f>
        <v>ACTIVE</v>
      </c>
      <c r="G548" s="68" t="str">
        <f t="shared" si="35"/>
        <v>ACTIVE</v>
      </c>
      <c r="H548" s="68" t="str">
        <f t="shared" si="35"/>
        <v>ACTIVE</v>
      </c>
      <c r="I548" s="68" t="str">
        <f t="shared" si="35"/>
        <v>ACTIVE</v>
      </c>
      <c r="J548" s="68" t="str">
        <f t="shared" si="35"/>
        <v>ACTIVE</v>
      </c>
      <c r="K548" s="68" t="str">
        <f t="shared" si="35"/>
        <v>ACTIVE</v>
      </c>
      <c r="L548" s="68" t="str">
        <f t="shared" si="35"/>
        <v>ACTIVE</v>
      </c>
      <c r="M548" s="68" t="str">
        <f t="shared" si="35"/>
        <v>ACTIVE</v>
      </c>
      <c r="N548" s="68" t="str">
        <f t="shared" si="35"/>
        <v>ACTIVE</v>
      </c>
      <c r="O548" s="68" t="str">
        <f t="shared" si="35"/>
        <v>ACTIVE</v>
      </c>
      <c r="P548" s="68" t="str">
        <f t="shared" si="35"/>
        <v>ACTIVE</v>
      </c>
      <c r="Q548" s="68" t="str">
        <f t="shared" si="35"/>
        <v>ACTIVE</v>
      </c>
    </row>
    <row r="549" spans="2:17" x14ac:dyDescent="0.35">
      <c r="B549" s="70" t="str">
        <v>2010707</v>
      </c>
      <c r="C549" s="68" t="str">
        <f>VLOOKUP(B549,Master!B:C,2,0)</f>
        <v>2010707</v>
      </c>
      <c r="D549" s="69">
        <f>VLOOKUP(B549,Master!B:L,11,0)</f>
        <v>45995</v>
      </c>
      <c r="E549" s="69">
        <f>VLOOKUP(B549,Master!B:P,15,0)</f>
        <v>0</v>
      </c>
      <c r="F549" s="68" t="str">
        <f t="shared" si="35"/>
        <v>ACTIVE</v>
      </c>
      <c r="G549" s="68" t="str">
        <f t="shared" si="35"/>
        <v>ACTIVE</v>
      </c>
      <c r="H549" s="68" t="str">
        <f t="shared" si="35"/>
        <v>ACTIVE</v>
      </c>
      <c r="I549" s="68" t="str">
        <f t="shared" si="35"/>
        <v>ACTIVE</v>
      </c>
      <c r="J549" s="68" t="str">
        <f t="shared" si="35"/>
        <v>ACTIVE</v>
      </c>
      <c r="K549" s="68" t="str">
        <f t="shared" si="35"/>
        <v>ACTIVE</v>
      </c>
      <c r="L549" s="68" t="str">
        <f t="shared" si="35"/>
        <v>ACTIVE</v>
      </c>
      <c r="M549" s="68" t="str">
        <f t="shared" si="35"/>
        <v>ACTIVE</v>
      </c>
      <c r="N549" s="68" t="str">
        <f t="shared" si="35"/>
        <v>ACTIVE</v>
      </c>
      <c r="O549" s="68" t="str">
        <f t="shared" si="35"/>
        <v>ACTIVE</v>
      </c>
      <c r="P549" s="68" t="str">
        <f t="shared" si="35"/>
        <v>ACTIVE</v>
      </c>
      <c r="Q549" s="68" t="str">
        <f t="shared" si="35"/>
        <v>ACTIVE</v>
      </c>
    </row>
    <row r="550" spans="2:17" x14ac:dyDescent="0.35">
      <c r="B550" s="70" t="str">
        <v>30SX4985</v>
      </c>
      <c r="C550" s="68" t="str">
        <f>VLOOKUP(B550,Master!B:C,2,0)</f>
        <v>30SX4985</v>
      </c>
      <c r="D550" s="69">
        <f>VLOOKUP(B550,Master!B:L,11,0)</f>
        <v>45986</v>
      </c>
      <c r="E550" s="69">
        <f>VLOOKUP(B550,Master!B:P,15,0)</f>
        <v>0</v>
      </c>
      <c r="F550" s="68" t="str">
        <f t="shared" si="35"/>
        <v>ACTIVE</v>
      </c>
      <c r="G550" s="68" t="str">
        <f t="shared" si="35"/>
        <v>ACTIVE</v>
      </c>
      <c r="H550" s="68" t="str">
        <f t="shared" si="35"/>
        <v>ACTIVE</v>
      </c>
      <c r="I550" s="68" t="str">
        <f t="shared" si="35"/>
        <v>ACTIVE</v>
      </c>
      <c r="J550" s="68" t="str">
        <f t="shared" si="35"/>
        <v>ACTIVE</v>
      </c>
      <c r="K550" s="68" t="str">
        <f t="shared" si="35"/>
        <v>ACTIVE</v>
      </c>
      <c r="L550" s="68" t="str">
        <f t="shared" si="35"/>
        <v>ACTIVE</v>
      </c>
      <c r="M550" s="68" t="str">
        <f t="shared" si="35"/>
        <v>ACTIVE</v>
      </c>
      <c r="N550" s="68" t="str">
        <f t="shared" si="35"/>
        <v>ACTIVE</v>
      </c>
      <c r="O550" s="68" t="str">
        <f t="shared" si="35"/>
        <v>ACTIVE</v>
      </c>
      <c r="P550" s="68" t="str">
        <f t="shared" si="35"/>
        <v>ACTIVE</v>
      </c>
      <c r="Q550" s="68" t="str">
        <f t="shared" si="35"/>
        <v>ACTIVE</v>
      </c>
    </row>
    <row r="551" spans="2:17" x14ac:dyDescent="0.35">
      <c r="B551" s="70" t="str">
        <v>30YT4995</v>
      </c>
      <c r="C551" s="68" t="str">
        <f>VLOOKUP(B551,Master!B:C,2,0)</f>
        <v>30YT4995</v>
      </c>
      <c r="D551" s="69">
        <f>VLOOKUP(B551,Master!B:L,11,0)</f>
        <v>46032</v>
      </c>
      <c r="E551" s="69">
        <f>VLOOKUP(B551,Master!B:P,15,0)</f>
        <v>0</v>
      </c>
      <c r="F551" s="68" t="str">
        <f t="shared" si="35"/>
        <v>ACTIVE</v>
      </c>
      <c r="G551" s="68" t="str">
        <f t="shared" si="35"/>
        <v>ACTIVE</v>
      </c>
      <c r="H551" s="68" t="str">
        <f t="shared" si="35"/>
        <v>ACTIVE</v>
      </c>
      <c r="I551" s="68" t="str">
        <f t="shared" si="35"/>
        <v>ACTIVE</v>
      </c>
      <c r="J551" s="68" t="str">
        <f t="shared" si="35"/>
        <v>ACTIVE</v>
      </c>
      <c r="K551" s="68" t="str">
        <f t="shared" si="35"/>
        <v>ACTIVE</v>
      </c>
      <c r="L551" s="68" t="str">
        <f t="shared" si="35"/>
        <v>ACTIVE</v>
      </c>
      <c r="M551" s="68" t="str">
        <f t="shared" si="35"/>
        <v>ACTIVE</v>
      </c>
      <c r="N551" s="68" t="str">
        <f t="shared" si="35"/>
        <v>ACTIVE</v>
      </c>
      <c r="O551" s="68" t="str">
        <f t="shared" si="35"/>
        <v>ACTIVE</v>
      </c>
      <c r="P551" s="68" t="str">
        <f t="shared" si="35"/>
        <v>ACTIVE</v>
      </c>
      <c r="Q551" s="68" t="str">
        <f t="shared" si="35"/>
        <v>ACTIVE</v>
      </c>
    </row>
    <row r="552" spans="2:17" x14ac:dyDescent="0.35">
      <c r="B552" s="70" t="str">
        <v>10YTNOBUD03</v>
      </c>
      <c r="C552" s="68" t="str">
        <f>VLOOKUP(B552,Master!B:C,2,0)</f>
        <v>10YT5037</v>
      </c>
      <c r="D552" s="69">
        <f>VLOOKUP(B552,Master!B:L,11,0)</f>
        <v>46052</v>
      </c>
      <c r="E552" s="69">
        <f>VLOOKUP(B552,Master!B:P,15,0)</f>
        <v>0</v>
      </c>
      <c r="F552" s="68" t="str">
        <f t="shared" si="35"/>
        <v>ACTIVE</v>
      </c>
      <c r="G552" s="68" t="str">
        <f t="shared" si="35"/>
        <v>ACTIVE</v>
      </c>
      <c r="H552" s="68" t="str">
        <f t="shared" si="35"/>
        <v>ACTIVE</v>
      </c>
      <c r="I552" s="68" t="str">
        <f t="shared" si="35"/>
        <v>ACTIVE</v>
      </c>
      <c r="J552" s="68" t="str">
        <f t="shared" si="35"/>
        <v>ACTIVE</v>
      </c>
      <c r="K552" s="68" t="str">
        <f t="shared" si="35"/>
        <v>ACTIVE</v>
      </c>
      <c r="L552" s="68" t="str">
        <f t="shared" si="35"/>
        <v>ACTIVE</v>
      </c>
      <c r="M552" s="68" t="str">
        <f t="shared" si="35"/>
        <v>ACTIVE</v>
      </c>
      <c r="N552" s="68" t="str">
        <f t="shared" si="35"/>
        <v>ACTIVE</v>
      </c>
      <c r="O552" s="68" t="str">
        <f t="shared" si="35"/>
        <v>ACTIVE</v>
      </c>
      <c r="P552" s="68" t="str">
        <f t="shared" si="35"/>
        <v>ACTIVE</v>
      </c>
      <c r="Q552" s="68" t="str">
        <f t="shared" si="35"/>
        <v>ACTIVE</v>
      </c>
    </row>
    <row r="553" spans="2:17" x14ac:dyDescent="0.35">
      <c r="B553" s="70" t="str">
        <v>30GG4994</v>
      </c>
      <c r="C553" s="68" t="str">
        <f>VLOOKUP(B553,Master!B:C,2,0)</f>
        <v>30GG4994</v>
      </c>
      <c r="D553" s="69">
        <f>VLOOKUP(B553,Master!B:L,11,0)</f>
        <v>46039</v>
      </c>
      <c r="E553" s="69">
        <f>VLOOKUP(B553,Master!B:P,15,0)</f>
        <v>0</v>
      </c>
      <c r="F553" s="68" t="str">
        <f t="shared" si="35"/>
        <v>ACTIVE</v>
      </c>
      <c r="G553" s="68" t="str">
        <f t="shared" si="35"/>
        <v>ACTIVE</v>
      </c>
      <c r="H553" s="68" t="str">
        <f t="shared" si="35"/>
        <v>ACTIVE</v>
      </c>
      <c r="I553" s="68" t="str">
        <f t="shared" si="35"/>
        <v>ACTIVE</v>
      </c>
      <c r="J553" s="68" t="str">
        <f t="shared" si="35"/>
        <v>ACTIVE</v>
      </c>
      <c r="K553" s="68" t="str">
        <f t="shared" si="35"/>
        <v>ACTIVE</v>
      </c>
      <c r="L553" s="68" t="str">
        <f t="shared" si="35"/>
        <v>ACTIVE</v>
      </c>
      <c r="M553" s="68" t="str">
        <f t="shared" si="35"/>
        <v>ACTIVE</v>
      </c>
      <c r="N553" s="68" t="str">
        <f t="shared" si="35"/>
        <v>ACTIVE</v>
      </c>
      <c r="O553" s="68" t="str">
        <f t="shared" si="35"/>
        <v>ACTIVE</v>
      </c>
      <c r="P553" s="68" t="str">
        <f t="shared" si="35"/>
        <v>ACTIVE</v>
      </c>
      <c r="Q553" s="68" t="str">
        <f t="shared" si="35"/>
        <v>ACTIVE</v>
      </c>
    </row>
    <row r="554" spans="2:17" x14ac:dyDescent="0.35">
      <c r="B554" s="70" t="str">
        <v>30GGNOBUD10</v>
      </c>
      <c r="C554" s="68" t="str">
        <f>VLOOKUP(B554,Master!B:C,2,0)</f>
        <v>30GG5012</v>
      </c>
      <c r="D554" s="69">
        <f>VLOOKUP(B554,Master!B:L,11,0)</f>
        <v>46046</v>
      </c>
      <c r="E554" s="69">
        <f>VLOOKUP(B554,Master!B:P,15,0)</f>
        <v>0</v>
      </c>
      <c r="F554" s="68" t="str">
        <f t="shared" si="35"/>
        <v>ACTIVE</v>
      </c>
      <c r="G554" s="68" t="str">
        <f t="shared" si="35"/>
        <v>ACTIVE</v>
      </c>
      <c r="H554" s="68" t="str">
        <f t="shared" si="35"/>
        <v>ACTIVE</v>
      </c>
      <c r="I554" s="68" t="str">
        <f t="shared" si="35"/>
        <v>ACTIVE</v>
      </c>
      <c r="J554" s="68" t="str">
        <f t="shared" si="35"/>
        <v>ACTIVE</v>
      </c>
      <c r="K554" s="68" t="str">
        <f t="shared" si="35"/>
        <v>ACTIVE</v>
      </c>
      <c r="L554" s="68" t="str">
        <f t="shared" si="35"/>
        <v>ACTIVE</v>
      </c>
      <c r="M554" s="68" t="str">
        <f t="shared" si="35"/>
        <v>ACTIVE</v>
      </c>
      <c r="N554" s="68" t="str">
        <f t="shared" si="35"/>
        <v>ACTIVE</v>
      </c>
      <c r="O554" s="68" t="str">
        <f t="shared" si="35"/>
        <v>ACTIVE</v>
      </c>
      <c r="P554" s="68" t="str">
        <f t="shared" si="35"/>
        <v>ACTIVE</v>
      </c>
      <c r="Q554" s="68" t="str">
        <f t="shared" si="35"/>
        <v>ACTIVE</v>
      </c>
    </row>
    <row r="555" spans="2:17" x14ac:dyDescent="0.35">
      <c r="B555" s="70" t="str">
        <v>10GG4883</v>
      </c>
      <c r="C555" s="68" t="str">
        <f>VLOOKUP(B555,Master!B:C,2,0)</f>
        <v>10GG4883</v>
      </c>
      <c r="D555" s="69">
        <f>VLOOKUP(B555,Master!B:L,11,0)</f>
        <v>46052</v>
      </c>
      <c r="E555" s="69">
        <f>VLOOKUP(B555,Master!B:P,15,0)</f>
        <v>0</v>
      </c>
      <c r="F555" s="68" t="str">
        <f t="shared" si="35"/>
        <v>ACTIVE</v>
      </c>
      <c r="G555" s="68" t="str">
        <f t="shared" si="35"/>
        <v>ACTIVE</v>
      </c>
      <c r="H555" s="68" t="str">
        <f t="shared" si="35"/>
        <v>ACTIVE</v>
      </c>
      <c r="I555" s="68" t="str">
        <f t="shared" si="35"/>
        <v>ACTIVE</v>
      </c>
      <c r="J555" s="68" t="str">
        <f t="shared" si="35"/>
        <v>ACTIVE</v>
      </c>
      <c r="K555" s="68" t="str">
        <f t="shared" si="35"/>
        <v>ACTIVE</v>
      </c>
      <c r="L555" s="68" t="str">
        <f t="shared" si="35"/>
        <v>ACTIVE</v>
      </c>
      <c r="M555" s="68" t="str">
        <f t="shared" si="35"/>
        <v>ACTIVE</v>
      </c>
      <c r="N555" s="68" t="str">
        <f t="shared" si="35"/>
        <v>ACTIVE</v>
      </c>
      <c r="O555" s="68" t="str">
        <f t="shared" si="35"/>
        <v>ACTIVE</v>
      </c>
      <c r="P555" s="68" t="str">
        <f t="shared" si="35"/>
        <v>ACTIVE</v>
      </c>
      <c r="Q555" s="68" t="str">
        <f t="shared" si="35"/>
        <v>ACTIVE</v>
      </c>
    </row>
    <row r="556" spans="2:17" x14ac:dyDescent="0.35">
      <c r="B556" s="70" t="str">
        <v>30KK4996</v>
      </c>
      <c r="C556" s="68" t="str">
        <f>VLOOKUP(B556,Master!B:C,2,0)</f>
        <v>30KK4996</v>
      </c>
      <c r="D556" s="69">
        <f>VLOOKUP(B556,Master!B:L,11,0)</f>
        <v>46032</v>
      </c>
      <c r="E556" s="69">
        <f>VLOOKUP(B556,Master!B:P,15,0)</f>
        <v>0</v>
      </c>
      <c r="F556" s="68" t="str">
        <f t="shared" si="35"/>
        <v>ACTIVE</v>
      </c>
      <c r="G556" s="68" t="str">
        <f t="shared" si="35"/>
        <v>ACTIVE</v>
      </c>
      <c r="H556" s="68" t="str">
        <f t="shared" si="35"/>
        <v>ACTIVE</v>
      </c>
      <c r="I556" s="68" t="str">
        <f t="shared" si="35"/>
        <v>ACTIVE</v>
      </c>
      <c r="J556" s="68" t="str">
        <f t="shared" si="35"/>
        <v>ACTIVE</v>
      </c>
      <c r="K556" s="68" t="str">
        <f t="shared" si="35"/>
        <v>ACTIVE</v>
      </c>
      <c r="L556" s="68" t="str">
        <f t="shared" si="35"/>
        <v>ACTIVE</v>
      </c>
      <c r="M556" s="68" t="str">
        <f t="shared" si="35"/>
        <v>ACTIVE</v>
      </c>
      <c r="N556" s="68" t="str">
        <f t="shared" si="35"/>
        <v>ACTIVE</v>
      </c>
      <c r="O556" s="68" t="str">
        <f t="shared" si="35"/>
        <v>ACTIVE</v>
      </c>
      <c r="P556" s="68" t="str">
        <f t="shared" si="35"/>
        <v>ACTIVE</v>
      </c>
      <c r="Q556" s="68" t="str">
        <f t="shared" si="35"/>
        <v>ACTIVE</v>
      </c>
    </row>
    <row r="557" spans="2:17" x14ac:dyDescent="0.35">
      <c r="B557" s="70" t="str">
        <v>10KK4858</v>
      </c>
      <c r="C557" s="68" t="str">
        <f>VLOOKUP(B557,Master!B:C,2,0)</f>
        <v>10KK4858</v>
      </c>
      <c r="D557" s="69">
        <f>VLOOKUP(B557,Master!B:L,11,0)</f>
        <v>46053</v>
      </c>
      <c r="E557" s="69">
        <f>VLOOKUP(B557,Master!B:P,15,0)</f>
        <v>0</v>
      </c>
      <c r="F557" s="68" t="str">
        <f t="shared" si="35"/>
        <v>WAITING FOR OPEN</v>
      </c>
      <c r="G557" s="68" t="str">
        <f t="shared" si="35"/>
        <v>ACTIVE</v>
      </c>
      <c r="H557" s="68" t="str">
        <f t="shared" si="35"/>
        <v>ACTIVE</v>
      </c>
      <c r="I557" s="68" t="str">
        <f t="shared" si="35"/>
        <v>ACTIVE</v>
      </c>
      <c r="J557" s="68" t="str">
        <f t="shared" si="35"/>
        <v>ACTIVE</v>
      </c>
      <c r="K557" s="68" t="str">
        <f t="shared" si="35"/>
        <v>ACTIVE</v>
      </c>
      <c r="L557" s="68" t="str">
        <f t="shared" si="35"/>
        <v>ACTIVE</v>
      </c>
      <c r="M557" s="68" t="str">
        <f t="shared" si="35"/>
        <v>ACTIVE</v>
      </c>
      <c r="N557" s="68" t="str">
        <f t="shared" si="35"/>
        <v>ACTIVE</v>
      </c>
      <c r="O557" s="68" t="str">
        <f t="shared" si="35"/>
        <v>ACTIVE</v>
      </c>
      <c r="P557" s="68" t="str">
        <f t="shared" si="35"/>
        <v>ACTIVE</v>
      </c>
      <c r="Q557" s="68" t="str">
        <f t="shared" si="35"/>
        <v>ACTIVE</v>
      </c>
    </row>
    <row r="558" spans="2:17" x14ac:dyDescent="0.35">
      <c r="B558" s="70" t="str">
        <v>10MWNEW18</v>
      </c>
      <c r="C558" s="68" t="str">
        <f>VLOOKUP(B558,Master!B:C,2,0)</f>
        <v>10MW4989</v>
      </c>
      <c r="D558" s="69">
        <f>VLOOKUP(B558,Master!B:L,11,0)</f>
        <v>46046</v>
      </c>
      <c r="E558" s="69">
        <f>VLOOKUP(B558,Master!B:P,15,0)</f>
        <v>0</v>
      </c>
      <c r="F558" s="68" t="str">
        <f t="shared" si="35"/>
        <v>ACTIVE</v>
      </c>
      <c r="G558" s="68" t="str">
        <f t="shared" si="35"/>
        <v>ACTIVE</v>
      </c>
      <c r="H558" s="68" t="str">
        <f t="shared" si="35"/>
        <v>ACTIVE</v>
      </c>
      <c r="I558" s="68" t="str">
        <f t="shared" si="35"/>
        <v>ACTIVE</v>
      </c>
      <c r="J558" s="68" t="str">
        <f t="shared" si="35"/>
        <v>ACTIVE</v>
      </c>
      <c r="K558" s="68" t="str">
        <f t="shared" si="35"/>
        <v>ACTIVE</v>
      </c>
      <c r="L558" s="68" t="str">
        <f t="shared" si="35"/>
        <v>ACTIVE</v>
      </c>
      <c r="M558" s="68" t="str">
        <f t="shared" si="35"/>
        <v>ACTIVE</v>
      </c>
      <c r="N558" s="68" t="str">
        <f t="shared" si="35"/>
        <v>ACTIVE</v>
      </c>
      <c r="O558" s="68" t="str">
        <f t="shared" si="35"/>
        <v>ACTIVE</v>
      </c>
      <c r="P558" s="68" t="str">
        <f t="shared" si="35"/>
        <v>ACTIVE</v>
      </c>
      <c r="Q558" s="68" t="str">
        <f t="shared" si="35"/>
        <v>ACTIVE</v>
      </c>
    </row>
    <row r="559" spans="2:17" x14ac:dyDescent="0.35">
      <c r="B559" s="70" t="str">
        <v>30GG5007</v>
      </c>
      <c r="C559" s="68" t="str">
        <f>VLOOKUP(B559,Master!B:C,2,0)</f>
        <v>30GG5007</v>
      </c>
      <c r="D559" s="69">
        <f>VLOOKUP(B559,Master!B:L,11,0)</f>
        <v>46046</v>
      </c>
      <c r="E559" s="69">
        <f>VLOOKUP(B559,Master!B:P,15,0)</f>
        <v>0</v>
      </c>
      <c r="F559" s="68" t="str">
        <f t="shared" si="35"/>
        <v>ACTIVE</v>
      </c>
      <c r="G559" s="68" t="str">
        <f t="shared" si="35"/>
        <v>ACTIVE</v>
      </c>
      <c r="H559" s="68" t="str">
        <f t="shared" si="35"/>
        <v>ACTIVE</v>
      </c>
      <c r="I559" s="68" t="str">
        <f t="shared" si="35"/>
        <v>ACTIVE</v>
      </c>
      <c r="J559" s="68" t="str">
        <f t="shared" si="35"/>
        <v>ACTIVE</v>
      </c>
      <c r="K559" s="68" t="str">
        <f t="shared" si="35"/>
        <v>ACTIVE</v>
      </c>
      <c r="L559" s="68" t="str">
        <f t="shared" si="35"/>
        <v>ACTIVE</v>
      </c>
      <c r="M559" s="68" t="str">
        <f t="shared" si="35"/>
        <v>ACTIVE</v>
      </c>
      <c r="N559" s="68" t="str">
        <f t="shared" si="35"/>
        <v>ACTIVE</v>
      </c>
      <c r="O559" s="68" t="str">
        <f t="shared" si="35"/>
        <v>ACTIVE</v>
      </c>
      <c r="P559" s="68" t="str">
        <f t="shared" si="35"/>
        <v>ACTIVE</v>
      </c>
      <c r="Q559" s="68" t="str">
        <f t="shared" si="35"/>
        <v>ACTIVE</v>
      </c>
    </row>
    <row r="560" spans="2:17" x14ac:dyDescent="0.35">
      <c r="B560" s="70" t="str">
        <v>30YT5008</v>
      </c>
      <c r="C560" s="68" t="str">
        <f>VLOOKUP(B560,Master!B:C,2,0)</f>
        <v>30YT5008</v>
      </c>
      <c r="D560" s="69">
        <f>VLOOKUP(B560,Master!B:L,11,0)</f>
        <v>46047</v>
      </c>
      <c r="E560" s="69">
        <f>VLOOKUP(B560,Master!B:P,15,0)</f>
        <v>0</v>
      </c>
      <c r="F560" s="68" t="str">
        <f t="shared" si="35"/>
        <v>ACTIVE</v>
      </c>
      <c r="G560" s="68" t="str">
        <f t="shared" si="35"/>
        <v>ACTIVE</v>
      </c>
      <c r="H560" s="68" t="str">
        <f t="shared" si="35"/>
        <v>ACTIVE</v>
      </c>
      <c r="I560" s="68" t="str">
        <f t="shared" si="35"/>
        <v>ACTIVE</v>
      </c>
      <c r="J560" s="68" t="str">
        <f t="shared" si="35"/>
        <v>ACTIVE</v>
      </c>
      <c r="K560" s="68" t="str">
        <f t="shared" si="35"/>
        <v>ACTIVE</v>
      </c>
      <c r="L560" s="68" t="str">
        <f t="shared" si="35"/>
        <v>ACTIVE</v>
      </c>
      <c r="M560" s="68" t="str">
        <f t="shared" si="35"/>
        <v>ACTIVE</v>
      </c>
      <c r="N560" s="68" t="str">
        <f t="shared" si="35"/>
        <v>ACTIVE</v>
      </c>
      <c r="O560" s="68" t="str">
        <f t="shared" si="35"/>
        <v>ACTIVE</v>
      </c>
      <c r="P560" s="68" t="str">
        <f t="shared" si="35"/>
        <v>ACTIVE</v>
      </c>
      <c r="Q560" s="68" t="str">
        <f t="shared" si="35"/>
        <v>ACTIVE</v>
      </c>
    </row>
    <row r="561" spans="2:17" x14ac:dyDescent="0.35">
      <c r="B561" s="70" t="str">
        <v>30UP4954</v>
      </c>
      <c r="C561" s="68" t="str">
        <f>VLOOKUP(B561,Master!B:C,2,0)</f>
        <v>30UP4954</v>
      </c>
      <c r="D561" s="69">
        <f>VLOOKUP(B561,Master!B:L,11,0)</f>
        <v>46048</v>
      </c>
      <c r="E561" s="69">
        <f>VLOOKUP(B561,Master!B:P,15,0)</f>
        <v>0</v>
      </c>
      <c r="F561" s="68" t="str">
        <f t="shared" si="35"/>
        <v>ACTIVE</v>
      </c>
      <c r="G561" s="68" t="str">
        <f t="shared" si="35"/>
        <v>ACTIVE</v>
      </c>
      <c r="H561" s="68" t="str">
        <f t="shared" si="35"/>
        <v>ACTIVE</v>
      </c>
      <c r="I561" s="68" t="str">
        <f t="shared" si="35"/>
        <v>ACTIVE</v>
      </c>
      <c r="J561" s="68" t="str">
        <f t="shared" si="35"/>
        <v>ACTIVE</v>
      </c>
      <c r="K561" s="68" t="str">
        <f t="shared" si="35"/>
        <v>ACTIVE</v>
      </c>
      <c r="L561" s="68" t="str">
        <f t="shared" si="35"/>
        <v>ACTIVE</v>
      </c>
      <c r="M561" s="68" t="str">
        <f t="shared" si="35"/>
        <v>ACTIVE</v>
      </c>
      <c r="N561" s="68" t="str">
        <f t="shared" si="35"/>
        <v>ACTIVE</v>
      </c>
      <c r="O561" s="68" t="str">
        <f t="shared" si="35"/>
        <v>ACTIVE</v>
      </c>
      <c r="P561" s="68" t="str">
        <f t="shared" si="35"/>
        <v>ACTIVE</v>
      </c>
      <c r="Q561" s="68" t="str">
        <f t="shared" si="35"/>
        <v>ACTIVE</v>
      </c>
    </row>
    <row r="562" spans="2:17" x14ac:dyDescent="0.35">
      <c r="B562" s="70">
        <v>2010319</v>
      </c>
      <c r="C562" s="68">
        <f>VLOOKUP(B562,Master!B:C,2,0)</f>
        <v>2010319</v>
      </c>
      <c r="D562" s="69">
        <f>VLOOKUP(B562,Master!B:L,11,0)</f>
        <v>45972</v>
      </c>
      <c r="E562" s="69">
        <f>VLOOKUP(B562,Master!B:P,15,0)</f>
        <v>0</v>
      </c>
      <c r="F562" s="68" t="str">
        <f t="shared" si="35"/>
        <v>ACTIVE</v>
      </c>
      <c r="G562" s="68" t="str">
        <f t="shared" si="35"/>
        <v>ACTIVE</v>
      </c>
      <c r="H562" s="68" t="str">
        <f t="shared" si="35"/>
        <v>ACTIVE</v>
      </c>
      <c r="I562" s="68" t="str">
        <f t="shared" si="35"/>
        <v>ACTIVE</v>
      </c>
      <c r="J562" s="68" t="str">
        <f t="shared" si="35"/>
        <v>ACTIVE</v>
      </c>
      <c r="K562" s="68" t="str">
        <f t="shared" si="35"/>
        <v>ACTIVE</v>
      </c>
      <c r="L562" s="68" t="str">
        <f t="shared" si="35"/>
        <v>ACTIVE</v>
      </c>
      <c r="M562" s="68" t="str">
        <f t="shared" si="35"/>
        <v>ACTIVE</v>
      </c>
      <c r="N562" s="68" t="str">
        <f t="shared" si="35"/>
        <v>ACTIVE</v>
      </c>
      <c r="O562" s="68" t="str">
        <f t="shared" si="35"/>
        <v>ACTIVE</v>
      </c>
      <c r="P562" s="68" t="str">
        <f t="shared" si="35"/>
        <v>ACTIVE</v>
      </c>
      <c r="Q562" s="68" t="str">
        <f t="shared" si="35"/>
        <v>ACTIVE</v>
      </c>
    </row>
    <row r="563" spans="2:17" x14ac:dyDescent="0.35">
      <c r="B563" s="70" t="str">
        <v>10CV5020</v>
      </c>
      <c r="C563" s="68" t="str">
        <f>VLOOKUP(B563,Master!B:C,2,0)</f>
        <v>10CV5020</v>
      </c>
      <c r="D563" s="69">
        <f>VLOOKUP(B563,Master!B:L,11,0)</f>
        <v>46023</v>
      </c>
      <c r="E563" s="69">
        <f>VLOOKUP(B563,Master!B:P,15,0)</f>
        <v>0</v>
      </c>
      <c r="F563" s="68" t="str">
        <f t="shared" si="35"/>
        <v>ACTIVE</v>
      </c>
      <c r="G563" s="68" t="str">
        <f t="shared" si="35"/>
        <v>ACTIVE</v>
      </c>
      <c r="H563" s="68" t="str">
        <f t="shared" si="35"/>
        <v>ACTIVE</v>
      </c>
      <c r="I563" s="68" t="str">
        <f t="shared" si="35"/>
        <v>ACTIVE</v>
      </c>
      <c r="J563" s="68" t="str">
        <f t="shared" si="35"/>
        <v>ACTIVE</v>
      </c>
      <c r="K563" s="68" t="str">
        <f t="shared" si="35"/>
        <v>ACTIVE</v>
      </c>
      <c r="L563" s="68" t="str">
        <f t="shared" si="35"/>
        <v>ACTIVE</v>
      </c>
      <c r="M563" s="68" t="str">
        <f t="shared" si="35"/>
        <v>ACTIVE</v>
      </c>
      <c r="N563" s="68" t="str">
        <f t="shared" si="35"/>
        <v>ACTIVE</v>
      </c>
      <c r="O563" s="68" t="str">
        <f t="shared" si="35"/>
        <v>ACTIVE</v>
      </c>
      <c r="P563" s="68" t="str">
        <f t="shared" si="35"/>
        <v>ACTIVE</v>
      </c>
      <c r="Q563" s="68" t="str">
        <f t="shared" si="35"/>
        <v>ACTIVE</v>
      </c>
    </row>
    <row r="564" spans="2:17" x14ac:dyDescent="0.35">
      <c r="B564" s="70" t="str">
        <v>10DNNOBUD03</v>
      </c>
      <c r="C564" s="68" t="str">
        <f>VLOOKUP(B564,Master!B:C,2,0)</f>
        <v>10DN5016</v>
      </c>
      <c r="D564" s="69">
        <f>VLOOKUP(B564,Master!B:L,11,0)</f>
        <v>46075</v>
      </c>
      <c r="E564" s="69">
        <f>VLOOKUP(B564,Master!B:P,15,0)</f>
        <v>0</v>
      </c>
      <c r="F564" s="68" t="str">
        <f t="shared" ref="F564:Q579" si="36">IF($E564&gt;0,"CLOSED",IF($D564&lt;F$1,"ACTIVE","WAITING FOR OPEN"))</f>
        <v>WAITING FOR OPEN</v>
      </c>
      <c r="G564" s="68" t="str">
        <f t="shared" si="36"/>
        <v>ACTIVE</v>
      </c>
      <c r="H564" s="68" t="str">
        <f t="shared" si="36"/>
        <v>ACTIVE</v>
      </c>
      <c r="I564" s="68" t="str">
        <f t="shared" si="36"/>
        <v>ACTIVE</v>
      </c>
      <c r="J564" s="68" t="str">
        <f t="shared" si="36"/>
        <v>ACTIVE</v>
      </c>
      <c r="K564" s="68" t="str">
        <f t="shared" si="36"/>
        <v>ACTIVE</v>
      </c>
      <c r="L564" s="68" t="str">
        <f t="shared" si="36"/>
        <v>ACTIVE</v>
      </c>
      <c r="M564" s="68" t="str">
        <f t="shared" si="36"/>
        <v>ACTIVE</v>
      </c>
      <c r="N564" s="68" t="str">
        <f t="shared" si="36"/>
        <v>ACTIVE</v>
      </c>
      <c r="O564" s="68" t="str">
        <f t="shared" si="36"/>
        <v>ACTIVE</v>
      </c>
      <c r="P564" s="68" t="str">
        <f t="shared" si="36"/>
        <v>ACTIVE</v>
      </c>
      <c r="Q564" s="68" t="str">
        <f t="shared" si="36"/>
        <v>ACTIVE</v>
      </c>
    </row>
    <row r="565" spans="2:17" x14ac:dyDescent="0.35">
      <c r="B565" s="70" t="str">
        <v>10UPNOBUD05</v>
      </c>
      <c r="C565" s="68" t="str">
        <f>VLOOKUP(B565,Master!B:C,2,0)</f>
        <v>10UP5044</v>
      </c>
      <c r="D565" s="69">
        <f>VLOOKUP(B565,Master!B:L,11,0)</f>
        <v>46060</v>
      </c>
      <c r="E565" s="69">
        <f>VLOOKUP(B565,Master!B:P,15,0)</f>
        <v>0</v>
      </c>
      <c r="F565" s="68" t="str">
        <f t="shared" si="36"/>
        <v>WAITING FOR OPEN</v>
      </c>
      <c r="G565" s="68" t="str">
        <f t="shared" si="36"/>
        <v>ACTIVE</v>
      </c>
      <c r="H565" s="68" t="str">
        <f t="shared" si="36"/>
        <v>ACTIVE</v>
      </c>
      <c r="I565" s="68" t="str">
        <f t="shared" si="36"/>
        <v>ACTIVE</v>
      </c>
      <c r="J565" s="68" t="str">
        <f t="shared" si="36"/>
        <v>ACTIVE</v>
      </c>
      <c r="K565" s="68" t="str">
        <f t="shared" si="36"/>
        <v>ACTIVE</v>
      </c>
      <c r="L565" s="68" t="str">
        <f t="shared" si="36"/>
        <v>ACTIVE</v>
      </c>
      <c r="M565" s="68" t="str">
        <f t="shared" si="36"/>
        <v>ACTIVE</v>
      </c>
      <c r="N565" s="68" t="str">
        <f t="shared" si="36"/>
        <v>ACTIVE</v>
      </c>
      <c r="O565" s="68" t="str">
        <f t="shared" si="36"/>
        <v>ACTIVE</v>
      </c>
      <c r="P565" s="68" t="str">
        <f t="shared" si="36"/>
        <v>ACTIVE</v>
      </c>
      <c r="Q565" s="68" t="str">
        <f t="shared" si="36"/>
        <v>ACTIVE</v>
      </c>
    </row>
    <row r="566" spans="2:17" x14ac:dyDescent="0.35">
      <c r="B566" s="70" t="str">
        <v>30CJ4992</v>
      </c>
      <c r="C566" s="68" t="str">
        <f>VLOOKUP(B566,Master!B:C,2,0)</f>
        <v>30CJ4992</v>
      </c>
      <c r="D566" s="69">
        <f>VLOOKUP(B566,Master!B:L,11,0)</f>
        <v>46044</v>
      </c>
      <c r="E566" s="69">
        <f>VLOOKUP(B566,Master!B:P,15,0)</f>
        <v>0</v>
      </c>
      <c r="F566" s="68" t="str">
        <f t="shared" si="36"/>
        <v>ACTIVE</v>
      </c>
      <c r="G566" s="68" t="str">
        <f t="shared" si="36"/>
        <v>ACTIVE</v>
      </c>
      <c r="H566" s="68" t="str">
        <f t="shared" si="36"/>
        <v>ACTIVE</v>
      </c>
      <c r="I566" s="68" t="str">
        <f t="shared" si="36"/>
        <v>ACTIVE</v>
      </c>
      <c r="J566" s="68" t="str">
        <f t="shared" si="36"/>
        <v>ACTIVE</v>
      </c>
      <c r="K566" s="68" t="str">
        <f t="shared" si="36"/>
        <v>ACTIVE</v>
      </c>
      <c r="L566" s="68" t="str">
        <f t="shared" si="36"/>
        <v>ACTIVE</v>
      </c>
      <c r="M566" s="68" t="str">
        <f t="shared" si="36"/>
        <v>ACTIVE</v>
      </c>
      <c r="N566" s="68" t="str">
        <f t="shared" si="36"/>
        <v>ACTIVE</v>
      </c>
      <c r="O566" s="68" t="str">
        <f t="shared" si="36"/>
        <v>ACTIVE</v>
      </c>
      <c r="P566" s="68" t="str">
        <f t="shared" si="36"/>
        <v>ACTIVE</v>
      </c>
      <c r="Q566" s="68" t="str">
        <f t="shared" si="36"/>
        <v>ACTIVE</v>
      </c>
    </row>
    <row r="567" spans="2:17" x14ac:dyDescent="0.35">
      <c r="B567" s="70" t="str">
        <v>30YTNOBUD01</v>
      </c>
      <c r="C567" s="68" t="str">
        <f>VLOOKUP(B567,Master!B:C,2,0)</f>
        <v>30YT4982</v>
      </c>
      <c r="D567" s="69">
        <f>VLOOKUP(B567,Master!B:L,11,0)</f>
        <v>46073</v>
      </c>
      <c r="E567" s="69">
        <f>VLOOKUP(B567,Master!B:P,15,0)</f>
        <v>0</v>
      </c>
      <c r="F567" s="68" t="str">
        <f t="shared" si="36"/>
        <v>WAITING FOR OPEN</v>
      </c>
      <c r="G567" s="68" t="str">
        <f t="shared" si="36"/>
        <v>ACTIVE</v>
      </c>
      <c r="H567" s="68" t="str">
        <f t="shared" si="36"/>
        <v>ACTIVE</v>
      </c>
      <c r="I567" s="68" t="str">
        <f t="shared" si="36"/>
        <v>ACTIVE</v>
      </c>
      <c r="J567" s="68" t="str">
        <f t="shared" si="36"/>
        <v>ACTIVE</v>
      </c>
      <c r="K567" s="68" t="str">
        <f t="shared" si="36"/>
        <v>ACTIVE</v>
      </c>
      <c r="L567" s="68" t="str">
        <f t="shared" si="36"/>
        <v>ACTIVE</v>
      </c>
      <c r="M567" s="68" t="str">
        <f t="shared" si="36"/>
        <v>ACTIVE</v>
      </c>
      <c r="N567" s="68" t="str">
        <f t="shared" si="36"/>
        <v>ACTIVE</v>
      </c>
      <c r="O567" s="68" t="str">
        <f t="shared" si="36"/>
        <v>ACTIVE</v>
      </c>
      <c r="P567" s="68" t="str">
        <f t="shared" si="36"/>
        <v>ACTIVE</v>
      </c>
      <c r="Q567" s="68" t="str">
        <f t="shared" si="36"/>
        <v>ACTIVE</v>
      </c>
    </row>
    <row r="568" spans="2:17" x14ac:dyDescent="0.35">
      <c r="B568" s="70" t="str">
        <v>2011005</v>
      </c>
      <c r="C568" s="68" t="str">
        <f>VLOOKUP(B568,Master!B:C,2,0)</f>
        <v>2011005</v>
      </c>
      <c r="D568" s="69">
        <f>VLOOKUP(B568,Master!B:L,11,0)</f>
        <v>45981</v>
      </c>
      <c r="E568" s="69">
        <f>VLOOKUP(B568,Master!B:P,15,0)</f>
        <v>0</v>
      </c>
      <c r="F568" s="68" t="str">
        <f t="shared" si="36"/>
        <v>ACTIVE</v>
      </c>
      <c r="G568" s="68" t="str">
        <f t="shared" si="36"/>
        <v>ACTIVE</v>
      </c>
      <c r="H568" s="68" t="str">
        <f t="shared" si="36"/>
        <v>ACTIVE</v>
      </c>
      <c r="I568" s="68" t="str">
        <f t="shared" si="36"/>
        <v>ACTIVE</v>
      </c>
      <c r="J568" s="68" t="str">
        <f t="shared" si="36"/>
        <v>ACTIVE</v>
      </c>
      <c r="K568" s="68" t="str">
        <f t="shared" si="36"/>
        <v>ACTIVE</v>
      </c>
      <c r="L568" s="68" t="str">
        <f t="shared" si="36"/>
        <v>ACTIVE</v>
      </c>
      <c r="M568" s="68" t="str">
        <f t="shared" si="36"/>
        <v>ACTIVE</v>
      </c>
      <c r="N568" s="68" t="str">
        <f t="shared" si="36"/>
        <v>ACTIVE</v>
      </c>
      <c r="O568" s="68" t="str">
        <f t="shared" si="36"/>
        <v>ACTIVE</v>
      </c>
      <c r="P568" s="68" t="str">
        <f t="shared" si="36"/>
        <v>ACTIVE</v>
      </c>
      <c r="Q568" s="68" t="str">
        <f t="shared" si="36"/>
        <v>ACTIVE</v>
      </c>
    </row>
    <row r="569" spans="2:17" x14ac:dyDescent="0.35">
      <c r="B569" s="70" t="str">
        <v>TCHNEW004</v>
      </c>
      <c r="C569" s="68" t="str">
        <f>VLOOKUP(B569,Master!B:C,2,0)</f>
        <v>1010115</v>
      </c>
      <c r="D569" s="69">
        <f>VLOOKUP(B569,Master!B:L,11,0)</f>
        <v>46062</v>
      </c>
      <c r="E569" s="69">
        <f>VLOOKUP(B569,Master!B:P,15,0)</f>
        <v>0</v>
      </c>
      <c r="F569" s="68" t="str">
        <f t="shared" si="36"/>
        <v>WAITING FOR OPEN</v>
      </c>
      <c r="G569" s="68" t="str">
        <f t="shared" si="36"/>
        <v>ACTIVE</v>
      </c>
      <c r="H569" s="68" t="str">
        <f t="shared" si="36"/>
        <v>ACTIVE</v>
      </c>
      <c r="I569" s="68" t="str">
        <f t="shared" si="36"/>
        <v>ACTIVE</v>
      </c>
      <c r="J569" s="68" t="str">
        <f t="shared" si="36"/>
        <v>ACTIVE</v>
      </c>
      <c r="K569" s="68" t="str">
        <f t="shared" si="36"/>
        <v>ACTIVE</v>
      </c>
      <c r="L569" s="68" t="str">
        <f t="shared" si="36"/>
        <v>ACTIVE</v>
      </c>
      <c r="M569" s="68" t="str">
        <f t="shared" si="36"/>
        <v>ACTIVE</v>
      </c>
      <c r="N569" s="68" t="str">
        <f t="shared" si="36"/>
        <v>ACTIVE</v>
      </c>
      <c r="O569" s="68" t="str">
        <f t="shared" si="36"/>
        <v>ACTIVE</v>
      </c>
      <c r="P569" s="68" t="str">
        <f t="shared" si="36"/>
        <v>ACTIVE</v>
      </c>
      <c r="Q569" s="68" t="str">
        <f t="shared" si="36"/>
        <v>ACTIVE</v>
      </c>
    </row>
    <row r="570" spans="2:17" x14ac:dyDescent="0.35">
      <c r="B570" s="70" t="str">
        <v>FCNEW002</v>
      </c>
      <c r="C570" s="68" t="str">
        <f>VLOOKUP(B570,Master!B:C,2,0)</f>
        <v>1011821</v>
      </c>
      <c r="D570" s="69">
        <f>VLOOKUP(B570,Master!B:L,11,0)</f>
        <v>46029</v>
      </c>
      <c r="E570" s="69">
        <f>VLOOKUP(B570,Master!B:P,15,0)</f>
        <v>0</v>
      </c>
      <c r="F570" s="68" t="str">
        <f t="shared" si="36"/>
        <v>ACTIVE</v>
      </c>
      <c r="G570" s="68" t="str">
        <f t="shared" si="36"/>
        <v>ACTIVE</v>
      </c>
      <c r="H570" s="68" t="str">
        <f t="shared" si="36"/>
        <v>ACTIVE</v>
      </c>
      <c r="I570" s="68" t="str">
        <f t="shared" si="36"/>
        <v>ACTIVE</v>
      </c>
      <c r="J570" s="68" t="str">
        <f t="shared" si="36"/>
        <v>ACTIVE</v>
      </c>
      <c r="K570" s="68" t="str">
        <f t="shared" si="36"/>
        <v>ACTIVE</v>
      </c>
      <c r="L570" s="68" t="str">
        <f t="shared" si="36"/>
        <v>ACTIVE</v>
      </c>
      <c r="M570" s="68" t="str">
        <f t="shared" si="36"/>
        <v>ACTIVE</v>
      </c>
      <c r="N570" s="68" t="str">
        <f t="shared" si="36"/>
        <v>ACTIVE</v>
      </c>
      <c r="O570" s="68" t="str">
        <f t="shared" si="36"/>
        <v>ACTIVE</v>
      </c>
      <c r="P570" s="68" t="str">
        <f t="shared" si="36"/>
        <v>ACTIVE</v>
      </c>
      <c r="Q570" s="68" t="str">
        <f t="shared" si="36"/>
        <v>ACTIVE</v>
      </c>
    </row>
    <row r="571" spans="2:17" x14ac:dyDescent="0.35">
      <c r="B571" s="70" t="str">
        <v>1011108</v>
      </c>
      <c r="C571" s="68" t="str">
        <f>VLOOKUP(B571,Master!B:C,2,0)</f>
        <v>1011108</v>
      </c>
      <c r="D571" s="69">
        <f>VLOOKUP(B571,Master!B:L,11,0)</f>
        <v>46036</v>
      </c>
      <c r="E571" s="69">
        <f>VLOOKUP(B571,Master!B:P,15,0)</f>
        <v>0</v>
      </c>
      <c r="F571" s="68" t="str">
        <f t="shared" si="36"/>
        <v>ACTIVE</v>
      </c>
      <c r="G571" s="68" t="str">
        <f t="shared" si="36"/>
        <v>ACTIVE</v>
      </c>
      <c r="H571" s="68" t="str">
        <f t="shared" si="36"/>
        <v>ACTIVE</v>
      </c>
      <c r="I571" s="68" t="str">
        <f t="shared" si="36"/>
        <v>ACTIVE</v>
      </c>
      <c r="J571" s="68" t="str">
        <f t="shared" si="36"/>
        <v>ACTIVE</v>
      </c>
      <c r="K571" s="68" t="str">
        <f t="shared" si="36"/>
        <v>ACTIVE</v>
      </c>
      <c r="L571" s="68" t="str">
        <f t="shared" si="36"/>
        <v>ACTIVE</v>
      </c>
      <c r="M571" s="68" t="str">
        <f t="shared" si="36"/>
        <v>ACTIVE</v>
      </c>
      <c r="N571" s="68" t="str">
        <f t="shared" si="36"/>
        <v>ACTIVE</v>
      </c>
      <c r="O571" s="68" t="str">
        <f t="shared" si="36"/>
        <v>ACTIVE</v>
      </c>
      <c r="P571" s="68" t="str">
        <f t="shared" si="36"/>
        <v>ACTIVE</v>
      </c>
      <c r="Q571" s="68" t="str">
        <f t="shared" si="36"/>
        <v>ACTIVE</v>
      </c>
    </row>
    <row r="572" spans="2:17" x14ac:dyDescent="0.35">
      <c r="B572" s="70" t="str">
        <v>1011716</v>
      </c>
      <c r="C572" s="68" t="str">
        <f>VLOOKUP(B572,Master!B:C,2,0)</f>
        <v>1011716</v>
      </c>
      <c r="D572" s="69">
        <f>VLOOKUP(B572,Master!B:L,11,0)</f>
        <v>46042</v>
      </c>
      <c r="E572" s="69">
        <f>VLOOKUP(B572,Master!B:P,15,0)</f>
        <v>0</v>
      </c>
      <c r="F572" s="68" t="str">
        <f t="shared" si="36"/>
        <v>ACTIVE</v>
      </c>
      <c r="G572" s="68" t="str">
        <f t="shared" si="36"/>
        <v>ACTIVE</v>
      </c>
      <c r="H572" s="68" t="str">
        <f t="shared" si="36"/>
        <v>ACTIVE</v>
      </c>
      <c r="I572" s="68" t="str">
        <f t="shared" si="36"/>
        <v>ACTIVE</v>
      </c>
      <c r="J572" s="68" t="str">
        <f t="shared" si="36"/>
        <v>ACTIVE</v>
      </c>
      <c r="K572" s="68" t="str">
        <f t="shared" si="36"/>
        <v>ACTIVE</v>
      </c>
      <c r="L572" s="68" t="str">
        <f t="shared" si="36"/>
        <v>ACTIVE</v>
      </c>
      <c r="M572" s="68" t="str">
        <f t="shared" si="36"/>
        <v>ACTIVE</v>
      </c>
      <c r="N572" s="68" t="str">
        <f t="shared" si="36"/>
        <v>ACTIVE</v>
      </c>
      <c r="O572" s="68" t="str">
        <f t="shared" si="36"/>
        <v>ACTIVE</v>
      </c>
      <c r="P572" s="68" t="str">
        <f t="shared" si="36"/>
        <v>ACTIVE</v>
      </c>
      <c r="Q572" s="68" t="str">
        <f t="shared" si="36"/>
        <v>ACTIVE</v>
      </c>
    </row>
    <row r="573" spans="2:17" x14ac:dyDescent="0.35">
      <c r="B573" s="70" t="str">
        <v>1011410</v>
      </c>
      <c r="C573" s="68" t="str">
        <f>VLOOKUP(B573,Master!B:C,2,0)</f>
        <v>1011410</v>
      </c>
      <c r="D573" s="69">
        <f>VLOOKUP(B573,Master!B:L,11,0)</f>
        <v>46044</v>
      </c>
      <c r="E573" s="69">
        <f>VLOOKUP(B573,Master!B:P,15,0)</f>
        <v>0</v>
      </c>
      <c r="F573" s="68" t="str">
        <f t="shared" si="36"/>
        <v>ACTIVE</v>
      </c>
      <c r="G573" s="68" t="str">
        <f t="shared" si="36"/>
        <v>ACTIVE</v>
      </c>
      <c r="H573" s="68" t="str">
        <f t="shared" si="36"/>
        <v>ACTIVE</v>
      </c>
      <c r="I573" s="68" t="str">
        <f t="shared" si="36"/>
        <v>ACTIVE</v>
      </c>
      <c r="J573" s="68" t="str">
        <f t="shared" si="36"/>
        <v>ACTIVE</v>
      </c>
      <c r="K573" s="68" t="str">
        <f t="shared" si="36"/>
        <v>ACTIVE</v>
      </c>
      <c r="L573" s="68" t="str">
        <f t="shared" si="36"/>
        <v>ACTIVE</v>
      </c>
      <c r="M573" s="68" t="str">
        <f t="shared" si="36"/>
        <v>ACTIVE</v>
      </c>
      <c r="N573" s="68" t="str">
        <f t="shared" si="36"/>
        <v>ACTIVE</v>
      </c>
      <c r="O573" s="68" t="str">
        <f t="shared" si="36"/>
        <v>ACTIVE</v>
      </c>
      <c r="P573" s="68" t="str">
        <f t="shared" si="36"/>
        <v>ACTIVE</v>
      </c>
      <c r="Q573" s="68" t="str">
        <f t="shared" si="36"/>
        <v>ACTIVE</v>
      </c>
    </row>
    <row r="574" spans="2:17" x14ac:dyDescent="0.35">
      <c r="B574" s="70" t="str">
        <v>50GL3601</v>
      </c>
      <c r="C574" s="68" t="str">
        <f>VLOOKUP(B574,Master!B:C,2,0)</f>
        <v>50GL3601</v>
      </c>
      <c r="D574" s="69">
        <f>VLOOKUP(B574,Master!B:L,11,0)</f>
        <v>45689</v>
      </c>
      <c r="E574" s="69">
        <f>VLOOKUP(B574,Master!B:P,15,0)</f>
        <v>0</v>
      </c>
      <c r="F574" s="68" t="str">
        <f t="shared" si="36"/>
        <v>ACTIVE</v>
      </c>
      <c r="G574" s="68" t="str">
        <f t="shared" si="36"/>
        <v>ACTIVE</v>
      </c>
      <c r="H574" s="68" t="str">
        <f t="shared" si="36"/>
        <v>ACTIVE</v>
      </c>
      <c r="I574" s="68" t="str">
        <f t="shared" si="36"/>
        <v>ACTIVE</v>
      </c>
      <c r="J574" s="68" t="str">
        <f t="shared" si="36"/>
        <v>ACTIVE</v>
      </c>
      <c r="K574" s="68" t="str">
        <f t="shared" si="36"/>
        <v>ACTIVE</v>
      </c>
      <c r="L574" s="68" t="str">
        <f t="shared" si="36"/>
        <v>ACTIVE</v>
      </c>
      <c r="M574" s="68" t="str">
        <f t="shared" si="36"/>
        <v>ACTIVE</v>
      </c>
      <c r="N574" s="68" t="str">
        <f t="shared" si="36"/>
        <v>ACTIVE</v>
      </c>
      <c r="O574" s="68" t="str">
        <f t="shared" si="36"/>
        <v>ACTIVE</v>
      </c>
      <c r="P574" s="68" t="str">
        <f t="shared" si="36"/>
        <v>ACTIVE</v>
      </c>
      <c r="Q574" s="68" t="str">
        <f t="shared" si="36"/>
        <v>ACTIVE</v>
      </c>
    </row>
    <row r="575" spans="2:17" x14ac:dyDescent="0.35">
      <c r="B575" s="70" t="str">
        <v>FCNEW003</v>
      </c>
      <c r="C575" s="68" t="str">
        <f>VLOOKUP(B575,Master!B:C,2,0)</f>
        <v>1010114</v>
      </c>
      <c r="D575" s="69">
        <f>VLOOKUP(B575,Master!B:L,11,0)</f>
        <v>46034</v>
      </c>
      <c r="E575" s="69">
        <f>VLOOKUP(B575,Master!B:P,15,0)</f>
        <v>0</v>
      </c>
      <c r="F575" s="68" t="str">
        <f t="shared" si="36"/>
        <v>ACTIVE</v>
      </c>
      <c r="G575" s="68" t="str">
        <f t="shared" si="36"/>
        <v>ACTIVE</v>
      </c>
      <c r="H575" s="68" t="str">
        <f t="shared" si="36"/>
        <v>ACTIVE</v>
      </c>
      <c r="I575" s="68" t="str">
        <f t="shared" si="36"/>
        <v>ACTIVE</v>
      </c>
      <c r="J575" s="68" t="str">
        <f t="shared" si="36"/>
        <v>ACTIVE</v>
      </c>
      <c r="K575" s="68" t="str">
        <f t="shared" si="36"/>
        <v>ACTIVE</v>
      </c>
      <c r="L575" s="68" t="str">
        <f t="shared" si="36"/>
        <v>ACTIVE</v>
      </c>
      <c r="M575" s="68" t="str">
        <f t="shared" si="36"/>
        <v>ACTIVE</v>
      </c>
      <c r="N575" s="68" t="str">
        <f t="shared" si="36"/>
        <v>ACTIVE</v>
      </c>
      <c r="O575" s="68" t="str">
        <f t="shared" si="36"/>
        <v>ACTIVE</v>
      </c>
      <c r="P575" s="68" t="str">
        <f t="shared" si="36"/>
        <v>ACTIVE</v>
      </c>
      <c r="Q575" s="68" t="str">
        <f t="shared" si="36"/>
        <v>ACTIVE</v>
      </c>
    </row>
    <row r="576" spans="2:17" x14ac:dyDescent="0.35">
      <c r="B576" s="70" t="str">
        <v>30DNNOBUD11</v>
      </c>
      <c r="C576" s="68" t="str">
        <f>VLOOKUP(B576,Master!B:C,2,0)</f>
        <v>30DN4997</v>
      </c>
      <c r="D576" s="69">
        <f>VLOOKUP(B576,Master!B:L,11,0)</f>
        <v>46087</v>
      </c>
      <c r="E576" s="69">
        <f>VLOOKUP(B576,Master!B:P,15,0)</f>
        <v>0</v>
      </c>
      <c r="F576" s="68" t="str">
        <f t="shared" si="36"/>
        <v>WAITING FOR OPEN</v>
      </c>
      <c r="G576" s="68" t="str">
        <f t="shared" si="36"/>
        <v>WAITING FOR OPEN</v>
      </c>
      <c r="H576" s="68" t="str">
        <f t="shared" si="36"/>
        <v>ACTIVE</v>
      </c>
      <c r="I576" s="68" t="str">
        <f t="shared" si="36"/>
        <v>ACTIVE</v>
      </c>
      <c r="J576" s="68" t="str">
        <f t="shared" si="36"/>
        <v>ACTIVE</v>
      </c>
      <c r="K576" s="68" t="str">
        <f t="shared" si="36"/>
        <v>ACTIVE</v>
      </c>
      <c r="L576" s="68" t="str">
        <f t="shared" si="36"/>
        <v>ACTIVE</v>
      </c>
      <c r="M576" s="68" t="str">
        <f t="shared" si="36"/>
        <v>ACTIVE</v>
      </c>
      <c r="N576" s="68" t="str">
        <f t="shared" si="36"/>
        <v>ACTIVE</v>
      </c>
      <c r="O576" s="68" t="str">
        <f t="shared" si="36"/>
        <v>ACTIVE</v>
      </c>
      <c r="P576" s="68" t="str">
        <f t="shared" si="36"/>
        <v>ACTIVE</v>
      </c>
      <c r="Q576" s="68" t="str">
        <f t="shared" si="36"/>
        <v>ACTIVE</v>
      </c>
    </row>
    <row r="577" spans="2:17" x14ac:dyDescent="0.35">
      <c r="B577" s="70" t="str">
        <v>09HNOCH003</v>
      </c>
      <c r="C577" s="68" t="str">
        <f>VLOOKUP(B577,Master!B:C,2,0)</f>
        <v>09HNOCH003</v>
      </c>
      <c r="D577" s="69">
        <f>VLOOKUP(B577,Master!B:L,11,0)</f>
        <v>46162</v>
      </c>
      <c r="E577" s="69">
        <f>VLOOKUP(B577,Master!B:P,15,0)</f>
        <v>0</v>
      </c>
      <c r="F577" s="68" t="str">
        <f t="shared" si="36"/>
        <v>WAITING FOR OPEN</v>
      </c>
      <c r="G577" s="68" t="str">
        <f t="shared" si="36"/>
        <v>WAITING FOR OPEN</v>
      </c>
      <c r="H577" s="68" t="str">
        <f t="shared" si="36"/>
        <v>WAITING FOR OPEN</v>
      </c>
      <c r="I577" s="68" t="str">
        <f t="shared" si="36"/>
        <v>WAITING FOR OPEN</v>
      </c>
      <c r="J577" s="68" t="str">
        <f t="shared" si="36"/>
        <v>ACTIVE</v>
      </c>
      <c r="K577" s="68" t="str">
        <f t="shared" si="36"/>
        <v>ACTIVE</v>
      </c>
      <c r="L577" s="68" t="str">
        <f t="shared" si="36"/>
        <v>ACTIVE</v>
      </c>
      <c r="M577" s="68" t="str">
        <f t="shared" si="36"/>
        <v>ACTIVE</v>
      </c>
      <c r="N577" s="68" t="str">
        <f t="shared" si="36"/>
        <v>ACTIVE</v>
      </c>
      <c r="O577" s="68" t="str">
        <f t="shared" si="36"/>
        <v>ACTIVE</v>
      </c>
      <c r="P577" s="68" t="str">
        <f t="shared" si="36"/>
        <v>ACTIVE</v>
      </c>
      <c r="Q577" s="68" t="str">
        <f t="shared" si="36"/>
        <v>ACTIVE</v>
      </c>
    </row>
    <row r="578" spans="2:17" x14ac:dyDescent="0.35">
      <c r="B578" s="70" t="str">
        <v>10ASNEW01</v>
      </c>
      <c r="C578" s="68" t="str">
        <f>VLOOKUP(B578,Master!B:C,2,0)</f>
        <v>10AS5030</v>
      </c>
      <c r="D578" s="69">
        <f>VLOOKUP(B578,Master!B:L,11,0)</f>
        <v>46167</v>
      </c>
      <c r="E578" s="69">
        <f>VLOOKUP(B578,Master!B:P,15,0)</f>
        <v>0</v>
      </c>
      <c r="F578" s="68" t="str">
        <f t="shared" si="36"/>
        <v>WAITING FOR OPEN</v>
      </c>
      <c r="G578" s="68" t="str">
        <f t="shared" si="36"/>
        <v>WAITING FOR OPEN</v>
      </c>
      <c r="H578" s="68" t="str">
        <f t="shared" si="36"/>
        <v>WAITING FOR OPEN</v>
      </c>
      <c r="I578" s="68" t="str">
        <f t="shared" si="36"/>
        <v>WAITING FOR OPEN</v>
      </c>
      <c r="J578" s="68" t="str">
        <f t="shared" si="36"/>
        <v>ACTIVE</v>
      </c>
      <c r="K578" s="68" t="str">
        <f t="shared" si="36"/>
        <v>ACTIVE</v>
      </c>
      <c r="L578" s="68" t="str">
        <f t="shared" si="36"/>
        <v>ACTIVE</v>
      </c>
      <c r="M578" s="68" t="str">
        <f t="shared" si="36"/>
        <v>ACTIVE</v>
      </c>
      <c r="N578" s="68" t="str">
        <f t="shared" si="36"/>
        <v>ACTIVE</v>
      </c>
      <c r="O578" s="68" t="str">
        <f t="shared" si="36"/>
        <v>ACTIVE</v>
      </c>
      <c r="P578" s="68" t="str">
        <f t="shared" si="36"/>
        <v>ACTIVE</v>
      </c>
      <c r="Q578" s="68" t="str">
        <f t="shared" si="36"/>
        <v>ACTIVE</v>
      </c>
    </row>
    <row r="579" spans="2:17" x14ac:dyDescent="0.35">
      <c r="B579" s="70" t="str">
        <v>10KKNEW04</v>
      </c>
      <c r="C579" s="68" t="str">
        <f>VLOOKUP(B579,Master!B:C,2,0)</f>
        <v/>
      </c>
      <c r="D579" s="69">
        <f>VLOOKUP(B579,Master!B:L,11,0)</f>
        <v>46244</v>
      </c>
      <c r="E579" s="69">
        <f>VLOOKUP(B579,Master!B:P,15,0)</f>
        <v>0</v>
      </c>
      <c r="F579" s="68" t="str">
        <f t="shared" si="36"/>
        <v>WAITING FOR OPEN</v>
      </c>
      <c r="G579" s="68" t="str">
        <f t="shared" si="36"/>
        <v>WAITING FOR OPEN</v>
      </c>
      <c r="H579" s="68" t="str">
        <f t="shared" si="36"/>
        <v>WAITING FOR OPEN</v>
      </c>
      <c r="I579" s="68" t="str">
        <f t="shared" si="36"/>
        <v>WAITING FOR OPEN</v>
      </c>
      <c r="J579" s="68" t="str">
        <f t="shared" si="36"/>
        <v>WAITING FOR OPEN</v>
      </c>
      <c r="K579" s="68" t="str">
        <f t="shared" si="36"/>
        <v>WAITING FOR OPEN</v>
      </c>
      <c r="L579" s="68" t="str">
        <f t="shared" si="36"/>
        <v>WAITING FOR OPEN</v>
      </c>
      <c r="M579" s="68" t="str">
        <f t="shared" si="36"/>
        <v>ACTIVE</v>
      </c>
      <c r="N579" s="68" t="str">
        <f t="shared" si="36"/>
        <v>ACTIVE</v>
      </c>
      <c r="O579" s="68" t="str">
        <f t="shared" si="36"/>
        <v>ACTIVE</v>
      </c>
      <c r="P579" s="68" t="str">
        <f t="shared" si="36"/>
        <v>ACTIVE</v>
      </c>
      <c r="Q579" s="68" t="str">
        <f t="shared" si="36"/>
        <v>ACTIVE</v>
      </c>
    </row>
    <row r="580" spans="2:17" x14ac:dyDescent="0.35">
      <c r="B580" s="70" t="str">
        <v>30KKNEW09</v>
      </c>
      <c r="C580" s="68" t="str">
        <f>VLOOKUP(B580,Master!B:C,2,0)</f>
        <v>30KK5002</v>
      </c>
      <c r="D580" s="69">
        <f>VLOOKUP(B580,Master!B:L,11,0)</f>
        <v>46134</v>
      </c>
      <c r="E580" s="69">
        <f>VLOOKUP(B580,Master!B:P,15,0)</f>
        <v>0</v>
      </c>
      <c r="F580" s="68" t="str">
        <f t="shared" ref="F580:Q595" si="37">IF($E580&gt;0,"CLOSED",IF($D580&lt;F$1,"ACTIVE","WAITING FOR OPEN"))</f>
        <v>WAITING FOR OPEN</v>
      </c>
      <c r="G580" s="68" t="str">
        <f t="shared" si="37"/>
        <v>WAITING FOR OPEN</v>
      </c>
      <c r="H580" s="68" t="str">
        <f t="shared" si="37"/>
        <v>WAITING FOR OPEN</v>
      </c>
      <c r="I580" s="68" t="str">
        <f t="shared" si="37"/>
        <v>ACTIVE</v>
      </c>
      <c r="J580" s="68" t="str">
        <f t="shared" si="37"/>
        <v>ACTIVE</v>
      </c>
      <c r="K580" s="68" t="str">
        <f t="shared" si="37"/>
        <v>ACTIVE</v>
      </c>
      <c r="L580" s="68" t="str">
        <f t="shared" si="37"/>
        <v>ACTIVE</v>
      </c>
      <c r="M580" s="68" t="str">
        <f t="shared" si="37"/>
        <v>ACTIVE</v>
      </c>
      <c r="N580" s="68" t="str">
        <f t="shared" si="37"/>
        <v>ACTIVE</v>
      </c>
      <c r="O580" s="68" t="str">
        <f t="shared" si="37"/>
        <v>ACTIVE</v>
      </c>
      <c r="P580" s="68" t="str">
        <f t="shared" si="37"/>
        <v>ACTIVE</v>
      </c>
      <c r="Q580" s="68" t="str">
        <f t="shared" si="37"/>
        <v>ACTIVE</v>
      </c>
    </row>
    <row r="581" spans="2:17" x14ac:dyDescent="0.35">
      <c r="B581" s="70" t="str">
        <v>10KKNEW22</v>
      </c>
      <c r="C581" s="68" t="str">
        <f>VLOOKUP(B581,Master!B:C,2,0)</f>
        <v/>
      </c>
      <c r="D581" s="69">
        <f>VLOOKUP(B581,Master!B:L,11,0)</f>
        <v>46216</v>
      </c>
      <c r="E581" s="69">
        <f>VLOOKUP(B581,Master!B:P,15,0)</f>
        <v>0</v>
      </c>
      <c r="F581" s="68" t="str">
        <f t="shared" si="37"/>
        <v>WAITING FOR OPEN</v>
      </c>
      <c r="G581" s="68" t="str">
        <f t="shared" si="37"/>
        <v>WAITING FOR OPEN</v>
      </c>
      <c r="H581" s="68" t="str">
        <f t="shared" si="37"/>
        <v>WAITING FOR OPEN</v>
      </c>
      <c r="I581" s="68" t="str">
        <f t="shared" si="37"/>
        <v>WAITING FOR OPEN</v>
      </c>
      <c r="J581" s="68" t="str">
        <f t="shared" si="37"/>
        <v>WAITING FOR OPEN</v>
      </c>
      <c r="K581" s="68" t="str">
        <f t="shared" si="37"/>
        <v>WAITING FOR OPEN</v>
      </c>
      <c r="L581" s="68" t="str">
        <f t="shared" si="37"/>
        <v>ACTIVE</v>
      </c>
      <c r="M581" s="68" t="str">
        <f t="shared" si="37"/>
        <v>ACTIVE</v>
      </c>
      <c r="N581" s="68" t="str">
        <f t="shared" si="37"/>
        <v>ACTIVE</v>
      </c>
      <c r="O581" s="68" t="str">
        <f t="shared" si="37"/>
        <v>ACTIVE</v>
      </c>
      <c r="P581" s="68" t="str">
        <f t="shared" si="37"/>
        <v>ACTIVE</v>
      </c>
      <c r="Q581" s="68" t="str">
        <f t="shared" si="37"/>
        <v>ACTIVE</v>
      </c>
    </row>
    <row r="582" spans="2:17" x14ac:dyDescent="0.35">
      <c r="B582" s="70" t="str">
        <v>30KKNEW23</v>
      </c>
      <c r="C582" s="68" t="str">
        <f>VLOOKUP(B582,Master!B:C,2,0)</f>
        <v/>
      </c>
      <c r="D582" s="69">
        <f>VLOOKUP(B582,Master!B:L,11,0)</f>
        <v>46123</v>
      </c>
      <c r="E582" s="69">
        <f>VLOOKUP(B582,Master!B:P,15,0)</f>
        <v>0</v>
      </c>
      <c r="F582" s="68" t="str">
        <f t="shared" si="37"/>
        <v>WAITING FOR OPEN</v>
      </c>
      <c r="G582" s="68" t="str">
        <f t="shared" si="37"/>
        <v>WAITING FOR OPEN</v>
      </c>
      <c r="H582" s="68" t="str">
        <f t="shared" si="37"/>
        <v>WAITING FOR OPEN</v>
      </c>
      <c r="I582" s="68" t="str">
        <f t="shared" si="37"/>
        <v>ACTIVE</v>
      </c>
      <c r="J582" s="68" t="str">
        <f t="shared" si="37"/>
        <v>ACTIVE</v>
      </c>
      <c r="K582" s="68" t="str">
        <f t="shared" si="37"/>
        <v>ACTIVE</v>
      </c>
      <c r="L582" s="68" t="str">
        <f t="shared" si="37"/>
        <v>ACTIVE</v>
      </c>
      <c r="M582" s="68" t="str">
        <f t="shared" si="37"/>
        <v>ACTIVE</v>
      </c>
      <c r="N582" s="68" t="str">
        <f t="shared" si="37"/>
        <v>ACTIVE</v>
      </c>
      <c r="O582" s="68" t="str">
        <f t="shared" si="37"/>
        <v>ACTIVE</v>
      </c>
      <c r="P582" s="68" t="str">
        <f t="shared" si="37"/>
        <v>ACTIVE</v>
      </c>
      <c r="Q582" s="68" t="str">
        <f t="shared" si="37"/>
        <v>ACTIVE</v>
      </c>
    </row>
    <row r="583" spans="2:17" x14ac:dyDescent="0.35">
      <c r="B583" s="70" t="str">
        <v>30CDNEW13</v>
      </c>
      <c r="C583" s="68" t="str">
        <f>VLOOKUP(B583,Master!B:C,2,0)</f>
        <v>30CD5001</v>
      </c>
      <c r="D583" s="69">
        <f>VLOOKUP(B583,Master!B:L,11,0)</f>
        <v>46134</v>
      </c>
      <c r="E583" s="69">
        <f>VLOOKUP(B583,Master!B:P,15,0)</f>
        <v>0</v>
      </c>
      <c r="F583" s="68" t="str">
        <f t="shared" si="37"/>
        <v>WAITING FOR OPEN</v>
      </c>
      <c r="G583" s="68" t="str">
        <f t="shared" si="37"/>
        <v>WAITING FOR OPEN</v>
      </c>
      <c r="H583" s="68" t="str">
        <f t="shared" si="37"/>
        <v>WAITING FOR OPEN</v>
      </c>
      <c r="I583" s="68" t="str">
        <f t="shared" si="37"/>
        <v>ACTIVE</v>
      </c>
      <c r="J583" s="68" t="str">
        <f t="shared" si="37"/>
        <v>ACTIVE</v>
      </c>
      <c r="K583" s="68" t="str">
        <f t="shared" si="37"/>
        <v>ACTIVE</v>
      </c>
      <c r="L583" s="68" t="str">
        <f t="shared" si="37"/>
        <v>ACTIVE</v>
      </c>
      <c r="M583" s="68" t="str">
        <f t="shared" si="37"/>
        <v>ACTIVE</v>
      </c>
      <c r="N583" s="68" t="str">
        <f t="shared" si="37"/>
        <v>ACTIVE</v>
      </c>
      <c r="O583" s="68" t="str">
        <f t="shared" si="37"/>
        <v>ACTIVE</v>
      </c>
      <c r="P583" s="68" t="str">
        <f t="shared" si="37"/>
        <v>ACTIVE</v>
      </c>
      <c r="Q583" s="68" t="str">
        <f t="shared" si="37"/>
        <v>ACTIVE</v>
      </c>
    </row>
    <row r="584" spans="2:17" x14ac:dyDescent="0.35">
      <c r="B584" s="70" t="str">
        <v>10SSNEW01</v>
      </c>
      <c r="C584" s="68" t="str">
        <f>VLOOKUP(B584,Master!B:C,2,0)</f>
        <v>10SS4981</v>
      </c>
      <c r="D584" s="69">
        <f>VLOOKUP(B584,Master!B:L,11,0)</f>
        <v>46143</v>
      </c>
      <c r="E584" s="69">
        <f>VLOOKUP(B584,Master!B:P,15,0)</f>
        <v>0</v>
      </c>
      <c r="F584" s="68" t="str">
        <f t="shared" si="37"/>
        <v>WAITING FOR OPEN</v>
      </c>
      <c r="G584" s="68" t="str">
        <f t="shared" si="37"/>
        <v>WAITING FOR OPEN</v>
      </c>
      <c r="H584" s="68" t="str">
        <f t="shared" si="37"/>
        <v>WAITING FOR OPEN</v>
      </c>
      <c r="I584" s="68" t="str">
        <f t="shared" si="37"/>
        <v>WAITING FOR OPEN</v>
      </c>
      <c r="J584" s="68" t="str">
        <f t="shared" si="37"/>
        <v>ACTIVE</v>
      </c>
      <c r="K584" s="68" t="str">
        <f t="shared" si="37"/>
        <v>ACTIVE</v>
      </c>
      <c r="L584" s="68" t="str">
        <f t="shared" si="37"/>
        <v>ACTIVE</v>
      </c>
      <c r="M584" s="68" t="str">
        <f t="shared" si="37"/>
        <v>ACTIVE</v>
      </c>
      <c r="N584" s="68" t="str">
        <f t="shared" si="37"/>
        <v>ACTIVE</v>
      </c>
      <c r="O584" s="68" t="str">
        <f t="shared" si="37"/>
        <v>ACTIVE</v>
      </c>
      <c r="P584" s="68" t="str">
        <f t="shared" si="37"/>
        <v>ACTIVE</v>
      </c>
      <c r="Q584" s="68" t="str">
        <f t="shared" si="37"/>
        <v>ACTIVE</v>
      </c>
    </row>
    <row r="585" spans="2:17" x14ac:dyDescent="0.35">
      <c r="B585" s="70" t="str">
        <v>10SSNEW03</v>
      </c>
      <c r="C585" s="68" t="str">
        <f>VLOOKUP(B585,Master!B:C,2,0)</f>
        <v/>
      </c>
      <c r="D585" s="69">
        <f>VLOOKUP(B585,Master!B:L,11,0)</f>
        <v>46244</v>
      </c>
      <c r="E585" s="69">
        <f>VLOOKUP(B585,Master!B:P,15,0)</f>
        <v>0</v>
      </c>
      <c r="F585" s="68" t="str">
        <f t="shared" si="37"/>
        <v>WAITING FOR OPEN</v>
      </c>
      <c r="G585" s="68" t="str">
        <f t="shared" si="37"/>
        <v>WAITING FOR OPEN</v>
      </c>
      <c r="H585" s="68" t="str">
        <f t="shared" si="37"/>
        <v>WAITING FOR OPEN</v>
      </c>
      <c r="I585" s="68" t="str">
        <f t="shared" si="37"/>
        <v>WAITING FOR OPEN</v>
      </c>
      <c r="J585" s="68" t="str">
        <f t="shared" si="37"/>
        <v>WAITING FOR OPEN</v>
      </c>
      <c r="K585" s="68" t="str">
        <f t="shared" si="37"/>
        <v>WAITING FOR OPEN</v>
      </c>
      <c r="L585" s="68" t="str">
        <f t="shared" si="37"/>
        <v>WAITING FOR OPEN</v>
      </c>
      <c r="M585" s="68" t="str">
        <f t="shared" si="37"/>
        <v>ACTIVE</v>
      </c>
      <c r="N585" s="68" t="str">
        <f t="shared" si="37"/>
        <v>ACTIVE</v>
      </c>
      <c r="O585" s="68" t="str">
        <f t="shared" si="37"/>
        <v>ACTIVE</v>
      </c>
      <c r="P585" s="68" t="str">
        <f t="shared" si="37"/>
        <v>ACTIVE</v>
      </c>
      <c r="Q585" s="68" t="str">
        <f t="shared" si="37"/>
        <v>ACTIVE</v>
      </c>
    </row>
    <row r="586" spans="2:17" x14ac:dyDescent="0.35">
      <c r="B586" s="70" t="str">
        <v>30SSNEW08</v>
      </c>
      <c r="C586" s="68" t="str">
        <f>VLOOKUP(B586,Master!B:C,2,0)</f>
        <v/>
      </c>
      <c r="D586" s="69">
        <f>VLOOKUP(B586,Master!B:L,11,0)</f>
        <v>46357</v>
      </c>
      <c r="E586" s="69">
        <f>VLOOKUP(B586,Master!B:P,15,0)</f>
        <v>0</v>
      </c>
      <c r="F586" s="68" t="str">
        <f t="shared" si="37"/>
        <v>WAITING FOR OPEN</v>
      </c>
      <c r="G586" s="68" t="str">
        <f t="shared" si="37"/>
        <v>WAITING FOR OPEN</v>
      </c>
      <c r="H586" s="68" t="str">
        <f t="shared" si="37"/>
        <v>WAITING FOR OPEN</v>
      </c>
      <c r="I586" s="68" t="str">
        <f t="shared" si="37"/>
        <v>WAITING FOR OPEN</v>
      </c>
      <c r="J586" s="68" t="str">
        <f t="shared" si="37"/>
        <v>WAITING FOR OPEN</v>
      </c>
      <c r="K586" s="68" t="str">
        <f t="shared" si="37"/>
        <v>WAITING FOR OPEN</v>
      </c>
      <c r="L586" s="68" t="str">
        <f t="shared" si="37"/>
        <v>WAITING FOR OPEN</v>
      </c>
      <c r="M586" s="68" t="str">
        <f t="shared" si="37"/>
        <v>WAITING FOR OPEN</v>
      </c>
      <c r="N586" s="68" t="str">
        <f t="shared" si="37"/>
        <v>WAITING FOR OPEN</v>
      </c>
      <c r="O586" s="68" t="str">
        <f t="shared" si="37"/>
        <v>WAITING FOR OPEN</v>
      </c>
      <c r="P586" s="68" t="str">
        <f t="shared" si="37"/>
        <v>WAITING FOR OPEN</v>
      </c>
      <c r="Q586" s="68" t="str">
        <f t="shared" si="37"/>
        <v>ACTIVE</v>
      </c>
    </row>
    <row r="587" spans="2:17" x14ac:dyDescent="0.35">
      <c r="B587" s="70" t="str">
        <v>30GGNEW02</v>
      </c>
      <c r="C587" s="68" t="str">
        <f>VLOOKUP(B587,Master!B:C,2,0)</f>
        <v/>
      </c>
      <c r="D587" s="69">
        <f>VLOOKUP(B587,Master!B:L,11,0)</f>
        <v>46112</v>
      </c>
      <c r="E587" s="69">
        <f>VLOOKUP(B587,Master!B:P,15,0)</f>
        <v>0</v>
      </c>
      <c r="F587" s="68" t="str">
        <f t="shared" si="37"/>
        <v>WAITING FOR OPEN</v>
      </c>
      <c r="G587" s="68" t="str">
        <f t="shared" si="37"/>
        <v>WAITING FOR OPEN</v>
      </c>
      <c r="H587" s="68" t="str">
        <f t="shared" si="37"/>
        <v>WAITING FOR OPEN</v>
      </c>
      <c r="I587" s="68" t="str">
        <f t="shared" si="37"/>
        <v>ACTIVE</v>
      </c>
      <c r="J587" s="68" t="str">
        <f t="shared" si="37"/>
        <v>ACTIVE</v>
      </c>
      <c r="K587" s="68" t="str">
        <f t="shared" si="37"/>
        <v>ACTIVE</v>
      </c>
      <c r="L587" s="68" t="str">
        <f t="shared" si="37"/>
        <v>ACTIVE</v>
      </c>
      <c r="M587" s="68" t="str">
        <f t="shared" si="37"/>
        <v>ACTIVE</v>
      </c>
      <c r="N587" s="68" t="str">
        <f t="shared" si="37"/>
        <v>ACTIVE</v>
      </c>
      <c r="O587" s="68" t="str">
        <f t="shared" si="37"/>
        <v>ACTIVE</v>
      </c>
      <c r="P587" s="68" t="str">
        <f t="shared" si="37"/>
        <v>ACTIVE</v>
      </c>
      <c r="Q587" s="68" t="str">
        <f t="shared" si="37"/>
        <v>ACTIVE</v>
      </c>
    </row>
    <row r="588" spans="2:17" x14ac:dyDescent="0.35">
      <c r="B588" s="70" t="str">
        <v>30GGNEW20</v>
      </c>
      <c r="C588" s="68" t="str">
        <f>VLOOKUP(B588,Master!B:C,2,0)</f>
        <v>30GG5000</v>
      </c>
      <c r="D588" s="69">
        <f>VLOOKUP(B588,Master!B:L,11,0)</f>
        <v>46134</v>
      </c>
      <c r="E588" s="69">
        <f>VLOOKUP(B588,Master!B:P,15,0)</f>
        <v>0</v>
      </c>
      <c r="F588" s="68" t="str">
        <f t="shared" si="37"/>
        <v>WAITING FOR OPEN</v>
      </c>
      <c r="G588" s="68" t="str">
        <f t="shared" si="37"/>
        <v>WAITING FOR OPEN</v>
      </c>
      <c r="H588" s="68" t="str">
        <f t="shared" si="37"/>
        <v>WAITING FOR OPEN</v>
      </c>
      <c r="I588" s="68" t="str">
        <f t="shared" si="37"/>
        <v>ACTIVE</v>
      </c>
      <c r="J588" s="68" t="str">
        <f t="shared" si="37"/>
        <v>ACTIVE</v>
      </c>
      <c r="K588" s="68" t="str">
        <f t="shared" si="37"/>
        <v>ACTIVE</v>
      </c>
      <c r="L588" s="68" t="str">
        <f t="shared" si="37"/>
        <v>ACTIVE</v>
      </c>
      <c r="M588" s="68" t="str">
        <f t="shared" si="37"/>
        <v>ACTIVE</v>
      </c>
      <c r="N588" s="68" t="str">
        <f t="shared" si="37"/>
        <v>ACTIVE</v>
      </c>
      <c r="O588" s="68" t="str">
        <f t="shared" si="37"/>
        <v>ACTIVE</v>
      </c>
      <c r="P588" s="68" t="str">
        <f t="shared" si="37"/>
        <v>ACTIVE</v>
      </c>
      <c r="Q588" s="68" t="str">
        <f t="shared" si="37"/>
        <v>ACTIVE</v>
      </c>
    </row>
    <row r="589" spans="2:17" x14ac:dyDescent="0.35">
      <c r="B589" s="70" t="str">
        <v>30GGNEW38</v>
      </c>
      <c r="C589" s="68" t="str">
        <f>VLOOKUP(B589,Master!B:C,2,0)</f>
        <v/>
      </c>
      <c r="D589" s="69">
        <f>VLOOKUP(B589,Master!B:L,11,0)</f>
        <v>46296</v>
      </c>
      <c r="E589" s="69">
        <f>VLOOKUP(B589,Master!B:P,15,0)</f>
        <v>0</v>
      </c>
      <c r="F589" s="68" t="str">
        <f t="shared" si="37"/>
        <v>WAITING FOR OPEN</v>
      </c>
      <c r="G589" s="68" t="str">
        <f t="shared" si="37"/>
        <v>WAITING FOR OPEN</v>
      </c>
      <c r="H589" s="68" t="str">
        <f t="shared" si="37"/>
        <v>WAITING FOR OPEN</v>
      </c>
      <c r="I589" s="68" t="str">
        <f t="shared" si="37"/>
        <v>WAITING FOR OPEN</v>
      </c>
      <c r="J589" s="68" t="str">
        <f t="shared" si="37"/>
        <v>WAITING FOR OPEN</v>
      </c>
      <c r="K589" s="68" t="str">
        <f t="shared" si="37"/>
        <v>WAITING FOR OPEN</v>
      </c>
      <c r="L589" s="68" t="str">
        <f t="shared" si="37"/>
        <v>WAITING FOR OPEN</v>
      </c>
      <c r="M589" s="68" t="str">
        <f t="shared" si="37"/>
        <v>WAITING FOR OPEN</v>
      </c>
      <c r="N589" s="68" t="str">
        <f t="shared" si="37"/>
        <v>WAITING FOR OPEN</v>
      </c>
      <c r="O589" s="68" t="str">
        <f t="shared" si="37"/>
        <v>ACTIVE</v>
      </c>
      <c r="P589" s="68" t="str">
        <f t="shared" si="37"/>
        <v>ACTIVE</v>
      </c>
      <c r="Q589" s="68" t="str">
        <f t="shared" si="37"/>
        <v>ACTIVE</v>
      </c>
    </row>
    <row r="590" spans="2:17" x14ac:dyDescent="0.35">
      <c r="B590" s="70" t="str">
        <v>10GGNEW41</v>
      </c>
      <c r="C590" s="68" t="str">
        <f>VLOOKUP(B590,Master!B:C,2,0)</f>
        <v>10GG5027</v>
      </c>
      <c r="D590" s="69">
        <f>VLOOKUP(B590,Master!B:L,11,0)</f>
        <v>46244</v>
      </c>
      <c r="E590" s="69">
        <f>VLOOKUP(B590,Master!B:P,15,0)</f>
        <v>0</v>
      </c>
      <c r="F590" s="68" t="str">
        <f t="shared" si="37"/>
        <v>WAITING FOR OPEN</v>
      </c>
      <c r="G590" s="68" t="str">
        <f t="shared" si="37"/>
        <v>WAITING FOR OPEN</v>
      </c>
      <c r="H590" s="68" t="str">
        <f t="shared" si="37"/>
        <v>WAITING FOR OPEN</v>
      </c>
      <c r="I590" s="68" t="str">
        <f t="shared" si="37"/>
        <v>WAITING FOR OPEN</v>
      </c>
      <c r="J590" s="68" t="str">
        <f t="shared" si="37"/>
        <v>WAITING FOR OPEN</v>
      </c>
      <c r="K590" s="68" t="str">
        <f t="shared" si="37"/>
        <v>WAITING FOR OPEN</v>
      </c>
      <c r="L590" s="68" t="str">
        <f t="shared" si="37"/>
        <v>WAITING FOR OPEN</v>
      </c>
      <c r="M590" s="68" t="str">
        <f t="shared" si="37"/>
        <v>ACTIVE</v>
      </c>
      <c r="N590" s="68" t="str">
        <f t="shared" si="37"/>
        <v>ACTIVE</v>
      </c>
      <c r="O590" s="68" t="str">
        <f t="shared" si="37"/>
        <v>ACTIVE</v>
      </c>
      <c r="P590" s="68" t="str">
        <f t="shared" si="37"/>
        <v>ACTIVE</v>
      </c>
      <c r="Q590" s="68" t="str">
        <f t="shared" si="37"/>
        <v>ACTIVE</v>
      </c>
    </row>
    <row r="591" spans="2:17" x14ac:dyDescent="0.35">
      <c r="B591" s="70" t="str">
        <v>10GGNEW42</v>
      </c>
      <c r="C591" s="68" t="str">
        <f>VLOOKUP(B591,Master!B:C,2,0)</f>
        <v>Check</v>
      </c>
      <c r="D591" s="69">
        <f>VLOOKUP(B591,Master!B:L,11,0)</f>
        <v>46216</v>
      </c>
      <c r="E591" s="69">
        <f>VLOOKUP(B591,Master!B:P,15,0)</f>
        <v>0</v>
      </c>
      <c r="F591" s="68" t="str">
        <f t="shared" si="37"/>
        <v>WAITING FOR OPEN</v>
      </c>
      <c r="G591" s="68" t="str">
        <f t="shared" si="37"/>
        <v>WAITING FOR OPEN</v>
      </c>
      <c r="H591" s="68" t="str">
        <f t="shared" si="37"/>
        <v>WAITING FOR OPEN</v>
      </c>
      <c r="I591" s="68" t="str">
        <f t="shared" si="37"/>
        <v>WAITING FOR OPEN</v>
      </c>
      <c r="J591" s="68" t="str">
        <f t="shared" si="37"/>
        <v>WAITING FOR OPEN</v>
      </c>
      <c r="K591" s="68" t="str">
        <f t="shared" si="37"/>
        <v>WAITING FOR OPEN</v>
      </c>
      <c r="L591" s="68" t="str">
        <f t="shared" si="37"/>
        <v>ACTIVE</v>
      </c>
      <c r="M591" s="68" t="str">
        <f t="shared" si="37"/>
        <v>ACTIVE</v>
      </c>
      <c r="N591" s="68" t="str">
        <f t="shared" si="37"/>
        <v>ACTIVE</v>
      </c>
      <c r="O591" s="68" t="str">
        <f t="shared" si="37"/>
        <v>ACTIVE</v>
      </c>
      <c r="P591" s="68" t="str">
        <f t="shared" si="37"/>
        <v>ACTIVE</v>
      </c>
      <c r="Q591" s="68" t="str">
        <f t="shared" si="37"/>
        <v>ACTIVE</v>
      </c>
    </row>
    <row r="592" spans="2:17" x14ac:dyDescent="0.35">
      <c r="B592" s="70" t="str">
        <v>10MMNEW02</v>
      </c>
      <c r="C592" s="68" t="str">
        <f>VLOOKUP(B592,Master!B:C,2,0)</f>
        <v>Chưa có code</v>
      </c>
      <c r="D592" s="69">
        <f>VLOOKUP(B592,Master!B:L,11,0)</f>
        <v>46158</v>
      </c>
      <c r="E592" s="69">
        <f>VLOOKUP(B592,Master!B:P,15,0)</f>
        <v>0</v>
      </c>
      <c r="F592" s="68" t="str">
        <f t="shared" si="37"/>
        <v>WAITING FOR OPEN</v>
      </c>
      <c r="G592" s="68" t="str">
        <f t="shared" si="37"/>
        <v>WAITING FOR OPEN</v>
      </c>
      <c r="H592" s="68" t="str">
        <f t="shared" si="37"/>
        <v>WAITING FOR OPEN</v>
      </c>
      <c r="I592" s="68" t="str">
        <f t="shared" si="37"/>
        <v>WAITING FOR OPEN</v>
      </c>
      <c r="J592" s="68" t="str">
        <f t="shared" si="37"/>
        <v>ACTIVE</v>
      </c>
      <c r="K592" s="68" t="str">
        <f t="shared" si="37"/>
        <v>ACTIVE</v>
      </c>
      <c r="L592" s="68" t="str">
        <f t="shared" si="37"/>
        <v>ACTIVE</v>
      </c>
      <c r="M592" s="68" t="str">
        <f t="shared" si="37"/>
        <v>ACTIVE</v>
      </c>
      <c r="N592" s="68" t="str">
        <f t="shared" si="37"/>
        <v>ACTIVE</v>
      </c>
      <c r="O592" s="68" t="str">
        <f t="shared" si="37"/>
        <v>ACTIVE</v>
      </c>
      <c r="P592" s="68" t="str">
        <f t="shared" si="37"/>
        <v>ACTIVE</v>
      </c>
      <c r="Q592" s="68" t="str">
        <f t="shared" si="37"/>
        <v>ACTIVE</v>
      </c>
    </row>
    <row r="593" spans="2:17" x14ac:dyDescent="0.35">
      <c r="B593" s="70" t="str">
        <v>30MWNEW9</v>
      </c>
      <c r="C593" s="68" t="str">
        <f>VLOOKUP(B593,Master!B:C,2,0)</f>
        <v>30MW5003</v>
      </c>
      <c r="D593" s="69">
        <f>VLOOKUP(B593,Master!B:L,11,0)</f>
        <v>46139</v>
      </c>
      <c r="E593" s="69">
        <f>VLOOKUP(B593,Master!B:P,15,0)</f>
        <v>0</v>
      </c>
      <c r="F593" s="68" t="str">
        <f t="shared" si="37"/>
        <v>WAITING FOR OPEN</v>
      </c>
      <c r="G593" s="68" t="str">
        <f t="shared" si="37"/>
        <v>WAITING FOR OPEN</v>
      </c>
      <c r="H593" s="68" t="str">
        <f t="shared" si="37"/>
        <v>WAITING FOR OPEN</v>
      </c>
      <c r="I593" s="68" t="str">
        <f t="shared" si="37"/>
        <v>ACTIVE</v>
      </c>
      <c r="J593" s="68" t="str">
        <f t="shared" si="37"/>
        <v>ACTIVE</v>
      </c>
      <c r="K593" s="68" t="str">
        <f t="shared" si="37"/>
        <v>ACTIVE</v>
      </c>
      <c r="L593" s="68" t="str">
        <f t="shared" si="37"/>
        <v>ACTIVE</v>
      </c>
      <c r="M593" s="68" t="str">
        <f t="shared" si="37"/>
        <v>ACTIVE</v>
      </c>
      <c r="N593" s="68" t="str">
        <f t="shared" si="37"/>
        <v>ACTIVE</v>
      </c>
      <c r="O593" s="68" t="str">
        <f t="shared" si="37"/>
        <v>ACTIVE</v>
      </c>
      <c r="P593" s="68" t="str">
        <f t="shared" si="37"/>
        <v>ACTIVE</v>
      </c>
      <c r="Q593" s="68" t="str">
        <f t="shared" si="37"/>
        <v>ACTIVE</v>
      </c>
    </row>
    <row r="594" spans="2:17" x14ac:dyDescent="0.35">
      <c r="B594" s="70" t="str">
        <v>10MWNEW10</v>
      </c>
      <c r="C594" s="68" t="str">
        <f>VLOOKUP(B594,Master!B:C,2,0)</f>
        <v>10MW5041</v>
      </c>
      <c r="D594" s="69">
        <f>VLOOKUP(B594,Master!B:L,11,0)</f>
        <v>46244</v>
      </c>
      <c r="E594" s="69">
        <f>VLOOKUP(B594,Master!B:P,15,0)</f>
        <v>0</v>
      </c>
      <c r="F594" s="68" t="str">
        <f t="shared" si="37"/>
        <v>WAITING FOR OPEN</v>
      </c>
      <c r="G594" s="68" t="str">
        <f t="shared" si="37"/>
        <v>WAITING FOR OPEN</v>
      </c>
      <c r="H594" s="68" t="str">
        <f t="shared" si="37"/>
        <v>WAITING FOR OPEN</v>
      </c>
      <c r="I594" s="68" t="str">
        <f t="shared" si="37"/>
        <v>WAITING FOR OPEN</v>
      </c>
      <c r="J594" s="68" t="str">
        <f t="shared" si="37"/>
        <v>WAITING FOR OPEN</v>
      </c>
      <c r="K594" s="68" t="str">
        <f t="shared" si="37"/>
        <v>WAITING FOR OPEN</v>
      </c>
      <c r="L594" s="68" t="str">
        <f t="shared" si="37"/>
        <v>WAITING FOR OPEN</v>
      </c>
      <c r="M594" s="68" t="str">
        <f t="shared" si="37"/>
        <v>ACTIVE</v>
      </c>
      <c r="N594" s="68" t="str">
        <f t="shared" si="37"/>
        <v>ACTIVE</v>
      </c>
      <c r="O594" s="68" t="str">
        <f t="shared" si="37"/>
        <v>ACTIVE</v>
      </c>
      <c r="P594" s="68" t="str">
        <f t="shared" si="37"/>
        <v>ACTIVE</v>
      </c>
      <c r="Q594" s="68" t="str">
        <f t="shared" si="37"/>
        <v>ACTIVE</v>
      </c>
    </row>
    <row r="595" spans="2:17" x14ac:dyDescent="0.35">
      <c r="B595" s="70" t="str">
        <v>10CKNEW02</v>
      </c>
      <c r="C595" s="68" t="str">
        <f>VLOOKUP(B595,Master!B:C,2,0)</f>
        <v>10CK5028</v>
      </c>
      <c r="D595" s="69">
        <f>VLOOKUP(B595,Master!B:L,11,0)</f>
        <v>46167</v>
      </c>
      <c r="E595" s="69">
        <f>VLOOKUP(B595,Master!B:P,15,0)</f>
        <v>0</v>
      </c>
      <c r="F595" s="68" t="str">
        <f t="shared" si="37"/>
        <v>WAITING FOR OPEN</v>
      </c>
      <c r="G595" s="68" t="str">
        <f t="shared" si="37"/>
        <v>WAITING FOR OPEN</v>
      </c>
      <c r="H595" s="68" t="str">
        <f t="shared" si="37"/>
        <v>WAITING FOR OPEN</v>
      </c>
      <c r="I595" s="68" t="str">
        <f t="shared" si="37"/>
        <v>WAITING FOR OPEN</v>
      </c>
      <c r="J595" s="68" t="str">
        <f t="shared" si="37"/>
        <v>ACTIVE</v>
      </c>
      <c r="K595" s="68" t="str">
        <f t="shared" si="37"/>
        <v>ACTIVE</v>
      </c>
      <c r="L595" s="68" t="str">
        <f t="shared" si="37"/>
        <v>ACTIVE</v>
      </c>
      <c r="M595" s="68" t="str">
        <f t="shared" si="37"/>
        <v>ACTIVE</v>
      </c>
      <c r="N595" s="68" t="str">
        <f t="shared" si="37"/>
        <v>ACTIVE</v>
      </c>
      <c r="O595" s="68" t="str">
        <f t="shared" si="37"/>
        <v>ACTIVE</v>
      </c>
      <c r="P595" s="68" t="str">
        <f t="shared" si="37"/>
        <v>ACTIVE</v>
      </c>
      <c r="Q595" s="68" t="str">
        <f t="shared" si="37"/>
        <v>ACTIVE</v>
      </c>
    </row>
    <row r="596" spans="2:17" x14ac:dyDescent="0.35">
      <c r="B596" s="70" t="str">
        <v>10CK5071</v>
      </c>
      <c r="C596" s="68" t="str">
        <f>VLOOKUP(B596,Master!B:C,2,0)</f>
        <v>10CK5018</v>
      </c>
      <c r="D596" s="69">
        <f>VLOOKUP(B596,Master!B:L,11,0)</f>
        <v>46120</v>
      </c>
      <c r="E596" s="69">
        <f>VLOOKUP(B596,Master!B:P,15,0)</f>
        <v>0</v>
      </c>
      <c r="F596" s="68" t="str">
        <f t="shared" ref="F596:Q611" si="38">IF($E596&gt;0,"CLOSED",IF($D596&lt;F$1,"ACTIVE","WAITING FOR OPEN"))</f>
        <v>WAITING FOR OPEN</v>
      </c>
      <c r="G596" s="68" t="str">
        <f t="shared" si="38"/>
        <v>WAITING FOR OPEN</v>
      </c>
      <c r="H596" s="68" t="str">
        <f t="shared" si="38"/>
        <v>WAITING FOR OPEN</v>
      </c>
      <c r="I596" s="68" t="str">
        <f t="shared" si="38"/>
        <v>ACTIVE</v>
      </c>
      <c r="J596" s="68" t="str">
        <f t="shared" si="38"/>
        <v>ACTIVE</v>
      </c>
      <c r="K596" s="68" t="str">
        <f t="shared" si="38"/>
        <v>ACTIVE</v>
      </c>
      <c r="L596" s="68" t="str">
        <f t="shared" si="38"/>
        <v>ACTIVE</v>
      </c>
      <c r="M596" s="68" t="str">
        <f t="shared" si="38"/>
        <v>ACTIVE</v>
      </c>
      <c r="N596" s="68" t="str">
        <f t="shared" si="38"/>
        <v>ACTIVE</v>
      </c>
      <c r="O596" s="68" t="str">
        <f t="shared" si="38"/>
        <v>ACTIVE</v>
      </c>
      <c r="P596" s="68" t="str">
        <f t="shared" si="38"/>
        <v>ACTIVE</v>
      </c>
      <c r="Q596" s="68" t="str">
        <f t="shared" si="38"/>
        <v>ACTIVE</v>
      </c>
    </row>
    <row r="597" spans="2:17" x14ac:dyDescent="0.35">
      <c r="B597" s="70" t="str">
        <v>30UP4953</v>
      </c>
      <c r="C597" s="68" t="str">
        <f>VLOOKUP(B597,Master!B:C,2,0)</f>
        <v>Chưa có code</v>
      </c>
      <c r="D597" s="69">
        <f>VLOOKUP(B597,Master!B:L,11,0)</f>
        <v>46143</v>
      </c>
      <c r="E597" s="69">
        <f>VLOOKUP(B597,Master!B:P,15,0)</f>
        <v>0</v>
      </c>
      <c r="F597" s="68" t="str">
        <f t="shared" si="38"/>
        <v>WAITING FOR OPEN</v>
      </c>
      <c r="G597" s="68" t="str">
        <f t="shared" si="38"/>
        <v>WAITING FOR OPEN</v>
      </c>
      <c r="H597" s="68" t="str">
        <f t="shared" si="38"/>
        <v>WAITING FOR OPEN</v>
      </c>
      <c r="I597" s="68" t="str">
        <f t="shared" si="38"/>
        <v>WAITING FOR OPEN</v>
      </c>
      <c r="J597" s="68" t="str">
        <f t="shared" si="38"/>
        <v>ACTIVE</v>
      </c>
      <c r="K597" s="68" t="str">
        <f t="shared" si="38"/>
        <v>ACTIVE</v>
      </c>
      <c r="L597" s="68" t="str">
        <f t="shared" si="38"/>
        <v>ACTIVE</v>
      </c>
      <c r="M597" s="68" t="str">
        <f t="shared" si="38"/>
        <v>ACTIVE</v>
      </c>
      <c r="N597" s="68" t="str">
        <f t="shared" si="38"/>
        <v>ACTIVE</v>
      </c>
      <c r="O597" s="68" t="str">
        <f t="shared" si="38"/>
        <v>ACTIVE</v>
      </c>
      <c r="P597" s="68" t="str">
        <f t="shared" si="38"/>
        <v>ACTIVE</v>
      </c>
      <c r="Q597" s="68" t="str">
        <f t="shared" si="38"/>
        <v>ACTIVE</v>
      </c>
    </row>
    <row r="598" spans="2:17" x14ac:dyDescent="0.35">
      <c r="B598" s="70" t="str">
        <v>30UP4988</v>
      </c>
      <c r="C598" s="68" t="str">
        <f>VLOOKUP(B598,Master!B:C,2,0)</f>
        <v>Chưa có code</v>
      </c>
      <c r="D598" s="69">
        <f>VLOOKUP(B598,Master!B:L,11,0)</f>
        <v>46053</v>
      </c>
      <c r="E598" s="69">
        <f>VLOOKUP(B598,Master!B:P,15,0)</f>
        <v>0</v>
      </c>
      <c r="F598" s="68" t="str">
        <f t="shared" si="38"/>
        <v>WAITING FOR OPEN</v>
      </c>
      <c r="G598" s="68" t="str">
        <f t="shared" si="38"/>
        <v>ACTIVE</v>
      </c>
      <c r="H598" s="68" t="str">
        <f t="shared" si="38"/>
        <v>ACTIVE</v>
      </c>
      <c r="I598" s="68" t="str">
        <f t="shared" si="38"/>
        <v>ACTIVE</v>
      </c>
      <c r="J598" s="68" t="str">
        <f t="shared" si="38"/>
        <v>ACTIVE</v>
      </c>
      <c r="K598" s="68" t="str">
        <f t="shared" si="38"/>
        <v>ACTIVE</v>
      </c>
      <c r="L598" s="68" t="str">
        <f t="shared" si="38"/>
        <v>ACTIVE</v>
      </c>
      <c r="M598" s="68" t="str">
        <f t="shared" si="38"/>
        <v>ACTIVE</v>
      </c>
      <c r="N598" s="68" t="str">
        <f t="shared" si="38"/>
        <v>ACTIVE</v>
      </c>
      <c r="O598" s="68" t="str">
        <f t="shared" si="38"/>
        <v>ACTIVE</v>
      </c>
      <c r="P598" s="68" t="str">
        <f t="shared" si="38"/>
        <v>ACTIVE</v>
      </c>
      <c r="Q598" s="68" t="str">
        <f t="shared" si="38"/>
        <v>ACTIVE</v>
      </c>
    </row>
    <row r="599" spans="2:17" x14ac:dyDescent="0.35">
      <c r="B599" s="70" t="str">
        <v>30WYNEW05</v>
      </c>
      <c r="C599" s="68" t="str">
        <f>VLOOKUP(B599,Master!B:C,2,0)</f>
        <v>Chưa có code</v>
      </c>
      <c r="D599" s="69">
        <f>VLOOKUP(B599,Master!B:L,11,0)</f>
        <v>46163</v>
      </c>
      <c r="E599" s="69">
        <f>VLOOKUP(B599,Master!B:P,15,0)</f>
        <v>0</v>
      </c>
      <c r="F599" s="68" t="str">
        <f t="shared" si="38"/>
        <v>WAITING FOR OPEN</v>
      </c>
      <c r="G599" s="68" t="str">
        <f t="shared" si="38"/>
        <v>WAITING FOR OPEN</v>
      </c>
      <c r="H599" s="68" t="str">
        <f t="shared" si="38"/>
        <v>WAITING FOR OPEN</v>
      </c>
      <c r="I599" s="68" t="str">
        <f t="shared" si="38"/>
        <v>WAITING FOR OPEN</v>
      </c>
      <c r="J599" s="68" t="str">
        <f t="shared" si="38"/>
        <v>ACTIVE</v>
      </c>
      <c r="K599" s="68" t="str">
        <f t="shared" si="38"/>
        <v>ACTIVE</v>
      </c>
      <c r="L599" s="68" t="str">
        <f t="shared" si="38"/>
        <v>ACTIVE</v>
      </c>
      <c r="M599" s="68" t="str">
        <f t="shared" si="38"/>
        <v>ACTIVE</v>
      </c>
      <c r="N599" s="68" t="str">
        <f t="shared" si="38"/>
        <v>ACTIVE</v>
      </c>
      <c r="O599" s="68" t="str">
        <f t="shared" si="38"/>
        <v>ACTIVE</v>
      </c>
      <c r="P599" s="68" t="str">
        <f t="shared" si="38"/>
        <v>ACTIVE</v>
      </c>
      <c r="Q599" s="68" t="str">
        <f t="shared" si="38"/>
        <v>ACTIVE</v>
      </c>
    </row>
    <row r="600" spans="2:17" x14ac:dyDescent="0.35">
      <c r="B600" s="70" t="str">
        <v>FCNEW004</v>
      </c>
      <c r="C600" s="68" t="str">
        <f>VLOOKUP(B600,Master!B:C,2,0)</f>
        <v>Chưa có code</v>
      </c>
      <c r="D600" s="69">
        <f>VLOOKUP(B600,Master!B:L,11,0)</f>
        <v>46204</v>
      </c>
      <c r="E600" s="69">
        <f>VLOOKUP(B600,Master!B:P,15,0)</f>
        <v>0</v>
      </c>
      <c r="F600" s="68" t="str">
        <f t="shared" si="38"/>
        <v>WAITING FOR OPEN</v>
      </c>
      <c r="G600" s="68" t="str">
        <f t="shared" si="38"/>
        <v>WAITING FOR OPEN</v>
      </c>
      <c r="H600" s="68" t="str">
        <f t="shared" si="38"/>
        <v>WAITING FOR OPEN</v>
      </c>
      <c r="I600" s="68" t="str">
        <f t="shared" si="38"/>
        <v>WAITING FOR OPEN</v>
      </c>
      <c r="J600" s="68" t="str">
        <f t="shared" si="38"/>
        <v>WAITING FOR OPEN</v>
      </c>
      <c r="K600" s="68" t="str">
        <f t="shared" si="38"/>
        <v>WAITING FOR OPEN</v>
      </c>
      <c r="L600" s="68" t="str">
        <f t="shared" si="38"/>
        <v>ACTIVE</v>
      </c>
      <c r="M600" s="68" t="str">
        <f t="shared" si="38"/>
        <v>ACTIVE</v>
      </c>
      <c r="N600" s="68" t="str">
        <f t="shared" si="38"/>
        <v>ACTIVE</v>
      </c>
      <c r="O600" s="68" t="str">
        <f t="shared" si="38"/>
        <v>ACTIVE</v>
      </c>
      <c r="P600" s="68" t="str">
        <f t="shared" si="38"/>
        <v>ACTIVE</v>
      </c>
      <c r="Q600" s="68" t="str">
        <f t="shared" si="38"/>
        <v>ACTIVE</v>
      </c>
    </row>
    <row r="601" spans="2:17" x14ac:dyDescent="0.35">
      <c r="B601" s="70" t="str">
        <v>30YTNEW02</v>
      </c>
      <c r="C601" s="68" t="str">
        <f>VLOOKUP(B601,Master!B:C,2,0)</f>
        <v/>
      </c>
      <c r="D601" s="69">
        <f>VLOOKUP(B601,Master!B:L,11,0)</f>
        <v>46107</v>
      </c>
      <c r="E601" s="69">
        <f>VLOOKUP(B601,Master!B:P,15,0)</f>
        <v>0</v>
      </c>
      <c r="F601" s="68" t="str">
        <f t="shared" si="38"/>
        <v>WAITING FOR OPEN</v>
      </c>
      <c r="G601" s="68" t="str">
        <f t="shared" si="38"/>
        <v>WAITING FOR OPEN</v>
      </c>
      <c r="H601" s="68" t="str">
        <f t="shared" si="38"/>
        <v>ACTIVE</v>
      </c>
      <c r="I601" s="68" t="str">
        <f t="shared" si="38"/>
        <v>ACTIVE</v>
      </c>
      <c r="J601" s="68" t="str">
        <f t="shared" si="38"/>
        <v>ACTIVE</v>
      </c>
      <c r="K601" s="68" t="str">
        <f t="shared" si="38"/>
        <v>ACTIVE</v>
      </c>
      <c r="L601" s="68" t="str">
        <f t="shared" si="38"/>
        <v>ACTIVE</v>
      </c>
      <c r="M601" s="68" t="str">
        <f t="shared" si="38"/>
        <v>ACTIVE</v>
      </c>
      <c r="N601" s="68" t="str">
        <f t="shared" si="38"/>
        <v>ACTIVE</v>
      </c>
      <c r="O601" s="68" t="str">
        <f t="shared" si="38"/>
        <v>ACTIVE</v>
      </c>
      <c r="P601" s="68" t="str">
        <f t="shared" si="38"/>
        <v>ACTIVE</v>
      </c>
      <c r="Q601" s="68" t="str">
        <f t="shared" si="38"/>
        <v>ACTIVE</v>
      </c>
    </row>
    <row r="602" spans="2:17" x14ac:dyDescent="0.35">
      <c r="B602" s="70" t="str">
        <v>30GGNEW01</v>
      </c>
      <c r="C602" s="68" t="str">
        <f>VLOOKUP(B602,Master!B:C,2,0)</f>
        <v>30GG5026</v>
      </c>
      <c r="D602" s="69">
        <f>VLOOKUP(B602,Master!B:L,11,0)</f>
        <v>46163</v>
      </c>
      <c r="E602" s="69">
        <f>VLOOKUP(B602,Master!B:P,15,0)</f>
        <v>0</v>
      </c>
      <c r="F602" s="68" t="str">
        <f t="shared" si="38"/>
        <v>WAITING FOR OPEN</v>
      </c>
      <c r="G602" s="68" t="str">
        <f t="shared" si="38"/>
        <v>WAITING FOR OPEN</v>
      </c>
      <c r="H602" s="68" t="str">
        <f t="shared" si="38"/>
        <v>WAITING FOR OPEN</v>
      </c>
      <c r="I602" s="68" t="str">
        <f t="shared" si="38"/>
        <v>WAITING FOR OPEN</v>
      </c>
      <c r="J602" s="68" t="str">
        <f t="shared" si="38"/>
        <v>ACTIVE</v>
      </c>
      <c r="K602" s="68" t="str">
        <f t="shared" si="38"/>
        <v>ACTIVE</v>
      </c>
      <c r="L602" s="68" t="str">
        <f t="shared" si="38"/>
        <v>ACTIVE</v>
      </c>
      <c r="M602" s="68" t="str">
        <f t="shared" si="38"/>
        <v>ACTIVE</v>
      </c>
      <c r="N602" s="68" t="str">
        <f t="shared" si="38"/>
        <v>ACTIVE</v>
      </c>
      <c r="O602" s="68" t="str">
        <f t="shared" si="38"/>
        <v>ACTIVE</v>
      </c>
      <c r="P602" s="68" t="str">
        <f t="shared" si="38"/>
        <v>ACTIVE</v>
      </c>
      <c r="Q602" s="68" t="str">
        <f t="shared" si="38"/>
        <v>ACTIVE</v>
      </c>
    </row>
    <row r="603" spans="2:17" x14ac:dyDescent="0.35">
      <c r="B603" s="70" t="str">
        <v>30MWNEW2</v>
      </c>
      <c r="C603" s="68" t="str">
        <f>VLOOKUP(B603,Master!B:C,2,0)</f>
        <v/>
      </c>
      <c r="D603" s="69">
        <f>VLOOKUP(B603,Master!B:L,11,0)</f>
        <v>46121</v>
      </c>
      <c r="E603" s="69">
        <f>VLOOKUP(B603,Master!B:P,15,0)</f>
        <v>0</v>
      </c>
      <c r="F603" s="68" t="str">
        <f t="shared" si="38"/>
        <v>WAITING FOR OPEN</v>
      </c>
      <c r="G603" s="68" t="str">
        <f t="shared" si="38"/>
        <v>WAITING FOR OPEN</v>
      </c>
      <c r="H603" s="68" t="str">
        <f t="shared" si="38"/>
        <v>WAITING FOR OPEN</v>
      </c>
      <c r="I603" s="68" t="str">
        <f t="shared" si="38"/>
        <v>ACTIVE</v>
      </c>
      <c r="J603" s="68" t="str">
        <f t="shared" si="38"/>
        <v>ACTIVE</v>
      </c>
      <c r="K603" s="68" t="str">
        <f t="shared" si="38"/>
        <v>ACTIVE</v>
      </c>
      <c r="L603" s="68" t="str">
        <f t="shared" si="38"/>
        <v>ACTIVE</v>
      </c>
      <c r="M603" s="68" t="str">
        <f t="shared" si="38"/>
        <v>ACTIVE</v>
      </c>
      <c r="N603" s="68" t="str">
        <f t="shared" si="38"/>
        <v>ACTIVE</v>
      </c>
      <c r="O603" s="68" t="str">
        <f t="shared" si="38"/>
        <v>ACTIVE</v>
      </c>
      <c r="P603" s="68" t="str">
        <f t="shared" si="38"/>
        <v>ACTIVE</v>
      </c>
      <c r="Q603" s="68" t="str">
        <f t="shared" si="38"/>
        <v>ACTIVE</v>
      </c>
    </row>
    <row r="604" spans="2:17" x14ac:dyDescent="0.35">
      <c r="B604" s="70" t="str">
        <v>10DNNEW2</v>
      </c>
      <c r="C604" s="68" t="str">
        <f>VLOOKUP(B604,Master!B:C,2,0)</f>
        <v>10DN5013</v>
      </c>
      <c r="D604" s="69">
        <f>VLOOKUP(B604,Master!B:L,11,0)</f>
        <v>46174</v>
      </c>
      <c r="E604" s="69">
        <f>VLOOKUP(B604,Master!B:P,15,0)</f>
        <v>0</v>
      </c>
      <c r="F604" s="68" t="str">
        <f t="shared" si="38"/>
        <v>WAITING FOR OPEN</v>
      </c>
      <c r="G604" s="68" t="str">
        <f t="shared" si="38"/>
        <v>WAITING FOR OPEN</v>
      </c>
      <c r="H604" s="68" t="str">
        <f t="shared" si="38"/>
        <v>WAITING FOR OPEN</v>
      </c>
      <c r="I604" s="68" t="str">
        <f t="shared" si="38"/>
        <v>WAITING FOR OPEN</v>
      </c>
      <c r="J604" s="68" t="str">
        <f t="shared" si="38"/>
        <v>WAITING FOR OPEN</v>
      </c>
      <c r="K604" s="68" t="str">
        <f t="shared" si="38"/>
        <v>ACTIVE</v>
      </c>
      <c r="L604" s="68" t="str">
        <f t="shared" si="38"/>
        <v>ACTIVE</v>
      </c>
      <c r="M604" s="68" t="str">
        <f t="shared" si="38"/>
        <v>ACTIVE</v>
      </c>
      <c r="N604" s="68" t="str">
        <f t="shared" si="38"/>
        <v>ACTIVE</v>
      </c>
      <c r="O604" s="68" t="str">
        <f t="shared" si="38"/>
        <v>ACTIVE</v>
      </c>
      <c r="P604" s="68" t="str">
        <f t="shared" si="38"/>
        <v>ACTIVE</v>
      </c>
      <c r="Q604" s="68" t="str">
        <f t="shared" si="38"/>
        <v>ACTIVE</v>
      </c>
    </row>
    <row r="605" spans="2:17" x14ac:dyDescent="0.35">
      <c r="B605" s="70" t="str">
        <v>30DNNEW4</v>
      </c>
      <c r="C605" s="68" t="str">
        <f>VLOOKUP(B605,Master!B:C,2,0)</f>
        <v>30DN5006</v>
      </c>
      <c r="D605" s="69">
        <f>VLOOKUP(B605,Master!B:L,11,0)</f>
        <v>46137</v>
      </c>
      <c r="E605" s="69">
        <f>VLOOKUP(B605,Master!B:P,15,0)</f>
        <v>0</v>
      </c>
      <c r="F605" s="68" t="str">
        <f t="shared" si="38"/>
        <v>WAITING FOR OPEN</v>
      </c>
      <c r="G605" s="68" t="str">
        <f t="shared" si="38"/>
        <v>WAITING FOR OPEN</v>
      </c>
      <c r="H605" s="68" t="str">
        <f t="shared" si="38"/>
        <v>WAITING FOR OPEN</v>
      </c>
      <c r="I605" s="68" t="str">
        <f t="shared" si="38"/>
        <v>ACTIVE</v>
      </c>
      <c r="J605" s="68" t="str">
        <f t="shared" si="38"/>
        <v>ACTIVE</v>
      </c>
      <c r="K605" s="68" t="str">
        <f t="shared" si="38"/>
        <v>ACTIVE</v>
      </c>
      <c r="L605" s="68" t="str">
        <f t="shared" si="38"/>
        <v>ACTIVE</v>
      </c>
      <c r="M605" s="68" t="str">
        <f t="shared" si="38"/>
        <v>ACTIVE</v>
      </c>
      <c r="N605" s="68" t="str">
        <f t="shared" si="38"/>
        <v>ACTIVE</v>
      </c>
      <c r="O605" s="68" t="str">
        <f t="shared" si="38"/>
        <v>ACTIVE</v>
      </c>
      <c r="P605" s="68" t="str">
        <f t="shared" si="38"/>
        <v>ACTIVE</v>
      </c>
      <c r="Q605" s="68" t="str">
        <f t="shared" si="38"/>
        <v>ACTIVE</v>
      </c>
    </row>
    <row r="606" spans="2:17" x14ac:dyDescent="0.35">
      <c r="B606" s="70" t="str">
        <v>10DNNEW5</v>
      </c>
      <c r="C606" s="68" t="str">
        <f>VLOOKUP(B606,Master!B:C,2,0)</f>
        <v>10DN5015</v>
      </c>
      <c r="D606" s="69">
        <f>VLOOKUP(B606,Master!B:L,11,0)</f>
        <v>46132</v>
      </c>
      <c r="E606" s="69">
        <f>VLOOKUP(B606,Master!B:P,15,0)</f>
        <v>0</v>
      </c>
      <c r="F606" s="68" t="str">
        <f t="shared" si="38"/>
        <v>WAITING FOR OPEN</v>
      </c>
      <c r="G606" s="68" t="str">
        <f t="shared" si="38"/>
        <v>WAITING FOR OPEN</v>
      </c>
      <c r="H606" s="68" t="str">
        <f t="shared" si="38"/>
        <v>WAITING FOR OPEN</v>
      </c>
      <c r="I606" s="68" t="str">
        <f t="shared" si="38"/>
        <v>ACTIVE</v>
      </c>
      <c r="J606" s="68" t="str">
        <f t="shared" si="38"/>
        <v>ACTIVE</v>
      </c>
      <c r="K606" s="68" t="str">
        <f t="shared" si="38"/>
        <v>ACTIVE</v>
      </c>
      <c r="L606" s="68" t="str">
        <f t="shared" si="38"/>
        <v>ACTIVE</v>
      </c>
      <c r="M606" s="68" t="str">
        <f t="shared" si="38"/>
        <v>ACTIVE</v>
      </c>
      <c r="N606" s="68" t="str">
        <f t="shared" si="38"/>
        <v>ACTIVE</v>
      </c>
      <c r="O606" s="68" t="str">
        <f t="shared" si="38"/>
        <v>ACTIVE</v>
      </c>
      <c r="P606" s="68" t="str">
        <f t="shared" si="38"/>
        <v>ACTIVE</v>
      </c>
      <c r="Q606" s="68" t="str">
        <f t="shared" si="38"/>
        <v>ACTIVE</v>
      </c>
    </row>
    <row r="607" spans="2:17" x14ac:dyDescent="0.35">
      <c r="B607" s="70" t="str">
        <v>TCHNOBUD01</v>
      </c>
      <c r="C607" s="68" t="str">
        <f>VLOOKUP(B607,Master!B:C,2,0)</f>
        <v>1010906</v>
      </c>
      <c r="D607" s="69">
        <f>VLOOKUP(B607,Master!B:L,11,0)</f>
        <v>46357</v>
      </c>
      <c r="E607" s="69">
        <f>VLOOKUP(B607,Master!B:P,15,0)</f>
        <v>0</v>
      </c>
      <c r="F607" s="68" t="str">
        <f t="shared" si="38"/>
        <v>WAITING FOR OPEN</v>
      </c>
      <c r="G607" s="68" t="str">
        <f t="shared" si="38"/>
        <v>WAITING FOR OPEN</v>
      </c>
      <c r="H607" s="68" t="str">
        <f t="shared" si="38"/>
        <v>WAITING FOR OPEN</v>
      </c>
      <c r="I607" s="68" t="str">
        <f t="shared" si="38"/>
        <v>WAITING FOR OPEN</v>
      </c>
      <c r="J607" s="68" t="str">
        <f t="shared" si="38"/>
        <v>WAITING FOR OPEN</v>
      </c>
      <c r="K607" s="68" t="str">
        <f t="shared" si="38"/>
        <v>WAITING FOR OPEN</v>
      </c>
      <c r="L607" s="68" t="str">
        <f t="shared" si="38"/>
        <v>WAITING FOR OPEN</v>
      </c>
      <c r="M607" s="68" t="str">
        <f t="shared" si="38"/>
        <v>WAITING FOR OPEN</v>
      </c>
      <c r="N607" s="68" t="str">
        <f t="shared" si="38"/>
        <v>WAITING FOR OPEN</v>
      </c>
      <c r="O607" s="68" t="str">
        <f t="shared" si="38"/>
        <v>WAITING FOR OPEN</v>
      </c>
      <c r="P607" s="68" t="str">
        <f t="shared" si="38"/>
        <v>WAITING FOR OPEN</v>
      </c>
      <c r="Q607" s="68" t="str">
        <f t="shared" si="38"/>
        <v>ACTIVE</v>
      </c>
    </row>
    <row r="608" spans="2:17" x14ac:dyDescent="0.35">
      <c r="B608" s="70" t="str">
        <v>10DNNOBUD04</v>
      </c>
      <c r="C608" s="68" t="str">
        <f>VLOOKUP(B608,Master!B:C,2,0)</f>
        <v>10DN5014</v>
      </c>
      <c r="D608" s="69">
        <f>VLOOKUP(B608,Master!B:L,11,0)</f>
        <v>46174</v>
      </c>
      <c r="E608" s="69">
        <f>VLOOKUP(B608,Master!B:P,15,0)</f>
        <v>0</v>
      </c>
      <c r="F608" s="68" t="str">
        <f t="shared" si="38"/>
        <v>WAITING FOR OPEN</v>
      </c>
      <c r="G608" s="68" t="str">
        <f t="shared" si="38"/>
        <v>WAITING FOR OPEN</v>
      </c>
      <c r="H608" s="68" t="str">
        <f t="shared" si="38"/>
        <v>WAITING FOR OPEN</v>
      </c>
      <c r="I608" s="68" t="str">
        <f t="shared" si="38"/>
        <v>WAITING FOR OPEN</v>
      </c>
      <c r="J608" s="68" t="str">
        <f t="shared" si="38"/>
        <v>WAITING FOR OPEN</v>
      </c>
      <c r="K608" s="68" t="str">
        <f t="shared" si="38"/>
        <v>ACTIVE</v>
      </c>
      <c r="L608" s="68" t="str">
        <f t="shared" si="38"/>
        <v>ACTIVE</v>
      </c>
      <c r="M608" s="68" t="str">
        <f t="shared" si="38"/>
        <v>ACTIVE</v>
      </c>
      <c r="N608" s="68" t="str">
        <f t="shared" si="38"/>
        <v>ACTIVE</v>
      </c>
      <c r="O608" s="68" t="str">
        <f t="shared" si="38"/>
        <v>ACTIVE</v>
      </c>
      <c r="P608" s="68" t="str">
        <f t="shared" si="38"/>
        <v>ACTIVE</v>
      </c>
      <c r="Q608" s="68" t="str">
        <f t="shared" si="38"/>
        <v>ACTIVE</v>
      </c>
    </row>
    <row r="609" spans="2:17" x14ac:dyDescent="0.35">
      <c r="B609" s="70" t="str">
        <v>30DNNOBUD07</v>
      </c>
      <c r="C609" s="68" t="str">
        <f>VLOOKUP(B609,Master!B:C,2,0)</f>
        <v>Chưa có code</v>
      </c>
      <c r="D609" s="69">
        <f>VLOOKUP(B609,Master!B:L,11,0)</f>
        <v>46162</v>
      </c>
      <c r="E609" s="69">
        <f>VLOOKUP(B609,Master!B:P,15,0)</f>
        <v>0</v>
      </c>
      <c r="F609" s="68" t="str">
        <f t="shared" si="38"/>
        <v>WAITING FOR OPEN</v>
      </c>
      <c r="G609" s="68" t="str">
        <f t="shared" si="38"/>
        <v>WAITING FOR OPEN</v>
      </c>
      <c r="H609" s="68" t="str">
        <f t="shared" si="38"/>
        <v>WAITING FOR OPEN</v>
      </c>
      <c r="I609" s="68" t="str">
        <f t="shared" si="38"/>
        <v>WAITING FOR OPEN</v>
      </c>
      <c r="J609" s="68" t="str">
        <f t="shared" si="38"/>
        <v>ACTIVE</v>
      </c>
      <c r="K609" s="68" t="str">
        <f t="shared" si="38"/>
        <v>ACTIVE</v>
      </c>
      <c r="L609" s="68" t="str">
        <f t="shared" si="38"/>
        <v>ACTIVE</v>
      </c>
      <c r="M609" s="68" t="str">
        <f t="shared" si="38"/>
        <v>ACTIVE</v>
      </c>
      <c r="N609" s="68" t="str">
        <f t="shared" si="38"/>
        <v>ACTIVE</v>
      </c>
      <c r="O609" s="68" t="str">
        <f t="shared" si="38"/>
        <v>ACTIVE</v>
      </c>
      <c r="P609" s="68" t="str">
        <f t="shared" si="38"/>
        <v>ACTIVE</v>
      </c>
      <c r="Q609" s="68" t="str">
        <f t="shared" si="38"/>
        <v>ACTIVE</v>
      </c>
    </row>
    <row r="610" spans="2:17" x14ac:dyDescent="0.35">
      <c r="B610" s="70" t="str">
        <v>10DNNOBUD08</v>
      </c>
      <c r="C610" s="68" t="str">
        <f>VLOOKUP(B610,Master!B:C,2,0)</f>
        <v>10DN5046</v>
      </c>
      <c r="D610" s="69">
        <f>VLOOKUP(B610,Master!B:L,11,0)</f>
        <v>46137</v>
      </c>
      <c r="E610" s="69">
        <f>VLOOKUP(B610,Master!B:P,15,0)</f>
        <v>0</v>
      </c>
      <c r="F610" s="68" t="str">
        <f t="shared" si="38"/>
        <v>WAITING FOR OPEN</v>
      </c>
      <c r="G610" s="68" t="str">
        <f t="shared" si="38"/>
        <v>WAITING FOR OPEN</v>
      </c>
      <c r="H610" s="68" t="str">
        <f t="shared" si="38"/>
        <v>WAITING FOR OPEN</v>
      </c>
      <c r="I610" s="68" t="str">
        <f t="shared" si="38"/>
        <v>ACTIVE</v>
      </c>
      <c r="J610" s="68" t="str">
        <f t="shared" si="38"/>
        <v>ACTIVE</v>
      </c>
      <c r="K610" s="68" t="str">
        <f t="shared" si="38"/>
        <v>ACTIVE</v>
      </c>
      <c r="L610" s="68" t="str">
        <f t="shared" si="38"/>
        <v>ACTIVE</v>
      </c>
      <c r="M610" s="68" t="str">
        <f t="shared" si="38"/>
        <v>ACTIVE</v>
      </c>
      <c r="N610" s="68" t="str">
        <f t="shared" si="38"/>
        <v>ACTIVE</v>
      </c>
      <c r="O610" s="68" t="str">
        <f t="shared" si="38"/>
        <v>ACTIVE</v>
      </c>
      <c r="P610" s="68" t="str">
        <f t="shared" si="38"/>
        <v>ACTIVE</v>
      </c>
      <c r="Q610" s="68" t="str">
        <f t="shared" si="38"/>
        <v>ACTIVE</v>
      </c>
    </row>
    <row r="611" spans="2:17" x14ac:dyDescent="0.35">
      <c r="B611" s="70" t="str">
        <v>10DNNOBUD05</v>
      </c>
      <c r="C611" s="68" t="str">
        <f>VLOOKUP(B611,Master!B:C,2,0)</f>
        <v>10DN5045</v>
      </c>
      <c r="D611" s="69">
        <f>VLOOKUP(B611,Master!B:L,11,0)</f>
        <v>46137</v>
      </c>
      <c r="E611" s="69">
        <f>VLOOKUP(B611,Master!B:P,15,0)</f>
        <v>0</v>
      </c>
      <c r="F611" s="68" t="str">
        <f t="shared" si="38"/>
        <v>WAITING FOR OPEN</v>
      </c>
      <c r="G611" s="68" t="str">
        <f t="shared" si="38"/>
        <v>WAITING FOR OPEN</v>
      </c>
      <c r="H611" s="68" t="str">
        <f t="shared" si="38"/>
        <v>WAITING FOR OPEN</v>
      </c>
      <c r="I611" s="68" t="str">
        <f t="shared" si="38"/>
        <v>ACTIVE</v>
      </c>
      <c r="J611" s="68" t="str">
        <f t="shared" si="38"/>
        <v>ACTIVE</v>
      </c>
      <c r="K611" s="68" t="str">
        <f t="shared" si="38"/>
        <v>ACTIVE</v>
      </c>
      <c r="L611" s="68" t="str">
        <f t="shared" si="38"/>
        <v>ACTIVE</v>
      </c>
      <c r="M611" s="68" t="str">
        <f t="shared" si="38"/>
        <v>ACTIVE</v>
      </c>
      <c r="N611" s="68" t="str">
        <f t="shared" si="38"/>
        <v>ACTIVE</v>
      </c>
      <c r="O611" s="68" t="str">
        <f t="shared" si="38"/>
        <v>ACTIVE</v>
      </c>
      <c r="P611" s="68" t="str">
        <f t="shared" si="38"/>
        <v>ACTIVE</v>
      </c>
      <c r="Q611" s="68" t="str">
        <f t="shared" si="38"/>
        <v>ACTIVE</v>
      </c>
    </row>
    <row r="612" spans="2:17" x14ac:dyDescent="0.35">
      <c r="B612" s="70" t="str">
        <v>30DNNOBUD01</v>
      </c>
      <c r="C612" s="68" t="str">
        <f>VLOOKUP(B612,Master!B:C,2,0)</f>
        <v/>
      </c>
      <c r="D612" s="69">
        <f>VLOOKUP(B612,Master!B:L,11,0)</f>
        <v>46139</v>
      </c>
      <c r="E612" s="69">
        <f>VLOOKUP(B612,Master!B:P,15,0)</f>
        <v>0</v>
      </c>
      <c r="F612" s="68" t="str">
        <f t="shared" ref="F612:Q627" si="39">IF($E612&gt;0,"CLOSED",IF($D612&lt;F$1,"ACTIVE","WAITING FOR OPEN"))</f>
        <v>WAITING FOR OPEN</v>
      </c>
      <c r="G612" s="68" t="str">
        <f t="shared" si="39"/>
        <v>WAITING FOR OPEN</v>
      </c>
      <c r="H612" s="68" t="str">
        <f t="shared" si="39"/>
        <v>WAITING FOR OPEN</v>
      </c>
      <c r="I612" s="68" t="str">
        <f t="shared" si="39"/>
        <v>ACTIVE</v>
      </c>
      <c r="J612" s="68" t="str">
        <f t="shared" si="39"/>
        <v>ACTIVE</v>
      </c>
      <c r="K612" s="68" t="str">
        <f t="shared" si="39"/>
        <v>ACTIVE</v>
      </c>
      <c r="L612" s="68" t="str">
        <f t="shared" si="39"/>
        <v>ACTIVE</v>
      </c>
      <c r="M612" s="68" t="str">
        <f t="shared" si="39"/>
        <v>ACTIVE</v>
      </c>
      <c r="N612" s="68" t="str">
        <f t="shared" si="39"/>
        <v>ACTIVE</v>
      </c>
      <c r="O612" s="68" t="str">
        <f t="shared" si="39"/>
        <v>ACTIVE</v>
      </c>
      <c r="P612" s="68" t="str">
        <f t="shared" si="39"/>
        <v>ACTIVE</v>
      </c>
      <c r="Q612" s="68" t="str">
        <f t="shared" si="39"/>
        <v>ACTIVE</v>
      </c>
    </row>
    <row r="613" spans="2:17" x14ac:dyDescent="0.35">
      <c r="B613" s="70" t="str">
        <v>30DNNOBUD06</v>
      </c>
      <c r="C613" s="68" t="str">
        <f>VLOOKUP(B613,Master!B:C,2,0)</f>
        <v/>
      </c>
      <c r="D613" s="69">
        <f>VLOOKUP(B613,Master!B:L,11,0)</f>
        <v>46137</v>
      </c>
      <c r="E613" s="69">
        <f>VLOOKUP(B613,Master!B:P,15,0)</f>
        <v>0</v>
      </c>
      <c r="F613" s="68" t="str">
        <f t="shared" si="39"/>
        <v>WAITING FOR OPEN</v>
      </c>
      <c r="G613" s="68" t="str">
        <f t="shared" si="39"/>
        <v>WAITING FOR OPEN</v>
      </c>
      <c r="H613" s="68" t="str">
        <f t="shared" si="39"/>
        <v>WAITING FOR OPEN</v>
      </c>
      <c r="I613" s="68" t="str">
        <f t="shared" si="39"/>
        <v>ACTIVE</v>
      </c>
      <c r="J613" s="68" t="str">
        <f t="shared" si="39"/>
        <v>ACTIVE</v>
      </c>
      <c r="K613" s="68" t="str">
        <f t="shared" si="39"/>
        <v>ACTIVE</v>
      </c>
      <c r="L613" s="68" t="str">
        <f t="shared" si="39"/>
        <v>ACTIVE</v>
      </c>
      <c r="M613" s="68" t="str">
        <f t="shared" si="39"/>
        <v>ACTIVE</v>
      </c>
      <c r="N613" s="68" t="str">
        <f t="shared" si="39"/>
        <v>ACTIVE</v>
      </c>
      <c r="O613" s="68" t="str">
        <f t="shared" si="39"/>
        <v>ACTIVE</v>
      </c>
      <c r="P613" s="68" t="str">
        <f t="shared" si="39"/>
        <v>ACTIVE</v>
      </c>
      <c r="Q613" s="68" t="str">
        <f t="shared" si="39"/>
        <v>ACTIVE</v>
      </c>
    </row>
    <row r="614" spans="2:17" x14ac:dyDescent="0.35">
      <c r="B614" s="70" t="str">
        <v>10DNNOBUD07</v>
      </c>
      <c r="C614" s="68" t="str">
        <f>VLOOKUP(B614,Master!B:C,2,0)</f>
        <v>Check</v>
      </c>
      <c r="D614" s="69">
        <f>VLOOKUP(B614,Master!B:L,11,0)</f>
        <v>46193</v>
      </c>
      <c r="E614" s="69">
        <f>VLOOKUP(B614,Master!B:P,15,0)</f>
        <v>0</v>
      </c>
      <c r="F614" s="68" t="str">
        <f t="shared" si="39"/>
        <v>WAITING FOR OPEN</v>
      </c>
      <c r="G614" s="68" t="str">
        <f t="shared" si="39"/>
        <v>WAITING FOR OPEN</v>
      </c>
      <c r="H614" s="68" t="str">
        <f t="shared" si="39"/>
        <v>WAITING FOR OPEN</v>
      </c>
      <c r="I614" s="68" t="str">
        <f t="shared" si="39"/>
        <v>WAITING FOR OPEN</v>
      </c>
      <c r="J614" s="68" t="str">
        <f t="shared" si="39"/>
        <v>WAITING FOR OPEN</v>
      </c>
      <c r="K614" s="68" t="str">
        <f t="shared" si="39"/>
        <v>ACTIVE</v>
      </c>
      <c r="L614" s="68" t="str">
        <f t="shared" si="39"/>
        <v>ACTIVE</v>
      </c>
      <c r="M614" s="68" t="str">
        <f t="shared" si="39"/>
        <v>ACTIVE</v>
      </c>
      <c r="N614" s="68" t="str">
        <f t="shared" si="39"/>
        <v>ACTIVE</v>
      </c>
      <c r="O614" s="68" t="str">
        <f t="shared" si="39"/>
        <v>ACTIVE</v>
      </c>
      <c r="P614" s="68" t="str">
        <f t="shared" si="39"/>
        <v>ACTIVE</v>
      </c>
      <c r="Q614" s="68" t="str">
        <f t="shared" si="39"/>
        <v>ACTIVE</v>
      </c>
    </row>
    <row r="615" spans="2:17" x14ac:dyDescent="0.35">
      <c r="B615" s="70" t="str">
        <v>30DNNOBUD09</v>
      </c>
      <c r="C615" s="68" t="str">
        <f>VLOOKUP(B615,Master!B:C,2,0)</f>
        <v>Chưa có code</v>
      </c>
      <c r="D615" s="69">
        <f>VLOOKUP(B615,Master!B:L,11,0)</f>
        <v>46132</v>
      </c>
      <c r="E615" s="69">
        <f>VLOOKUP(B615,Master!B:P,15,0)</f>
        <v>0</v>
      </c>
      <c r="F615" s="68" t="str">
        <f t="shared" si="39"/>
        <v>WAITING FOR OPEN</v>
      </c>
      <c r="G615" s="68" t="str">
        <f t="shared" si="39"/>
        <v>WAITING FOR OPEN</v>
      </c>
      <c r="H615" s="68" t="str">
        <f t="shared" si="39"/>
        <v>WAITING FOR OPEN</v>
      </c>
      <c r="I615" s="68" t="str">
        <f t="shared" si="39"/>
        <v>ACTIVE</v>
      </c>
      <c r="J615" s="68" t="str">
        <f t="shared" si="39"/>
        <v>ACTIVE</v>
      </c>
      <c r="K615" s="68" t="str">
        <f t="shared" si="39"/>
        <v>ACTIVE</v>
      </c>
      <c r="L615" s="68" t="str">
        <f t="shared" si="39"/>
        <v>ACTIVE</v>
      </c>
      <c r="M615" s="68" t="str">
        <f t="shared" si="39"/>
        <v>ACTIVE</v>
      </c>
      <c r="N615" s="68" t="str">
        <f t="shared" si="39"/>
        <v>ACTIVE</v>
      </c>
      <c r="O615" s="68" t="str">
        <f t="shared" si="39"/>
        <v>ACTIVE</v>
      </c>
      <c r="P615" s="68" t="str">
        <f t="shared" si="39"/>
        <v>ACTIVE</v>
      </c>
      <c r="Q615" s="68" t="str">
        <f t="shared" si="39"/>
        <v>ACTIVE</v>
      </c>
    </row>
    <row r="616" spans="2:17" x14ac:dyDescent="0.35">
      <c r="B616" s="70" t="str">
        <v>30GGNEW38</v>
      </c>
      <c r="C616" s="68" t="str">
        <f>VLOOKUP(B616,Master!B:C,2,0)</f>
        <v/>
      </c>
      <c r="D616" s="69">
        <f>VLOOKUP(B616,Master!B:L,11,0)</f>
        <v>46296</v>
      </c>
      <c r="E616" s="69">
        <f>VLOOKUP(B616,Master!B:P,15,0)</f>
        <v>0</v>
      </c>
      <c r="F616" s="68" t="str">
        <f t="shared" si="39"/>
        <v>WAITING FOR OPEN</v>
      </c>
      <c r="G616" s="68" t="str">
        <f t="shared" si="39"/>
        <v>WAITING FOR OPEN</v>
      </c>
      <c r="H616" s="68" t="str">
        <f t="shared" si="39"/>
        <v>WAITING FOR OPEN</v>
      </c>
      <c r="I616" s="68" t="str">
        <f t="shared" si="39"/>
        <v>WAITING FOR OPEN</v>
      </c>
      <c r="J616" s="68" t="str">
        <f t="shared" si="39"/>
        <v>WAITING FOR OPEN</v>
      </c>
      <c r="K616" s="68" t="str">
        <f t="shared" si="39"/>
        <v>WAITING FOR OPEN</v>
      </c>
      <c r="L616" s="68" t="str">
        <f t="shared" si="39"/>
        <v>WAITING FOR OPEN</v>
      </c>
      <c r="M616" s="68" t="str">
        <f t="shared" si="39"/>
        <v>WAITING FOR OPEN</v>
      </c>
      <c r="N616" s="68" t="str">
        <f t="shared" si="39"/>
        <v>WAITING FOR OPEN</v>
      </c>
      <c r="O616" s="68" t="str">
        <f t="shared" si="39"/>
        <v>ACTIVE</v>
      </c>
      <c r="P616" s="68" t="str">
        <f t="shared" si="39"/>
        <v>ACTIVE</v>
      </c>
      <c r="Q616" s="68" t="str">
        <f t="shared" si="39"/>
        <v>ACTIVE</v>
      </c>
    </row>
    <row r="617" spans="2:17" x14ac:dyDescent="0.35">
      <c r="B617" s="70" t="str">
        <v>10GGNOBUD02</v>
      </c>
      <c r="C617" s="68" t="str">
        <f>VLOOKUP(B617,Master!B:C,2,0)</f>
        <v>10GG5040</v>
      </c>
      <c r="D617" s="69">
        <f>VLOOKUP(B617,Master!B:L,11,0)</f>
        <v>46130</v>
      </c>
      <c r="E617" s="69">
        <f>VLOOKUP(B617,Master!B:P,15,0)</f>
        <v>0</v>
      </c>
      <c r="F617" s="68" t="str">
        <f t="shared" si="39"/>
        <v>WAITING FOR OPEN</v>
      </c>
      <c r="G617" s="68" t="str">
        <f t="shared" si="39"/>
        <v>WAITING FOR OPEN</v>
      </c>
      <c r="H617" s="68" t="str">
        <f t="shared" si="39"/>
        <v>WAITING FOR OPEN</v>
      </c>
      <c r="I617" s="68" t="str">
        <f t="shared" si="39"/>
        <v>ACTIVE</v>
      </c>
      <c r="J617" s="68" t="str">
        <f t="shared" si="39"/>
        <v>ACTIVE</v>
      </c>
      <c r="K617" s="68" t="str">
        <f t="shared" si="39"/>
        <v>ACTIVE</v>
      </c>
      <c r="L617" s="68" t="str">
        <f t="shared" si="39"/>
        <v>ACTIVE</v>
      </c>
      <c r="M617" s="68" t="str">
        <f t="shared" si="39"/>
        <v>ACTIVE</v>
      </c>
      <c r="N617" s="68" t="str">
        <f t="shared" si="39"/>
        <v>ACTIVE</v>
      </c>
      <c r="O617" s="68" t="str">
        <f t="shared" si="39"/>
        <v>ACTIVE</v>
      </c>
      <c r="P617" s="68" t="str">
        <f t="shared" si="39"/>
        <v>ACTIVE</v>
      </c>
      <c r="Q617" s="68" t="str">
        <f t="shared" si="39"/>
        <v>ACTIVE</v>
      </c>
    </row>
    <row r="618" spans="2:17" x14ac:dyDescent="0.35">
      <c r="B618" s="70" t="str">
        <v>10GGNOBUD21</v>
      </c>
      <c r="C618" s="68" t="str">
        <f>VLOOKUP(B618,Master!B:C,2,0)</f>
        <v/>
      </c>
      <c r="D618" s="69">
        <f>VLOOKUP(B618,Master!B:L,11,0)</f>
        <v>46157</v>
      </c>
      <c r="E618" s="69">
        <f>VLOOKUP(B618,Master!B:P,15,0)</f>
        <v>0</v>
      </c>
      <c r="F618" s="68" t="str">
        <f t="shared" si="39"/>
        <v>WAITING FOR OPEN</v>
      </c>
      <c r="G618" s="68" t="str">
        <f t="shared" si="39"/>
        <v>WAITING FOR OPEN</v>
      </c>
      <c r="H618" s="68" t="str">
        <f t="shared" si="39"/>
        <v>WAITING FOR OPEN</v>
      </c>
      <c r="I618" s="68" t="str">
        <f t="shared" si="39"/>
        <v>WAITING FOR OPEN</v>
      </c>
      <c r="J618" s="68" t="str">
        <f t="shared" si="39"/>
        <v>ACTIVE</v>
      </c>
      <c r="K618" s="68" t="str">
        <f t="shared" si="39"/>
        <v>ACTIVE</v>
      </c>
      <c r="L618" s="68" t="str">
        <f t="shared" si="39"/>
        <v>ACTIVE</v>
      </c>
      <c r="M618" s="68" t="str">
        <f t="shared" si="39"/>
        <v>ACTIVE</v>
      </c>
      <c r="N618" s="68" t="str">
        <f t="shared" si="39"/>
        <v>ACTIVE</v>
      </c>
      <c r="O618" s="68" t="str">
        <f t="shared" si="39"/>
        <v>ACTIVE</v>
      </c>
      <c r="P618" s="68" t="str">
        <f t="shared" si="39"/>
        <v>ACTIVE</v>
      </c>
      <c r="Q618" s="68" t="str">
        <f t="shared" si="39"/>
        <v>ACTIVE</v>
      </c>
    </row>
    <row r="619" spans="2:17" x14ac:dyDescent="0.35">
      <c r="B619" s="70" t="str">
        <v>10GGNOBUD12</v>
      </c>
      <c r="C619" s="68" t="str">
        <f>VLOOKUP(B619,Master!B:C,2,0)</f>
        <v/>
      </c>
      <c r="D619" s="69">
        <f>VLOOKUP(B619,Master!B:L,11,0)</f>
        <v>46222</v>
      </c>
      <c r="E619" s="69">
        <f>VLOOKUP(B619,Master!B:P,15,0)</f>
        <v>0</v>
      </c>
      <c r="F619" s="68" t="str">
        <f t="shared" si="39"/>
        <v>WAITING FOR OPEN</v>
      </c>
      <c r="G619" s="68" t="str">
        <f t="shared" si="39"/>
        <v>WAITING FOR OPEN</v>
      </c>
      <c r="H619" s="68" t="str">
        <f t="shared" si="39"/>
        <v>WAITING FOR OPEN</v>
      </c>
      <c r="I619" s="68" t="str">
        <f t="shared" si="39"/>
        <v>WAITING FOR OPEN</v>
      </c>
      <c r="J619" s="68" t="str">
        <f t="shared" si="39"/>
        <v>WAITING FOR OPEN</v>
      </c>
      <c r="K619" s="68" t="str">
        <f t="shared" si="39"/>
        <v>WAITING FOR OPEN</v>
      </c>
      <c r="L619" s="68" t="str">
        <f t="shared" si="39"/>
        <v>ACTIVE</v>
      </c>
      <c r="M619" s="68" t="str">
        <f t="shared" si="39"/>
        <v>ACTIVE</v>
      </c>
      <c r="N619" s="68" t="str">
        <f t="shared" si="39"/>
        <v>ACTIVE</v>
      </c>
      <c r="O619" s="68" t="str">
        <f t="shared" si="39"/>
        <v>ACTIVE</v>
      </c>
      <c r="P619" s="68" t="str">
        <f t="shared" si="39"/>
        <v>ACTIVE</v>
      </c>
      <c r="Q619" s="68" t="str">
        <f t="shared" si="39"/>
        <v>ACTIVE</v>
      </c>
    </row>
    <row r="620" spans="2:17" x14ac:dyDescent="0.35">
      <c r="B620" s="70" t="str">
        <v>10SSNOBUD03</v>
      </c>
      <c r="C620" s="68" t="str">
        <f>VLOOKUP(B620,Master!B:C,2,0)</f>
        <v/>
      </c>
      <c r="D620" s="69">
        <f>VLOOKUP(B620,Master!B:L,11,0)</f>
        <v>46188</v>
      </c>
      <c r="E620" s="69">
        <f>VLOOKUP(B620,Master!B:P,15,0)</f>
        <v>0</v>
      </c>
      <c r="F620" s="68" t="str">
        <f t="shared" si="39"/>
        <v>WAITING FOR OPEN</v>
      </c>
      <c r="G620" s="68" t="str">
        <f t="shared" si="39"/>
        <v>WAITING FOR OPEN</v>
      </c>
      <c r="H620" s="68" t="str">
        <f t="shared" si="39"/>
        <v>WAITING FOR OPEN</v>
      </c>
      <c r="I620" s="68" t="str">
        <f t="shared" si="39"/>
        <v>WAITING FOR OPEN</v>
      </c>
      <c r="J620" s="68" t="str">
        <f t="shared" si="39"/>
        <v>WAITING FOR OPEN</v>
      </c>
      <c r="K620" s="68" t="str">
        <f t="shared" si="39"/>
        <v>ACTIVE</v>
      </c>
      <c r="L620" s="68" t="str">
        <f t="shared" si="39"/>
        <v>ACTIVE</v>
      </c>
      <c r="M620" s="68" t="str">
        <f t="shared" si="39"/>
        <v>ACTIVE</v>
      </c>
      <c r="N620" s="68" t="str">
        <f t="shared" si="39"/>
        <v>ACTIVE</v>
      </c>
      <c r="O620" s="68" t="str">
        <f t="shared" si="39"/>
        <v>ACTIVE</v>
      </c>
      <c r="P620" s="68" t="str">
        <f t="shared" si="39"/>
        <v>ACTIVE</v>
      </c>
      <c r="Q620" s="68" t="str">
        <f t="shared" si="39"/>
        <v>ACTIVE</v>
      </c>
    </row>
    <row r="621" spans="2:17" x14ac:dyDescent="0.35">
      <c r="B621" s="70" t="str">
        <v>10MWNOBUD03</v>
      </c>
      <c r="C621" s="68" t="str">
        <f>VLOOKUP(B621,Master!B:C,2,0)</f>
        <v/>
      </c>
      <c r="D621" s="69">
        <f>VLOOKUP(B621,Master!B:L,11,0)</f>
        <v>46216</v>
      </c>
      <c r="E621" s="69">
        <f>VLOOKUP(B621,Master!B:P,15,0)</f>
        <v>0</v>
      </c>
      <c r="F621" s="68" t="str">
        <f t="shared" si="39"/>
        <v>WAITING FOR OPEN</v>
      </c>
      <c r="G621" s="68" t="str">
        <f t="shared" si="39"/>
        <v>WAITING FOR OPEN</v>
      </c>
      <c r="H621" s="68" t="str">
        <f t="shared" si="39"/>
        <v>WAITING FOR OPEN</v>
      </c>
      <c r="I621" s="68" t="str">
        <f t="shared" si="39"/>
        <v>WAITING FOR OPEN</v>
      </c>
      <c r="J621" s="68" t="str">
        <f t="shared" si="39"/>
        <v>WAITING FOR OPEN</v>
      </c>
      <c r="K621" s="68" t="str">
        <f t="shared" si="39"/>
        <v>WAITING FOR OPEN</v>
      </c>
      <c r="L621" s="68" t="str">
        <f t="shared" si="39"/>
        <v>ACTIVE</v>
      </c>
      <c r="M621" s="68" t="str">
        <f t="shared" si="39"/>
        <v>ACTIVE</v>
      </c>
      <c r="N621" s="68" t="str">
        <f t="shared" si="39"/>
        <v>ACTIVE</v>
      </c>
      <c r="O621" s="68" t="str">
        <f t="shared" si="39"/>
        <v>ACTIVE</v>
      </c>
      <c r="P621" s="68" t="str">
        <f t="shared" si="39"/>
        <v>ACTIVE</v>
      </c>
      <c r="Q621" s="68" t="str">
        <f t="shared" si="39"/>
        <v>ACTIVE</v>
      </c>
    </row>
    <row r="622" spans="2:17" x14ac:dyDescent="0.35">
      <c r="B622" s="70" t="str">
        <v>30SMNOBUD08</v>
      </c>
      <c r="C622" s="68" t="str">
        <f>VLOOKUP(B622,Master!B:C,2,0)</f>
        <v>30SM5023</v>
      </c>
      <c r="D622" s="69">
        <f>VLOOKUP(B622,Master!B:L,11,0)</f>
        <v>46147</v>
      </c>
      <c r="E622" s="69">
        <f>VLOOKUP(B622,Master!B:P,15,0)</f>
        <v>0</v>
      </c>
      <c r="F622" s="68" t="str">
        <f t="shared" si="39"/>
        <v>WAITING FOR OPEN</v>
      </c>
      <c r="G622" s="68" t="str">
        <f t="shared" si="39"/>
        <v>WAITING FOR OPEN</v>
      </c>
      <c r="H622" s="68" t="str">
        <f t="shared" si="39"/>
        <v>WAITING FOR OPEN</v>
      </c>
      <c r="I622" s="68" t="str">
        <f t="shared" si="39"/>
        <v>WAITING FOR OPEN</v>
      </c>
      <c r="J622" s="68" t="str">
        <f t="shared" si="39"/>
        <v>ACTIVE</v>
      </c>
      <c r="K622" s="68" t="str">
        <f t="shared" si="39"/>
        <v>ACTIVE</v>
      </c>
      <c r="L622" s="68" t="str">
        <f t="shared" si="39"/>
        <v>ACTIVE</v>
      </c>
      <c r="M622" s="68" t="str">
        <f t="shared" si="39"/>
        <v>ACTIVE</v>
      </c>
      <c r="N622" s="68" t="str">
        <f t="shared" si="39"/>
        <v>ACTIVE</v>
      </c>
      <c r="O622" s="68" t="str">
        <f t="shared" si="39"/>
        <v>ACTIVE</v>
      </c>
      <c r="P622" s="68" t="str">
        <f t="shared" si="39"/>
        <v>ACTIVE</v>
      </c>
      <c r="Q622" s="68" t="str">
        <f t="shared" si="39"/>
        <v>ACTIVE</v>
      </c>
    </row>
    <row r="623" spans="2:17" x14ac:dyDescent="0.35">
      <c r="B623" s="70" t="str">
        <v>30WYNOBUD01</v>
      </c>
      <c r="C623" s="68" t="str">
        <f>VLOOKUP(B623,Master!B:C,2,0)</f>
        <v>30WY5024</v>
      </c>
      <c r="D623" s="69">
        <f>VLOOKUP(B623,Master!B:L,11,0)</f>
        <v>46147</v>
      </c>
      <c r="E623" s="69">
        <f>VLOOKUP(B623,Master!B:P,15,0)</f>
        <v>0</v>
      </c>
      <c r="F623" s="68" t="str">
        <f t="shared" si="39"/>
        <v>WAITING FOR OPEN</v>
      </c>
      <c r="G623" s="68" t="str">
        <f t="shared" si="39"/>
        <v>WAITING FOR OPEN</v>
      </c>
      <c r="H623" s="68" t="str">
        <f t="shared" si="39"/>
        <v>WAITING FOR OPEN</v>
      </c>
      <c r="I623" s="68" t="str">
        <f t="shared" si="39"/>
        <v>WAITING FOR OPEN</v>
      </c>
      <c r="J623" s="68" t="str">
        <f t="shared" si="39"/>
        <v>ACTIVE</v>
      </c>
      <c r="K623" s="68" t="str">
        <f t="shared" si="39"/>
        <v>ACTIVE</v>
      </c>
      <c r="L623" s="68" t="str">
        <f t="shared" si="39"/>
        <v>ACTIVE</v>
      </c>
      <c r="M623" s="68" t="str">
        <f t="shared" si="39"/>
        <v>ACTIVE</v>
      </c>
      <c r="N623" s="68" t="str">
        <f t="shared" si="39"/>
        <v>ACTIVE</v>
      </c>
      <c r="O623" s="68" t="str">
        <f t="shared" si="39"/>
        <v>ACTIVE</v>
      </c>
      <c r="P623" s="68" t="str">
        <f t="shared" si="39"/>
        <v>ACTIVE</v>
      </c>
      <c r="Q623" s="68" t="str">
        <f t="shared" si="39"/>
        <v>ACTIVE</v>
      </c>
    </row>
    <row r="624" spans="2:17" x14ac:dyDescent="0.35">
      <c r="B624" s="70" t="str">
        <v>10WYNOBUD01</v>
      </c>
      <c r="C624" s="68" t="str">
        <f>VLOOKUP(B624,Master!B:C,2,0)</f>
        <v>Check</v>
      </c>
      <c r="D624" s="69">
        <f>VLOOKUP(B624,Master!B:L,11,0)</f>
        <v>46165</v>
      </c>
      <c r="E624" s="69">
        <f>VLOOKUP(B624,Master!B:P,15,0)</f>
        <v>0</v>
      </c>
      <c r="F624" s="68" t="str">
        <f t="shared" si="39"/>
        <v>WAITING FOR OPEN</v>
      </c>
      <c r="G624" s="68" t="str">
        <f t="shared" si="39"/>
        <v>WAITING FOR OPEN</v>
      </c>
      <c r="H624" s="68" t="str">
        <f t="shared" si="39"/>
        <v>WAITING FOR OPEN</v>
      </c>
      <c r="I624" s="68" t="str">
        <f t="shared" si="39"/>
        <v>WAITING FOR OPEN</v>
      </c>
      <c r="J624" s="68" t="str">
        <f t="shared" si="39"/>
        <v>ACTIVE</v>
      </c>
      <c r="K624" s="68" t="str">
        <f t="shared" si="39"/>
        <v>ACTIVE</v>
      </c>
      <c r="L624" s="68" t="str">
        <f t="shared" si="39"/>
        <v>ACTIVE</v>
      </c>
      <c r="M624" s="68" t="str">
        <f t="shared" si="39"/>
        <v>ACTIVE</v>
      </c>
      <c r="N624" s="68" t="str">
        <f t="shared" si="39"/>
        <v>ACTIVE</v>
      </c>
      <c r="O624" s="68" t="str">
        <f t="shared" si="39"/>
        <v>ACTIVE</v>
      </c>
      <c r="P624" s="68" t="str">
        <f t="shared" si="39"/>
        <v>ACTIVE</v>
      </c>
      <c r="Q624" s="68" t="str">
        <f t="shared" si="39"/>
        <v>ACTIVE</v>
      </c>
    </row>
    <row r="625" spans="2:17" x14ac:dyDescent="0.35">
      <c r="B625" s="70" t="str">
        <v>10WYNOBUD03</v>
      </c>
      <c r="C625" s="68" t="str">
        <f>VLOOKUP(B625,Master!B:C,2,0)</f>
        <v>Check</v>
      </c>
      <c r="D625" s="69">
        <f>VLOOKUP(B625,Master!B:L,11,0)</f>
        <v>46172</v>
      </c>
      <c r="E625" s="69">
        <f>VLOOKUP(B625,Master!B:P,15,0)</f>
        <v>0</v>
      </c>
      <c r="F625" s="68" t="str">
        <f t="shared" si="39"/>
        <v>WAITING FOR OPEN</v>
      </c>
      <c r="G625" s="68" t="str">
        <f t="shared" si="39"/>
        <v>WAITING FOR OPEN</v>
      </c>
      <c r="H625" s="68" t="str">
        <f t="shared" si="39"/>
        <v>WAITING FOR OPEN</v>
      </c>
      <c r="I625" s="68" t="str">
        <f t="shared" si="39"/>
        <v>WAITING FOR OPEN</v>
      </c>
      <c r="J625" s="68" t="str">
        <f t="shared" si="39"/>
        <v>ACTIVE</v>
      </c>
      <c r="K625" s="68" t="str">
        <f t="shared" si="39"/>
        <v>ACTIVE</v>
      </c>
      <c r="L625" s="68" t="str">
        <f t="shared" si="39"/>
        <v>ACTIVE</v>
      </c>
      <c r="M625" s="68" t="str">
        <f t="shared" si="39"/>
        <v>ACTIVE</v>
      </c>
      <c r="N625" s="68" t="str">
        <f t="shared" si="39"/>
        <v>ACTIVE</v>
      </c>
      <c r="O625" s="68" t="str">
        <f t="shared" si="39"/>
        <v>ACTIVE</v>
      </c>
      <c r="P625" s="68" t="str">
        <f t="shared" si="39"/>
        <v>ACTIVE</v>
      </c>
      <c r="Q625" s="68" t="str">
        <f t="shared" si="39"/>
        <v>ACTIVE</v>
      </c>
    </row>
    <row r="626" spans="2:17" x14ac:dyDescent="0.35">
      <c r="B626" s="70" t="str">
        <v>10WYNOBUD02</v>
      </c>
      <c r="C626" s="68" t="str">
        <f>VLOOKUP(B626,Master!B:C,2,0)</f>
        <v/>
      </c>
      <c r="D626" s="69">
        <f>VLOOKUP(B626,Master!B:L,11,0)</f>
        <v>46171</v>
      </c>
      <c r="E626" s="69">
        <f>VLOOKUP(B626,Master!B:P,15,0)</f>
        <v>0</v>
      </c>
      <c r="F626" s="68" t="str">
        <f t="shared" si="39"/>
        <v>WAITING FOR OPEN</v>
      </c>
      <c r="G626" s="68" t="str">
        <f t="shared" si="39"/>
        <v>WAITING FOR OPEN</v>
      </c>
      <c r="H626" s="68" t="str">
        <f t="shared" si="39"/>
        <v>WAITING FOR OPEN</v>
      </c>
      <c r="I626" s="68" t="str">
        <f t="shared" si="39"/>
        <v>WAITING FOR OPEN</v>
      </c>
      <c r="J626" s="68" t="str">
        <f t="shared" si="39"/>
        <v>ACTIVE</v>
      </c>
      <c r="K626" s="68" t="str">
        <f t="shared" si="39"/>
        <v>ACTIVE</v>
      </c>
      <c r="L626" s="68" t="str">
        <f t="shared" si="39"/>
        <v>ACTIVE</v>
      </c>
      <c r="M626" s="68" t="str">
        <f t="shared" si="39"/>
        <v>ACTIVE</v>
      </c>
      <c r="N626" s="68" t="str">
        <f t="shared" si="39"/>
        <v>ACTIVE</v>
      </c>
      <c r="O626" s="68" t="str">
        <f t="shared" si="39"/>
        <v>ACTIVE</v>
      </c>
      <c r="P626" s="68" t="str">
        <f t="shared" si="39"/>
        <v>ACTIVE</v>
      </c>
      <c r="Q626" s="68" t="str">
        <f t="shared" si="39"/>
        <v>ACTIVE</v>
      </c>
    </row>
    <row r="627" spans="2:17" x14ac:dyDescent="0.35">
      <c r="B627" s="70" t="str">
        <v>10CKNOBUD02</v>
      </c>
      <c r="C627" s="68" t="str">
        <f>VLOOKUP(B627,Master!B:C,2,0)</f>
        <v>Chưa có code</v>
      </c>
      <c r="D627" s="69">
        <f>VLOOKUP(B627,Master!B:L,11,0)</f>
        <v>46222</v>
      </c>
      <c r="E627" s="69">
        <f>VLOOKUP(B627,Master!B:P,15,0)</f>
        <v>0</v>
      </c>
      <c r="F627" s="68" t="str">
        <f t="shared" si="39"/>
        <v>WAITING FOR OPEN</v>
      </c>
      <c r="G627" s="68" t="str">
        <f t="shared" si="39"/>
        <v>WAITING FOR OPEN</v>
      </c>
      <c r="H627" s="68" t="str">
        <f t="shared" si="39"/>
        <v>WAITING FOR OPEN</v>
      </c>
      <c r="I627" s="68" t="str">
        <f t="shared" si="39"/>
        <v>WAITING FOR OPEN</v>
      </c>
      <c r="J627" s="68" t="str">
        <f t="shared" si="39"/>
        <v>WAITING FOR OPEN</v>
      </c>
      <c r="K627" s="68" t="str">
        <f t="shared" si="39"/>
        <v>WAITING FOR OPEN</v>
      </c>
      <c r="L627" s="68" t="str">
        <f t="shared" si="39"/>
        <v>ACTIVE</v>
      </c>
      <c r="M627" s="68" t="str">
        <f t="shared" si="39"/>
        <v>ACTIVE</v>
      </c>
      <c r="N627" s="68" t="str">
        <f t="shared" si="39"/>
        <v>ACTIVE</v>
      </c>
      <c r="O627" s="68" t="str">
        <f t="shared" si="39"/>
        <v>ACTIVE</v>
      </c>
      <c r="P627" s="68" t="str">
        <f t="shared" si="39"/>
        <v>ACTIVE</v>
      </c>
      <c r="Q627" s="68" t="str">
        <f t="shared" si="39"/>
        <v>ACTIVE</v>
      </c>
    </row>
    <row r="628" spans="2:17" x14ac:dyDescent="0.35">
      <c r="B628" s="70" t="str">
        <v>30WYNOBUD05</v>
      </c>
      <c r="C628" s="68" t="str">
        <f>VLOOKUP(B628,Master!B:C,2,0)</f>
        <v>Chưa có code</v>
      </c>
      <c r="D628" s="69">
        <f>VLOOKUP(B628,Master!B:L,11,0)</f>
        <v>46265</v>
      </c>
      <c r="E628" s="69">
        <f>VLOOKUP(B628,Master!B:P,15,0)</f>
        <v>0</v>
      </c>
      <c r="F628" s="68" t="str">
        <f t="shared" ref="F628:Q639" si="40">IF($E628&gt;0,"CLOSED",IF($D628&lt;F$1,"ACTIVE","WAITING FOR OPEN"))</f>
        <v>WAITING FOR OPEN</v>
      </c>
      <c r="G628" s="68" t="str">
        <f t="shared" si="40"/>
        <v>WAITING FOR OPEN</v>
      </c>
      <c r="H628" s="68" t="str">
        <f t="shared" si="40"/>
        <v>WAITING FOR OPEN</v>
      </c>
      <c r="I628" s="68" t="str">
        <f t="shared" si="40"/>
        <v>WAITING FOR OPEN</v>
      </c>
      <c r="J628" s="68" t="str">
        <f t="shared" si="40"/>
        <v>WAITING FOR OPEN</v>
      </c>
      <c r="K628" s="68" t="str">
        <f t="shared" si="40"/>
        <v>WAITING FOR OPEN</v>
      </c>
      <c r="L628" s="68" t="str">
        <f t="shared" si="40"/>
        <v>WAITING FOR OPEN</v>
      </c>
      <c r="M628" s="68" t="str">
        <f t="shared" si="40"/>
        <v>WAITING FOR OPEN</v>
      </c>
      <c r="N628" s="68" t="str">
        <f t="shared" si="40"/>
        <v>ACTIVE</v>
      </c>
      <c r="O628" s="68" t="str">
        <f t="shared" si="40"/>
        <v>ACTIVE</v>
      </c>
      <c r="P628" s="68" t="str">
        <f t="shared" si="40"/>
        <v>ACTIVE</v>
      </c>
      <c r="Q628" s="68" t="str">
        <f t="shared" si="40"/>
        <v>ACTIVE</v>
      </c>
    </row>
    <row r="629" spans="2:17" x14ac:dyDescent="0.35">
      <c r="B629" s="70" t="str">
        <v>10KKNOBUD10</v>
      </c>
      <c r="C629" s="68" t="str">
        <f>VLOOKUP(B629,Master!B:C,2,0)</f>
        <v>10KK4987</v>
      </c>
      <c r="D629" s="69">
        <f>VLOOKUP(B629,Master!B:L,11,0)</f>
        <v>46053</v>
      </c>
      <c r="E629" s="69">
        <f>VLOOKUP(B629,Master!B:P,15,0)</f>
        <v>0</v>
      </c>
      <c r="F629" s="68" t="str">
        <f t="shared" si="40"/>
        <v>WAITING FOR OPEN</v>
      </c>
      <c r="G629" s="68" t="str">
        <f t="shared" si="40"/>
        <v>ACTIVE</v>
      </c>
      <c r="H629" s="68" t="str">
        <f t="shared" si="40"/>
        <v>ACTIVE</v>
      </c>
      <c r="I629" s="68" t="str">
        <f t="shared" si="40"/>
        <v>ACTIVE</v>
      </c>
      <c r="J629" s="68" t="str">
        <f t="shared" si="40"/>
        <v>ACTIVE</v>
      </c>
      <c r="K629" s="68" t="str">
        <f t="shared" si="40"/>
        <v>ACTIVE</v>
      </c>
      <c r="L629" s="68" t="str">
        <f t="shared" si="40"/>
        <v>ACTIVE</v>
      </c>
      <c r="M629" s="68" t="str">
        <f t="shared" si="40"/>
        <v>ACTIVE</v>
      </c>
      <c r="N629" s="68" t="str">
        <f t="shared" si="40"/>
        <v>ACTIVE</v>
      </c>
      <c r="O629" s="68" t="str">
        <f t="shared" si="40"/>
        <v>ACTIVE</v>
      </c>
      <c r="P629" s="68" t="str">
        <f t="shared" si="40"/>
        <v>ACTIVE</v>
      </c>
      <c r="Q629" s="68" t="str">
        <f t="shared" si="40"/>
        <v>ACTIVE</v>
      </c>
    </row>
    <row r="630" spans="2:17" x14ac:dyDescent="0.35">
      <c r="B630" s="70" t="str">
        <v>10PZNOBUD02</v>
      </c>
      <c r="C630" s="68" t="str">
        <f>VLOOKUP(B630,Master!B:C,2,0)</f>
        <v>10PZ5047</v>
      </c>
      <c r="D630" s="69">
        <f>VLOOKUP(B630,Master!B:L,11,0)</f>
        <v>46204</v>
      </c>
      <c r="E630" s="69">
        <f>VLOOKUP(B630,Master!B:P,15,0)</f>
        <v>0</v>
      </c>
      <c r="F630" s="68" t="str">
        <f t="shared" si="40"/>
        <v>WAITING FOR OPEN</v>
      </c>
      <c r="G630" s="68" t="str">
        <f t="shared" si="40"/>
        <v>WAITING FOR OPEN</v>
      </c>
      <c r="H630" s="68" t="str">
        <f t="shared" si="40"/>
        <v>WAITING FOR OPEN</v>
      </c>
      <c r="I630" s="68" t="str">
        <f t="shared" si="40"/>
        <v>WAITING FOR OPEN</v>
      </c>
      <c r="J630" s="68" t="str">
        <f t="shared" si="40"/>
        <v>WAITING FOR OPEN</v>
      </c>
      <c r="K630" s="68" t="str">
        <f t="shared" si="40"/>
        <v>WAITING FOR OPEN</v>
      </c>
      <c r="L630" s="68" t="str">
        <f t="shared" si="40"/>
        <v>ACTIVE</v>
      </c>
      <c r="M630" s="68" t="str">
        <f t="shared" si="40"/>
        <v>ACTIVE</v>
      </c>
      <c r="N630" s="68" t="str">
        <f t="shared" si="40"/>
        <v>ACTIVE</v>
      </c>
      <c r="O630" s="68" t="str">
        <f t="shared" si="40"/>
        <v>ACTIVE</v>
      </c>
      <c r="P630" s="68" t="str">
        <f t="shared" si="40"/>
        <v>ACTIVE</v>
      </c>
      <c r="Q630" s="68" t="str">
        <f t="shared" si="40"/>
        <v>ACTIVE</v>
      </c>
    </row>
    <row r="631" spans="2:17" x14ac:dyDescent="0.35">
      <c r="B631" s="70" t="str">
        <v>30GGNOBUD01</v>
      </c>
      <c r="C631" s="68" t="str">
        <f>VLOOKUP(B631,Master!B:C,2,0)</f>
        <v>Check</v>
      </c>
      <c r="D631" s="69">
        <f>VLOOKUP(B631,Master!B:L,11,0)</f>
        <v>46173</v>
      </c>
      <c r="E631" s="69">
        <f>VLOOKUP(B631,Master!B:P,15,0)</f>
        <v>0</v>
      </c>
      <c r="F631" s="68" t="str">
        <f t="shared" si="40"/>
        <v>WAITING FOR OPEN</v>
      </c>
      <c r="G631" s="68" t="str">
        <f t="shared" si="40"/>
        <v>WAITING FOR OPEN</v>
      </c>
      <c r="H631" s="68" t="str">
        <f t="shared" si="40"/>
        <v>WAITING FOR OPEN</v>
      </c>
      <c r="I631" s="68" t="str">
        <f t="shared" si="40"/>
        <v>WAITING FOR OPEN</v>
      </c>
      <c r="J631" s="68" t="str">
        <f t="shared" si="40"/>
        <v>WAITING FOR OPEN</v>
      </c>
      <c r="K631" s="68" t="str">
        <f t="shared" si="40"/>
        <v>ACTIVE</v>
      </c>
      <c r="L631" s="68" t="str">
        <f t="shared" si="40"/>
        <v>ACTIVE</v>
      </c>
      <c r="M631" s="68" t="str">
        <f t="shared" si="40"/>
        <v>ACTIVE</v>
      </c>
      <c r="N631" s="68" t="str">
        <f t="shared" si="40"/>
        <v>ACTIVE</v>
      </c>
      <c r="O631" s="68" t="str">
        <f t="shared" si="40"/>
        <v>ACTIVE</v>
      </c>
      <c r="P631" s="68" t="str">
        <f t="shared" si="40"/>
        <v>ACTIVE</v>
      </c>
      <c r="Q631" s="68" t="str">
        <f t="shared" si="40"/>
        <v>ACTIVE</v>
      </c>
    </row>
    <row r="632" spans="2:17" x14ac:dyDescent="0.35">
      <c r="B632" s="70" t="str">
        <v>30DNNOBUD05</v>
      </c>
      <c r="C632" s="68" t="str">
        <f>VLOOKUP(B632,Master!B:C,2,0)</f>
        <v>Chưa có code</v>
      </c>
      <c r="D632" s="69">
        <f>VLOOKUP(B632,Master!B:L,11,0)</f>
        <v>46173</v>
      </c>
      <c r="E632" s="69">
        <f>VLOOKUP(B632,Master!B:P,15,0)</f>
        <v>0</v>
      </c>
      <c r="F632" s="68" t="str">
        <f t="shared" si="40"/>
        <v>WAITING FOR OPEN</v>
      </c>
      <c r="G632" s="68" t="str">
        <f t="shared" si="40"/>
        <v>WAITING FOR OPEN</v>
      </c>
      <c r="H632" s="68" t="str">
        <f t="shared" si="40"/>
        <v>WAITING FOR OPEN</v>
      </c>
      <c r="I632" s="68" t="str">
        <f t="shared" si="40"/>
        <v>WAITING FOR OPEN</v>
      </c>
      <c r="J632" s="68" t="str">
        <f t="shared" si="40"/>
        <v>WAITING FOR OPEN</v>
      </c>
      <c r="K632" s="68" t="str">
        <f t="shared" si="40"/>
        <v>ACTIVE</v>
      </c>
      <c r="L632" s="68" t="str">
        <f t="shared" si="40"/>
        <v>ACTIVE</v>
      </c>
      <c r="M632" s="68" t="str">
        <f t="shared" si="40"/>
        <v>ACTIVE</v>
      </c>
      <c r="N632" s="68" t="str">
        <f t="shared" si="40"/>
        <v>ACTIVE</v>
      </c>
      <c r="O632" s="68" t="str">
        <f t="shared" si="40"/>
        <v>ACTIVE</v>
      </c>
      <c r="P632" s="68" t="str">
        <f t="shared" si="40"/>
        <v>ACTIVE</v>
      </c>
      <c r="Q632" s="68" t="str">
        <f t="shared" si="40"/>
        <v>ACTIVE</v>
      </c>
    </row>
    <row r="633" spans="2:17" x14ac:dyDescent="0.35">
      <c r="B633" s="70" t="str">
        <v>30MWNOBUD03</v>
      </c>
      <c r="C633" s="68" t="str">
        <f>VLOOKUP(B633,Master!B:C,2,0)</f>
        <v>Chưa có code</v>
      </c>
      <c r="D633" s="69">
        <f>VLOOKUP(B633,Master!B:L,11,0)</f>
        <v>46173</v>
      </c>
      <c r="E633" s="69">
        <f>VLOOKUP(B633,Master!B:P,15,0)</f>
        <v>0</v>
      </c>
      <c r="F633" s="68" t="str">
        <f t="shared" si="40"/>
        <v>WAITING FOR OPEN</v>
      </c>
      <c r="G633" s="68" t="str">
        <f t="shared" si="40"/>
        <v>WAITING FOR OPEN</v>
      </c>
      <c r="H633" s="68" t="str">
        <f t="shared" si="40"/>
        <v>WAITING FOR OPEN</v>
      </c>
      <c r="I633" s="68" t="str">
        <f t="shared" si="40"/>
        <v>WAITING FOR OPEN</v>
      </c>
      <c r="J633" s="68" t="str">
        <f t="shared" si="40"/>
        <v>WAITING FOR OPEN</v>
      </c>
      <c r="K633" s="68" t="str">
        <f t="shared" si="40"/>
        <v>ACTIVE</v>
      </c>
      <c r="L633" s="68" t="str">
        <f t="shared" si="40"/>
        <v>ACTIVE</v>
      </c>
      <c r="M633" s="68" t="str">
        <f t="shared" si="40"/>
        <v>ACTIVE</v>
      </c>
      <c r="N633" s="68" t="str">
        <f t="shared" si="40"/>
        <v>ACTIVE</v>
      </c>
      <c r="O633" s="68" t="str">
        <f t="shared" si="40"/>
        <v>ACTIVE</v>
      </c>
      <c r="P633" s="68" t="str">
        <f t="shared" si="40"/>
        <v>ACTIVE</v>
      </c>
      <c r="Q633" s="68" t="str">
        <f t="shared" si="40"/>
        <v>ACTIVE</v>
      </c>
    </row>
    <row r="634" spans="2:17" x14ac:dyDescent="0.35">
      <c r="B634" s="70" t="str">
        <v>TCHNOBUD01</v>
      </c>
      <c r="C634" s="68" t="str">
        <f>VLOOKUP(B634,Master!B:C,2,0)</f>
        <v>1010906</v>
      </c>
      <c r="D634" s="69">
        <f>VLOOKUP(B634,Master!B:L,11,0)</f>
        <v>46357</v>
      </c>
      <c r="E634" s="69">
        <f>VLOOKUP(B634,Master!B:P,15,0)</f>
        <v>0</v>
      </c>
      <c r="F634" s="68" t="str">
        <f t="shared" si="40"/>
        <v>WAITING FOR OPEN</v>
      </c>
      <c r="G634" s="68" t="str">
        <f t="shared" si="40"/>
        <v>WAITING FOR OPEN</v>
      </c>
      <c r="H634" s="68" t="str">
        <f t="shared" si="40"/>
        <v>WAITING FOR OPEN</v>
      </c>
      <c r="I634" s="68" t="str">
        <f t="shared" si="40"/>
        <v>WAITING FOR OPEN</v>
      </c>
      <c r="J634" s="68" t="str">
        <f t="shared" si="40"/>
        <v>WAITING FOR OPEN</v>
      </c>
      <c r="K634" s="68" t="str">
        <f t="shared" si="40"/>
        <v>WAITING FOR OPEN</v>
      </c>
      <c r="L634" s="68" t="str">
        <f t="shared" si="40"/>
        <v>WAITING FOR OPEN</v>
      </c>
      <c r="M634" s="68" t="str">
        <f t="shared" si="40"/>
        <v>WAITING FOR OPEN</v>
      </c>
      <c r="N634" s="68" t="str">
        <f t="shared" si="40"/>
        <v>WAITING FOR OPEN</v>
      </c>
      <c r="O634" s="68" t="str">
        <f t="shared" si="40"/>
        <v>WAITING FOR OPEN</v>
      </c>
      <c r="P634" s="68" t="str">
        <f t="shared" si="40"/>
        <v>WAITING FOR OPEN</v>
      </c>
      <c r="Q634" s="68" t="str">
        <f t="shared" si="40"/>
        <v>ACTIVE</v>
      </c>
    </row>
    <row r="635" spans="2:17" x14ac:dyDescent="0.35">
      <c r="B635" s="70" t="str">
        <v>30WYNOBUD02</v>
      </c>
      <c r="C635" s="68" t="str">
        <f>VLOOKUP(B635,Master!B:C,2,0)</f>
        <v>Chưa có code</v>
      </c>
      <c r="D635" s="69">
        <f>VLOOKUP(B635,Master!B:L,11,0)</f>
        <v>46173</v>
      </c>
      <c r="E635" s="69">
        <f>VLOOKUP(B635,Master!B:P,15,0)</f>
        <v>0</v>
      </c>
      <c r="F635" s="68" t="str">
        <f t="shared" si="40"/>
        <v>WAITING FOR OPEN</v>
      </c>
      <c r="G635" s="68" t="str">
        <f t="shared" si="40"/>
        <v>WAITING FOR OPEN</v>
      </c>
      <c r="H635" s="68" t="str">
        <f t="shared" si="40"/>
        <v>WAITING FOR OPEN</v>
      </c>
      <c r="I635" s="68" t="str">
        <f t="shared" si="40"/>
        <v>WAITING FOR OPEN</v>
      </c>
      <c r="J635" s="68" t="str">
        <f t="shared" si="40"/>
        <v>WAITING FOR OPEN</v>
      </c>
      <c r="K635" s="68" t="str">
        <f t="shared" si="40"/>
        <v>ACTIVE</v>
      </c>
      <c r="L635" s="68" t="str">
        <f t="shared" si="40"/>
        <v>ACTIVE</v>
      </c>
      <c r="M635" s="68" t="str">
        <f t="shared" si="40"/>
        <v>ACTIVE</v>
      </c>
      <c r="N635" s="68" t="str">
        <f t="shared" si="40"/>
        <v>ACTIVE</v>
      </c>
      <c r="O635" s="68" t="str">
        <f t="shared" si="40"/>
        <v>ACTIVE</v>
      </c>
      <c r="P635" s="68" t="str">
        <f t="shared" si="40"/>
        <v>ACTIVE</v>
      </c>
      <c r="Q635" s="68" t="str">
        <f t="shared" si="40"/>
        <v>ACTIVE</v>
      </c>
    </row>
    <row r="636" spans="2:17" x14ac:dyDescent="0.35">
      <c r="B636" s="70" t="str">
        <v>30DNNOBUD04</v>
      </c>
      <c r="C636" s="68" t="str">
        <f>VLOOKUP(B636,Master!B:C,2,0)</f>
        <v>Chưa có code</v>
      </c>
      <c r="D636" s="69">
        <f>VLOOKUP(B636,Master!B:L,11,0)</f>
        <v>46387</v>
      </c>
      <c r="E636" s="69">
        <f>VLOOKUP(B636,Master!B:P,15,0)</f>
        <v>0</v>
      </c>
      <c r="F636" s="68" t="str">
        <f t="shared" si="40"/>
        <v>WAITING FOR OPEN</v>
      </c>
      <c r="G636" s="68" t="str">
        <f t="shared" si="40"/>
        <v>WAITING FOR OPEN</v>
      </c>
      <c r="H636" s="68" t="str">
        <f t="shared" si="40"/>
        <v>WAITING FOR OPEN</v>
      </c>
      <c r="I636" s="68" t="str">
        <f t="shared" si="40"/>
        <v>WAITING FOR OPEN</v>
      </c>
      <c r="J636" s="68" t="str">
        <f t="shared" si="40"/>
        <v>WAITING FOR OPEN</v>
      </c>
      <c r="K636" s="68" t="str">
        <f t="shared" si="40"/>
        <v>WAITING FOR OPEN</v>
      </c>
      <c r="L636" s="68" t="str">
        <f t="shared" si="40"/>
        <v>WAITING FOR OPEN</v>
      </c>
      <c r="M636" s="68" t="str">
        <f t="shared" si="40"/>
        <v>WAITING FOR OPEN</v>
      </c>
      <c r="N636" s="68" t="str">
        <f t="shared" si="40"/>
        <v>WAITING FOR OPEN</v>
      </c>
      <c r="O636" s="68" t="str">
        <f t="shared" si="40"/>
        <v>WAITING FOR OPEN</v>
      </c>
      <c r="P636" s="68" t="str">
        <f t="shared" si="40"/>
        <v>WAITING FOR OPEN</v>
      </c>
      <c r="Q636" s="68" t="str">
        <f t="shared" si="40"/>
        <v>WAITING FOR OPEN</v>
      </c>
    </row>
    <row r="637" spans="2:17" x14ac:dyDescent="0.35">
      <c r="B637" s="70" t="str">
        <v>30DNNOBUD08</v>
      </c>
      <c r="C637" s="68" t="str">
        <f>VLOOKUP(B637,Master!B:C,2,0)</f>
        <v>Chưa có code</v>
      </c>
      <c r="D637" s="69">
        <f>VLOOKUP(B637,Master!B:L,11,0)</f>
        <v>46204</v>
      </c>
      <c r="E637" s="69">
        <f>VLOOKUP(B637,Master!B:P,15,0)</f>
        <v>0</v>
      </c>
      <c r="F637" s="68" t="str">
        <f t="shared" si="40"/>
        <v>WAITING FOR OPEN</v>
      </c>
      <c r="G637" s="68" t="str">
        <f t="shared" si="40"/>
        <v>WAITING FOR OPEN</v>
      </c>
      <c r="H637" s="68" t="str">
        <f t="shared" si="40"/>
        <v>WAITING FOR OPEN</v>
      </c>
      <c r="I637" s="68" t="str">
        <f t="shared" si="40"/>
        <v>WAITING FOR OPEN</v>
      </c>
      <c r="J637" s="68" t="str">
        <f t="shared" si="40"/>
        <v>WAITING FOR OPEN</v>
      </c>
      <c r="K637" s="68" t="str">
        <f t="shared" si="40"/>
        <v>WAITING FOR OPEN</v>
      </c>
      <c r="L637" s="68" t="str">
        <f t="shared" si="40"/>
        <v>ACTIVE</v>
      </c>
      <c r="M637" s="68" t="str">
        <f t="shared" si="40"/>
        <v>ACTIVE</v>
      </c>
      <c r="N637" s="68" t="str">
        <f t="shared" si="40"/>
        <v>ACTIVE</v>
      </c>
      <c r="O637" s="68" t="str">
        <f t="shared" si="40"/>
        <v>ACTIVE</v>
      </c>
      <c r="P637" s="68" t="str">
        <f t="shared" si="40"/>
        <v>ACTIVE</v>
      </c>
      <c r="Q637" s="68" t="str">
        <f t="shared" si="40"/>
        <v>ACTIVE</v>
      </c>
    </row>
    <row r="638" spans="2:17" x14ac:dyDescent="0.35">
      <c r="B638" s="70" t="str">
        <v>10DNNOBUD06</v>
      </c>
      <c r="C638" s="68" t="str">
        <f>VLOOKUP(B638,Master!B:C,2,0)</f>
        <v>10DN4993</v>
      </c>
      <c r="D638" s="69">
        <f>VLOOKUP(B638,Master!B:L,11,0)</f>
        <v>46112</v>
      </c>
      <c r="E638" s="69">
        <f>VLOOKUP(B638,Master!B:P,15,0)</f>
        <v>0</v>
      </c>
      <c r="F638" s="68" t="str">
        <f t="shared" si="40"/>
        <v>WAITING FOR OPEN</v>
      </c>
      <c r="G638" s="68" t="str">
        <f t="shared" si="40"/>
        <v>WAITING FOR OPEN</v>
      </c>
      <c r="H638" s="68" t="str">
        <f t="shared" si="40"/>
        <v>WAITING FOR OPEN</v>
      </c>
      <c r="I638" s="68" t="str">
        <f t="shared" si="40"/>
        <v>ACTIVE</v>
      </c>
      <c r="J638" s="68" t="str">
        <f t="shared" si="40"/>
        <v>ACTIVE</v>
      </c>
      <c r="K638" s="68" t="str">
        <f t="shared" si="40"/>
        <v>ACTIVE</v>
      </c>
      <c r="L638" s="68" t="str">
        <f t="shared" si="40"/>
        <v>ACTIVE</v>
      </c>
      <c r="M638" s="68" t="str">
        <f t="shared" si="40"/>
        <v>ACTIVE</v>
      </c>
      <c r="N638" s="68" t="str">
        <f t="shared" si="40"/>
        <v>ACTIVE</v>
      </c>
      <c r="O638" s="68" t="str">
        <f t="shared" si="40"/>
        <v>ACTIVE</v>
      </c>
      <c r="P638" s="68" t="str">
        <f t="shared" si="40"/>
        <v>ACTIVE</v>
      </c>
      <c r="Q638" s="68" t="str">
        <f t="shared" si="40"/>
        <v>ACTIVE</v>
      </c>
    </row>
    <row r="639" spans="2:17" x14ac:dyDescent="0.35">
      <c r="B639" s="62" t="str">
        <v>10KKNOBUD13</v>
      </c>
      <c r="C639" s="68" t="str">
        <f>VLOOKUP(B639,Master!B:C,2,0)</f>
        <v>10KK5063</v>
      </c>
      <c r="D639" s="69">
        <f>VLOOKUP(B639,Master!B:L,11,0)</f>
        <v>46357</v>
      </c>
      <c r="E639" s="69">
        <f>VLOOKUP(B639,Master!B:P,15,0)</f>
        <v>0</v>
      </c>
      <c r="F639" s="68" t="str">
        <f t="shared" si="40"/>
        <v>WAITING FOR OPEN</v>
      </c>
      <c r="G639" s="68" t="str">
        <f t="shared" si="40"/>
        <v>WAITING FOR OPEN</v>
      </c>
      <c r="H639" s="68" t="str">
        <f t="shared" si="40"/>
        <v>WAITING FOR OPEN</v>
      </c>
      <c r="I639" s="68" t="str">
        <f t="shared" si="40"/>
        <v>WAITING FOR OPEN</v>
      </c>
      <c r="J639" s="68" t="str">
        <f t="shared" si="40"/>
        <v>WAITING FOR OPEN</v>
      </c>
      <c r="K639" s="68" t="str">
        <f t="shared" si="40"/>
        <v>WAITING FOR OPEN</v>
      </c>
      <c r="L639" s="68" t="str">
        <f t="shared" si="40"/>
        <v>WAITING FOR OPEN</v>
      </c>
      <c r="M639" s="68" t="str">
        <f t="shared" si="40"/>
        <v>WAITING FOR OPEN</v>
      </c>
      <c r="N639" s="68" t="str">
        <f t="shared" si="40"/>
        <v>WAITING FOR OPEN</v>
      </c>
      <c r="O639" s="68" t="str">
        <f t="shared" si="40"/>
        <v>WAITING FOR OPEN</v>
      </c>
      <c r="P639" s="68" t="str">
        <f t="shared" si="40"/>
        <v>WAITING FOR OPEN</v>
      </c>
      <c r="Q639" s="68" t="str">
        <f t="shared" si="40"/>
        <v>ACTIVE</v>
      </c>
    </row>
    <row r="640" spans="2:17" x14ac:dyDescent="0.35">
      <c r="B640" s="62"/>
      <c r="C640" s="61"/>
      <c r="D640" s="69" t="s">
        <v>6702</v>
      </c>
      <c r="E640" s="69"/>
      <c r="F640" s="70">
        <f>COUNTIFS(F3:F639,"ACTIVE")</f>
        <v>561</v>
      </c>
      <c r="G640" s="70">
        <f t="shared" ref="G640:Q640" si="41">COUNTIFS(G3:G639,"ACTIVE")</f>
        <v>568</v>
      </c>
      <c r="H640" s="70">
        <f t="shared" si="41"/>
        <v>570</v>
      </c>
      <c r="I640" s="70">
        <f t="shared" si="41"/>
        <v>587</v>
      </c>
      <c r="J640" s="70">
        <f t="shared" si="41"/>
        <v>602</v>
      </c>
      <c r="K640" s="70">
        <f t="shared" si="41"/>
        <v>610</v>
      </c>
      <c r="L640" s="70">
        <f t="shared" si="41"/>
        <v>618</v>
      </c>
      <c r="M640" s="70">
        <f t="shared" si="41"/>
        <v>622</v>
      </c>
      <c r="N640" s="70">
        <f t="shared" si="41"/>
        <v>623</v>
      </c>
      <c r="O640" s="70">
        <f t="shared" si="41"/>
        <v>625</v>
      </c>
      <c r="P640" s="70">
        <f t="shared" si="41"/>
        <v>625</v>
      </c>
      <c r="Q640" s="70">
        <f t="shared" si="41"/>
        <v>629</v>
      </c>
    </row>
    <row r="641" spans="2:17" x14ac:dyDescent="0.35">
      <c r="B641" s="62"/>
      <c r="C641" s="61"/>
      <c r="D641" s="63"/>
      <c r="E641" s="63"/>
      <c r="F641" s="62"/>
      <c r="G641" s="62"/>
      <c r="H641" s="62"/>
      <c r="I641" s="62"/>
      <c r="J641" s="62"/>
      <c r="K641" s="62"/>
      <c r="L641" s="62"/>
      <c r="M641" s="62"/>
      <c r="N641" s="62"/>
      <c r="O641" s="62"/>
      <c r="P641" s="62"/>
      <c r="Q641" s="62"/>
    </row>
    <row r="642" spans="2:17" x14ac:dyDescent="0.35">
      <c r="B642" s="62"/>
      <c r="C642" s="61"/>
      <c r="D642" s="63"/>
      <c r="E642" s="63"/>
      <c r="F642" s="62"/>
      <c r="G642" s="62"/>
      <c r="H642" s="62"/>
      <c r="I642" s="62"/>
      <c r="J642" s="62"/>
      <c r="K642" s="62"/>
      <c r="L642" s="62"/>
      <c r="M642" s="62"/>
      <c r="N642" s="62"/>
      <c r="O642" s="62"/>
      <c r="P642" s="62"/>
      <c r="Q642" s="62"/>
    </row>
    <row r="643" spans="2:17" x14ac:dyDescent="0.35">
      <c r="B643" s="62"/>
      <c r="C643" s="61"/>
      <c r="D643" s="63"/>
      <c r="E643" s="63"/>
      <c r="F643" s="62"/>
      <c r="G643" s="62"/>
      <c r="H643" s="62"/>
      <c r="I643" s="62"/>
      <c r="J643" s="62"/>
      <c r="K643" s="62"/>
      <c r="L643" s="62"/>
      <c r="M643" s="62"/>
      <c r="N643" s="62"/>
      <c r="O643" s="62"/>
      <c r="P643" s="62"/>
      <c r="Q643" s="62"/>
    </row>
    <row r="644" spans="2:17" x14ac:dyDescent="0.35">
      <c r="B644" s="62"/>
      <c r="C644" s="61"/>
      <c r="D644" s="63"/>
      <c r="E644" s="63"/>
      <c r="F644" s="62"/>
      <c r="G644" s="62"/>
      <c r="H644" s="62"/>
      <c r="I644" s="62"/>
      <c r="J644" s="62"/>
      <c r="K644" s="62"/>
      <c r="L644" s="62"/>
      <c r="M644" s="62"/>
      <c r="N644" s="62"/>
      <c r="O644" s="62"/>
      <c r="P644" s="62"/>
      <c r="Q644" s="62"/>
    </row>
    <row r="645" spans="2:17" x14ac:dyDescent="0.35">
      <c r="B645" s="62"/>
      <c r="C645" s="61"/>
      <c r="D645" s="63"/>
      <c r="E645" s="63"/>
      <c r="F645" s="62"/>
      <c r="G645" s="62"/>
      <c r="H645" s="62"/>
      <c r="I645" s="62"/>
      <c r="J645" s="62"/>
      <c r="K645" s="62"/>
      <c r="L645" s="62"/>
      <c r="M645" s="62"/>
      <c r="N645" s="62"/>
      <c r="O645" s="62"/>
      <c r="P645" s="62"/>
      <c r="Q645" s="62"/>
    </row>
    <row r="646" spans="2:17" x14ac:dyDescent="0.35">
      <c r="B646" s="62"/>
      <c r="C646" s="61"/>
      <c r="D646" s="63"/>
      <c r="E646" s="63"/>
      <c r="F646" s="62"/>
      <c r="G646" s="62"/>
      <c r="H646" s="62"/>
      <c r="I646" s="62"/>
      <c r="J646" s="62"/>
      <c r="K646" s="62"/>
      <c r="L646" s="62"/>
      <c r="M646" s="62"/>
      <c r="N646" s="62"/>
      <c r="O646" s="62"/>
      <c r="P646" s="62"/>
      <c r="Q646" s="62"/>
    </row>
    <row r="647" spans="2:17" x14ac:dyDescent="0.35">
      <c r="B647" s="62"/>
      <c r="C647" s="61"/>
      <c r="D647" s="63"/>
      <c r="E647" s="63"/>
      <c r="F647" s="62"/>
      <c r="G647" s="62"/>
      <c r="H647" s="62"/>
      <c r="I647" s="62"/>
      <c r="J647" s="62"/>
      <c r="K647" s="62"/>
      <c r="L647" s="62"/>
      <c r="M647" s="62"/>
      <c r="N647" s="62"/>
      <c r="O647" s="62"/>
      <c r="P647" s="62"/>
      <c r="Q647" s="62"/>
    </row>
    <row r="648" spans="2:17" x14ac:dyDescent="0.35">
      <c r="B648" s="62"/>
      <c r="C648" s="61"/>
      <c r="D648" s="63"/>
      <c r="E648" s="63"/>
      <c r="F648" s="62"/>
      <c r="G648" s="62"/>
      <c r="H648" s="62"/>
      <c r="I648" s="62"/>
      <c r="J648" s="62"/>
      <c r="K648" s="62"/>
      <c r="L648" s="62"/>
      <c r="M648" s="62"/>
      <c r="N648" s="62"/>
      <c r="O648" s="62"/>
      <c r="P648" s="62"/>
      <c r="Q648" s="62"/>
    </row>
    <row r="649" spans="2:17" x14ac:dyDescent="0.35">
      <c r="B649" s="62"/>
      <c r="C649" s="61"/>
      <c r="D649" s="63"/>
      <c r="E649" s="63"/>
      <c r="F649" s="62"/>
      <c r="G649" s="62"/>
      <c r="H649" s="62"/>
      <c r="I649" s="62"/>
      <c r="J649" s="62"/>
      <c r="K649" s="62"/>
      <c r="L649" s="62"/>
      <c r="M649" s="62"/>
      <c r="N649" s="62"/>
      <c r="O649" s="62"/>
      <c r="P649" s="62"/>
      <c r="Q649" s="62"/>
    </row>
    <row r="650" spans="2:17" x14ac:dyDescent="0.35">
      <c r="B650" s="62"/>
      <c r="C650" s="61"/>
      <c r="D650" s="63"/>
      <c r="E650" s="63"/>
      <c r="F650" s="62"/>
      <c r="G650" s="62"/>
      <c r="H650" s="62"/>
      <c r="I650" s="62"/>
      <c r="J650" s="62"/>
      <c r="K650" s="62"/>
      <c r="L650" s="62"/>
      <c r="M650" s="62"/>
      <c r="N650" s="62"/>
      <c r="O650" s="62"/>
      <c r="P650" s="62"/>
      <c r="Q650" s="62"/>
    </row>
    <row r="651" spans="2:17" x14ac:dyDescent="0.35">
      <c r="B651" s="62"/>
      <c r="C651" s="61"/>
      <c r="D651" s="63"/>
      <c r="E651" s="63"/>
      <c r="F651" s="62"/>
      <c r="G651" s="62"/>
      <c r="H651" s="62"/>
      <c r="I651" s="62"/>
      <c r="J651" s="62"/>
      <c r="K651" s="62"/>
      <c r="L651" s="62"/>
      <c r="M651" s="62"/>
      <c r="N651" s="62"/>
      <c r="O651" s="62"/>
      <c r="P651" s="62"/>
      <c r="Q651" s="62"/>
    </row>
    <row r="652" spans="2:17" x14ac:dyDescent="0.35">
      <c r="B652" s="62"/>
      <c r="C652" s="61"/>
      <c r="D652" s="63"/>
      <c r="E652" s="63"/>
      <c r="F652" s="62"/>
      <c r="G652" s="62"/>
      <c r="H652" s="62"/>
      <c r="I652" s="62"/>
      <c r="J652" s="62"/>
      <c r="K652" s="62"/>
      <c r="L652" s="62"/>
      <c r="M652" s="62"/>
      <c r="N652" s="62"/>
      <c r="O652" s="62"/>
      <c r="P652" s="62"/>
      <c r="Q652" s="62"/>
    </row>
    <row r="653" spans="2:17" x14ac:dyDescent="0.35">
      <c r="B653" s="62"/>
      <c r="C653" s="61"/>
      <c r="D653" s="63"/>
      <c r="E653" s="63"/>
      <c r="F653" s="62"/>
      <c r="G653" s="62"/>
      <c r="H653" s="62"/>
      <c r="I653" s="62"/>
      <c r="J653" s="62"/>
      <c r="K653" s="62"/>
      <c r="L653" s="62"/>
      <c r="M653" s="62"/>
      <c r="N653" s="62"/>
      <c r="O653" s="62"/>
      <c r="P653" s="62"/>
      <c r="Q653" s="62"/>
    </row>
    <row r="654" spans="2:17" x14ac:dyDescent="0.35">
      <c r="B654" s="62"/>
      <c r="C654" s="61"/>
      <c r="D654" s="63"/>
      <c r="E654" s="63"/>
      <c r="F654" s="62"/>
      <c r="G654" s="62"/>
      <c r="H654" s="62"/>
      <c r="I654" s="62"/>
      <c r="J654" s="62"/>
      <c r="K654" s="62"/>
      <c r="L654" s="62"/>
      <c r="M654" s="62"/>
      <c r="N654" s="62"/>
      <c r="O654" s="62"/>
      <c r="P654" s="62"/>
      <c r="Q654" s="62"/>
    </row>
    <row r="655" spans="2:17" x14ac:dyDescent="0.35">
      <c r="B655" s="62"/>
      <c r="C655" s="61"/>
      <c r="D655" s="63"/>
      <c r="E655" s="63"/>
      <c r="F655" s="62"/>
      <c r="G655" s="62"/>
      <c r="H655" s="62"/>
      <c r="I655" s="62"/>
      <c r="J655" s="62"/>
      <c r="K655" s="62"/>
      <c r="L655" s="62"/>
      <c r="M655" s="62"/>
      <c r="N655" s="62"/>
      <c r="O655" s="62"/>
      <c r="P655" s="62"/>
      <c r="Q655" s="62"/>
    </row>
    <row r="656" spans="2:17" x14ac:dyDescent="0.35">
      <c r="B656" s="62"/>
      <c r="C656" s="61"/>
      <c r="D656" s="63"/>
      <c r="E656" s="63"/>
      <c r="F656" s="62"/>
      <c r="G656" s="62"/>
      <c r="H656" s="62"/>
      <c r="I656" s="62"/>
      <c r="J656" s="62"/>
      <c r="K656" s="62"/>
      <c r="L656" s="62"/>
      <c r="M656" s="62"/>
      <c r="N656" s="62"/>
      <c r="O656" s="62"/>
      <c r="P656" s="62"/>
      <c r="Q656" s="62"/>
    </row>
    <row r="657" spans="2:17" x14ac:dyDescent="0.35">
      <c r="B657" s="62"/>
      <c r="C657" s="61"/>
      <c r="D657" s="63"/>
      <c r="E657" s="63"/>
      <c r="F657" s="62"/>
      <c r="G657" s="62"/>
      <c r="H657" s="62"/>
      <c r="I657" s="62"/>
      <c r="J657" s="62"/>
      <c r="K657" s="62"/>
      <c r="L657" s="62"/>
      <c r="M657" s="62"/>
      <c r="N657" s="62"/>
      <c r="O657" s="62"/>
      <c r="P657" s="62"/>
      <c r="Q657" s="62"/>
    </row>
    <row r="658" spans="2:17" x14ac:dyDescent="0.35">
      <c r="B658" s="62"/>
      <c r="C658" s="61"/>
      <c r="D658" s="63"/>
      <c r="E658" s="63"/>
      <c r="F658" s="62"/>
      <c r="G658" s="62"/>
      <c r="H658" s="62"/>
      <c r="I658" s="62"/>
      <c r="J658" s="62"/>
      <c r="K658" s="62"/>
      <c r="L658" s="62"/>
      <c r="M658" s="62"/>
      <c r="N658" s="62"/>
      <c r="O658" s="62"/>
      <c r="P658" s="62"/>
      <c r="Q658" s="62"/>
    </row>
    <row r="659" spans="2:17" x14ac:dyDescent="0.35">
      <c r="B659" s="62"/>
      <c r="C659" s="61"/>
      <c r="D659" s="63"/>
      <c r="E659" s="63"/>
      <c r="F659" s="62"/>
      <c r="G659" s="62"/>
      <c r="H659" s="62"/>
      <c r="I659" s="62"/>
      <c r="J659" s="62"/>
      <c r="K659" s="62"/>
      <c r="L659" s="62"/>
      <c r="M659" s="62"/>
      <c r="N659" s="62"/>
      <c r="O659" s="62"/>
      <c r="P659" s="62"/>
      <c r="Q659" s="62"/>
    </row>
    <row r="660" spans="2:17" x14ac:dyDescent="0.35">
      <c r="B660" s="62"/>
      <c r="C660" s="61"/>
      <c r="D660" s="63"/>
      <c r="E660" s="63"/>
      <c r="F660" s="62"/>
      <c r="G660" s="62"/>
      <c r="H660" s="62"/>
      <c r="I660" s="62"/>
      <c r="J660" s="62"/>
      <c r="K660" s="62"/>
      <c r="L660" s="62"/>
      <c r="M660" s="62"/>
      <c r="N660" s="62"/>
      <c r="O660" s="62"/>
      <c r="P660" s="62"/>
      <c r="Q660" s="62"/>
    </row>
    <row r="661" spans="2:17" x14ac:dyDescent="0.35">
      <c r="B661" s="62"/>
      <c r="C661" s="61"/>
      <c r="D661" s="63"/>
      <c r="E661" s="63"/>
      <c r="F661" s="62"/>
      <c r="G661" s="62"/>
      <c r="H661" s="62"/>
      <c r="I661" s="62"/>
      <c r="J661" s="62"/>
      <c r="K661" s="62"/>
      <c r="L661" s="62"/>
      <c r="M661" s="62"/>
      <c r="N661" s="62"/>
      <c r="O661" s="62"/>
      <c r="P661" s="62"/>
      <c r="Q661" s="62"/>
    </row>
    <row r="662" spans="2:17" x14ac:dyDescent="0.35">
      <c r="B662" s="62"/>
      <c r="C662" s="61"/>
      <c r="D662" s="63"/>
      <c r="E662" s="63"/>
      <c r="F662" s="62"/>
      <c r="G662" s="62"/>
      <c r="H662" s="62"/>
      <c r="I662" s="62"/>
      <c r="J662" s="62"/>
      <c r="K662" s="62"/>
      <c r="L662" s="62"/>
      <c r="M662" s="62"/>
      <c r="N662" s="62"/>
      <c r="O662" s="62"/>
      <c r="P662" s="62"/>
      <c r="Q662" s="62"/>
    </row>
    <row r="663" spans="2:17" x14ac:dyDescent="0.35">
      <c r="B663" s="62"/>
      <c r="C663" s="61"/>
      <c r="D663" s="63"/>
      <c r="E663" s="63"/>
      <c r="F663" s="62"/>
      <c r="G663" s="62"/>
      <c r="H663" s="62"/>
      <c r="I663" s="62"/>
      <c r="J663" s="62"/>
      <c r="K663" s="62"/>
      <c r="L663" s="62"/>
      <c r="M663" s="62"/>
      <c r="N663" s="62"/>
      <c r="O663" s="62"/>
      <c r="P663" s="62"/>
      <c r="Q663" s="62"/>
    </row>
    <row r="664" spans="2:17" x14ac:dyDescent="0.35">
      <c r="B664" s="62"/>
      <c r="C664" s="61"/>
      <c r="D664" s="63"/>
      <c r="E664" s="63"/>
      <c r="F664" s="62"/>
      <c r="G664" s="62"/>
      <c r="H664" s="62"/>
      <c r="I664" s="62"/>
      <c r="J664" s="62"/>
      <c r="K664" s="62"/>
      <c r="L664" s="62"/>
      <c r="M664" s="62"/>
      <c r="N664" s="62"/>
      <c r="O664" s="62"/>
      <c r="P664" s="62"/>
      <c r="Q664" s="62"/>
    </row>
    <row r="665" spans="2:17" x14ac:dyDescent="0.35">
      <c r="B665" s="62"/>
      <c r="C665" s="61"/>
      <c r="D665" s="63"/>
      <c r="E665" s="63"/>
      <c r="F665" s="62"/>
      <c r="G665" s="62"/>
      <c r="H665" s="62"/>
      <c r="I665" s="62"/>
      <c r="J665" s="62"/>
      <c r="K665" s="62"/>
      <c r="L665" s="62"/>
      <c r="M665" s="62"/>
      <c r="N665" s="62"/>
      <c r="O665" s="62"/>
      <c r="P665" s="62"/>
      <c r="Q665" s="62"/>
    </row>
    <row r="666" spans="2:17" x14ac:dyDescent="0.35">
      <c r="B666" s="62"/>
      <c r="C666" s="61"/>
      <c r="D666" s="63"/>
      <c r="E666" s="63"/>
      <c r="F666" s="62"/>
      <c r="G666" s="62"/>
      <c r="H666" s="62"/>
      <c r="I666" s="62"/>
      <c r="J666" s="62"/>
      <c r="K666" s="62"/>
      <c r="L666" s="62"/>
      <c r="M666" s="62"/>
      <c r="N666" s="62"/>
      <c r="O666" s="62"/>
      <c r="P666" s="62"/>
      <c r="Q666" s="62"/>
    </row>
    <row r="667" spans="2:17" x14ac:dyDescent="0.35">
      <c r="B667" s="62"/>
      <c r="C667" s="61"/>
      <c r="D667" s="63"/>
      <c r="E667" s="63"/>
      <c r="F667" s="62"/>
      <c r="G667" s="62"/>
      <c r="H667" s="62"/>
      <c r="I667" s="62"/>
      <c r="J667" s="62"/>
      <c r="K667" s="62"/>
      <c r="L667" s="62"/>
      <c r="M667" s="62"/>
      <c r="N667" s="62"/>
      <c r="O667" s="62"/>
      <c r="P667" s="62"/>
      <c r="Q667" s="62"/>
    </row>
    <row r="668" spans="2:17" x14ac:dyDescent="0.35">
      <c r="B668" s="62"/>
      <c r="C668" s="61"/>
      <c r="D668" s="63"/>
      <c r="E668" s="63"/>
      <c r="F668" s="62"/>
      <c r="G668" s="62"/>
      <c r="H668" s="62"/>
      <c r="I668" s="62"/>
      <c r="J668" s="62"/>
      <c r="K668" s="62"/>
      <c r="L668" s="62"/>
      <c r="M668" s="62"/>
      <c r="N668" s="62"/>
      <c r="O668" s="62"/>
      <c r="P668" s="62"/>
      <c r="Q668" s="62"/>
    </row>
    <row r="669" spans="2:17" x14ac:dyDescent="0.35">
      <c r="B669" s="62"/>
      <c r="C669" s="61"/>
      <c r="D669" s="63"/>
      <c r="E669" s="63"/>
      <c r="F669" s="62"/>
      <c r="G669" s="62"/>
      <c r="H669" s="62"/>
      <c r="I669" s="62"/>
      <c r="J669" s="62"/>
      <c r="K669" s="62"/>
      <c r="L669" s="62"/>
      <c r="M669" s="62"/>
      <c r="N669" s="62"/>
      <c r="O669" s="62"/>
      <c r="P669" s="62"/>
      <c r="Q669" s="62"/>
    </row>
    <row r="670" spans="2:17" x14ac:dyDescent="0.35">
      <c r="B670" s="62"/>
      <c r="C670" s="61"/>
      <c r="D670" s="63"/>
      <c r="E670" s="63"/>
      <c r="F670" s="62"/>
      <c r="G670" s="62"/>
      <c r="H670" s="62"/>
      <c r="I670" s="62"/>
      <c r="J670" s="62"/>
      <c r="K670" s="62"/>
      <c r="L670" s="62"/>
      <c r="M670" s="62"/>
      <c r="N670" s="62"/>
      <c r="O670" s="62"/>
      <c r="P670" s="62"/>
      <c r="Q670" s="62"/>
    </row>
    <row r="671" spans="2:17" x14ac:dyDescent="0.35">
      <c r="B671" s="62"/>
      <c r="C671" s="61"/>
      <c r="D671" s="63"/>
      <c r="E671" s="63"/>
      <c r="F671" s="62"/>
      <c r="G671" s="62"/>
      <c r="H671" s="62"/>
      <c r="I671" s="62"/>
      <c r="J671" s="62"/>
      <c r="K671" s="62"/>
      <c r="L671" s="62"/>
      <c r="M671" s="62"/>
      <c r="N671" s="62"/>
      <c r="O671" s="62"/>
      <c r="P671" s="62"/>
      <c r="Q671" s="62"/>
    </row>
    <row r="672" spans="2:17" x14ac:dyDescent="0.35">
      <c r="B672" s="62"/>
      <c r="C672" s="61"/>
      <c r="D672" s="63"/>
      <c r="E672" s="63"/>
      <c r="F672" s="62"/>
      <c r="G672" s="62"/>
      <c r="H672" s="62"/>
      <c r="I672" s="62"/>
      <c r="J672" s="62"/>
      <c r="K672" s="62"/>
      <c r="L672" s="62"/>
      <c r="M672" s="62"/>
      <c r="N672" s="62"/>
      <c r="O672" s="62"/>
      <c r="P672" s="62"/>
      <c r="Q672" s="62"/>
    </row>
    <row r="673" spans="2:17" x14ac:dyDescent="0.35">
      <c r="B673" s="62"/>
      <c r="C673" s="61"/>
      <c r="D673" s="63"/>
      <c r="E673" s="63"/>
      <c r="F673" s="62"/>
      <c r="G673" s="62"/>
      <c r="H673" s="62"/>
      <c r="I673" s="62"/>
      <c r="J673" s="62"/>
      <c r="K673" s="62"/>
      <c r="L673" s="62"/>
      <c r="M673" s="62"/>
      <c r="N673" s="62"/>
      <c r="O673" s="62"/>
      <c r="P673" s="62"/>
      <c r="Q673" s="62"/>
    </row>
    <row r="674" spans="2:17" x14ac:dyDescent="0.35">
      <c r="B674" s="62"/>
      <c r="C674" s="61"/>
      <c r="D674" s="63"/>
      <c r="E674" s="63"/>
      <c r="F674" s="62"/>
      <c r="G674" s="62"/>
      <c r="H674" s="62"/>
      <c r="I674" s="62"/>
      <c r="J674" s="62"/>
      <c r="K674" s="62"/>
      <c r="L674" s="62"/>
      <c r="M674" s="62"/>
      <c r="N674" s="62"/>
      <c r="O674" s="62"/>
      <c r="P674" s="62"/>
      <c r="Q674" s="62"/>
    </row>
    <row r="675" spans="2:17" x14ac:dyDescent="0.35">
      <c r="B675" s="62"/>
      <c r="C675" s="61"/>
      <c r="D675" s="63"/>
      <c r="E675" s="63"/>
      <c r="F675" s="62"/>
      <c r="G675" s="62"/>
      <c r="H675" s="62"/>
      <c r="I675" s="62"/>
      <c r="J675" s="62"/>
      <c r="K675" s="62"/>
      <c r="L675" s="62"/>
      <c r="M675" s="62"/>
      <c r="N675" s="62"/>
      <c r="O675" s="62"/>
      <c r="P675" s="62"/>
      <c r="Q675" s="62"/>
    </row>
    <row r="676" spans="2:17" x14ac:dyDescent="0.35">
      <c r="B676" s="62"/>
      <c r="C676" s="61"/>
      <c r="D676" s="63"/>
      <c r="E676" s="63"/>
      <c r="F676" s="62"/>
      <c r="G676" s="62"/>
      <c r="H676" s="62"/>
      <c r="I676" s="62"/>
      <c r="J676" s="62"/>
      <c r="K676" s="62"/>
      <c r="L676" s="62"/>
      <c r="M676" s="62"/>
      <c r="N676" s="62"/>
      <c r="O676" s="62"/>
      <c r="P676" s="62"/>
      <c r="Q676" s="62"/>
    </row>
    <row r="677" spans="2:17" x14ac:dyDescent="0.35">
      <c r="B677" s="62"/>
      <c r="C677" s="61"/>
      <c r="D677" s="63"/>
      <c r="E677" s="63"/>
      <c r="F677" s="62"/>
      <c r="G677" s="62"/>
      <c r="H677" s="62"/>
      <c r="I677" s="62"/>
      <c r="J677" s="62"/>
      <c r="K677" s="62"/>
      <c r="L677" s="62"/>
      <c r="M677" s="62"/>
      <c r="N677" s="62"/>
      <c r="O677" s="62"/>
      <c r="P677" s="62"/>
      <c r="Q677" s="62"/>
    </row>
    <row r="678" spans="2:17" x14ac:dyDescent="0.35">
      <c r="B678" s="62"/>
      <c r="C678" s="61"/>
      <c r="D678" s="63"/>
      <c r="E678" s="63"/>
      <c r="F678" s="62"/>
      <c r="G678" s="62"/>
      <c r="H678" s="62"/>
      <c r="I678" s="62"/>
      <c r="J678" s="62"/>
      <c r="K678" s="62"/>
      <c r="L678" s="62"/>
      <c r="M678" s="62"/>
      <c r="N678" s="62"/>
      <c r="O678" s="62"/>
      <c r="P678" s="62"/>
      <c r="Q678" s="62"/>
    </row>
    <row r="679" spans="2:17" x14ac:dyDescent="0.35">
      <c r="B679" s="62"/>
      <c r="C679" s="61"/>
      <c r="D679" s="63"/>
      <c r="E679" s="63"/>
      <c r="F679" s="62"/>
      <c r="G679" s="62"/>
      <c r="H679" s="62"/>
      <c r="I679" s="62"/>
      <c r="J679" s="62"/>
      <c r="K679" s="62"/>
      <c r="L679" s="62"/>
      <c r="M679" s="62"/>
      <c r="N679" s="62"/>
      <c r="O679" s="62"/>
      <c r="P679" s="62"/>
      <c r="Q679" s="62"/>
    </row>
    <row r="680" spans="2:17" x14ac:dyDescent="0.35">
      <c r="B680" s="62"/>
      <c r="C680" s="61"/>
      <c r="D680" s="63"/>
      <c r="E680" s="63"/>
      <c r="F680" s="62"/>
      <c r="G680" s="62"/>
      <c r="H680" s="62"/>
      <c r="I680" s="62"/>
      <c r="J680" s="62"/>
      <c r="K680" s="62"/>
      <c r="L680" s="62"/>
      <c r="M680" s="62"/>
      <c r="N680" s="62"/>
      <c r="O680" s="62"/>
      <c r="P680" s="62"/>
      <c r="Q680" s="62"/>
    </row>
    <row r="681" spans="2:17" x14ac:dyDescent="0.35">
      <c r="B681" s="62"/>
      <c r="C681" s="61"/>
      <c r="D681" s="63"/>
      <c r="E681" s="63"/>
      <c r="F681" s="62"/>
      <c r="G681" s="62"/>
      <c r="H681" s="62"/>
      <c r="I681" s="62"/>
      <c r="J681" s="62"/>
      <c r="K681" s="62"/>
      <c r="L681" s="62"/>
      <c r="M681" s="62"/>
      <c r="N681" s="62"/>
      <c r="O681" s="62"/>
      <c r="P681" s="62"/>
      <c r="Q681" s="62"/>
    </row>
    <row r="682" spans="2:17" x14ac:dyDescent="0.35">
      <c r="B682" s="62"/>
      <c r="C682" s="61"/>
      <c r="D682" s="63"/>
      <c r="E682" s="63"/>
      <c r="F682" s="62"/>
      <c r="G682" s="62"/>
      <c r="H682" s="62"/>
      <c r="I682" s="62"/>
      <c r="J682" s="62"/>
      <c r="K682" s="62"/>
      <c r="L682" s="62"/>
      <c r="M682" s="62"/>
      <c r="N682" s="62"/>
      <c r="O682" s="62"/>
      <c r="P682" s="62"/>
      <c r="Q682" s="62"/>
    </row>
    <row r="683" spans="2:17" x14ac:dyDescent="0.35">
      <c r="B683" s="62"/>
      <c r="C683" s="61"/>
      <c r="D683" s="63"/>
      <c r="E683" s="63"/>
      <c r="F683" s="62"/>
      <c r="G683" s="62"/>
      <c r="H683" s="62"/>
      <c r="I683" s="62"/>
      <c r="J683" s="62"/>
      <c r="K683" s="62"/>
      <c r="L683" s="62"/>
      <c r="M683" s="62"/>
      <c r="N683" s="62"/>
      <c r="O683" s="62"/>
      <c r="P683" s="62"/>
      <c r="Q683" s="62"/>
    </row>
    <row r="684" spans="2:17" x14ac:dyDescent="0.35">
      <c r="B684" s="62"/>
      <c r="C684" s="61"/>
      <c r="D684" s="63"/>
      <c r="E684" s="63"/>
      <c r="F684" s="62"/>
      <c r="G684" s="62"/>
      <c r="H684" s="62"/>
      <c r="I684" s="62"/>
      <c r="J684" s="62"/>
      <c r="K684" s="62"/>
      <c r="L684" s="62"/>
      <c r="M684" s="62"/>
      <c r="N684" s="62"/>
      <c r="O684" s="62"/>
      <c r="P684" s="62"/>
      <c r="Q684" s="62"/>
    </row>
    <row r="685" spans="2:17" x14ac:dyDescent="0.35">
      <c r="B685" s="62"/>
      <c r="C685" s="61"/>
      <c r="D685" s="63"/>
      <c r="E685" s="63"/>
      <c r="F685" s="62"/>
      <c r="G685" s="62"/>
      <c r="H685" s="62"/>
      <c r="I685" s="62"/>
      <c r="J685" s="62"/>
      <c r="K685" s="62"/>
      <c r="L685" s="62"/>
      <c r="M685" s="62"/>
      <c r="N685" s="62"/>
      <c r="O685" s="62"/>
      <c r="P685" s="62"/>
      <c r="Q685" s="62"/>
    </row>
    <row r="686" spans="2:17" x14ac:dyDescent="0.35">
      <c r="B686" s="62"/>
      <c r="C686" s="61"/>
      <c r="D686" s="63"/>
      <c r="E686" s="63"/>
      <c r="F686" s="62"/>
      <c r="G686" s="62"/>
      <c r="H686" s="62"/>
      <c r="I686" s="62"/>
      <c r="J686" s="62"/>
      <c r="K686" s="62"/>
      <c r="L686" s="62"/>
      <c r="M686" s="62"/>
      <c r="N686" s="62"/>
      <c r="O686" s="62"/>
      <c r="P686" s="62"/>
      <c r="Q686" s="62"/>
    </row>
    <row r="687" spans="2:17" x14ac:dyDescent="0.35">
      <c r="B687" s="62"/>
      <c r="C687" s="61"/>
      <c r="D687" s="63"/>
      <c r="E687" s="63"/>
      <c r="F687" s="62"/>
      <c r="G687" s="62"/>
      <c r="H687" s="62"/>
      <c r="I687" s="62"/>
      <c r="J687" s="62"/>
      <c r="K687" s="62"/>
      <c r="L687" s="62"/>
      <c r="M687" s="62"/>
      <c r="N687" s="62"/>
      <c r="O687" s="62"/>
      <c r="P687" s="62"/>
      <c r="Q687" s="62"/>
    </row>
    <row r="688" spans="2:17" x14ac:dyDescent="0.35">
      <c r="B688" s="62"/>
      <c r="C688" s="61"/>
      <c r="D688" s="63"/>
      <c r="E688" s="63"/>
      <c r="F688" s="62"/>
      <c r="G688" s="62"/>
      <c r="H688" s="62"/>
      <c r="I688" s="62"/>
      <c r="J688" s="62"/>
      <c r="K688" s="62"/>
      <c r="L688" s="62"/>
      <c r="M688" s="62"/>
      <c r="N688" s="62"/>
      <c r="O688" s="62"/>
      <c r="P688" s="62"/>
      <c r="Q688" s="62"/>
    </row>
    <row r="689" spans="2:17" x14ac:dyDescent="0.35">
      <c r="B689" s="62"/>
      <c r="C689" s="61"/>
      <c r="D689" s="63"/>
      <c r="E689" s="63"/>
      <c r="F689" s="62"/>
      <c r="G689" s="62"/>
      <c r="H689" s="62"/>
      <c r="I689" s="62"/>
      <c r="J689" s="62"/>
      <c r="K689" s="62"/>
      <c r="L689" s="62"/>
      <c r="M689" s="62"/>
      <c r="N689" s="62"/>
      <c r="O689" s="62"/>
      <c r="P689" s="62"/>
      <c r="Q689" s="62"/>
    </row>
    <row r="690" spans="2:17" x14ac:dyDescent="0.35">
      <c r="B690" s="62"/>
      <c r="C690" s="61"/>
      <c r="D690" s="63"/>
      <c r="E690" s="63"/>
      <c r="F690" s="62"/>
      <c r="G690" s="62"/>
      <c r="H690" s="62"/>
      <c r="I690" s="62"/>
      <c r="J690" s="62"/>
      <c r="K690" s="62"/>
      <c r="L690" s="62"/>
      <c r="M690" s="62"/>
      <c r="N690" s="62"/>
      <c r="O690" s="62"/>
      <c r="P690" s="62"/>
      <c r="Q690" s="62"/>
    </row>
    <row r="691" spans="2:17" x14ac:dyDescent="0.35">
      <c r="B691" s="62"/>
      <c r="C691" s="61"/>
      <c r="D691" s="63"/>
      <c r="E691" s="63"/>
      <c r="F691" s="62"/>
      <c r="G691" s="62"/>
      <c r="H691" s="62"/>
      <c r="I691" s="62"/>
      <c r="J691" s="62"/>
      <c r="K691" s="62"/>
      <c r="L691" s="62"/>
      <c r="M691" s="62"/>
      <c r="N691" s="62"/>
      <c r="O691" s="62"/>
      <c r="P691" s="62"/>
      <c r="Q691" s="62"/>
    </row>
    <row r="692" spans="2:17" x14ac:dyDescent="0.35">
      <c r="B692" s="62"/>
      <c r="C692" s="61"/>
      <c r="D692" s="63"/>
      <c r="E692" s="63"/>
      <c r="F692" s="62"/>
      <c r="G692" s="62"/>
      <c r="H692" s="62"/>
      <c r="I692" s="62"/>
      <c r="J692" s="62"/>
      <c r="K692" s="62"/>
      <c r="L692" s="62"/>
      <c r="M692" s="62"/>
      <c r="N692" s="62"/>
      <c r="O692" s="62"/>
      <c r="P692" s="62"/>
      <c r="Q692" s="62"/>
    </row>
    <row r="693" spans="2:17" x14ac:dyDescent="0.35">
      <c r="B693" s="62"/>
      <c r="C693" s="61"/>
      <c r="D693" s="63"/>
      <c r="E693" s="63"/>
      <c r="F693" s="62"/>
      <c r="G693" s="62"/>
      <c r="H693" s="62"/>
      <c r="I693" s="62"/>
      <c r="J693" s="62"/>
      <c r="K693" s="62"/>
      <c r="L693" s="62"/>
      <c r="M693" s="62"/>
      <c r="N693" s="62"/>
      <c r="O693" s="62"/>
      <c r="P693" s="62"/>
      <c r="Q693" s="62"/>
    </row>
    <row r="694" spans="2:17" x14ac:dyDescent="0.35">
      <c r="B694" s="62"/>
      <c r="C694" s="61"/>
      <c r="D694" s="63"/>
      <c r="E694" s="63"/>
      <c r="F694" s="62"/>
      <c r="G694" s="62"/>
      <c r="H694" s="62"/>
      <c r="I694" s="62"/>
      <c r="J694" s="62"/>
      <c r="K694" s="62"/>
      <c r="L694" s="62"/>
      <c r="M694" s="62"/>
      <c r="N694" s="62"/>
      <c r="O694" s="62"/>
      <c r="P694" s="62"/>
      <c r="Q694" s="62"/>
    </row>
    <row r="695" spans="2:17" x14ac:dyDescent="0.35">
      <c r="B695" s="62"/>
      <c r="C695" s="61"/>
      <c r="D695" s="63"/>
      <c r="E695" s="63"/>
      <c r="F695" s="62"/>
      <c r="G695" s="62"/>
      <c r="H695" s="62"/>
      <c r="I695" s="62"/>
      <c r="J695" s="62"/>
      <c r="K695" s="62"/>
      <c r="L695" s="62"/>
      <c r="M695" s="62"/>
      <c r="N695" s="62"/>
      <c r="O695" s="62"/>
      <c r="P695" s="62"/>
      <c r="Q695" s="62"/>
    </row>
    <row r="696" spans="2:17" x14ac:dyDescent="0.35">
      <c r="B696" s="62"/>
      <c r="C696" s="61"/>
      <c r="D696" s="63"/>
      <c r="E696" s="63"/>
      <c r="F696" s="62"/>
      <c r="G696" s="62"/>
      <c r="H696" s="62"/>
      <c r="I696" s="62"/>
      <c r="J696" s="62"/>
      <c r="K696" s="62"/>
      <c r="L696" s="62"/>
      <c r="M696" s="62"/>
      <c r="N696" s="62"/>
      <c r="O696" s="62"/>
      <c r="P696" s="62"/>
      <c r="Q696" s="62"/>
    </row>
    <row r="697" spans="2:17" x14ac:dyDescent="0.35">
      <c r="B697" s="62"/>
      <c r="C697" s="61"/>
      <c r="D697" s="63"/>
      <c r="E697" s="63"/>
      <c r="F697" s="62"/>
      <c r="G697" s="62"/>
      <c r="H697" s="62"/>
      <c r="I697" s="62"/>
      <c r="J697" s="62"/>
      <c r="K697" s="62"/>
      <c r="L697" s="62"/>
      <c r="M697" s="62"/>
      <c r="N697" s="62"/>
      <c r="O697" s="62"/>
      <c r="P697" s="62"/>
      <c r="Q697" s="62"/>
    </row>
    <row r="698" spans="2:17" x14ac:dyDescent="0.35">
      <c r="B698" s="62"/>
      <c r="C698" s="61"/>
      <c r="D698" s="63"/>
      <c r="E698" s="63"/>
      <c r="F698" s="62"/>
      <c r="G698" s="62"/>
      <c r="H698" s="62"/>
      <c r="I698" s="62"/>
      <c r="J698" s="62"/>
      <c r="K698" s="62"/>
      <c r="L698" s="62"/>
      <c r="M698" s="62"/>
      <c r="N698" s="62"/>
      <c r="O698" s="62"/>
      <c r="P698" s="62"/>
      <c r="Q698" s="62"/>
    </row>
    <row r="699" spans="2:17" x14ac:dyDescent="0.35">
      <c r="B699" s="62"/>
      <c r="C699" s="61"/>
      <c r="D699" s="63"/>
      <c r="E699" s="63"/>
      <c r="F699" s="62"/>
      <c r="G699" s="62"/>
      <c r="H699" s="62"/>
      <c r="I699" s="62"/>
      <c r="J699" s="62"/>
      <c r="K699" s="62"/>
      <c r="L699" s="62"/>
      <c r="M699" s="62"/>
      <c r="N699" s="62"/>
      <c r="O699" s="62"/>
      <c r="P699" s="62"/>
      <c r="Q699" s="62"/>
    </row>
    <row r="700" spans="2:17" x14ac:dyDescent="0.35">
      <c r="B700" s="62"/>
      <c r="C700" s="61"/>
      <c r="D700" s="63"/>
      <c r="E700" s="63"/>
      <c r="F700" s="62"/>
      <c r="G700" s="62"/>
      <c r="H700" s="62"/>
      <c r="I700" s="62"/>
      <c r="J700" s="62"/>
      <c r="K700" s="62"/>
      <c r="L700" s="62"/>
      <c r="M700" s="62"/>
      <c r="N700" s="62"/>
      <c r="O700" s="62"/>
      <c r="P700" s="62"/>
      <c r="Q700" s="62"/>
    </row>
    <row r="701" spans="2:17" x14ac:dyDescent="0.35">
      <c r="B701" s="62"/>
      <c r="C701" s="61"/>
      <c r="D701" s="63"/>
      <c r="E701" s="63"/>
      <c r="F701" s="62"/>
      <c r="G701" s="62"/>
      <c r="H701" s="62"/>
      <c r="I701" s="62"/>
      <c r="J701" s="62"/>
      <c r="K701" s="62"/>
      <c r="L701" s="62"/>
      <c r="M701" s="62"/>
      <c r="N701" s="62"/>
      <c r="O701" s="62"/>
      <c r="P701" s="62"/>
      <c r="Q701" s="62"/>
    </row>
    <row r="702" spans="2:17" x14ac:dyDescent="0.35">
      <c r="B702" s="62"/>
      <c r="C702" s="61"/>
      <c r="D702" s="63"/>
      <c r="E702" s="63"/>
      <c r="F702" s="62"/>
      <c r="G702" s="62"/>
      <c r="H702" s="62"/>
      <c r="I702" s="62"/>
      <c r="J702" s="62"/>
      <c r="K702" s="62"/>
      <c r="L702" s="62"/>
      <c r="M702" s="62"/>
      <c r="N702" s="62"/>
      <c r="O702" s="62"/>
      <c r="P702" s="62"/>
      <c r="Q702" s="62"/>
    </row>
    <row r="703" spans="2:17" x14ac:dyDescent="0.35">
      <c r="B703" s="62"/>
      <c r="C703" s="61"/>
      <c r="D703" s="63"/>
      <c r="E703" s="63"/>
      <c r="F703" s="62"/>
      <c r="G703" s="62"/>
      <c r="H703" s="62"/>
      <c r="I703" s="62"/>
      <c r="J703" s="62"/>
      <c r="K703" s="62"/>
      <c r="L703" s="62"/>
      <c r="M703" s="62"/>
      <c r="N703" s="62"/>
      <c r="O703" s="62"/>
      <c r="P703" s="62"/>
      <c r="Q703" s="62"/>
    </row>
    <row r="704" spans="2:17" x14ac:dyDescent="0.35">
      <c r="B704" s="62"/>
      <c r="C704" s="61"/>
      <c r="D704" s="63"/>
      <c r="E704" s="63"/>
      <c r="F704" s="62"/>
      <c r="G704" s="62"/>
      <c r="H704" s="62"/>
      <c r="I704" s="62"/>
      <c r="J704" s="62"/>
      <c r="K704" s="62"/>
      <c r="L704" s="62"/>
      <c r="M704" s="62"/>
      <c r="N704" s="62"/>
      <c r="O704" s="62"/>
      <c r="P704" s="62"/>
      <c r="Q704" s="62"/>
    </row>
    <row r="705" spans="2:17" x14ac:dyDescent="0.35">
      <c r="B705" s="62"/>
      <c r="C705" s="61"/>
      <c r="D705" s="63"/>
      <c r="E705" s="63"/>
      <c r="F705" s="62"/>
      <c r="G705" s="62"/>
      <c r="H705" s="62"/>
      <c r="I705" s="62"/>
      <c r="J705" s="62"/>
      <c r="K705" s="62"/>
      <c r="L705" s="62"/>
      <c r="M705" s="62"/>
      <c r="N705" s="62"/>
      <c r="O705" s="62"/>
      <c r="P705" s="62"/>
      <c r="Q705" s="62"/>
    </row>
    <row r="706" spans="2:17" x14ac:dyDescent="0.35">
      <c r="B706" s="62"/>
      <c r="C706" s="61"/>
      <c r="D706" s="63"/>
      <c r="E706" s="63"/>
      <c r="F706" s="62"/>
      <c r="G706" s="62"/>
      <c r="H706" s="62"/>
      <c r="I706" s="62"/>
      <c r="J706" s="62"/>
      <c r="K706" s="62"/>
      <c r="L706" s="62"/>
      <c r="M706" s="62"/>
      <c r="N706" s="62"/>
      <c r="O706" s="62"/>
      <c r="P706" s="62"/>
      <c r="Q706" s="62"/>
    </row>
    <row r="707" spans="2:17" x14ac:dyDescent="0.35">
      <c r="B707" s="62"/>
      <c r="C707" s="61"/>
      <c r="D707" s="63"/>
      <c r="E707" s="63"/>
      <c r="F707" s="62"/>
      <c r="G707" s="62"/>
      <c r="H707" s="62"/>
      <c r="I707" s="62"/>
      <c r="J707" s="62"/>
      <c r="K707" s="62"/>
      <c r="L707" s="62"/>
      <c r="M707" s="62"/>
      <c r="N707" s="62"/>
      <c r="O707" s="62"/>
      <c r="P707" s="62"/>
      <c r="Q707" s="62"/>
    </row>
    <row r="708" spans="2:17" x14ac:dyDescent="0.35">
      <c r="B708" s="62"/>
      <c r="C708" s="61"/>
      <c r="D708" s="63"/>
      <c r="E708" s="63"/>
      <c r="F708" s="62"/>
      <c r="G708" s="62"/>
      <c r="H708" s="62"/>
      <c r="I708" s="62"/>
      <c r="J708" s="62"/>
      <c r="K708" s="62"/>
      <c r="L708" s="62"/>
      <c r="M708" s="62"/>
      <c r="N708" s="62"/>
      <c r="O708" s="62"/>
      <c r="P708" s="62"/>
      <c r="Q708" s="62"/>
    </row>
    <row r="709" spans="2:17" x14ac:dyDescent="0.35">
      <c r="B709" s="62"/>
      <c r="C709" s="61"/>
      <c r="D709" s="63"/>
      <c r="E709" s="63"/>
      <c r="F709" s="62"/>
      <c r="G709" s="62"/>
      <c r="H709" s="62"/>
      <c r="I709" s="62"/>
      <c r="J709" s="62"/>
      <c r="K709" s="62"/>
      <c r="L709" s="62"/>
      <c r="M709" s="62"/>
      <c r="N709" s="62"/>
      <c r="O709" s="62"/>
      <c r="P709" s="62"/>
      <c r="Q709" s="62"/>
    </row>
    <row r="710" spans="2:17" x14ac:dyDescent="0.35">
      <c r="B710" s="62"/>
      <c r="C710" s="61"/>
      <c r="D710" s="63"/>
      <c r="E710" s="63"/>
      <c r="F710" s="62"/>
      <c r="G710" s="62"/>
      <c r="H710" s="62"/>
      <c r="I710" s="62"/>
      <c r="J710" s="62"/>
      <c r="K710" s="62"/>
      <c r="L710" s="62"/>
      <c r="M710" s="62"/>
      <c r="N710" s="62"/>
      <c r="O710" s="62"/>
      <c r="P710" s="62"/>
      <c r="Q710" s="62"/>
    </row>
    <row r="711" spans="2:17" x14ac:dyDescent="0.35">
      <c r="B711" s="62"/>
      <c r="C711" s="61"/>
      <c r="D711" s="63"/>
      <c r="E711" s="63"/>
      <c r="F711" s="62"/>
      <c r="G711" s="62"/>
      <c r="H711" s="62"/>
      <c r="I711" s="62"/>
      <c r="J711" s="62"/>
      <c r="K711" s="62"/>
      <c r="L711" s="62"/>
      <c r="M711" s="62"/>
      <c r="N711" s="62"/>
      <c r="O711" s="62"/>
      <c r="P711" s="62"/>
      <c r="Q711" s="62"/>
    </row>
    <row r="712" spans="2:17" x14ac:dyDescent="0.35">
      <c r="B712" s="62"/>
      <c r="C712" s="61"/>
      <c r="D712" s="63"/>
      <c r="E712" s="63"/>
      <c r="F712" s="62"/>
      <c r="G712" s="62"/>
      <c r="H712" s="62"/>
      <c r="I712" s="62"/>
      <c r="J712" s="62"/>
      <c r="K712" s="62"/>
      <c r="L712" s="62"/>
      <c r="M712" s="62"/>
      <c r="N712" s="62"/>
      <c r="O712" s="62"/>
      <c r="P712" s="62"/>
      <c r="Q712" s="62"/>
    </row>
    <row r="713" spans="2:17" x14ac:dyDescent="0.35">
      <c r="B713" s="62"/>
      <c r="C713" s="61"/>
      <c r="D713" s="63"/>
      <c r="E713" s="63"/>
      <c r="F713" s="62"/>
      <c r="G713" s="62"/>
      <c r="H713" s="62"/>
      <c r="I713" s="62"/>
      <c r="J713" s="62"/>
      <c r="K713" s="62"/>
      <c r="L713" s="62"/>
      <c r="M713" s="62"/>
      <c r="N713" s="62"/>
      <c r="O713" s="62"/>
      <c r="P713" s="62"/>
      <c r="Q713" s="62"/>
    </row>
    <row r="714" spans="2:17" x14ac:dyDescent="0.35">
      <c r="B714" s="62"/>
      <c r="C714" s="61"/>
      <c r="D714" s="63"/>
      <c r="E714" s="63"/>
      <c r="F714" s="62"/>
      <c r="G714" s="62"/>
      <c r="H714" s="62"/>
      <c r="I714" s="62"/>
      <c r="J714" s="62"/>
      <c r="K714" s="62"/>
      <c r="L714" s="62"/>
      <c r="M714" s="62"/>
      <c r="N714" s="62"/>
      <c r="O714" s="62"/>
      <c r="P714" s="62"/>
      <c r="Q714" s="62"/>
    </row>
    <row r="715" spans="2:17" x14ac:dyDescent="0.35">
      <c r="B715" s="62"/>
      <c r="C715" s="61"/>
      <c r="D715" s="63"/>
      <c r="E715" s="63"/>
      <c r="F715" s="62"/>
      <c r="G715" s="62"/>
      <c r="H715" s="62"/>
      <c r="I715" s="62"/>
      <c r="J715" s="62"/>
      <c r="K715" s="62"/>
      <c r="L715" s="62"/>
      <c r="M715" s="62"/>
      <c r="N715" s="62"/>
      <c r="O715" s="62"/>
      <c r="P715" s="62"/>
      <c r="Q715" s="62"/>
    </row>
    <row r="716" spans="2:17" x14ac:dyDescent="0.35">
      <c r="B716" s="62"/>
      <c r="C716" s="61"/>
      <c r="D716" s="63"/>
      <c r="E716" s="63"/>
      <c r="F716" s="62"/>
      <c r="G716" s="62"/>
      <c r="H716" s="62"/>
      <c r="I716" s="62"/>
      <c r="J716" s="62"/>
      <c r="K716" s="62"/>
      <c r="L716" s="62"/>
      <c r="M716" s="62"/>
      <c r="N716" s="62"/>
      <c r="O716" s="62"/>
      <c r="P716" s="62"/>
      <c r="Q716" s="62"/>
    </row>
    <row r="717" spans="2:17" x14ac:dyDescent="0.35">
      <c r="B717" s="62"/>
      <c r="C717" s="61"/>
      <c r="D717" s="63"/>
      <c r="E717" s="63"/>
      <c r="F717" s="62"/>
      <c r="G717" s="62"/>
      <c r="H717" s="62"/>
      <c r="I717" s="62"/>
      <c r="J717" s="62"/>
      <c r="K717" s="62"/>
      <c r="L717" s="62"/>
      <c r="M717" s="62"/>
      <c r="N717" s="62"/>
      <c r="O717" s="62"/>
      <c r="P717" s="62"/>
      <c r="Q717" s="62"/>
    </row>
    <row r="718" spans="2:17" x14ac:dyDescent="0.35">
      <c r="B718" s="62"/>
      <c r="C718" s="61"/>
      <c r="D718" s="63"/>
      <c r="E718" s="63"/>
      <c r="F718" s="62"/>
      <c r="G718" s="62"/>
      <c r="H718" s="62"/>
      <c r="I718" s="62"/>
      <c r="J718" s="62"/>
      <c r="K718" s="62"/>
      <c r="L718" s="62"/>
      <c r="M718" s="62"/>
      <c r="N718" s="62"/>
      <c r="O718" s="62"/>
      <c r="P718" s="62"/>
      <c r="Q718" s="62"/>
    </row>
    <row r="719" spans="2:17" x14ac:dyDescent="0.35">
      <c r="B719" s="62"/>
      <c r="C719" s="61"/>
      <c r="D719" s="63"/>
      <c r="E719" s="63"/>
      <c r="F719" s="62"/>
      <c r="G719" s="62"/>
      <c r="H719" s="62"/>
      <c r="I719" s="62"/>
      <c r="J719" s="62"/>
      <c r="K719" s="62"/>
      <c r="L719" s="62"/>
      <c r="M719" s="62"/>
      <c r="N719" s="62"/>
      <c r="O719" s="62"/>
      <c r="P719" s="62"/>
      <c r="Q719" s="62"/>
    </row>
    <row r="720" spans="2:17" x14ac:dyDescent="0.35">
      <c r="B720" s="62"/>
      <c r="C720" s="61"/>
      <c r="D720" s="63"/>
      <c r="E720" s="63"/>
      <c r="F720" s="62"/>
      <c r="G720" s="62"/>
      <c r="H720" s="62"/>
      <c r="I720" s="62"/>
      <c r="J720" s="62"/>
      <c r="K720" s="62"/>
      <c r="L720" s="62"/>
      <c r="M720" s="62"/>
      <c r="N720" s="62"/>
      <c r="O720" s="62"/>
      <c r="P720" s="62"/>
      <c r="Q720" s="62"/>
    </row>
    <row r="721" spans="2:17" x14ac:dyDescent="0.35">
      <c r="B721" s="62"/>
      <c r="C721" s="61"/>
      <c r="D721" s="63"/>
      <c r="E721" s="63"/>
      <c r="F721" s="62"/>
      <c r="G721" s="62"/>
      <c r="H721" s="62"/>
      <c r="I721" s="62"/>
      <c r="J721" s="62"/>
      <c r="K721" s="62"/>
      <c r="L721" s="62"/>
      <c r="M721" s="62"/>
      <c r="N721" s="62"/>
      <c r="O721" s="62"/>
      <c r="P721" s="62"/>
      <c r="Q721" s="62"/>
    </row>
    <row r="722" spans="2:17" x14ac:dyDescent="0.35">
      <c r="B722" s="62"/>
      <c r="C722" s="61"/>
      <c r="D722" s="63"/>
      <c r="E722" s="63"/>
      <c r="F722" s="62"/>
      <c r="G722" s="62"/>
      <c r="H722" s="62"/>
      <c r="I722" s="62"/>
      <c r="J722" s="62"/>
      <c r="K722" s="62"/>
      <c r="L722" s="62"/>
      <c r="M722" s="62"/>
      <c r="N722" s="62"/>
      <c r="O722" s="62"/>
      <c r="P722" s="62"/>
      <c r="Q722" s="62"/>
    </row>
    <row r="723" spans="2:17" x14ac:dyDescent="0.35">
      <c r="B723" s="62"/>
      <c r="C723" s="61"/>
      <c r="D723" s="63"/>
      <c r="E723" s="63"/>
      <c r="F723" s="62"/>
      <c r="G723" s="62"/>
      <c r="H723" s="62"/>
      <c r="I723" s="62"/>
      <c r="J723" s="62"/>
      <c r="K723" s="62"/>
      <c r="L723" s="62"/>
      <c r="M723" s="62"/>
      <c r="N723" s="62"/>
      <c r="O723" s="62"/>
      <c r="P723" s="62"/>
      <c r="Q723" s="62"/>
    </row>
    <row r="724" spans="2:17" x14ac:dyDescent="0.35">
      <c r="B724" s="62"/>
      <c r="C724" s="61"/>
      <c r="D724" s="63"/>
      <c r="E724" s="63"/>
      <c r="F724" s="62"/>
      <c r="G724" s="62"/>
      <c r="H724" s="62"/>
      <c r="I724" s="62"/>
      <c r="J724" s="62"/>
      <c r="K724" s="62"/>
      <c r="L724" s="62"/>
      <c r="M724" s="62"/>
      <c r="N724" s="62"/>
      <c r="O724" s="62"/>
      <c r="P724" s="62"/>
      <c r="Q724" s="62"/>
    </row>
    <row r="725" spans="2:17" x14ac:dyDescent="0.35">
      <c r="B725" s="62"/>
      <c r="C725" s="61"/>
      <c r="D725" s="63"/>
      <c r="E725" s="63"/>
      <c r="F725" s="62"/>
      <c r="G725" s="62"/>
      <c r="H725" s="62"/>
      <c r="I725" s="62"/>
      <c r="J725" s="62"/>
      <c r="K725" s="62"/>
      <c r="L725" s="62"/>
      <c r="M725" s="62"/>
      <c r="N725" s="62"/>
      <c r="O725" s="62"/>
      <c r="P725" s="62"/>
      <c r="Q725" s="62"/>
    </row>
    <row r="726" spans="2:17" x14ac:dyDescent="0.35">
      <c r="B726" s="62"/>
      <c r="C726" s="61"/>
      <c r="D726" s="63"/>
      <c r="E726" s="63"/>
      <c r="F726" s="62"/>
      <c r="G726" s="62"/>
      <c r="H726" s="62"/>
      <c r="I726" s="62"/>
      <c r="J726" s="62"/>
      <c r="K726" s="62"/>
      <c r="L726" s="62"/>
      <c r="M726" s="62"/>
      <c r="N726" s="62"/>
      <c r="O726" s="62"/>
      <c r="P726" s="62"/>
      <c r="Q726" s="62"/>
    </row>
    <row r="727" spans="2:17" x14ac:dyDescent="0.35">
      <c r="B727" s="62"/>
      <c r="C727" s="61"/>
      <c r="D727" s="63"/>
      <c r="E727" s="63"/>
      <c r="F727" s="62"/>
      <c r="G727" s="62"/>
      <c r="H727" s="62"/>
      <c r="I727" s="62"/>
      <c r="J727" s="62"/>
      <c r="K727" s="62"/>
      <c r="L727" s="62"/>
      <c r="M727" s="62"/>
      <c r="N727" s="62"/>
      <c r="O727" s="62"/>
      <c r="P727" s="62"/>
      <c r="Q727" s="62"/>
    </row>
    <row r="728" spans="2:17" x14ac:dyDescent="0.35">
      <c r="B728" s="62"/>
      <c r="C728" s="61"/>
      <c r="D728" s="63"/>
      <c r="E728" s="63"/>
      <c r="F728" s="62"/>
      <c r="G728" s="62"/>
      <c r="H728" s="62"/>
      <c r="I728" s="62"/>
      <c r="J728" s="62"/>
      <c r="K728" s="62"/>
      <c r="L728" s="62"/>
      <c r="M728" s="62"/>
      <c r="N728" s="62"/>
      <c r="O728" s="62"/>
      <c r="P728" s="62"/>
      <c r="Q728" s="62"/>
    </row>
    <row r="729" spans="2:17" x14ac:dyDescent="0.35">
      <c r="B729" s="62"/>
      <c r="C729" s="61"/>
      <c r="D729" s="63"/>
      <c r="E729" s="63"/>
      <c r="F729" s="62"/>
      <c r="G729" s="62"/>
      <c r="H729" s="62"/>
      <c r="I729" s="62"/>
      <c r="J729" s="62"/>
      <c r="K729" s="62"/>
      <c r="L729" s="62"/>
      <c r="M729" s="62"/>
      <c r="N729" s="62"/>
      <c r="O729" s="62"/>
      <c r="P729" s="62"/>
      <c r="Q729" s="62"/>
    </row>
    <row r="730" spans="2:17" x14ac:dyDescent="0.35">
      <c r="B730" s="62"/>
      <c r="C730" s="61"/>
      <c r="D730" s="63"/>
      <c r="E730" s="63"/>
      <c r="F730" s="62"/>
      <c r="G730" s="62"/>
      <c r="H730" s="62"/>
      <c r="I730" s="62"/>
      <c r="J730" s="62"/>
      <c r="K730" s="62"/>
      <c r="L730" s="62"/>
      <c r="M730" s="62"/>
      <c r="N730" s="62"/>
      <c r="O730" s="62"/>
      <c r="P730" s="62"/>
      <c r="Q730" s="62"/>
    </row>
    <row r="731" spans="2:17" x14ac:dyDescent="0.35">
      <c r="B731" s="62"/>
      <c r="C731" s="61"/>
      <c r="D731" s="63"/>
      <c r="E731" s="63"/>
      <c r="F731" s="62"/>
      <c r="G731" s="62"/>
      <c r="H731" s="62"/>
      <c r="I731" s="62"/>
      <c r="J731" s="62"/>
      <c r="K731" s="62"/>
      <c r="L731" s="62"/>
      <c r="M731" s="62"/>
      <c r="N731" s="62"/>
      <c r="O731" s="62"/>
      <c r="P731" s="62"/>
      <c r="Q731" s="62"/>
    </row>
    <row r="732" spans="2:17" x14ac:dyDescent="0.35">
      <c r="B732" s="62"/>
      <c r="C732" s="61"/>
      <c r="D732" s="63"/>
      <c r="E732" s="63"/>
      <c r="F732" s="62"/>
      <c r="G732" s="62"/>
      <c r="H732" s="62"/>
      <c r="I732" s="62"/>
      <c r="J732" s="62"/>
      <c r="K732" s="62"/>
      <c r="L732" s="62"/>
      <c r="M732" s="62"/>
      <c r="N732" s="62"/>
      <c r="O732" s="62"/>
      <c r="P732" s="62"/>
      <c r="Q732" s="62"/>
    </row>
    <row r="733" spans="2:17" x14ac:dyDescent="0.35">
      <c r="B733" s="62"/>
      <c r="C733" s="61"/>
      <c r="D733" s="63"/>
      <c r="E733" s="63"/>
      <c r="F733" s="62"/>
      <c r="G733" s="62"/>
      <c r="H733" s="62"/>
      <c r="I733" s="62"/>
      <c r="J733" s="62"/>
      <c r="K733" s="62"/>
      <c r="L733" s="62"/>
      <c r="M733" s="62"/>
      <c r="N733" s="62"/>
      <c r="O733" s="62"/>
      <c r="P733" s="62"/>
      <c r="Q733" s="62"/>
    </row>
    <row r="734" spans="2:17" x14ac:dyDescent="0.35">
      <c r="B734" s="62"/>
      <c r="C734" s="61"/>
      <c r="D734" s="63"/>
      <c r="E734" s="63"/>
      <c r="F734" s="62"/>
      <c r="G734" s="62"/>
      <c r="H734" s="62"/>
      <c r="I734" s="62"/>
      <c r="J734" s="62"/>
      <c r="K734" s="62"/>
      <c r="L734" s="62"/>
      <c r="M734" s="62"/>
      <c r="N734" s="62"/>
      <c r="O734" s="62"/>
      <c r="P734" s="62"/>
      <c r="Q734" s="62"/>
    </row>
    <row r="735" spans="2:17" x14ac:dyDescent="0.35">
      <c r="B735" s="62"/>
      <c r="C735" s="61"/>
      <c r="D735" s="63"/>
      <c r="E735" s="63"/>
      <c r="F735" s="62"/>
      <c r="G735" s="62"/>
      <c r="H735" s="62"/>
      <c r="I735" s="62"/>
      <c r="J735" s="62"/>
      <c r="K735" s="62"/>
      <c r="L735" s="62"/>
      <c r="M735" s="62"/>
      <c r="N735" s="62"/>
      <c r="O735" s="62"/>
      <c r="P735" s="62"/>
      <c r="Q735" s="62"/>
    </row>
    <row r="736" spans="2:17" x14ac:dyDescent="0.35">
      <c r="B736" s="62"/>
      <c r="C736" s="61"/>
      <c r="D736" s="63"/>
      <c r="E736" s="63"/>
      <c r="F736" s="62"/>
      <c r="G736" s="62"/>
      <c r="H736" s="62"/>
      <c r="I736" s="62"/>
      <c r="J736" s="62"/>
      <c r="K736" s="62"/>
      <c r="L736" s="62"/>
      <c r="M736" s="62"/>
      <c r="N736" s="62"/>
      <c r="O736" s="62"/>
      <c r="P736" s="62"/>
      <c r="Q736" s="62"/>
    </row>
    <row r="737" spans="2:17" x14ac:dyDescent="0.35">
      <c r="B737" s="62"/>
      <c r="C737" s="61"/>
      <c r="D737" s="63"/>
      <c r="E737" s="63"/>
      <c r="F737" s="62"/>
      <c r="G737" s="62"/>
      <c r="H737" s="62"/>
      <c r="I737" s="62"/>
      <c r="J737" s="62"/>
      <c r="K737" s="62"/>
      <c r="L737" s="62"/>
      <c r="M737" s="62"/>
      <c r="N737" s="62"/>
      <c r="O737" s="62"/>
      <c r="P737" s="62"/>
      <c r="Q737" s="62"/>
    </row>
    <row r="738" spans="2:17" x14ac:dyDescent="0.35">
      <c r="B738" s="62"/>
      <c r="C738" s="61"/>
      <c r="D738" s="63"/>
      <c r="E738" s="63"/>
      <c r="F738" s="62"/>
      <c r="G738" s="62"/>
      <c r="H738" s="62"/>
      <c r="I738" s="62"/>
      <c r="J738" s="62"/>
      <c r="K738" s="62"/>
      <c r="L738" s="62"/>
      <c r="M738" s="62"/>
      <c r="N738" s="62"/>
      <c r="O738" s="62"/>
      <c r="P738" s="62"/>
      <c r="Q738" s="62"/>
    </row>
    <row r="739" spans="2:17" x14ac:dyDescent="0.35">
      <c r="B739" s="62"/>
      <c r="C739" s="61"/>
      <c r="D739" s="63"/>
      <c r="E739" s="63"/>
      <c r="F739" s="62"/>
      <c r="G739" s="62"/>
      <c r="H739" s="62"/>
      <c r="I739" s="62"/>
      <c r="J739" s="62"/>
      <c r="K739" s="62"/>
      <c r="L739" s="62"/>
      <c r="M739" s="62"/>
      <c r="N739" s="62"/>
      <c r="O739" s="62"/>
      <c r="P739" s="62"/>
      <c r="Q739" s="62"/>
    </row>
    <row r="740" spans="2:17" x14ac:dyDescent="0.35">
      <c r="B740" s="62"/>
      <c r="C740" s="61"/>
      <c r="D740" s="63"/>
      <c r="E740" s="63"/>
      <c r="F740" s="62"/>
      <c r="G740" s="62"/>
      <c r="H740" s="62"/>
      <c r="I740" s="62"/>
      <c r="J740" s="62"/>
      <c r="K740" s="62"/>
      <c r="L740" s="62"/>
      <c r="M740" s="62"/>
      <c r="N740" s="62"/>
      <c r="O740" s="62"/>
      <c r="P740" s="62"/>
      <c r="Q740" s="62"/>
    </row>
    <row r="741" spans="2:17" x14ac:dyDescent="0.35">
      <c r="B741" s="62"/>
      <c r="C741" s="61"/>
      <c r="D741" s="63"/>
      <c r="E741" s="63"/>
      <c r="F741" s="62"/>
      <c r="G741" s="62"/>
      <c r="H741" s="62"/>
      <c r="I741" s="62"/>
      <c r="J741" s="62"/>
      <c r="K741" s="62"/>
      <c r="L741" s="62"/>
      <c r="M741" s="62"/>
      <c r="N741" s="62"/>
      <c r="O741" s="62"/>
      <c r="P741" s="62"/>
      <c r="Q741" s="62"/>
    </row>
    <row r="742" spans="2:17" x14ac:dyDescent="0.35">
      <c r="B742" s="62"/>
      <c r="C742" s="61"/>
      <c r="D742" s="63"/>
      <c r="E742" s="63"/>
      <c r="F742" s="62"/>
      <c r="G742" s="62"/>
      <c r="H742" s="62"/>
      <c r="I742" s="62"/>
      <c r="J742" s="62"/>
      <c r="K742" s="62"/>
      <c r="L742" s="62"/>
      <c r="M742" s="62"/>
      <c r="N742" s="62"/>
      <c r="O742" s="62"/>
      <c r="P742" s="62"/>
      <c r="Q742" s="62"/>
    </row>
    <row r="743" spans="2:17" x14ac:dyDescent="0.35">
      <c r="B743" s="62"/>
      <c r="C743" s="61"/>
      <c r="D743" s="63"/>
      <c r="E743" s="63"/>
      <c r="F743" s="62"/>
      <c r="G743" s="62"/>
      <c r="H743" s="62"/>
      <c r="I743" s="62"/>
      <c r="J743" s="62"/>
      <c r="K743" s="62"/>
      <c r="L743" s="62"/>
      <c r="M743" s="62"/>
      <c r="N743" s="62"/>
      <c r="O743" s="62"/>
      <c r="P743" s="62"/>
      <c r="Q743" s="62"/>
    </row>
    <row r="744" spans="2:17" x14ac:dyDescent="0.35">
      <c r="B744" s="62"/>
      <c r="C744" s="61"/>
      <c r="D744" s="63"/>
      <c r="E744" s="63"/>
      <c r="F744" s="62"/>
      <c r="G744" s="62"/>
      <c r="H744" s="62"/>
      <c r="I744" s="62"/>
      <c r="J744" s="62"/>
      <c r="K744" s="62"/>
      <c r="L744" s="62"/>
      <c r="M744" s="62"/>
      <c r="N744" s="62"/>
      <c r="O744" s="62"/>
      <c r="P744" s="62"/>
      <c r="Q744" s="62"/>
    </row>
    <row r="745" spans="2:17" x14ac:dyDescent="0.35">
      <c r="B745" s="62"/>
      <c r="C745" s="61"/>
      <c r="D745" s="63"/>
      <c r="E745" s="63"/>
      <c r="F745" s="62"/>
      <c r="G745" s="62"/>
      <c r="H745" s="62"/>
      <c r="I745" s="62"/>
      <c r="J745" s="62"/>
      <c r="K745" s="62"/>
      <c r="L745" s="62"/>
      <c r="M745" s="62"/>
      <c r="N745" s="62"/>
      <c r="O745" s="62"/>
      <c r="P745" s="62"/>
      <c r="Q745" s="62"/>
    </row>
    <row r="746" spans="2:17" x14ac:dyDescent="0.35">
      <c r="B746" s="62"/>
      <c r="C746" s="61"/>
      <c r="D746" s="63"/>
      <c r="E746" s="63"/>
      <c r="F746" s="62"/>
      <c r="G746" s="62"/>
      <c r="H746" s="62"/>
      <c r="I746" s="62"/>
      <c r="J746" s="62"/>
      <c r="K746" s="62"/>
      <c r="L746" s="62"/>
      <c r="M746" s="62"/>
      <c r="N746" s="62"/>
      <c r="O746" s="62"/>
      <c r="P746" s="62"/>
      <c r="Q746" s="62"/>
    </row>
    <row r="747" spans="2:17" x14ac:dyDescent="0.35">
      <c r="B747" s="62"/>
      <c r="C747" s="61"/>
      <c r="D747" s="63"/>
      <c r="E747" s="63"/>
      <c r="F747" s="62"/>
      <c r="G747" s="62"/>
      <c r="H747" s="62"/>
      <c r="I747" s="62"/>
      <c r="J747" s="62"/>
      <c r="K747" s="62"/>
      <c r="L747" s="62"/>
      <c r="M747" s="62"/>
      <c r="N747" s="62"/>
      <c r="O747" s="62"/>
      <c r="P747" s="62"/>
      <c r="Q747" s="62"/>
    </row>
    <row r="748" spans="2:17" x14ac:dyDescent="0.35">
      <c r="B748" s="62"/>
      <c r="C748" s="61"/>
      <c r="D748" s="63"/>
      <c r="E748" s="63"/>
      <c r="F748" s="62"/>
      <c r="G748" s="62"/>
      <c r="H748" s="62"/>
      <c r="I748" s="62"/>
      <c r="J748" s="62"/>
      <c r="K748" s="62"/>
      <c r="L748" s="62"/>
      <c r="M748" s="62"/>
      <c r="N748" s="62"/>
      <c r="O748" s="62"/>
      <c r="P748" s="62"/>
      <c r="Q748" s="62"/>
    </row>
    <row r="749" spans="2:17" x14ac:dyDescent="0.35">
      <c r="B749" s="62"/>
      <c r="C749" s="61"/>
      <c r="D749" s="63"/>
      <c r="E749" s="63"/>
      <c r="F749" s="62"/>
      <c r="G749" s="62"/>
      <c r="H749" s="62"/>
      <c r="I749" s="62"/>
      <c r="J749" s="62"/>
      <c r="K749" s="62"/>
      <c r="L749" s="62"/>
      <c r="M749" s="62"/>
      <c r="N749" s="62"/>
      <c r="O749" s="62"/>
      <c r="P749" s="62"/>
      <c r="Q749" s="62"/>
    </row>
    <row r="750" spans="2:17" x14ac:dyDescent="0.35">
      <c r="B750" s="62"/>
      <c r="C750" s="61"/>
      <c r="D750" s="63"/>
      <c r="E750" s="63"/>
      <c r="F750" s="62"/>
      <c r="G750" s="62"/>
      <c r="H750" s="62"/>
      <c r="I750" s="62"/>
      <c r="J750" s="62"/>
      <c r="K750" s="62"/>
      <c r="L750" s="62"/>
      <c r="M750" s="62"/>
      <c r="N750" s="62"/>
      <c r="O750" s="62"/>
      <c r="P750" s="62"/>
      <c r="Q750" s="62"/>
    </row>
    <row r="751" spans="2:17" x14ac:dyDescent="0.35">
      <c r="B751" s="62"/>
      <c r="C751" s="61"/>
      <c r="D751" s="63"/>
      <c r="E751" s="63"/>
      <c r="F751" s="62"/>
      <c r="G751" s="62"/>
      <c r="H751" s="62"/>
      <c r="I751" s="62"/>
      <c r="J751" s="62"/>
      <c r="K751" s="62"/>
      <c r="L751" s="62"/>
      <c r="M751" s="62"/>
      <c r="N751" s="62"/>
      <c r="O751" s="62"/>
      <c r="P751" s="62"/>
      <c r="Q751" s="62"/>
    </row>
    <row r="752" spans="2:17" x14ac:dyDescent="0.35">
      <c r="B752" s="62"/>
      <c r="C752" s="61"/>
      <c r="D752" s="63"/>
      <c r="E752" s="63"/>
      <c r="F752" s="62"/>
      <c r="G752" s="62"/>
      <c r="H752" s="62"/>
      <c r="I752" s="62"/>
      <c r="J752" s="62"/>
      <c r="K752" s="62"/>
      <c r="L752" s="62"/>
      <c r="M752" s="62"/>
      <c r="N752" s="62"/>
      <c r="O752" s="62"/>
      <c r="P752" s="62"/>
      <c r="Q752" s="62"/>
    </row>
    <row r="753" spans="2:17" x14ac:dyDescent="0.35">
      <c r="B753" s="62"/>
      <c r="C753" s="61"/>
      <c r="D753" s="63"/>
      <c r="E753" s="63"/>
      <c r="F753" s="62"/>
      <c r="G753" s="62"/>
      <c r="H753" s="62"/>
      <c r="I753" s="62"/>
      <c r="J753" s="62"/>
      <c r="K753" s="62"/>
      <c r="L753" s="62"/>
      <c r="M753" s="62"/>
      <c r="N753" s="62"/>
      <c r="O753" s="62"/>
      <c r="P753" s="62"/>
      <c r="Q753" s="62"/>
    </row>
    <row r="754" spans="2:17" x14ac:dyDescent="0.35">
      <c r="B754" s="62"/>
      <c r="C754" s="61"/>
      <c r="D754" s="63"/>
      <c r="E754" s="63"/>
      <c r="F754" s="62"/>
      <c r="G754" s="62"/>
      <c r="H754" s="62"/>
      <c r="I754" s="62"/>
      <c r="J754" s="62"/>
      <c r="K754" s="62"/>
      <c r="L754" s="62"/>
      <c r="M754" s="62"/>
      <c r="N754" s="62"/>
      <c r="O754" s="62"/>
      <c r="P754" s="62"/>
      <c r="Q754" s="62"/>
    </row>
    <row r="755" spans="2:17" x14ac:dyDescent="0.35">
      <c r="B755" s="62"/>
      <c r="C755" s="61"/>
      <c r="D755" s="63"/>
      <c r="E755" s="63"/>
      <c r="F755" s="62"/>
      <c r="G755" s="62"/>
      <c r="H755" s="62"/>
      <c r="I755" s="62"/>
      <c r="J755" s="62"/>
      <c r="K755" s="62"/>
      <c r="L755" s="62"/>
      <c r="M755" s="62"/>
      <c r="N755" s="62"/>
      <c r="O755" s="62"/>
      <c r="P755" s="62"/>
      <c r="Q755" s="62"/>
    </row>
    <row r="756" spans="2:17" x14ac:dyDescent="0.35">
      <c r="B756" s="62"/>
      <c r="C756" s="61"/>
      <c r="D756" s="63"/>
      <c r="E756" s="63"/>
      <c r="F756" s="62"/>
      <c r="G756" s="62"/>
      <c r="H756" s="62"/>
      <c r="I756" s="62"/>
      <c r="J756" s="62"/>
      <c r="K756" s="62"/>
      <c r="L756" s="62"/>
      <c r="M756" s="62"/>
      <c r="N756" s="62"/>
      <c r="O756" s="62"/>
      <c r="P756" s="62"/>
      <c r="Q756" s="62"/>
    </row>
    <row r="757" spans="2:17" x14ac:dyDescent="0.35">
      <c r="B757" s="62"/>
      <c r="C757" s="61"/>
      <c r="D757" s="63"/>
      <c r="E757" s="63"/>
      <c r="F757" s="62"/>
      <c r="G757" s="62"/>
      <c r="H757" s="62"/>
      <c r="I757" s="62"/>
      <c r="J757" s="62"/>
      <c r="K757" s="62"/>
      <c r="L757" s="62"/>
      <c r="M757" s="62"/>
      <c r="N757" s="62"/>
      <c r="O757" s="62"/>
      <c r="P757" s="62"/>
      <c r="Q757" s="62"/>
    </row>
    <row r="758" spans="2:17" x14ac:dyDescent="0.35">
      <c r="B758" s="62"/>
      <c r="C758" s="61"/>
      <c r="D758" s="63"/>
      <c r="E758" s="63"/>
      <c r="F758" s="62"/>
      <c r="G758" s="62"/>
      <c r="H758" s="62"/>
      <c r="I758" s="62"/>
      <c r="J758" s="62"/>
      <c r="K758" s="62"/>
      <c r="L758" s="62"/>
      <c r="M758" s="62"/>
      <c r="N758" s="62"/>
      <c r="O758" s="62"/>
      <c r="P758" s="62"/>
      <c r="Q758" s="62"/>
    </row>
    <row r="759" spans="2:17" x14ac:dyDescent="0.35">
      <c r="B759" s="62"/>
      <c r="C759" s="61"/>
      <c r="D759" s="63"/>
      <c r="E759" s="63"/>
      <c r="F759" s="62"/>
      <c r="G759" s="62"/>
      <c r="H759" s="62"/>
      <c r="I759" s="62"/>
      <c r="J759" s="62"/>
      <c r="K759" s="62"/>
      <c r="L759" s="62"/>
      <c r="M759" s="62"/>
      <c r="N759" s="62"/>
      <c r="O759" s="62"/>
      <c r="P759" s="62"/>
      <c r="Q759" s="62"/>
    </row>
    <row r="760" spans="2:17" x14ac:dyDescent="0.35">
      <c r="B760" s="62"/>
      <c r="C760" s="61"/>
      <c r="D760" s="63"/>
      <c r="E760" s="63"/>
      <c r="F760" s="62"/>
      <c r="G760" s="62"/>
      <c r="H760" s="62"/>
      <c r="I760" s="62"/>
      <c r="J760" s="62"/>
      <c r="K760" s="62"/>
      <c r="L760" s="62"/>
      <c r="M760" s="62"/>
      <c r="N760" s="62"/>
      <c r="O760" s="62"/>
      <c r="P760" s="62"/>
      <c r="Q760" s="62"/>
    </row>
    <row r="761" spans="2:17" x14ac:dyDescent="0.35">
      <c r="B761" s="62"/>
      <c r="C761" s="61"/>
      <c r="D761" s="63"/>
      <c r="E761" s="63"/>
      <c r="F761" s="62"/>
      <c r="G761" s="62"/>
      <c r="H761" s="62"/>
      <c r="I761" s="62"/>
      <c r="J761" s="62"/>
      <c r="K761" s="62"/>
      <c r="L761" s="62"/>
      <c r="M761" s="62"/>
      <c r="N761" s="62"/>
      <c r="O761" s="62"/>
      <c r="P761" s="62"/>
      <c r="Q761" s="62"/>
    </row>
    <row r="762" spans="2:17" x14ac:dyDescent="0.35">
      <c r="B762" s="62"/>
      <c r="C762" s="61"/>
      <c r="D762" s="63"/>
      <c r="E762" s="63"/>
      <c r="F762" s="62"/>
      <c r="G762" s="62"/>
      <c r="H762" s="62"/>
      <c r="I762" s="62"/>
      <c r="J762" s="62"/>
      <c r="K762" s="62"/>
      <c r="L762" s="62"/>
      <c r="M762" s="62"/>
      <c r="N762" s="62"/>
      <c r="O762" s="62"/>
      <c r="P762" s="62"/>
      <c r="Q762" s="62"/>
    </row>
    <row r="763" spans="2:17" x14ac:dyDescent="0.35">
      <c r="B763" s="62"/>
      <c r="C763" s="61"/>
      <c r="D763" s="63"/>
      <c r="E763" s="63"/>
      <c r="F763" s="62"/>
      <c r="G763" s="62"/>
      <c r="H763" s="62"/>
      <c r="I763" s="62"/>
      <c r="J763" s="62"/>
      <c r="K763" s="62"/>
      <c r="L763" s="62"/>
      <c r="M763" s="62"/>
      <c r="N763" s="62"/>
      <c r="O763" s="62"/>
      <c r="P763" s="62"/>
      <c r="Q763" s="62"/>
    </row>
    <row r="764" spans="2:17" x14ac:dyDescent="0.35">
      <c r="B764" s="62"/>
      <c r="C764" s="61"/>
      <c r="D764" s="63"/>
      <c r="E764" s="63"/>
      <c r="F764" s="62"/>
      <c r="G764" s="62"/>
      <c r="H764" s="62"/>
      <c r="I764" s="62"/>
      <c r="J764" s="62"/>
      <c r="K764" s="62"/>
      <c r="L764" s="62"/>
      <c r="M764" s="62"/>
      <c r="N764" s="62"/>
      <c r="O764" s="62"/>
      <c r="P764" s="62"/>
      <c r="Q764" s="62"/>
    </row>
    <row r="765" spans="2:17" x14ac:dyDescent="0.35">
      <c r="B765" s="62"/>
      <c r="C765" s="61"/>
      <c r="D765" s="63"/>
      <c r="E765" s="63"/>
      <c r="F765" s="62"/>
      <c r="G765" s="62"/>
      <c r="H765" s="62"/>
      <c r="I765" s="62"/>
      <c r="J765" s="62"/>
      <c r="K765" s="62"/>
      <c r="L765" s="62"/>
      <c r="M765" s="62"/>
      <c r="N765" s="62"/>
      <c r="O765" s="62"/>
      <c r="P765" s="62"/>
      <c r="Q765" s="62"/>
    </row>
    <row r="766" spans="2:17" x14ac:dyDescent="0.35">
      <c r="B766" s="62"/>
      <c r="C766" s="61"/>
      <c r="D766" s="63"/>
      <c r="E766" s="63"/>
      <c r="F766" s="62"/>
      <c r="G766" s="62"/>
      <c r="H766" s="62"/>
      <c r="I766" s="62"/>
      <c r="J766" s="62"/>
      <c r="K766" s="62"/>
      <c r="L766" s="62"/>
      <c r="M766" s="62"/>
      <c r="N766" s="62"/>
      <c r="O766" s="62"/>
      <c r="P766" s="62"/>
      <c r="Q766" s="62"/>
    </row>
    <row r="767" spans="2:17" x14ac:dyDescent="0.35">
      <c r="B767" s="62"/>
      <c r="C767" s="61"/>
      <c r="D767" s="63"/>
      <c r="E767" s="63"/>
      <c r="F767" s="62"/>
      <c r="G767" s="62"/>
      <c r="H767" s="62"/>
      <c r="I767" s="62"/>
      <c r="J767" s="62"/>
      <c r="K767" s="62"/>
      <c r="L767" s="62"/>
      <c r="M767" s="62"/>
      <c r="N767" s="62"/>
      <c r="O767" s="62"/>
      <c r="P767" s="62"/>
      <c r="Q767" s="62"/>
    </row>
    <row r="768" spans="2:17" x14ac:dyDescent="0.35">
      <c r="B768" s="62"/>
      <c r="C768" s="61"/>
      <c r="D768" s="63"/>
      <c r="E768" s="63"/>
      <c r="F768" s="62"/>
      <c r="G768" s="62"/>
      <c r="H768" s="62"/>
      <c r="I768" s="62"/>
      <c r="J768" s="62"/>
      <c r="K768" s="62"/>
      <c r="L768" s="62"/>
      <c r="M768" s="62"/>
      <c r="N768" s="62"/>
      <c r="O768" s="62"/>
      <c r="P768" s="62"/>
      <c r="Q768" s="62"/>
    </row>
    <row r="769" spans="2:17" x14ac:dyDescent="0.35">
      <c r="B769" s="62"/>
      <c r="C769" s="61"/>
      <c r="D769" s="63"/>
      <c r="E769" s="63"/>
      <c r="F769" s="62"/>
      <c r="G769" s="62"/>
      <c r="H769" s="62"/>
      <c r="I769" s="62"/>
      <c r="J769" s="62"/>
      <c r="K769" s="62"/>
      <c r="L769" s="62"/>
      <c r="M769" s="62"/>
      <c r="N769" s="62"/>
      <c r="O769" s="62"/>
      <c r="P769" s="62"/>
      <c r="Q769" s="62"/>
    </row>
    <row r="770" spans="2:17" x14ac:dyDescent="0.35">
      <c r="B770" s="62"/>
      <c r="C770" s="61"/>
      <c r="D770" s="63"/>
      <c r="E770" s="63"/>
      <c r="F770" s="62"/>
      <c r="G770" s="62"/>
      <c r="H770" s="62"/>
      <c r="I770" s="62"/>
      <c r="J770" s="62"/>
      <c r="K770" s="62"/>
      <c r="L770" s="62"/>
      <c r="M770" s="62"/>
      <c r="N770" s="62"/>
      <c r="O770" s="62"/>
      <c r="P770" s="62"/>
      <c r="Q770" s="62"/>
    </row>
    <row r="771" spans="2:17" x14ac:dyDescent="0.35">
      <c r="B771" s="62"/>
      <c r="C771" s="61"/>
      <c r="D771" s="63"/>
      <c r="E771" s="63"/>
      <c r="F771" s="62"/>
      <c r="G771" s="62"/>
      <c r="H771" s="62"/>
      <c r="I771" s="62"/>
      <c r="J771" s="62"/>
      <c r="K771" s="62"/>
      <c r="L771" s="62"/>
      <c r="M771" s="62"/>
      <c r="N771" s="62"/>
      <c r="O771" s="62"/>
      <c r="P771" s="62"/>
      <c r="Q771" s="62"/>
    </row>
    <row r="772" spans="2:17" x14ac:dyDescent="0.35">
      <c r="B772" s="62"/>
      <c r="C772" s="61"/>
      <c r="D772" s="63"/>
      <c r="E772" s="63"/>
      <c r="F772" s="62"/>
      <c r="G772" s="62"/>
      <c r="H772" s="62"/>
      <c r="I772" s="62"/>
      <c r="J772" s="62"/>
      <c r="K772" s="62"/>
      <c r="L772" s="62"/>
      <c r="M772" s="62"/>
      <c r="N772" s="62"/>
      <c r="O772" s="62"/>
      <c r="P772" s="62"/>
      <c r="Q772" s="62"/>
    </row>
    <row r="773" spans="2:17" x14ac:dyDescent="0.35">
      <c r="B773" s="62"/>
      <c r="C773" s="61"/>
      <c r="D773" s="63"/>
      <c r="E773" s="63"/>
      <c r="F773" s="62"/>
      <c r="G773" s="62"/>
      <c r="H773" s="62"/>
      <c r="I773" s="62"/>
      <c r="J773" s="62"/>
      <c r="K773" s="62"/>
      <c r="L773" s="62"/>
      <c r="M773" s="62"/>
      <c r="N773" s="62"/>
      <c r="O773" s="62"/>
      <c r="P773" s="62"/>
      <c r="Q773" s="62"/>
    </row>
    <row r="774" spans="2:17" x14ac:dyDescent="0.35">
      <c r="B774" s="62"/>
      <c r="C774" s="61"/>
      <c r="D774" s="63"/>
      <c r="E774" s="63"/>
      <c r="F774" s="62"/>
      <c r="G774" s="62"/>
      <c r="H774" s="62"/>
      <c r="I774" s="62"/>
      <c r="J774" s="62"/>
      <c r="K774" s="62"/>
      <c r="L774" s="62"/>
      <c r="M774" s="62"/>
      <c r="N774" s="62"/>
      <c r="O774" s="62"/>
      <c r="P774" s="62"/>
      <c r="Q774" s="62"/>
    </row>
    <row r="775" spans="2:17" x14ac:dyDescent="0.35">
      <c r="B775" s="62"/>
      <c r="C775" s="61"/>
      <c r="D775" s="63"/>
      <c r="E775" s="63"/>
      <c r="F775" s="62"/>
      <c r="G775" s="62"/>
      <c r="H775" s="62"/>
      <c r="I775" s="62"/>
      <c r="J775" s="62"/>
      <c r="K775" s="62"/>
      <c r="L775" s="62"/>
      <c r="M775" s="62"/>
      <c r="N775" s="62"/>
      <c r="O775" s="62"/>
      <c r="P775" s="62"/>
      <c r="Q775" s="62"/>
    </row>
    <row r="776" spans="2:17" x14ac:dyDescent="0.35">
      <c r="B776" s="62"/>
      <c r="C776" s="61"/>
      <c r="D776" s="63"/>
      <c r="E776" s="63"/>
      <c r="F776" s="62"/>
      <c r="G776" s="62"/>
      <c r="H776" s="62"/>
      <c r="I776" s="62"/>
      <c r="J776" s="62"/>
      <c r="K776" s="62"/>
      <c r="L776" s="62"/>
      <c r="M776" s="62"/>
      <c r="N776" s="62"/>
      <c r="O776" s="62"/>
      <c r="P776" s="62"/>
      <c r="Q776" s="62"/>
    </row>
    <row r="777" spans="2:17" x14ac:dyDescent="0.35">
      <c r="B777" s="62"/>
      <c r="C777" s="61"/>
      <c r="D777" s="63"/>
      <c r="E777" s="63"/>
      <c r="F777" s="62"/>
      <c r="G777" s="62"/>
      <c r="H777" s="62"/>
      <c r="I777" s="62"/>
      <c r="J777" s="62"/>
      <c r="K777" s="62"/>
      <c r="L777" s="62"/>
      <c r="M777" s="62"/>
      <c r="N777" s="62"/>
      <c r="O777" s="62"/>
      <c r="P777" s="62"/>
      <c r="Q777" s="62"/>
    </row>
    <row r="778" spans="2:17" x14ac:dyDescent="0.35">
      <c r="B778" s="62"/>
      <c r="C778" s="61"/>
      <c r="D778" s="63"/>
      <c r="E778" s="63"/>
      <c r="F778" s="62"/>
      <c r="G778" s="62"/>
      <c r="H778" s="62"/>
      <c r="I778" s="62"/>
      <c r="J778" s="62"/>
      <c r="K778" s="62"/>
      <c r="L778" s="62"/>
      <c r="M778" s="62"/>
      <c r="N778" s="62"/>
      <c r="O778" s="62"/>
      <c r="P778" s="62"/>
      <c r="Q778" s="62"/>
    </row>
    <row r="779" spans="2:17" x14ac:dyDescent="0.35">
      <c r="B779" s="62"/>
      <c r="C779" s="61"/>
      <c r="D779" s="63"/>
      <c r="E779" s="63"/>
      <c r="F779" s="62"/>
      <c r="G779" s="62"/>
      <c r="H779" s="62"/>
      <c r="I779" s="62"/>
      <c r="J779" s="62"/>
      <c r="K779" s="62"/>
      <c r="L779" s="62"/>
      <c r="M779" s="62"/>
      <c r="N779" s="62"/>
      <c r="O779" s="62"/>
      <c r="P779" s="62"/>
      <c r="Q779" s="62"/>
    </row>
    <row r="780" spans="2:17" x14ac:dyDescent="0.35">
      <c r="B780" s="62"/>
      <c r="C780" s="61"/>
      <c r="D780" s="63"/>
      <c r="E780" s="63"/>
      <c r="F780" s="62"/>
      <c r="G780" s="62"/>
      <c r="H780" s="62"/>
      <c r="I780" s="62"/>
      <c r="J780" s="62"/>
      <c r="K780" s="62"/>
      <c r="L780" s="62"/>
      <c r="M780" s="62"/>
      <c r="N780" s="62"/>
      <c r="O780" s="62"/>
      <c r="P780" s="62"/>
      <c r="Q780" s="62"/>
    </row>
    <row r="781" spans="2:17" x14ac:dyDescent="0.35">
      <c r="B781" s="62"/>
      <c r="C781" s="61"/>
      <c r="D781" s="63"/>
      <c r="E781" s="63"/>
      <c r="F781" s="62"/>
      <c r="G781" s="62"/>
      <c r="H781" s="62"/>
      <c r="I781" s="62"/>
      <c r="J781" s="62"/>
      <c r="K781" s="62"/>
      <c r="L781" s="62"/>
      <c r="M781" s="62"/>
      <c r="N781" s="62"/>
      <c r="O781" s="62"/>
      <c r="P781" s="62"/>
      <c r="Q781" s="62"/>
    </row>
    <row r="782" spans="2:17" x14ac:dyDescent="0.35">
      <c r="B782" s="62"/>
      <c r="C782" s="61"/>
      <c r="D782" s="63"/>
      <c r="E782" s="63"/>
      <c r="F782" s="62"/>
      <c r="G782" s="62"/>
      <c r="H782" s="62"/>
      <c r="I782" s="62"/>
      <c r="J782" s="62"/>
      <c r="K782" s="62"/>
      <c r="L782" s="62"/>
      <c r="M782" s="62"/>
      <c r="N782" s="62"/>
      <c r="O782" s="62"/>
      <c r="P782" s="62"/>
      <c r="Q782" s="62"/>
    </row>
    <row r="783" spans="2:17" x14ac:dyDescent="0.35">
      <c r="B783" s="62"/>
      <c r="C783" s="61"/>
      <c r="D783" s="63"/>
      <c r="E783" s="63"/>
      <c r="F783" s="62"/>
      <c r="G783" s="62"/>
      <c r="H783" s="62"/>
      <c r="I783" s="62"/>
      <c r="J783" s="62"/>
      <c r="K783" s="62"/>
      <c r="L783" s="62"/>
      <c r="M783" s="62"/>
      <c r="N783" s="62"/>
      <c r="O783" s="62"/>
      <c r="P783" s="62"/>
      <c r="Q783" s="62"/>
    </row>
    <row r="784" spans="2:17" x14ac:dyDescent="0.35">
      <c r="B784" s="62"/>
      <c r="C784" s="61"/>
      <c r="D784" s="63"/>
      <c r="E784" s="63"/>
      <c r="F784" s="62"/>
      <c r="G784" s="62"/>
      <c r="H784" s="62"/>
      <c r="I784" s="62"/>
      <c r="J784" s="62"/>
      <c r="K784" s="62"/>
      <c r="L784" s="62"/>
      <c r="M784" s="62"/>
      <c r="N784" s="62"/>
      <c r="O784" s="62"/>
      <c r="P784" s="62"/>
      <c r="Q784" s="62"/>
    </row>
    <row r="785" spans="2:17" x14ac:dyDescent="0.35">
      <c r="B785" s="62"/>
      <c r="C785" s="61"/>
      <c r="D785" s="63"/>
      <c r="E785" s="63"/>
      <c r="F785" s="62"/>
      <c r="G785" s="62"/>
      <c r="H785" s="62"/>
      <c r="I785" s="62"/>
      <c r="J785" s="62"/>
      <c r="K785" s="62"/>
      <c r="L785" s="62"/>
      <c r="M785" s="62"/>
      <c r="N785" s="62"/>
      <c r="O785" s="62"/>
      <c r="P785" s="62"/>
      <c r="Q785" s="62"/>
    </row>
    <row r="786" spans="2:17" x14ac:dyDescent="0.35">
      <c r="B786" s="62"/>
      <c r="C786" s="61"/>
      <c r="D786" s="63"/>
      <c r="E786" s="63"/>
      <c r="F786" s="62"/>
      <c r="G786" s="62"/>
      <c r="H786" s="62"/>
      <c r="I786" s="62"/>
      <c r="J786" s="62"/>
      <c r="K786" s="62"/>
      <c r="L786" s="62"/>
      <c r="M786" s="62"/>
      <c r="N786" s="62"/>
      <c r="O786" s="62"/>
      <c r="P786" s="62"/>
      <c r="Q786" s="62"/>
    </row>
    <row r="787" spans="2:17" x14ac:dyDescent="0.35">
      <c r="B787" s="62"/>
      <c r="C787" s="61"/>
      <c r="D787" s="63"/>
      <c r="E787" s="63"/>
      <c r="F787" s="62"/>
      <c r="G787" s="62"/>
      <c r="H787" s="62"/>
      <c r="I787" s="62"/>
      <c r="J787" s="62"/>
      <c r="K787" s="62"/>
      <c r="L787" s="62"/>
      <c r="M787" s="62"/>
      <c r="N787" s="62"/>
      <c r="O787" s="62"/>
      <c r="P787" s="62"/>
      <c r="Q787" s="62"/>
    </row>
    <row r="788" spans="2:17" x14ac:dyDescent="0.35">
      <c r="B788" s="62"/>
      <c r="C788" s="61"/>
      <c r="D788" s="63"/>
      <c r="E788" s="63"/>
      <c r="F788" s="62"/>
      <c r="G788" s="62"/>
      <c r="H788" s="62"/>
      <c r="I788" s="62"/>
      <c r="J788" s="62"/>
      <c r="K788" s="62"/>
      <c r="L788" s="62"/>
      <c r="M788" s="62"/>
      <c r="N788" s="62"/>
      <c r="O788" s="62"/>
      <c r="P788" s="62"/>
      <c r="Q788" s="62"/>
    </row>
    <row r="789" spans="2:17" x14ac:dyDescent="0.35">
      <c r="B789" s="62"/>
      <c r="C789" s="61"/>
      <c r="D789" s="63"/>
      <c r="E789" s="63"/>
      <c r="F789" s="62"/>
      <c r="G789" s="62"/>
      <c r="H789" s="62"/>
      <c r="I789" s="62"/>
      <c r="J789" s="62"/>
      <c r="K789" s="62"/>
      <c r="L789" s="62"/>
      <c r="M789" s="62"/>
      <c r="N789" s="62"/>
      <c r="O789" s="62"/>
      <c r="P789" s="62"/>
      <c r="Q789" s="62"/>
    </row>
    <row r="790" spans="2:17" x14ac:dyDescent="0.35">
      <c r="B790" s="62"/>
      <c r="C790" s="61"/>
      <c r="D790" s="63"/>
      <c r="E790" s="63"/>
      <c r="F790" s="62"/>
      <c r="G790" s="62"/>
      <c r="H790" s="62"/>
      <c r="I790" s="62"/>
      <c r="J790" s="62"/>
      <c r="K790" s="62"/>
      <c r="L790" s="62"/>
      <c r="M790" s="62"/>
      <c r="N790" s="62"/>
      <c r="O790" s="62"/>
      <c r="P790" s="62"/>
      <c r="Q790" s="62"/>
    </row>
    <row r="791" spans="2:17" x14ac:dyDescent="0.35">
      <c r="B791" s="62"/>
      <c r="C791" s="61"/>
      <c r="D791" s="63"/>
      <c r="E791" s="63"/>
      <c r="F791" s="62"/>
      <c r="G791" s="62"/>
      <c r="H791" s="62"/>
      <c r="I791" s="62"/>
      <c r="J791" s="62"/>
      <c r="K791" s="62"/>
      <c r="L791" s="62"/>
      <c r="M791" s="62"/>
      <c r="N791" s="62"/>
      <c r="O791" s="62"/>
      <c r="P791" s="62"/>
      <c r="Q791" s="62"/>
    </row>
    <row r="792" spans="2:17" x14ac:dyDescent="0.35">
      <c r="B792" s="62"/>
      <c r="C792" s="61"/>
      <c r="D792" s="63"/>
      <c r="E792" s="63"/>
      <c r="F792" s="62"/>
      <c r="G792" s="62"/>
      <c r="H792" s="62"/>
      <c r="I792" s="62"/>
      <c r="J792" s="62"/>
      <c r="K792" s="62"/>
      <c r="L792" s="62"/>
      <c r="M792" s="62"/>
      <c r="N792" s="62"/>
      <c r="O792" s="62"/>
      <c r="P792" s="62"/>
      <c r="Q792" s="62"/>
    </row>
    <row r="793" spans="2:17" x14ac:dyDescent="0.35">
      <c r="B793" s="62"/>
      <c r="C793" s="61"/>
      <c r="D793" s="63"/>
      <c r="E793" s="63"/>
      <c r="F793" s="62"/>
      <c r="G793" s="62"/>
      <c r="H793" s="62"/>
      <c r="I793" s="62"/>
      <c r="J793" s="62"/>
      <c r="K793" s="62"/>
      <c r="L793" s="62"/>
      <c r="M793" s="62"/>
      <c r="N793" s="62"/>
      <c r="O793" s="62"/>
      <c r="P793" s="62"/>
      <c r="Q793" s="62"/>
    </row>
    <row r="794" spans="2:17" x14ac:dyDescent="0.35">
      <c r="B794" s="62"/>
      <c r="C794" s="61"/>
      <c r="D794" s="63"/>
      <c r="E794" s="63"/>
      <c r="F794" s="62"/>
      <c r="G794" s="62"/>
      <c r="H794" s="62"/>
      <c r="I794" s="62"/>
      <c r="J794" s="62"/>
      <c r="K794" s="62"/>
      <c r="L794" s="62"/>
      <c r="M794" s="62"/>
      <c r="N794" s="62"/>
      <c r="O794" s="62"/>
      <c r="P794" s="62"/>
      <c r="Q794" s="62"/>
    </row>
    <row r="795" spans="2:17" x14ac:dyDescent="0.35">
      <c r="B795" s="62"/>
      <c r="C795" s="61"/>
      <c r="D795" s="63"/>
      <c r="E795" s="63"/>
      <c r="F795" s="62"/>
      <c r="G795" s="62"/>
      <c r="H795" s="62"/>
      <c r="I795" s="62"/>
      <c r="J795" s="62"/>
      <c r="K795" s="62"/>
      <c r="L795" s="62"/>
      <c r="M795" s="62"/>
      <c r="N795" s="62"/>
      <c r="O795" s="62"/>
      <c r="P795" s="62"/>
      <c r="Q795" s="62"/>
    </row>
    <row r="796" spans="2:17" x14ac:dyDescent="0.35">
      <c r="B796" s="62"/>
      <c r="C796" s="61"/>
      <c r="D796" s="63"/>
      <c r="E796" s="63"/>
      <c r="F796" s="62"/>
      <c r="G796" s="62"/>
      <c r="H796" s="62"/>
      <c r="I796" s="62"/>
      <c r="J796" s="62"/>
      <c r="K796" s="62"/>
      <c r="L796" s="62"/>
      <c r="M796" s="62"/>
      <c r="N796" s="62"/>
      <c r="O796" s="62"/>
      <c r="P796" s="62"/>
      <c r="Q796" s="62"/>
    </row>
    <row r="797" spans="2:17" x14ac:dyDescent="0.35">
      <c r="B797" s="62"/>
      <c r="C797" s="61"/>
      <c r="D797" s="63"/>
      <c r="E797" s="63"/>
      <c r="F797" s="62"/>
      <c r="G797" s="62"/>
      <c r="H797" s="62"/>
      <c r="I797" s="62"/>
      <c r="J797" s="62"/>
      <c r="K797" s="62"/>
      <c r="L797" s="62"/>
      <c r="M797" s="62"/>
      <c r="N797" s="62"/>
      <c r="O797" s="62"/>
      <c r="P797" s="62"/>
      <c r="Q797" s="62"/>
    </row>
    <row r="798" spans="2:17" x14ac:dyDescent="0.35">
      <c r="B798" s="62"/>
      <c r="C798" s="61"/>
      <c r="D798" s="63"/>
      <c r="E798" s="63"/>
      <c r="F798" s="62"/>
      <c r="G798" s="62"/>
      <c r="H798" s="62"/>
      <c r="I798" s="62"/>
      <c r="J798" s="62"/>
      <c r="K798" s="62"/>
      <c r="L798" s="62"/>
      <c r="M798" s="62"/>
      <c r="N798" s="62"/>
      <c r="O798" s="62"/>
      <c r="P798" s="62"/>
      <c r="Q798" s="62"/>
    </row>
    <row r="799" spans="2:17" x14ac:dyDescent="0.35">
      <c r="B799" s="62"/>
      <c r="C799" s="61"/>
      <c r="D799" s="63"/>
      <c r="E799" s="63"/>
      <c r="F799" s="62"/>
      <c r="G799" s="62"/>
      <c r="H799" s="62"/>
      <c r="I799" s="62"/>
      <c r="J799" s="62"/>
      <c r="K799" s="62"/>
      <c r="L799" s="62"/>
      <c r="M799" s="62"/>
      <c r="N799" s="62"/>
      <c r="O799" s="62"/>
      <c r="P799" s="62"/>
      <c r="Q799" s="62"/>
    </row>
    <row r="800" spans="2:17" x14ac:dyDescent="0.35">
      <c r="B800" s="62"/>
      <c r="C800" s="61"/>
      <c r="D800" s="63"/>
      <c r="E800" s="63"/>
      <c r="F800" s="62"/>
      <c r="G800" s="62"/>
      <c r="H800" s="62"/>
      <c r="I800" s="62"/>
      <c r="J800" s="62"/>
      <c r="K800" s="62"/>
      <c r="L800" s="62"/>
      <c r="M800" s="62"/>
      <c r="N800" s="62"/>
      <c r="O800" s="62"/>
      <c r="P800" s="62"/>
      <c r="Q800" s="62"/>
    </row>
    <row r="801" spans="2:17" x14ac:dyDescent="0.35">
      <c r="B801" s="62"/>
      <c r="C801" s="61"/>
      <c r="D801" s="63"/>
      <c r="E801" s="63"/>
      <c r="F801" s="62"/>
      <c r="G801" s="62"/>
      <c r="H801" s="62"/>
      <c r="I801" s="62"/>
      <c r="J801" s="62"/>
      <c r="K801" s="62"/>
      <c r="L801" s="62"/>
      <c r="M801" s="62"/>
      <c r="N801" s="62"/>
      <c r="O801" s="62"/>
      <c r="P801" s="62"/>
      <c r="Q801" s="62"/>
    </row>
    <row r="802" spans="2:17" x14ac:dyDescent="0.35">
      <c r="B802" s="62"/>
      <c r="C802" s="61"/>
      <c r="D802" s="63"/>
      <c r="E802" s="63"/>
      <c r="F802" s="62"/>
      <c r="G802" s="62"/>
      <c r="H802" s="62"/>
      <c r="I802" s="62"/>
      <c r="J802" s="62"/>
      <c r="K802" s="62"/>
      <c r="L802" s="62"/>
      <c r="M802" s="62"/>
      <c r="N802" s="62"/>
      <c r="O802" s="62"/>
      <c r="P802" s="62"/>
      <c r="Q802" s="62"/>
    </row>
    <row r="803" spans="2:17" x14ac:dyDescent="0.35">
      <c r="B803" s="62"/>
      <c r="C803" s="61"/>
      <c r="D803" s="63"/>
      <c r="E803" s="63"/>
      <c r="F803" s="62"/>
      <c r="G803" s="62"/>
      <c r="H803" s="62"/>
      <c r="I803" s="62"/>
      <c r="J803" s="62"/>
      <c r="K803" s="62"/>
      <c r="L803" s="62"/>
      <c r="M803" s="62"/>
      <c r="N803" s="62"/>
      <c r="O803" s="62"/>
      <c r="P803" s="62"/>
      <c r="Q803" s="62"/>
    </row>
    <row r="804" spans="2:17" x14ac:dyDescent="0.35">
      <c r="B804" s="62"/>
      <c r="C804" s="61"/>
      <c r="D804" s="63"/>
      <c r="E804" s="63"/>
      <c r="F804" s="62"/>
      <c r="G804" s="62"/>
      <c r="H804" s="62"/>
      <c r="I804" s="62"/>
      <c r="J804" s="62"/>
      <c r="K804" s="62"/>
      <c r="L804" s="62"/>
      <c r="M804" s="62"/>
      <c r="N804" s="62"/>
      <c r="O804" s="62"/>
      <c r="P804" s="62"/>
      <c r="Q804" s="62"/>
    </row>
    <row r="805" spans="2:17" x14ac:dyDescent="0.35">
      <c r="B805" s="62"/>
      <c r="C805" s="61"/>
      <c r="D805" s="63"/>
      <c r="E805" s="63"/>
      <c r="F805" s="62"/>
      <c r="G805" s="62"/>
      <c r="H805" s="62"/>
      <c r="I805" s="62"/>
      <c r="J805" s="62"/>
      <c r="K805" s="62"/>
      <c r="L805" s="62"/>
      <c r="M805" s="62"/>
      <c r="N805" s="62"/>
      <c r="O805" s="62"/>
      <c r="P805" s="62"/>
      <c r="Q805" s="62"/>
    </row>
    <row r="806" spans="2:17" x14ac:dyDescent="0.35">
      <c r="B806" s="62"/>
      <c r="C806" s="61"/>
      <c r="D806" s="63"/>
      <c r="E806" s="63"/>
      <c r="F806" s="62"/>
      <c r="G806" s="62"/>
      <c r="H806" s="62"/>
      <c r="I806" s="62"/>
      <c r="J806" s="62"/>
      <c r="K806" s="62"/>
      <c r="L806" s="62"/>
      <c r="M806" s="62"/>
      <c r="N806" s="62"/>
      <c r="O806" s="62"/>
      <c r="P806" s="62"/>
      <c r="Q806" s="62"/>
    </row>
    <row r="807" spans="2:17" x14ac:dyDescent="0.35">
      <c r="B807" s="62"/>
      <c r="C807" s="61"/>
      <c r="D807" s="63"/>
      <c r="E807" s="63"/>
      <c r="F807" s="62"/>
      <c r="G807" s="62"/>
      <c r="H807" s="62"/>
      <c r="I807" s="62"/>
      <c r="J807" s="62"/>
      <c r="K807" s="62"/>
      <c r="L807" s="62"/>
      <c r="M807" s="62"/>
      <c r="N807" s="62"/>
      <c r="O807" s="62"/>
      <c r="P807" s="62"/>
      <c r="Q807" s="62"/>
    </row>
    <row r="808" spans="2:17" x14ac:dyDescent="0.35">
      <c r="B808" s="62"/>
      <c r="C808" s="61"/>
      <c r="D808" s="63"/>
      <c r="E808" s="63"/>
      <c r="F808" s="62"/>
      <c r="G808" s="62"/>
      <c r="H808" s="62"/>
      <c r="I808" s="62"/>
      <c r="J808" s="62"/>
      <c r="K808" s="62"/>
      <c r="L808" s="62"/>
      <c r="M808" s="62"/>
      <c r="N808" s="62"/>
      <c r="O808" s="62"/>
      <c r="P808" s="62"/>
      <c r="Q808" s="62"/>
    </row>
    <row r="809" spans="2:17" x14ac:dyDescent="0.35">
      <c r="B809" s="62"/>
      <c r="C809" s="61"/>
      <c r="D809" s="63"/>
      <c r="E809" s="63"/>
      <c r="F809" s="62"/>
      <c r="G809" s="62"/>
      <c r="H809" s="62"/>
      <c r="I809" s="62"/>
      <c r="J809" s="62"/>
      <c r="K809" s="62"/>
      <c r="L809" s="62"/>
      <c r="M809" s="62"/>
      <c r="N809" s="62"/>
      <c r="O809" s="62"/>
      <c r="P809" s="62"/>
      <c r="Q809" s="62"/>
    </row>
    <row r="810" spans="2:17" x14ac:dyDescent="0.35">
      <c r="B810" s="62"/>
      <c r="C810" s="61"/>
      <c r="D810" s="63"/>
      <c r="E810" s="63"/>
      <c r="F810" s="62"/>
      <c r="G810" s="62"/>
      <c r="H810" s="62"/>
      <c r="I810" s="62"/>
      <c r="J810" s="62"/>
      <c r="K810" s="62"/>
      <c r="L810" s="62"/>
      <c r="M810" s="62"/>
      <c r="N810" s="62"/>
      <c r="O810" s="62"/>
      <c r="P810" s="62"/>
      <c r="Q810" s="62"/>
    </row>
    <row r="811" spans="2:17" x14ac:dyDescent="0.35">
      <c r="B811" s="62"/>
      <c r="C811" s="61"/>
      <c r="D811" s="63"/>
      <c r="E811" s="63"/>
      <c r="F811" s="62"/>
      <c r="G811" s="62"/>
      <c r="H811" s="62"/>
      <c r="I811" s="62"/>
      <c r="J811" s="62"/>
      <c r="K811" s="62"/>
      <c r="L811" s="62"/>
      <c r="M811" s="62"/>
      <c r="N811" s="62"/>
      <c r="O811" s="62"/>
      <c r="P811" s="62"/>
      <c r="Q811" s="62"/>
    </row>
    <row r="812" spans="2:17" x14ac:dyDescent="0.35">
      <c r="B812" s="62"/>
      <c r="C812" s="61"/>
      <c r="D812" s="63"/>
      <c r="E812" s="63"/>
      <c r="F812" s="62"/>
      <c r="G812" s="62"/>
      <c r="H812" s="62"/>
      <c r="I812" s="62"/>
      <c r="J812" s="62"/>
      <c r="K812" s="62"/>
      <c r="L812" s="62"/>
      <c r="M812" s="62"/>
      <c r="N812" s="62"/>
      <c r="O812" s="62"/>
      <c r="P812" s="62"/>
      <c r="Q812" s="62"/>
    </row>
    <row r="813" spans="2:17" x14ac:dyDescent="0.35">
      <c r="B813" s="62"/>
      <c r="C813" s="61"/>
      <c r="D813" s="63"/>
      <c r="E813" s="63"/>
      <c r="F813" s="62"/>
      <c r="G813" s="62"/>
      <c r="H813" s="62"/>
      <c r="I813" s="62"/>
      <c r="J813" s="62"/>
      <c r="K813" s="62"/>
      <c r="L813" s="62"/>
      <c r="M813" s="62"/>
      <c r="N813" s="62"/>
      <c r="O813" s="62"/>
      <c r="P813" s="62"/>
      <c r="Q813" s="62"/>
    </row>
    <row r="814" spans="2:17" x14ac:dyDescent="0.35">
      <c r="B814" s="62"/>
      <c r="C814" s="61"/>
      <c r="D814" s="63"/>
      <c r="E814" s="63"/>
      <c r="F814" s="62"/>
      <c r="G814" s="62"/>
      <c r="H814" s="62"/>
      <c r="I814" s="62"/>
      <c r="J814" s="62"/>
      <c r="K814" s="62"/>
      <c r="L814" s="62"/>
      <c r="M814" s="62"/>
      <c r="N814" s="62"/>
      <c r="O814" s="62"/>
      <c r="P814" s="62"/>
      <c r="Q814" s="62"/>
    </row>
    <row r="815" spans="2:17" x14ac:dyDescent="0.35">
      <c r="B815" s="62"/>
      <c r="C815" s="61"/>
      <c r="D815" s="63"/>
      <c r="E815" s="63"/>
      <c r="F815" s="62"/>
      <c r="G815" s="62"/>
      <c r="H815" s="62"/>
      <c r="I815" s="62"/>
      <c r="J815" s="62"/>
      <c r="K815" s="62"/>
      <c r="L815" s="62"/>
      <c r="M815" s="62"/>
      <c r="N815" s="62"/>
      <c r="O815" s="62"/>
      <c r="P815" s="62"/>
      <c r="Q815" s="62"/>
    </row>
    <row r="816" spans="2:17" x14ac:dyDescent="0.35">
      <c r="B816" s="62"/>
      <c r="C816" s="61"/>
      <c r="D816" s="63"/>
      <c r="E816" s="63"/>
      <c r="F816" s="62"/>
      <c r="G816" s="62"/>
      <c r="H816" s="62"/>
      <c r="I816" s="62"/>
      <c r="J816" s="62"/>
      <c r="K816" s="62"/>
      <c r="L816" s="62"/>
      <c r="M816" s="62"/>
      <c r="N816" s="62"/>
      <c r="O816" s="62"/>
      <c r="P816" s="62"/>
      <c r="Q816" s="62"/>
    </row>
    <row r="817" spans="2:17" x14ac:dyDescent="0.35">
      <c r="B817" s="62"/>
      <c r="C817" s="61"/>
      <c r="D817" s="63"/>
      <c r="E817" s="63"/>
      <c r="F817" s="62"/>
      <c r="G817" s="62"/>
      <c r="H817" s="62"/>
      <c r="I817" s="62"/>
      <c r="J817" s="62"/>
      <c r="K817" s="62"/>
      <c r="L817" s="62"/>
      <c r="M817" s="62"/>
      <c r="N817" s="62"/>
      <c r="O817" s="62"/>
      <c r="P817" s="62"/>
      <c r="Q817" s="62"/>
    </row>
    <row r="818" spans="2:17" x14ac:dyDescent="0.35">
      <c r="B818" s="62"/>
      <c r="C818" s="61"/>
      <c r="D818" s="63"/>
      <c r="E818" s="63"/>
      <c r="F818" s="62"/>
      <c r="G818" s="62"/>
      <c r="H818" s="62"/>
      <c r="I818" s="62"/>
      <c r="J818" s="62"/>
      <c r="K818" s="62"/>
      <c r="L818" s="62"/>
      <c r="M818" s="62"/>
      <c r="N818" s="62"/>
      <c r="O818" s="62"/>
      <c r="P818" s="62"/>
      <c r="Q818" s="62"/>
    </row>
    <row r="819" spans="2:17" x14ac:dyDescent="0.35">
      <c r="B819" s="62"/>
      <c r="C819" s="61"/>
      <c r="D819" s="63"/>
      <c r="E819" s="63"/>
      <c r="F819" s="62"/>
      <c r="G819" s="62"/>
      <c r="H819" s="62"/>
      <c r="I819" s="62"/>
      <c r="J819" s="62"/>
      <c r="K819" s="62"/>
      <c r="L819" s="62"/>
      <c r="M819" s="62"/>
      <c r="N819" s="62"/>
      <c r="O819" s="62"/>
      <c r="P819" s="62"/>
      <c r="Q819" s="62"/>
    </row>
    <row r="820" spans="2:17" x14ac:dyDescent="0.35">
      <c r="B820" s="62"/>
      <c r="C820" s="61"/>
      <c r="D820" s="63"/>
      <c r="E820" s="63"/>
      <c r="F820" s="62"/>
      <c r="G820" s="62"/>
      <c r="H820" s="62"/>
      <c r="I820" s="62"/>
      <c r="J820" s="62"/>
      <c r="K820" s="62"/>
      <c r="L820" s="62"/>
      <c r="M820" s="62"/>
      <c r="N820" s="62"/>
      <c r="O820" s="62"/>
      <c r="P820" s="62"/>
      <c r="Q820" s="62"/>
    </row>
    <row r="821" spans="2:17" x14ac:dyDescent="0.35">
      <c r="B821" s="62"/>
      <c r="C821" s="61"/>
      <c r="D821" s="63"/>
      <c r="E821" s="63"/>
      <c r="F821" s="62"/>
      <c r="G821" s="62"/>
      <c r="H821" s="62"/>
      <c r="I821" s="62"/>
      <c r="J821" s="62"/>
      <c r="K821" s="62"/>
      <c r="L821" s="62"/>
      <c r="M821" s="62"/>
      <c r="N821" s="62"/>
      <c r="O821" s="62"/>
      <c r="P821" s="62"/>
      <c r="Q821" s="62"/>
    </row>
    <row r="822" spans="2:17" x14ac:dyDescent="0.35">
      <c r="B822" s="62"/>
      <c r="C822" s="61"/>
      <c r="D822" s="63"/>
      <c r="E822" s="63"/>
      <c r="F822" s="62"/>
      <c r="G822" s="62"/>
      <c r="H822" s="62"/>
      <c r="I822" s="62"/>
      <c r="J822" s="62"/>
      <c r="K822" s="62"/>
      <c r="L822" s="62"/>
      <c r="M822" s="62"/>
      <c r="N822" s="62"/>
      <c r="O822" s="62"/>
      <c r="P822" s="62"/>
      <c r="Q822" s="62"/>
    </row>
    <row r="823" spans="2:17" x14ac:dyDescent="0.35">
      <c r="B823" s="62"/>
      <c r="C823" s="61"/>
      <c r="D823" s="63"/>
      <c r="E823" s="63"/>
      <c r="F823" s="62"/>
      <c r="G823" s="62"/>
      <c r="H823" s="62"/>
      <c r="I823" s="62"/>
      <c r="J823" s="62"/>
      <c r="K823" s="62"/>
      <c r="L823" s="62"/>
      <c r="M823" s="62"/>
      <c r="N823" s="62"/>
      <c r="O823" s="62"/>
      <c r="P823" s="62"/>
      <c r="Q823" s="62"/>
    </row>
    <row r="824" spans="2:17" x14ac:dyDescent="0.35">
      <c r="B824" s="62"/>
      <c r="C824" s="61"/>
      <c r="D824" s="63"/>
      <c r="E824" s="63"/>
      <c r="F824" s="62"/>
      <c r="G824" s="62"/>
      <c r="H824" s="62"/>
      <c r="I824" s="62"/>
      <c r="J824" s="62"/>
      <c r="K824" s="62"/>
      <c r="L824" s="62"/>
      <c r="M824" s="62"/>
      <c r="N824" s="62"/>
      <c r="O824" s="62"/>
      <c r="P824" s="62"/>
      <c r="Q824" s="62"/>
    </row>
    <row r="825" spans="2:17" x14ac:dyDescent="0.35">
      <c r="B825" s="62"/>
      <c r="C825" s="61"/>
      <c r="D825" s="63"/>
      <c r="E825" s="63"/>
      <c r="F825" s="62"/>
      <c r="G825" s="62"/>
      <c r="H825" s="62"/>
      <c r="I825" s="62"/>
      <c r="J825" s="62"/>
      <c r="K825" s="62"/>
      <c r="L825" s="62"/>
      <c r="M825" s="62"/>
      <c r="N825" s="62"/>
      <c r="O825" s="62"/>
      <c r="P825" s="62"/>
      <c r="Q825" s="62"/>
    </row>
    <row r="826" spans="2:17" x14ac:dyDescent="0.35">
      <c r="B826" s="62"/>
      <c r="C826" s="61"/>
      <c r="D826" s="63"/>
      <c r="E826" s="63"/>
      <c r="F826" s="62"/>
      <c r="G826" s="62"/>
      <c r="H826" s="62"/>
      <c r="I826" s="62"/>
      <c r="J826" s="62"/>
      <c r="K826" s="62"/>
      <c r="L826" s="62"/>
      <c r="M826" s="62"/>
      <c r="N826" s="62"/>
      <c r="O826" s="62"/>
      <c r="P826" s="62"/>
      <c r="Q826" s="62"/>
    </row>
    <row r="827" spans="2:17" x14ac:dyDescent="0.35">
      <c r="B827" s="62"/>
      <c r="C827" s="61"/>
      <c r="D827" s="63"/>
      <c r="E827" s="63"/>
      <c r="F827" s="62"/>
      <c r="G827" s="62"/>
      <c r="H827" s="62"/>
      <c r="I827" s="62"/>
      <c r="J827" s="62"/>
      <c r="K827" s="62"/>
      <c r="L827" s="62"/>
      <c r="M827" s="62"/>
      <c r="N827" s="62"/>
      <c r="O827" s="62"/>
      <c r="P827" s="62"/>
      <c r="Q827" s="62"/>
    </row>
    <row r="828" spans="2:17" x14ac:dyDescent="0.35">
      <c r="B828" s="62"/>
      <c r="C828" s="61"/>
      <c r="D828" s="63"/>
      <c r="E828" s="63"/>
      <c r="F828" s="62"/>
      <c r="G828" s="62"/>
      <c r="H828" s="62"/>
      <c r="I828" s="62"/>
      <c r="J828" s="62"/>
      <c r="K828" s="62"/>
      <c r="L828" s="62"/>
      <c r="M828" s="62"/>
      <c r="N828" s="62"/>
      <c r="O828" s="62"/>
      <c r="P828" s="62"/>
      <c r="Q828" s="62"/>
    </row>
    <row r="829" spans="2:17" x14ac:dyDescent="0.35">
      <c r="B829" s="62"/>
      <c r="C829" s="61"/>
      <c r="D829" s="63"/>
      <c r="E829" s="63"/>
      <c r="F829" s="62"/>
      <c r="G829" s="62"/>
      <c r="H829" s="62"/>
      <c r="I829" s="62"/>
      <c r="J829" s="62"/>
      <c r="K829" s="62"/>
      <c r="L829" s="62"/>
      <c r="M829" s="62"/>
      <c r="N829" s="62"/>
      <c r="O829" s="62"/>
      <c r="P829" s="62"/>
      <c r="Q829" s="62"/>
    </row>
    <row r="830" spans="2:17" x14ac:dyDescent="0.35">
      <c r="B830" s="62"/>
      <c r="C830" s="61"/>
      <c r="D830" s="63"/>
      <c r="E830" s="63"/>
      <c r="F830" s="62"/>
      <c r="G830" s="62"/>
      <c r="H830" s="62"/>
      <c r="I830" s="62"/>
      <c r="J830" s="62"/>
      <c r="K830" s="62"/>
      <c r="L830" s="62"/>
      <c r="M830" s="62"/>
      <c r="N830" s="62"/>
      <c r="O830" s="62"/>
      <c r="P830" s="62"/>
      <c r="Q830" s="62"/>
    </row>
    <row r="831" spans="2:17" x14ac:dyDescent="0.35">
      <c r="B831" s="62"/>
      <c r="C831" s="61"/>
      <c r="D831" s="63"/>
      <c r="E831" s="63"/>
      <c r="F831" s="62"/>
      <c r="G831" s="62"/>
      <c r="H831" s="62"/>
      <c r="I831" s="62"/>
      <c r="J831" s="62"/>
      <c r="K831" s="62"/>
      <c r="L831" s="62"/>
      <c r="M831" s="62"/>
      <c r="N831" s="62"/>
      <c r="O831" s="62"/>
      <c r="P831" s="62"/>
      <c r="Q831" s="62"/>
    </row>
    <row r="832" spans="2:17" x14ac:dyDescent="0.35">
      <c r="B832" s="62"/>
      <c r="C832" s="61"/>
      <c r="D832" s="63"/>
      <c r="E832" s="63"/>
      <c r="F832" s="62"/>
      <c r="G832" s="62"/>
      <c r="H832" s="62"/>
      <c r="I832" s="62"/>
      <c r="J832" s="62"/>
      <c r="K832" s="62"/>
      <c r="L832" s="62"/>
      <c r="M832" s="62"/>
      <c r="N832" s="62"/>
      <c r="O832" s="62"/>
      <c r="P832" s="62"/>
      <c r="Q832" s="62"/>
    </row>
    <row r="833" spans="2:17" x14ac:dyDescent="0.35">
      <c r="B833" s="62"/>
      <c r="C833" s="61"/>
      <c r="D833" s="63"/>
      <c r="E833" s="63"/>
      <c r="F833" s="62"/>
      <c r="G833" s="62"/>
      <c r="H833" s="62"/>
      <c r="I833" s="62"/>
      <c r="J833" s="62"/>
      <c r="K833" s="62"/>
      <c r="L833" s="62"/>
      <c r="M833" s="62"/>
      <c r="N833" s="62"/>
      <c r="O833" s="62"/>
      <c r="P833" s="62"/>
      <c r="Q833" s="62"/>
    </row>
    <row r="834" spans="2:17" x14ac:dyDescent="0.35">
      <c r="B834" s="62"/>
      <c r="C834" s="61"/>
      <c r="D834" s="63"/>
      <c r="E834" s="63"/>
      <c r="F834" s="62"/>
      <c r="G834" s="62"/>
      <c r="H834" s="62"/>
      <c r="I834" s="62"/>
      <c r="J834" s="62"/>
      <c r="K834" s="62"/>
      <c r="L834" s="62"/>
      <c r="M834" s="62"/>
      <c r="N834" s="62"/>
      <c r="O834" s="62"/>
      <c r="P834" s="62"/>
      <c r="Q834" s="62"/>
    </row>
    <row r="835" spans="2:17" x14ac:dyDescent="0.35">
      <c r="B835" s="62"/>
      <c r="C835" s="61"/>
      <c r="D835" s="63"/>
      <c r="E835" s="63"/>
      <c r="F835" s="62"/>
      <c r="G835" s="62"/>
      <c r="H835" s="62"/>
      <c r="I835" s="62"/>
      <c r="J835" s="62"/>
      <c r="K835" s="62"/>
      <c r="L835" s="62"/>
      <c r="M835" s="62"/>
      <c r="N835" s="62"/>
      <c r="O835" s="62"/>
      <c r="P835" s="62"/>
      <c r="Q835" s="62"/>
    </row>
    <row r="836" spans="2:17" x14ac:dyDescent="0.35">
      <c r="B836" s="62"/>
      <c r="C836" s="61"/>
      <c r="D836" s="63"/>
      <c r="E836" s="63"/>
      <c r="F836" s="62"/>
      <c r="G836" s="62"/>
      <c r="H836" s="62"/>
      <c r="I836" s="62"/>
      <c r="J836" s="62"/>
      <c r="K836" s="62"/>
      <c r="L836" s="62"/>
      <c r="M836" s="62"/>
      <c r="N836" s="62"/>
      <c r="O836" s="62"/>
      <c r="P836" s="62"/>
      <c r="Q836" s="62"/>
    </row>
    <row r="837" spans="2:17" x14ac:dyDescent="0.35">
      <c r="B837" s="62"/>
      <c r="C837" s="61"/>
      <c r="D837" s="63"/>
      <c r="E837" s="63"/>
      <c r="F837" s="62"/>
      <c r="G837" s="62"/>
      <c r="H837" s="62"/>
      <c r="I837" s="62"/>
      <c r="J837" s="62"/>
      <c r="K837" s="62"/>
      <c r="L837" s="62"/>
      <c r="M837" s="62"/>
      <c r="N837" s="62"/>
      <c r="O837" s="62"/>
      <c r="P837" s="62"/>
      <c r="Q837" s="62"/>
    </row>
    <row r="838" spans="2:17" x14ac:dyDescent="0.35">
      <c r="B838" s="62"/>
      <c r="C838" s="61"/>
      <c r="D838" s="63"/>
      <c r="E838" s="63"/>
      <c r="F838" s="62"/>
      <c r="G838" s="62"/>
      <c r="H838" s="62"/>
      <c r="I838" s="62"/>
      <c r="J838" s="62"/>
      <c r="K838" s="62"/>
      <c r="L838" s="62"/>
      <c r="M838" s="62"/>
      <c r="N838" s="62"/>
      <c r="O838" s="62"/>
      <c r="P838" s="62"/>
      <c r="Q838" s="62"/>
    </row>
    <row r="839" spans="2:17" x14ac:dyDescent="0.35">
      <c r="B839" s="62"/>
      <c r="C839" s="61"/>
      <c r="D839" s="63"/>
      <c r="E839" s="63"/>
      <c r="F839" s="62"/>
      <c r="G839" s="62"/>
      <c r="H839" s="62"/>
      <c r="I839" s="62"/>
      <c r="J839" s="62"/>
      <c r="K839" s="62"/>
      <c r="L839" s="62"/>
      <c r="M839" s="62"/>
      <c r="N839" s="62"/>
      <c r="O839" s="62"/>
      <c r="P839" s="62"/>
      <c r="Q839" s="62"/>
    </row>
    <row r="840" spans="2:17" x14ac:dyDescent="0.35">
      <c r="B840" s="62"/>
      <c r="C840" s="61"/>
      <c r="D840" s="63"/>
      <c r="E840" s="63"/>
      <c r="F840" s="62"/>
      <c r="G840" s="62"/>
      <c r="H840" s="62"/>
      <c r="I840" s="62"/>
      <c r="J840" s="62"/>
      <c r="K840" s="62"/>
      <c r="L840" s="62"/>
      <c r="M840" s="62"/>
      <c r="N840" s="62"/>
      <c r="O840" s="62"/>
      <c r="P840" s="62"/>
      <c r="Q840" s="62"/>
    </row>
    <row r="841" spans="2:17" x14ac:dyDescent="0.35">
      <c r="B841" s="62"/>
      <c r="C841" s="61"/>
      <c r="D841" s="63"/>
      <c r="E841" s="63"/>
      <c r="F841" s="62"/>
      <c r="G841" s="62"/>
      <c r="H841" s="62"/>
      <c r="I841" s="62"/>
      <c r="J841" s="62"/>
      <c r="K841" s="62"/>
      <c r="L841" s="62"/>
      <c r="M841" s="62"/>
      <c r="N841" s="62"/>
      <c r="O841" s="62"/>
      <c r="P841" s="62"/>
      <c r="Q841" s="62"/>
    </row>
    <row r="842" spans="2:17" x14ac:dyDescent="0.35">
      <c r="B842" s="62"/>
      <c r="C842" s="61"/>
      <c r="D842" s="63"/>
      <c r="E842" s="63"/>
      <c r="F842" s="62"/>
      <c r="G842" s="62"/>
      <c r="H842" s="62"/>
      <c r="I842" s="62"/>
      <c r="J842" s="62"/>
      <c r="K842" s="62"/>
      <c r="L842" s="62"/>
      <c r="M842" s="62"/>
      <c r="N842" s="62"/>
      <c r="O842" s="62"/>
      <c r="P842" s="62"/>
      <c r="Q842" s="62"/>
    </row>
    <row r="843" spans="2:17" x14ac:dyDescent="0.35">
      <c r="B843" s="62"/>
      <c r="C843" s="61"/>
      <c r="D843" s="63"/>
      <c r="E843" s="63"/>
      <c r="F843" s="62"/>
      <c r="G843" s="62"/>
      <c r="H843" s="62"/>
      <c r="I843" s="62"/>
      <c r="J843" s="62"/>
      <c r="K843" s="62"/>
      <c r="L843" s="62"/>
      <c r="M843" s="62"/>
      <c r="N843" s="62"/>
      <c r="O843" s="62"/>
      <c r="P843" s="62"/>
      <c r="Q843" s="62"/>
    </row>
    <row r="844" spans="2:17" x14ac:dyDescent="0.35">
      <c r="B844" s="62"/>
      <c r="C844" s="61"/>
      <c r="D844" s="63"/>
      <c r="E844" s="63"/>
      <c r="F844" s="62"/>
      <c r="G844" s="62"/>
      <c r="H844" s="62"/>
      <c r="I844" s="62"/>
      <c r="J844" s="62"/>
      <c r="K844" s="62"/>
      <c r="L844" s="62"/>
      <c r="M844" s="62"/>
      <c r="N844" s="62"/>
      <c r="O844" s="62"/>
      <c r="P844" s="62"/>
      <c r="Q844" s="62"/>
    </row>
    <row r="845" spans="2:17" x14ac:dyDescent="0.35">
      <c r="B845" s="62"/>
      <c r="C845" s="61"/>
      <c r="D845" s="63"/>
      <c r="E845" s="63"/>
      <c r="F845" s="62"/>
      <c r="G845" s="62"/>
      <c r="H845" s="62"/>
      <c r="I845" s="62"/>
      <c r="J845" s="62"/>
      <c r="K845" s="62"/>
      <c r="L845" s="62"/>
      <c r="M845" s="62"/>
      <c r="N845" s="62"/>
      <c r="O845" s="62"/>
      <c r="P845" s="62"/>
      <c r="Q845" s="62"/>
    </row>
    <row r="846" spans="2:17" x14ac:dyDescent="0.35">
      <c r="B846" s="62"/>
      <c r="C846" s="61"/>
      <c r="D846" s="63"/>
      <c r="E846" s="63"/>
      <c r="F846" s="62"/>
      <c r="G846" s="62"/>
      <c r="H846" s="62"/>
      <c r="I846" s="62"/>
      <c r="J846" s="62"/>
      <c r="K846" s="62"/>
      <c r="L846" s="62"/>
      <c r="M846" s="62"/>
      <c r="N846" s="62"/>
      <c r="O846" s="62"/>
      <c r="P846" s="62"/>
      <c r="Q846" s="62"/>
    </row>
    <row r="847" spans="2:17" x14ac:dyDescent="0.35">
      <c r="B847" s="62"/>
      <c r="C847" s="61"/>
      <c r="D847" s="63"/>
      <c r="E847" s="63"/>
      <c r="F847" s="62"/>
      <c r="G847" s="62"/>
      <c r="H847" s="62"/>
      <c r="I847" s="62"/>
      <c r="J847" s="62"/>
      <c r="K847" s="62"/>
      <c r="L847" s="62"/>
      <c r="M847" s="62"/>
      <c r="N847" s="62"/>
      <c r="O847" s="62"/>
      <c r="P847" s="62"/>
      <c r="Q847" s="62"/>
    </row>
    <row r="848" spans="2:17" x14ac:dyDescent="0.35">
      <c r="B848" s="62"/>
      <c r="C848" s="61"/>
      <c r="D848" s="63"/>
      <c r="E848" s="63"/>
      <c r="F848" s="62"/>
      <c r="G848" s="62"/>
      <c r="H848" s="62"/>
      <c r="I848" s="62"/>
      <c r="J848" s="62"/>
      <c r="K848" s="62"/>
      <c r="L848" s="62"/>
      <c r="M848" s="62"/>
      <c r="N848" s="62"/>
      <c r="O848" s="62"/>
      <c r="P848" s="62"/>
      <c r="Q848" s="62"/>
    </row>
    <row r="849" spans="2:17" x14ac:dyDescent="0.35">
      <c r="B849" s="62"/>
      <c r="C849" s="61"/>
      <c r="D849" s="63"/>
      <c r="E849" s="63"/>
      <c r="F849" s="62"/>
      <c r="G849" s="62"/>
      <c r="H849" s="62"/>
      <c r="I849" s="62"/>
      <c r="J849" s="62"/>
      <c r="K849" s="62"/>
      <c r="L849" s="62"/>
      <c r="M849" s="62"/>
      <c r="N849" s="62"/>
      <c r="O849" s="62"/>
      <c r="P849" s="62"/>
      <c r="Q849" s="62"/>
    </row>
    <row r="850" spans="2:17" x14ac:dyDescent="0.35">
      <c r="B850" s="62"/>
      <c r="C850" s="61"/>
      <c r="D850" s="63"/>
      <c r="E850" s="63"/>
      <c r="F850" s="62"/>
      <c r="G850" s="62"/>
      <c r="H850" s="62"/>
      <c r="I850" s="62"/>
      <c r="J850" s="62"/>
      <c r="K850" s="62"/>
      <c r="L850" s="62"/>
      <c r="M850" s="62"/>
      <c r="N850" s="62"/>
      <c r="O850" s="62"/>
      <c r="P850" s="62"/>
      <c r="Q850" s="62"/>
    </row>
    <row r="851" spans="2:17" x14ac:dyDescent="0.35">
      <c r="B851" s="62"/>
      <c r="C851" s="61"/>
      <c r="D851" s="63"/>
      <c r="E851" s="63"/>
      <c r="F851" s="62"/>
      <c r="G851" s="62"/>
      <c r="H851" s="62"/>
      <c r="I851" s="62"/>
      <c r="J851" s="62"/>
      <c r="K851" s="62"/>
      <c r="L851" s="62"/>
      <c r="M851" s="62"/>
      <c r="N851" s="62"/>
      <c r="O851" s="62"/>
      <c r="P851" s="62"/>
      <c r="Q851" s="62"/>
    </row>
    <row r="852" spans="2:17" x14ac:dyDescent="0.35">
      <c r="B852" s="62"/>
      <c r="C852" s="61"/>
      <c r="D852" s="63"/>
      <c r="E852" s="63"/>
      <c r="F852" s="62"/>
      <c r="G852" s="62"/>
      <c r="H852" s="62"/>
      <c r="I852" s="62"/>
      <c r="J852" s="62"/>
      <c r="K852" s="62"/>
      <c r="L852" s="62"/>
      <c r="M852" s="62"/>
      <c r="N852" s="62"/>
      <c r="O852" s="62"/>
      <c r="P852" s="62"/>
      <c r="Q852" s="62"/>
    </row>
    <row r="853" spans="2:17" x14ac:dyDescent="0.35">
      <c r="B853" s="62"/>
      <c r="C853" s="61"/>
      <c r="D853" s="63"/>
      <c r="E853" s="63"/>
      <c r="F853" s="62"/>
      <c r="G853" s="62"/>
      <c r="H853" s="62"/>
      <c r="I853" s="62"/>
      <c r="J853" s="62"/>
      <c r="K853" s="62"/>
      <c r="L853" s="62"/>
      <c r="M853" s="62"/>
      <c r="N853" s="62"/>
      <c r="O853" s="62"/>
      <c r="P853" s="62"/>
      <c r="Q853" s="62"/>
    </row>
    <row r="854" spans="2:17" x14ac:dyDescent="0.35">
      <c r="B854" s="62"/>
      <c r="C854" s="61"/>
      <c r="D854" s="63"/>
      <c r="E854" s="63"/>
      <c r="F854" s="62"/>
      <c r="G854" s="62"/>
      <c r="H854" s="62"/>
      <c r="I854" s="62"/>
      <c r="J854" s="62"/>
      <c r="K854" s="62"/>
      <c r="L854" s="62"/>
      <c r="M854" s="62"/>
      <c r="N854" s="62"/>
      <c r="O854" s="62"/>
      <c r="P854" s="62"/>
      <c r="Q854" s="62"/>
    </row>
    <row r="855" spans="2:17" x14ac:dyDescent="0.35">
      <c r="B855" s="62"/>
      <c r="C855" s="61"/>
      <c r="D855" s="63"/>
      <c r="E855" s="63"/>
      <c r="F855" s="62"/>
      <c r="G855" s="62"/>
      <c r="H855" s="62"/>
      <c r="I855" s="62"/>
      <c r="J855" s="62"/>
      <c r="K855" s="62"/>
      <c r="L855" s="62"/>
      <c r="M855" s="62"/>
      <c r="N855" s="62"/>
      <c r="O855" s="62"/>
      <c r="P855" s="62"/>
      <c r="Q855" s="62"/>
    </row>
    <row r="856" spans="2:17" x14ac:dyDescent="0.35">
      <c r="B856" s="62"/>
      <c r="C856" s="61"/>
      <c r="D856" s="63"/>
      <c r="E856" s="63"/>
      <c r="F856" s="62"/>
      <c r="G856" s="62"/>
      <c r="H856" s="62"/>
      <c r="I856" s="62"/>
      <c r="J856" s="62"/>
      <c r="K856" s="62"/>
      <c r="L856" s="62"/>
      <c r="M856" s="62"/>
      <c r="N856" s="62"/>
      <c r="O856" s="62"/>
      <c r="P856" s="62"/>
      <c r="Q856" s="62"/>
    </row>
    <row r="857" spans="2:17" x14ac:dyDescent="0.35">
      <c r="B857" s="62"/>
      <c r="C857" s="61"/>
      <c r="D857" s="63"/>
      <c r="E857" s="63"/>
      <c r="F857" s="62"/>
      <c r="G857" s="62"/>
      <c r="H857" s="62"/>
      <c r="I857" s="62"/>
      <c r="J857" s="62"/>
      <c r="K857" s="62"/>
      <c r="L857" s="62"/>
      <c r="M857" s="62"/>
      <c r="N857" s="62"/>
      <c r="O857" s="62"/>
      <c r="P857" s="62"/>
      <c r="Q857" s="62"/>
    </row>
    <row r="858" spans="2:17" x14ac:dyDescent="0.35">
      <c r="B858" s="62"/>
      <c r="C858" s="61"/>
      <c r="D858" s="63"/>
      <c r="E858" s="63"/>
      <c r="F858" s="62"/>
      <c r="G858" s="62"/>
      <c r="H858" s="62"/>
      <c r="I858" s="62"/>
      <c r="J858" s="62"/>
      <c r="K858" s="62"/>
      <c r="L858" s="62"/>
      <c r="M858" s="62"/>
      <c r="N858" s="62"/>
      <c r="O858" s="62"/>
      <c r="P858" s="62"/>
      <c r="Q858" s="62"/>
    </row>
    <row r="859" spans="2:17" x14ac:dyDescent="0.35">
      <c r="B859" s="62"/>
      <c r="C859" s="61"/>
      <c r="D859" s="63"/>
      <c r="E859" s="63"/>
      <c r="F859" s="62"/>
      <c r="G859" s="62"/>
      <c r="H859" s="62"/>
      <c r="I859" s="62"/>
      <c r="J859" s="62"/>
      <c r="K859" s="62"/>
      <c r="L859" s="62"/>
      <c r="M859" s="62"/>
      <c r="N859" s="62"/>
      <c r="O859" s="62"/>
      <c r="P859" s="62"/>
      <c r="Q859" s="62"/>
    </row>
    <row r="860" spans="2:17" x14ac:dyDescent="0.35">
      <c r="B860" s="62"/>
      <c r="C860" s="61"/>
      <c r="D860" s="63"/>
      <c r="E860" s="63"/>
      <c r="F860" s="62"/>
      <c r="G860" s="62"/>
      <c r="H860" s="62"/>
      <c r="I860" s="62"/>
      <c r="J860" s="62"/>
      <c r="K860" s="62"/>
      <c r="L860" s="62"/>
      <c r="M860" s="62"/>
      <c r="N860" s="62"/>
      <c r="O860" s="62"/>
      <c r="P860" s="62"/>
      <c r="Q860" s="62"/>
    </row>
    <row r="861" spans="2:17" x14ac:dyDescent="0.35">
      <c r="B861" s="62"/>
      <c r="C861" s="61"/>
      <c r="D861" s="63"/>
      <c r="E861" s="63"/>
      <c r="F861" s="62"/>
      <c r="G861" s="62"/>
      <c r="H861" s="62"/>
      <c r="I861" s="62"/>
      <c r="J861" s="62"/>
      <c r="K861" s="62"/>
      <c r="L861" s="62"/>
      <c r="M861" s="62"/>
      <c r="N861" s="62"/>
      <c r="O861" s="62"/>
      <c r="P861" s="62"/>
      <c r="Q861" s="62"/>
    </row>
    <row r="862" spans="2:17" x14ac:dyDescent="0.35">
      <c r="B862" s="62"/>
      <c r="C862" s="61"/>
      <c r="D862" s="63"/>
      <c r="E862" s="63"/>
      <c r="F862" s="62"/>
      <c r="G862" s="62"/>
      <c r="H862" s="62"/>
      <c r="I862" s="62"/>
      <c r="J862" s="62"/>
      <c r="K862" s="62"/>
      <c r="L862" s="62"/>
      <c r="M862" s="62"/>
      <c r="N862" s="62"/>
      <c r="O862" s="62"/>
      <c r="P862" s="62"/>
      <c r="Q862" s="62"/>
    </row>
    <row r="863" spans="2:17" x14ac:dyDescent="0.35">
      <c r="B863" s="62"/>
      <c r="C863" s="61"/>
      <c r="D863" s="63"/>
      <c r="E863" s="63"/>
      <c r="F863" s="62"/>
      <c r="G863" s="62"/>
      <c r="H863" s="62"/>
      <c r="I863" s="62"/>
      <c r="J863" s="62"/>
      <c r="K863" s="62"/>
      <c r="L863" s="62"/>
      <c r="M863" s="62"/>
      <c r="N863" s="62"/>
      <c r="O863" s="62"/>
      <c r="P863" s="62"/>
      <c r="Q863" s="62"/>
    </row>
    <row r="864" spans="2:17" x14ac:dyDescent="0.35">
      <c r="B864" s="62"/>
      <c r="C864" s="61"/>
      <c r="D864" s="63"/>
      <c r="E864" s="63"/>
      <c r="F864" s="62"/>
      <c r="G864" s="62"/>
      <c r="H864" s="62"/>
      <c r="I864" s="62"/>
      <c r="J864" s="62"/>
      <c r="K864" s="62"/>
      <c r="L864" s="62"/>
      <c r="M864" s="62"/>
      <c r="N864" s="62"/>
      <c r="O864" s="62"/>
      <c r="P864" s="62"/>
      <c r="Q864" s="62"/>
    </row>
    <row r="865" spans="2:17" x14ac:dyDescent="0.35">
      <c r="B865" s="62"/>
      <c r="C865" s="61"/>
      <c r="D865" s="63"/>
      <c r="E865" s="63"/>
      <c r="F865" s="62"/>
      <c r="G865" s="62"/>
      <c r="H865" s="62"/>
      <c r="I865" s="62"/>
      <c r="J865" s="62"/>
      <c r="K865" s="62"/>
      <c r="L865" s="62"/>
      <c r="M865" s="62"/>
      <c r="N865" s="62"/>
      <c r="O865" s="62"/>
      <c r="P865" s="62"/>
      <c r="Q865" s="62"/>
    </row>
    <row r="866" spans="2:17" x14ac:dyDescent="0.35">
      <c r="B866" s="62"/>
      <c r="C866" s="61"/>
      <c r="D866" s="63"/>
      <c r="E866" s="63"/>
      <c r="F866" s="62"/>
      <c r="G866" s="62"/>
      <c r="H866" s="62"/>
      <c r="I866" s="62"/>
      <c r="J866" s="62"/>
      <c r="K866" s="62"/>
      <c r="L866" s="62"/>
      <c r="M866" s="62"/>
      <c r="N866" s="62"/>
      <c r="O866" s="62"/>
      <c r="P866" s="62"/>
      <c r="Q866" s="62"/>
    </row>
    <row r="867" spans="2:17" x14ac:dyDescent="0.35">
      <c r="B867" s="62"/>
      <c r="C867" s="61"/>
      <c r="D867" s="63"/>
      <c r="E867" s="63"/>
      <c r="F867" s="62"/>
      <c r="G867" s="62"/>
      <c r="H867" s="62"/>
      <c r="I867" s="62"/>
      <c r="J867" s="62"/>
      <c r="K867" s="62"/>
      <c r="L867" s="62"/>
      <c r="M867" s="62"/>
      <c r="N867" s="62"/>
      <c r="O867" s="62"/>
      <c r="P867" s="62"/>
      <c r="Q867" s="62"/>
    </row>
    <row r="868" spans="2:17" x14ac:dyDescent="0.35">
      <c r="B868" s="62"/>
      <c r="C868" s="61"/>
      <c r="D868" s="63"/>
      <c r="E868" s="63"/>
      <c r="F868" s="62"/>
      <c r="G868" s="62"/>
      <c r="H868" s="62"/>
      <c r="I868" s="62"/>
      <c r="J868" s="62"/>
      <c r="K868" s="62"/>
      <c r="L868" s="62"/>
      <c r="M868" s="62"/>
      <c r="N868" s="62"/>
      <c r="O868" s="62"/>
      <c r="P868" s="62"/>
      <c r="Q868" s="62"/>
    </row>
    <row r="869" spans="2:17" x14ac:dyDescent="0.35">
      <c r="B869" s="62"/>
      <c r="C869" s="61"/>
      <c r="D869" s="63"/>
      <c r="E869" s="63"/>
      <c r="F869" s="62"/>
      <c r="G869" s="62"/>
      <c r="H869" s="62"/>
      <c r="I869" s="62"/>
      <c r="J869" s="62"/>
      <c r="K869" s="62"/>
      <c r="L869" s="62"/>
      <c r="M869" s="62"/>
      <c r="N869" s="62"/>
      <c r="O869" s="62"/>
      <c r="P869" s="62"/>
      <c r="Q869" s="62"/>
    </row>
    <row r="870" spans="2:17" x14ac:dyDescent="0.35">
      <c r="B870" s="62"/>
      <c r="C870" s="61"/>
      <c r="D870" s="63"/>
      <c r="E870" s="63"/>
      <c r="F870" s="62"/>
      <c r="G870" s="62"/>
      <c r="H870" s="62"/>
      <c r="I870" s="62"/>
      <c r="J870" s="62"/>
      <c r="K870" s="62"/>
      <c r="L870" s="62"/>
      <c r="M870" s="62"/>
      <c r="N870" s="62"/>
      <c r="O870" s="62"/>
      <c r="P870" s="62"/>
      <c r="Q870" s="62"/>
    </row>
    <row r="871" spans="2:17" x14ac:dyDescent="0.35">
      <c r="B871" s="62"/>
      <c r="C871" s="61"/>
      <c r="D871" s="63"/>
      <c r="E871" s="63"/>
      <c r="F871" s="62"/>
      <c r="G871" s="62"/>
      <c r="H871" s="62"/>
      <c r="I871" s="62"/>
      <c r="J871" s="62"/>
      <c r="K871" s="62"/>
      <c r="L871" s="62"/>
      <c r="M871" s="62"/>
      <c r="N871" s="62"/>
      <c r="O871" s="62"/>
      <c r="P871" s="62"/>
      <c r="Q871" s="62"/>
    </row>
    <row r="872" spans="2:17" x14ac:dyDescent="0.35">
      <c r="B872" s="62"/>
      <c r="C872" s="61"/>
      <c r="D872" s="63"/>
      <c r="E872" s="63"/>
      <c r="F872" s="62"/>
      <c r="G872" s="62"/>
      <c r="H872" s="62"/>
      <c r="I872" s="62"/>
      <c r="J872" s="62"/>
      <c r="K872" s="62"/>
      <c r="L872" s="62"/>
      <c r="M872" s="62"/>
      <c r="N872" s="62"/>
      <c r="O872" s="62"/>
      <c r="P872" s="62"/>
      <c r="Q872" s="62"/>
    </row>
    <row r="873" spans="2:17" x14ac:dyDescent="0.35">
      <c r="B873" s="62"/>
      <c r="C873" s="61"/>
      <c r="D873" s="63"/>
      <c r="E873" s="63"/>
      <c r="F873" s="62"/>
      <c r="G873" s="62"/>
      <c r="H873" s="62"/>
      <c r="I873" s="62"/>
      <c r="J873" s="62"/>
      <c r="K873" s="62"/>
      <c r="L873" s="62"/>
      <c r="M873" s="62"/>
      <c r="N873" s="62"/>
      <c r="O873" s="62"/>
      <c r="P873" s="62"/>
      <c r="Q873" s="62"/>
    </row>
    <row r="874" spans="2:17" x14ac:dyDescent="0.35">
      <c r="B874" s="62"/>
      <c r="C874" s="61"/>
      <c r="D874" s="63"/>
      <c r="E874" s="63"/>
      <c r="F874" s="62"/>
      <c r="G874" s="62"/>
      <c r="H874" s="62"/>
      <c r="I874" s="62"/>
      <c r="J874" s="62"/>
      <c r="K874" s="62"/>
      <c r="L874" s="62"/>
      <c r="M874" s="62"/>
      <c r="N874" s="62"/>
      <c r="O874" s="62"/>
      <c r="P874" s="62"/>
      <c r="Q874" s="62"/>
    </row>
    <row r="875" spans="2:17" x14ac:dyDescent="0.35">
      <c r="B875" s="62"/>
      <c r="C875" s="61"/>
      <c r="D875" s="63"/>
      <c r="E875" s="63"/>
      <c r="F875" s="62"/>
      <c r="G875" s="62"/>
      <c r="H875" s="62"/>
      <c r="I875" s="62"/>
      <c r="J875" s="62"/>
      <c r="K875" s="62"/>
      <c r="L875" s="62"/>
      <c r="M875" s="62"/>
      <c r="N875" s="62"/>
      <c r="O875" s="62"/>
      <c r="P875" s="62"/>
      <c r="Q875" s="62"/>
    </row>
    <row r="876" spans="2:17" x14ac:dyDescent="0.35">
      <c r="B876" s="62"/>
      <c r="C876" s="61"/>
      <c r="D876" s="63"/>
      <c r="E876" s="63"/>
      <c r="F876" s="62"/>
      <c r="G876" s="62"/>
      <c r="H876" s="62"/>
      <c r="I876" s="62"/>
      <c r="J876" s="62"/>
      <c r="K876" s="62"/>
      <c r="L876" s="62"/>
      <c r="M876" s="62"/>
      <c r="N876" s="62"/>
      <c r="O876" s="62"/>
      <c r="P876" s="62"/>
      <c r="Q876" s="62"/>
    </row>
    <row r="877" spans="2:17" x14ac:dyDescent="0.35">
      <c r="B877" s="62"/>
      <c r="C877" s="61"/>
      <c r="D877" s="63"/>
      <c r="E877" s="63"/>
      <c r="F877" s="62"/>
      <c r="G877" s="62"/>
      <c r="H877" s="62"/>
      <c r="I877" s="62"/>
      <c r="J877" s="62"/>
      <c r="K877" s="62"/>
      <c r="L877" s="62"/>
      <c r="M877" s="62"/>
      <c r="N877" s="62"/>
      <c r="O877" s="62"/>
      <c r="P877" s="62"/>
      <c r="Q877" s="62"/>
    </row>
    <row r="878" spans="2:17" x14ac:dyDescent="0.35">
      <c r="B878" s="62"/>
      <c r="C878" s="61"/>
      <c r="D878" s="63"/>
      <c r="E878" s="63"/>
      <c r="F878" s="62"/>
      <c r="G878" s="62"/>
      <c r="H878" s="62"/>
      <c r="I878" s="62"/>
      <c r="J878" s="62"/>
      <c r="K878" s="62"/>
      <c r="L878" s="62"/>
      <c r="M878" s="62"/>
      <c r="N878" s="62"/>
      <c r="O878" s="62"/>
      <c r="P878" s="62"/>
      <c r="Q878" s="62"/>
    </row>
    <row r="879" spans="2:17" x14ac:dyDescent="0.35">
      <c r="B879" s="62"/>
      <c r="C879" s="61"/>
      <c r="D879" s="63"/>
      <c r="E879" s="63"/>
      <c r="F879" s="62"/>
      <c r="G879" s="62"/>
      <c r="H879" s="62"/>
      <c r="I879" s="62"/>
      <c r="J879" s="62"/>
      <c r="K879" s="62"/>
      <c r="L879" s="62"/>
      <c r="M879" s="62"/>
      <c r="N879" s="62"/>
      <c r="O879" s="62"/>
      <c r="P879" s="62"/>
      <c r="Q879" s="62"/>
    </row>
    <row r="880" spans="2:17" x14ac:dyDescent="0.35">
      <c r="B880" s="62"/>
      <c r="C880" s="61"/>
      <c r="D880" s="63"/>
      <c r="E880" s="63"/>
      <c r="F880" s="62"/>
      <c r="G880" s="62"/>
      <c r="H880" s="62"/>
      <c r="I880" s="62"/>
      <c r="J880" s="62"/>
      <c r="K880" s="62"/>
      <c r="L880" s="62"/>
      <c r="M880" s="62"/>
      <c r="N880" s="62"/>
      <c r="O880" s="62"/>
      <c r="P880" s="62"/>
      <c r="Q880" s="62"/>
    </row>
    <row r="881" spans="2:17" x14ac:dyDescent="0.35">
      <c r="B881" s="62"/>
      <c r="C881" s="61"/>
      <c r="D881" s="63"/>
      <c r="E881" s="63"/>
      <c r="F881" s="62"/>
      <c r="G881" s="62"/>
      <c r="H881" s="62"/>
      <c r="I881" s="62"/>
      <c r="J881" s="62"/>
      <c r="K881" s="62"/>
      <c r="L881" s="62"/>
      <c r="M881" s="62"/>
      <c r="N881" s="62"/>
      <c r="O881" s="62"/>
      <c r="P881" s="62"/>
      <c r="Q881" s="62"/>
    </row>
    <row r="882" spans="2:17" x14ac:dyDescent="0.35">
      <c r="B882" s="62"/>
      <c r="C882" s="61"/>
      <c r="D882" s="63"/>
      <c r="E882" s="63"/>
      <c r="F882" s="62"/>
      <c r="G882" s="62"/>
      <c r="H882" s="62"/>
      <c r="I882" s="62"/>
      <c r="J882" s="62"/>
      <c r="K882" s="62"/>
      <c r="L882" s="62"/>
      <c r="M882" s="62"/>
      <c r="N882" s="62"/>
      <c r="O882" s="62"/>
      <c r="P882" s="62"/>
      <c r="Q882" s="62"/>
    </row>
    <row r="883" spans="2:17" x14ac:dyDescent="0.35">
      <c r="B883" s="62"/>
      <c r="C883" s="61"/>
      <c r="D883" s="63"/>
      <c r="E883" s="63"/>
      <c r="F883" s="62"/>
      <c r="G883" s="62"/>
      <c r="H883" s="62"/>
      <c r="I883" s="62"/>
      <c r="J883" s="62"/>
      <c r="K883" s="62"/>
      <c r="L883" s="62"/>
      <c r="M883" s="62"/>
      <c r="N883" s="62"/>
      <c r="O883" s="62"/>
      <c r="P883" s="62"/>
      <c r="Q883" s="62"/>
    </row>
    <row r="884" spans="2:17" x14ac:dyDescent="0.35">
      <c r="B884" s="62"/>
      <c r="C884" s="61"/>
      <c r="D884" s="63"/>
      <c r="E884" s="63"/>
      <c r="F884" s="62"/>
      <c r="G884" s="62"/>
      <c r="H884" s="62"/>
      <c r="I884" s="62"/>
      <c r="J884" s="62"/>
      <c r="K884" s="62"/>
      <c r="L884" s="62"/>
      <c r="M884" s="62"/>
      <c r="N884" s="62"/>
      <c r="O884" s="62"/>
      <c r="P884" s="62"/>
      <c r="Q884" s="62"/>
    </row>
    <row r="885" spans="2:17" x14ac:dyDescent="0.35">
      <c r="B885" s="62"/>
      <c r="C885" s="61"/>
      <c r="D885" s="63"/>
      <c r="E885" s="63"/>
      <c r="F885" s="62"/>
      <c r="G885" s="62"/>
      <c r="H885" s="62"/>
      <c r="I885" s="62"/>
      <c r="J885" s="62"/>
      <c r="K885" s="62"/>
      <c r="L885" s="62"/>
      <c r="M885" s="62"/>
      <c r="N885" s="62"/>
      <c r="O885" s="62"/>
      <c r="P885" s="62"/>
      <c r="Q885" s="62"/>
    </row>
    <row r="886" spans="2:17" x14ac:dyDescent="0.35">
      <c r="B886" s="62"/>
      <c r="C886" s="61"/>
      <c r="D886" s="63"/>
      <c r="E886" s="63"/>
      <c r="F886" s="62"/>
      <c r="G886" s="62"/>
      <c r="H886" s="62"/>
      <c r="I886" s="62"/>
      <c r="J886" s="62"/>
      <c r="K886" s="62"/>
      <c r="L886" s="62"/>
      <c r="M886" s="62"/>
      <c r="N886" s="62"/>
      <c r="O886" s="62"/>
      <c r="P886" s="62"/>
      <c r="Q886" s="62"/>
    </row>
    <row r="887" spans="2:17" x14ac:dyDescent="0.35">
      <c r="B887" s="62"/>
      <c r="C887" s="61"/>
      <c r="D887" s="63"/>
      <c r="E887" s="63"/>
      <c r="F887" s="62"/>
      <c r="G887" s="62"/>
      <c r="H887" s="62"/>
      <c r="I887" s="62"/>
      <c r="J887" s="62"/>
      <c r="K887" s="62"/>
      <c r="L887" s="62"/>
      <c r="M887" s="62"/>
      <c r="N887" s="62"/>
      <c r="O887" s="62"/>
      <c r="P887" s="62"/>
      <c r="Q887" s="62"/>
    </row>
    <row r="888" spans="2:17" x14ac:dyDescent="0.35">
      <c r="B888" s="62"/>
      <c r="C888" s="61"/>
      <c r="D888" s="63"/>
      <c r="E888" s="63"/>
      <c r="F888" s="62"/>
      <c r="G888" s="62"/>
      <c r="H888" s="62"/>
      <c r="I888" s="62"/>
      <c r="J888" s="62"/>
      <c r="K888" s="62"/>
      <c r="L888" s="62"/>
      <c r="M888" s="62"/>
      <c r="N888" s="62"/>
      <c r="O888" s="62"/>
      <c r="P888" s="62"/>
      <c r="Q888" s="62"/>
    </row>
    <row r="889" spans="2:17" x14ac:dyDescent="0.35">
      <c r="B889" s="62"/>
      <c r="C889" s="61"/>
      <c r="D889" s="63"/>
      <c r="E889" s="63"/>
      <c r="F889" s="62"/>
      <c r="G889" s="62"/>
      <c r="H889" s="62"/>
      <c r="I889" s="62"/>
      <c r="J889" s="62"/>
      <c r="K889" s="62"/>
      <c r="L889" s="62"/>
      <c r="M889" s="62"/>
      <c r="N889" s="62"/>
      <c r="O889" s="62"/>
      <c r="P889" s="62"/>
      <c r="Q889" s="62"/>
    </row>
    <row r="890" spans="2:17" x14ac:dyDescent="0.35">
      <c r="B890" s="62"/>
      <c r="C890" s="61"/>
      <c r="D890" s="63"/>
      <c r="E890" s="63"/>
      <c r="F890" s="62"/>
      <c r="G890" s="62"/>
      <c r="H890" s="62"/>
      <c r="I890" s="62"/>
      <c r="J890" s="62"/>
      <c r="K890" s="62"/>
      <c r="L890" s="62"/>
      <c r="M890" s="62"/>
      <c r="N890" s="62"/>
      <c r="O890" s="62"/>
      <c r="P890" s="62"/>
      <c r="Q890" s="62"/>
    </row>
    <row r="891" spans="2:17" x14ac:dyDescent="0.35">
      <c r="B891" s="62"/>
      <c r="C891" s="61"/>
      <c r="D891" s="63"/>
      <c r="E891" s="63"/>
      <c r="F891" s="62"/>
      <c r="G891" s="62"/>
      <c r="H891" s="62"/>
      <c r="I891" s="62"/>
      <c r="J891" s="62"/>
      <c r="K891" s="62"/>
      <c r="L891" s="62"/>
      <c r="M891" s="62"/>
      <c r="N891" s="62"/>
      <c r="O891" s="62"/>
      <c r="P891" s="62"/>
      <c r="Q891" s="62"/>
    </row>
    <row r="892" spans="2:17" x14ac:dyDescent="0.35">
      <c r="B892" s="62"/>
      <c r="C892" s="61"/>
      <c r="D892" s="63"/>
      <c r="E892" s="63"/>
      <c r="F892" s="62"/>
      <c r="G892" s="62"/>
      <c r="H892" s="62"/>
      <c r="I892" s="62"/>
      <c r="J892" s="62"/>
      <c r="K892" s="62"/>
      <c r="L892" s="62"/>
      <c r="M892" s="62"/>
      <c r="N892" s="62"/>
      <c r="O892" s="62"/>
      <c r="P892" s="62"/>
      <c r="Q892" s="62"/>
    </row>
    <row r="893" spans="2:17" x14ac:dyDescent="0.35">
      <c r="B893" s="62"/>
      <c r="C893" s="61"/>
      <c r="D893" s="63"/>
      <c r="E893" s="63"/>
      <c r="F893" s="62"/>
      <c r="G893" s="62"/>
      <c r="H893" s="62"/>
      <c r="I893" s="62"/>
      <c r="J893" s="62"/>
      <c r="K893" s="62"/>
      <c r="L893" s="62"/>
      <c r="M893" s="62"/>
      <c r="N893" s="62"/>
      <c r="O893" s="62"/>
      <c r="P893" s="62"/>
      <c r="Q893" s="62"/>
    </row>
    <row r="894" spans="2:17" x14ac:dyDescent="0.35">
      <c r="B894" s="62"/>
      <c r="C894" s="61"/>
      <c r="D894" s="63"/>
      <c r="E894" s="63"/>
      <c r="F894" s="62"/>
      <c r="G894" s="62"/>
      <c r="H894" s="62"/>
      <c r="I894" s="62"/>
      <c r="J894" s="62"/>
      <c r="K894" s="62"/>
      <c r="L894" s="62"/>
      <c r="M894" s="62"/>
      <c r="N894" s="62"/>
      <c r="O894" s="62"/>
      <c r="P894" s="62"/>
      <c r="Q894" s="62"/>
    </row>
    <row r="895" spans="2:17" x14ac:dyDescent="0.35">
      <c r="B895" s="62"/>
      <c r="C895" s="61"/>
      <c r="D895" s="63"/>
      <c r="E895" s="63"/>
      <c r="F895" s="62"/>
      <c r="G895" s="62"/>
      <c r="H895" s="62"/>
      <c r="I895" s="62"/>
      <c r="J895" s="62"/>
      <c r="K895" s="62"/>
      <c r="L895" s="62"/>
      <c r="M895" s="62"/>
      <c r="N895" s="62"/>
      <c r="O895" s="62"/>
      <c r="P895" s="62"/>
      <c r="Q895" s="62"/>
    </row>
    <row r="896" spans="2:17" x14ac:dyDescent="0.35">
      <c r="B896" s="62"/>
      <c r="C896" s="61"/>
      <c r="D896" s="63"/>
      <c r="E896" s="63"/>
      <c r="F896" s="62"/>
      <c r="G896" s="62"/>
      <c r="H896" s="62"/>
      <c r="I896" s="62"/>
      <c r="J896" s="62"/>
      <c r="K896" s="62"/>
      <c r="L896" s="62"/>
      <c r="M896" s="62"/>
      <c r="N896" s="62"/>
      <c r="O896" s="62"/>
      <c r="P896" s="62"/>
      <c r="Q896" s="62"/>
    </row>
    <row r="897" spans="2:17" x14ac:dyDescent="0.35">
      <c r="B897" s="62"/>
      <c r="C897" s="61"/>
      <c r="D897" s="63"/>
      <c r="E897" s="63"/>
      <c r="F897" s="62"/>
      <c r="G897" s="62"/>
      <c r="H897" s="62"/>
      <c r="I897" s="62"/>
      <c r="J897" s="62"/>
      <c r="K897" s="62"/>
      <c r="L897" s="62"/>
      <c r="M897" s="62"/>
      <c r="N897" s="62"/>
      <c r="O897" s="62"/>
      <c r="P897" s="62"/>
      <c r="Q897" s="62"/>
    </row>
    <row r="898" spans="2:17" x14ac:dyDescent="0.35">
      <c r="B898" s="62"/>
      <c r="C898" s="61"/>
      <c r="D898" s="63"/>
      <c r="E898" s="63"/>
      <c r="F898" s="62"/>
      <c r="G898" s="62"/>
      <c r="H898" s="62"/>
      <c r="I898" s="62"/>
      <c r="J898" s="62"/>
      <c r="K898" s="62"/>
      <c r="L898" s="62"/>
      <c r="M898" s="62"/>
      <c r="N898" s="62"/>
      <c r="O898" s="62"/>
      <c r="P898" s="62"/>
      <c r="Q898" s="62"/>
    </row>
    <row r="899" spans="2:17" x14ac:dyDescent="0.35">
      <c r="B899" s="62"/>
      <c r="C899" s="61"/>
      <c r="D899" s="63"/>
      <c r="E899" s="63"/>
      <c r="F899" s="62"/>
      <c r="G899" s="62"/>
      <c r="H899" s="62"/>
      <c r="I899" s="62"/>
      <c r="J899" s="62"/>
      <c r="K899" s="62"/>
      <c r="L899" s="62"/>
      <c r="M899" s="62"/>
      <c r="N899" s="62"/>
      <c r="O899" s="62"/>
      <c r="P899" s="62"/>
      <c r="Q899" s="62"/>
    </row>
    <row r="900" spans="2:17" x14ac:dyDescent="0.35">
      <c r="B900" s="62"/>
      <c r="C900" s="61"/>
      <c r="D900" s="63"/>
      <c r="E900" s="63"/>
      <c r="F900" s="62"/>
      <c r="G900" s="62"/>
      <c r="H900" s="62"/>
      <c r="I900" s="62"/>
      <c r="J900" s="62"/>
      <c r="K900" s="62"/>
      <c r="L900" s="62"/>
      <c r="M900" s="62"/>
      <c r="N900" s="62"/>
      <c r="O900" s="62"/>
      <c r="P900" s="62"/>
      <c r="Q900" s="62"/>
    </row>
    <row r="901" spans="2:17" x14ac:dyDescent="0.35">
      <c r="B901" s="62"/>
      <c r="C901" s="61"/>
      <c r="D901" s="63"/>
      <c r="E901" s="63"/>
      <c r="F901" s="62"/>
      <c r="G901" s="62"/>
      <c r="H901" s="62"/>
      <c r="I901" s="62"/>
      <c r="J901" s="62"/>
      <c r="K901" s="62"/>
      <c r="L901" s="62"/>
      <c r="M901" s="62"/>
      <c r="N901" s="62"/>
      <c r="O901" s="62"/>
      <c r="P901" s="62"/>
      <c r="Q901" s="62"/>
    </row>
    <row r="902" spans="2:17" x14ac:dyDescent="0.35">
      <c r="B902" s="62"/>
      <c r="C902" s="61"/>
      <c r="D902" s="63"/>
      <c r="E902" s="63"/>
      <c r="F902" s="62"/>
      <c r="G902" s="62"/>
      <c r="H902" s="62"/>
      <c r="I902" s="62"/>
      <c r="J902" s="62"/>
      <c r="K902" s="62"/>
      <c r="L902" s="62"/>
      <c r="M902" s="62"/>
      <c r="N902" s="62"/>
      <c r="O902" s="62"/>
      <c r="P902" s="62"/>
      <c r="Q902" s="62"/>
    </row>
    <row r="903" spans="2:17" x14ac:dyDescent="0.35">
      <c r="B903" s="62"/>
      <c r="C903" s="61"/>
      <c r="D903" s="63"/>
      <c r="E903" s="63"/>
      <c r="F903" s="62"/>
      <c r="G903" s="62"/>
      <c r="H903" s="62"/>
      <c r="I903" s="62"/>
      <c r="J903" s="62"/>
      <c r="K903" s="62"/>
      <c r="L903" s="62"/>
      <c r="M903" s="62"/>
      <c r="N903" s="62"/>
      <c r="O903" s="62"/>
      <c r="P903" s="62"/>
      <c r="Q903" s="62"/>
    </row>
    <row r="904" spans="2:17" x14ac:dyDescent="0.35">
      <c r="B904" s="62"/>
      <c r="C904" s="61"/>
      <c r="D904" s="63"/>
      <c r="E904" s="63"/>
      <c r="F904" s="62"/>
      <c r="G904" s="62"/>
      <c r="H904" s="62"/>
      <c r="I904" s="62"/>
      <c r="J904" s="62"/>
      <c r="K904" s="62"/>
      <c r="L904" s="62"/>
      <c r="M904" s="62"/>
      <c r="N904" s="62"/>
      <c r="O904" s="62"/>
      <c r="P904" s="62"/>
      <c r="Q904" s="62"/>
    </row>
    <row r="905" spans="2:17" x14ac:dyDescent="0.35">
      <c r="B905" s="62"/>
      <c r="C905" s="61"/>
      <c r="D905" s="63"/>
      <c r="E905" s="63"/>
      <c r="F905" s="62"/>
      <c r="G905" s="62"/>
      <c r="H905" s="62"/>
      <c r="I905" s="62"/>
      <c r="J905" s="62"/>
      <c r="K905" s="62"/>
      <c r="L905" s="62"/>
      <c r="M905" s="62"/>
      <c r="N905" s="62"/>
      <c r="O905" s="62"/>
      <c r="P905" s="62"/>
      <c r="Q905" s="62"/>
    </row>
    <row r="906" spans="2:17" x14ac:dyDescent="0.35">
      <c r="B906" s="62"/>
      <c r="C906" s="61"/>
      <c r="D906" s="63"/>
      <c r="E906" s="63"/>
      <c r="F906" s="62"/>
      <c r="G906" s="62"/>
      <c r="H906" s="62"/>
      <c r="I906" s="62"/>
      <c r="J906" s="62"/>
      <c r="K906" s="62"/>
      <c r="L906" s="62"/>
      <c r="M906" s="62"/>
      <c r="N906" s="62"/>
      <c r="O906" s="62"/>
      <c r="P906" s="62"/>
      <c r="Q906" s="62"/>
    </row>
    <row r="907" spans="2:17" x14ac:dyDescent="0.35">
      <c r="B907" s="62"/>
      <c r="C907" s="61"/>
      <c r="D907" s="63"/>
      <c r="E907" s="63"/>
      <c r="F907" s="62"/>
      <c r="G907" s="62"/>
      <c r="H907" s="62"/>
      <c r="I907" s="62"/>
      <c r="J907" s="62"/>
      <c r="K907" s="62"/>
      <c r="L907" s="62"/>
      <c r="M907" s="62"/>
      <c r="N907" s="62"/>
      <c r="O907" s="62"/>
      <c r="P907" s="62"/>
      <c r="Q907" s="62"/>
    </row>
    <row r="908" spans="2:17" x14ac:dyDescent="0.35">
      <c r="B908" s="62"/>
      <c r="C908" s="61"/>
      <c r="D908" s="63"/>
      <c r="E908" s="63"/>
      <c r="F908" s="62"/>
      <c r="G908" s="62"/>
      <c r="H908" s="62"/>
      <c r="I908" s="62"/>
      <c r="J908" s="62"/>
      <c r="K908" s="62"/>
      <c r="L908" s="62"/>
      <c r="M908" s="62"/>
      <c r="N908" s="62"/>
      <c r="O908" s="62"/>
      <c r="P908" s="62"/>
      <c r="Q908" s="62"/>
    </row>
    <row r="909" spans="2:17" x14ac:dyDescent="0.35">
      <c r="B909" s="62"/>
      <c r="C909" s="61"/>
      <c r="D909" s="63"/>
      <c r="E909" s="63"/>
      <c r="F909" s="62"/>
      <c r="G909" s="62"/>
      <c r="H909" s="62"/>
      <c r="I909" s="62"/>
      <c r="J909" s="62"/>
      <c r="K909" s="62"/>
      <c r="L909" s="62"/>
      <c r="M909" s="62"/>
      <c r="N909" s="62"/>
      <c r="O909" s="62"/>
      <c r="P909" s="62"/>
      <c r="Q909" s="62"/>
    </row>
    <row r="910" spans="2:17" x14ac:dyDescent="0.35">
      <c r="B910" s="62"/>
      <c r="C910" s="61"/>
      <c r="D910" s="63"/>
      <c r="E910" s="63"/>
      <c r="F910" s="62"/>
      <c r="G910" s="62"/>
      <c r="H910" s="62"/>
      <c r="I910" s="62"/>
      <c r="J910" s="62"/>
      <c r="K910" s="62"/>
      <c r="L910" s="62"/>
      <c r="M910" s="62"/>
      <c r="N910" s="62"/>
      <c r="O910" s="62"/>
      <c r="P910" s="62"/>
      <c r="Q910" s="62"/>
    </row>
    <row r="911" spans="2:17" x14ac:dyDescent="0.35">
      <c r="B911" s="62"/>
      <c r="C911" s="61"/>
      <c r="D911" s="63"/>
      <c r="E911" s="63"/>
      <c r="F911" s="62"/>
      <c r="G911" s="62"/>
      <c r="H911" s="62"/>
      <c r="I911" s="62"/>
      <c r="J911" s="62"/>
      <c r="K911" s="62"/>
      <c r="L911" s="62"/>
      <c r="M911" s="62"/>
      <c r="N911" s="62"/>
      <c r="O911" s="62"/>
      <c r="P911" s="62"/>
      <c r="Q911" s="62"/>
    </row>
    <row r="912" spans="2:17" x14ac:dyDescent="0.35">
      <c r="B912" s="62"/>
      <c r="C912" s="61"/>
      <c r="D912" s="63"/>
      <c r="E912" s="63"/>
      <c r="F912" s="62"/>
      <c r="G912" s="62"/>
      <c r="H912" s="62"/>
      <c r="I912" s="62"/>
      <c r="J912" s="62"/>
      <c r="K912" s="62"/>
      <c r="L912" s="62"/>
      <c r="M912" s="62"/>
      <c r="N912" s="62"/>
      <c r="O912" s="62"/>
      <c r="P912" s="62"/>
      <c r="Q912" s="62"/>
    </row>
    <row r="913" spans="2:17" x14ac:dyDescent="0.35">
      <c r="B913" s="62"/>
      <c r="C913" s="61"/>
      <c r="D913" s="63"/>
      <c r="E913" s="63"/>
      <c r="F913" s="62"/>
      <c r="G913" s="62"/>
      <c r="H913" s="62"/>
      <c r="I913" s="62"/>
      <c r="J913" s="62"/>
      <c r="K913" s="62"/>
      <c r="L913" s="62"/>
      <c r="M913" s="62"/>
      <c r="N913" s="62"/>
      <c r="O913" s="62"/>
      <c r="P913" s="62"/>
      <c r="Q913" s="62"/>
    </row>
    <row r="914" spans="2:17" x14ac:dyDescent="0.35">
      <c r="B914" s="62"/>
      <c r="C914" s="61"/>
      <c r="D914" s="63"/>
      <c r="E914" s="63"/>
      <c r="F914" s="62"/>
      <c r="G914" s="62"/>
      <c r="H914" s="62"/>
      <c r="I914" s="62"/>
      <c r="J914" s="62"/>
      <c r="K914" s="62"/>
      <c r="L914" s="62"/>
      <c r="M914" s="62"/>
      <c r="N914" s="62"/>
      <c r="O914" s="62"/>
      <c r="P914" s="62"/>
      <c r="Q914" s="62"/>
    </row>
    <row r="915" spans="2:17" x14ac:dyDescent="0.35">
      <c r="B915" s="62"/>
      <c r="C915" s="61"/>
      <c r="D915" s="63"/>
      <c r="E915" s="63"/>
      <c r="F915" s="62"/>
      <c r="G915" s="62"/>
      <c r="H915" s="62"/>
      <c r="I915" s="62"/>
      <c r="J915" s="62"/>
      <c r="K915" s="62"/>
      <c r="L915" s="62"/>
      <c r="M915" s="62"/>
      <c r="N915" s="62"/>
      <c r="O915" s="62"/>
      <c r="P915" s="62"/>
      <c r="Q915" s="62"/>
    </row>
    <row r="916" spans="2:17" x14ac:dyDescent="0.35">
      <c r="B916" s="62"/>
      <c r="C916" s="61"/>
      <c r="D916" s="63"/>
      <c r="E916" s="63"/>
      <c r="F916" s="62"/>
      <c r="G916" s="62"/>
      <c r="H916" s="62"/>
      <c r="I916" s="62"/>
      <c r="J916" s="62"/>
      <c r="K916" s="62"/>
      <c r="L916" s="62"/>
      <c r="M916" s="62"/>
      <c r="N916" s="62"/>
      <c r="O916" s="62"/>
      <c r="P916" s="62"/>
      <c r="Q916" s="62"/>
    </row>
    <row r="917" spans="2:17" x14ac:dyDescent="0.35">
      <c r="B917" s="62"/>
      <c r="C917" s="61"/>
      <c r="D917" s="63"/>
      <c r="E917" s="63"/>
      <c r="F917" s="62"/>
      <c r="G917" s="62"/>
      <c r="H917" s="62"/>
      <c r="I917" s="62"/>
      <c r="J917" s="62"/>
      <c r="K917" s="62"/>
      <c r="L917" s="62"/>
      <c r="M917" s="62"/>
      <c r="N917" s="62"/>
      <c r="O917" s="62"/>
      <c r="P917" s="62"/>
      <c r="Q917" s="62"/>
    </row>
    <row r="918" spans="2:17" x14ac:dyDescent="0.35">
      <c r="B918" s="62"/>
      <c r="C918" s="61"/>
      <c r="D918" s="63"/>
      <c r="E918" s="63"/>
      <c r="F918" s="62"/>
      <c r="G918" s="62"/>
      <c r="H918" s="62"/>
      <c r="I918" s="62"/>
      <c r="J918" s="62"/>
      <c r="K918" s="62"/>
      <c r="L918" s="62"/>
      <c r="M918" s="62"/>
      <c r="N918" s="62"/>
      <c r="O918" s="62"/>
      <c r="P918" s="62"/>
      <c r="Q918" s="62"/>
    </row>
    <row r="919" spans="2:17" x14ac:dyDescent="0.35">
      <c r="B919" s="62"/>
      <c r="C919" s="61"/>
      <c r="D919" s="63"/>
      <c r="E919" s="63"/>
      <c r="F919" s="62"/>
      <c r="G919" s="62"/>
      <c r="H919" s="62"/>
      <c r="I919" s="62"/>
      <c r="J919" s="62"/>
      <c r="K919" s="62"/>
      <c r="L919" s="62"/>
      <c r="M919" s="62"/>
      <c r="N919" s="62"/>
      <c r="O919" s="62"/>
      <c r="P919" s="62"/>
      <c r="Q919" s="62"/>
    </row>
    <row r="920" spans="2:17" x14ac:dyDescent="0.35">
      <c r="B920" s="62"/>
      <c r="C920" s="61"/>
      <c r="D920" s="63"/>
      <c r="E920" s="63"/>
      <c r="F920" s="62"/>
      <c r="G920" s="62"/>
      <c r="H920" s="62"/>
      <c r="I920" s="62"/>
      <c r="J920" s="62"/>
      <c r="K920" s="62"/>
      <c r="L920" s="62"/>
      <c r="M920" s="62"/>
      <c r="N920" s="62"/>
      <c r="O920" s="62"/>
      <c r="P920" s="62"/>
      <c r="Q920" s="62"/>
    </row>
    <row r="921" spans="2:17" x14ac:dyDescent="0.35">
      <c r="B921" s="62"/>
      <c r="C921" s="61"/>
      <c r="D921" s="63"/>
      <c r="E921" s="63"/>
      <c r="F921" s="62"/>
      <c r="G921" s="62"/>
      <c r="H921" s="62"/>
      <c r="I921" s="62"/>
      <c r="J921" s="62"/>
      <c r="K921" s="62"/>
      <c r="L921" s="62"/>
      <c r="M921" s="62"/>
      <c r="N921" s="62"/>
      <c r="O921" s="62"/>
      <c r="P921" s="62"/>
      <c r="Q921" s="62"/>
    </row>
    <row r="922" spans="2:17" x14ac:dyDescent="0.35">
      <c r="B922" s="62"/>
      <c r="C922" s="61"/>
      <c r="D922" s="63"/>
      <c r="E922" s="63"/>
      <c r="F922" s="62"/>
      <c r="G922" s="62"/>
      <c r="H922" s="62"/>
      <c r="I922" s="62"/>
      <c r="J922" s="62"/>
      <c r="K922" s="62"/>
      <c r="L922" s="62"/>
      <c r="M922" s="62"/>
      <c r="N922" s="62"/>
      <c r="O922" s="62"/>
      <c r="P922" s="62"/>
      <c r="Q922" s="62"/>
    </row>
    <row r="923" spans="2:17" x14ac:dyDescent="0.35">
      <c r="B923" s="62"/>
      <c r="C923" s="61"/>
      <c r="D923" s="63"/>
      <c r="E923" s="63"/>
      <c r="F923" s="62"/>
      <c r="G923" s="62"/>
      <c r="H923" s="62"/>
      <c r="I923" s="62"/>
      <c r="J923" s="62"/>
      <c r="K923" s="62"/>
      <c r="L923" s="62"/>
      <c r="M923" s="62"/>
      <c r="N923" s="62"/>
      <c r="O923" s="62"/>
      <c r="P923" s="62"/>
      <c r="Q923" s="62"/>
    </row>
    <row r="924" spans="2:17" x14ac:dyDescent="0.35">
      <c r="B924" s="62"/>
      <c r="C924" s="61"/>
      <c r="D924" s="63"/>
      <c r="E924" s="63"/>
      <c r="F924" s="62"/>
      <c r="G924" s="62"/>
      <c r="H924" s="62"/>
      <c r="I924" s="62"/>
      <c r="J924" s="62"/>
      <c r="K924" s="62"/>
      <c r="L924" s="62"/>
      <c r="M924" s="62"/>
      <c r="N924" s="62"/>
      <c r="O924" s="62"/>
      <c r="P924" s="62"/>
      <c r="Q924" s="62"/>
    </row>
    <row r="925" spans="2:17" x14ac:dyDescent="0.35">
      <c r="B925" s="62"/>
      <c r="C925" s="61"/>
      <c r="D925" s="63"/>
      <c r="E925" s="63"/>
      <c r="F925" s="62"/>
      <c r="G925" s="62"/>
      <c r="H925" s="62"/>
      <c r="I925" s="62"/>
      <c r="J925" s="62"/>
      <c r="K925" s="62"/>
      <c r="L925" s="62"/>
      <c r="M925" s="62"/>
      <c r="N925" s="62"/>
      <c r="O925" s="62"/>
      <c r="P925" s="62"/>
      <c r="Q925" s="62"/>
    </row>
    <row r="926" spans="2:17" x14ac:dyDescent="0.35">
      <c r="B926" s="62"/>
      <c r="C926" s="61"/>
      <c r="D926" s="63"/>
      <c r="E926" s="63"/>
      <c r="F926" s="62"/>
      <c r="G926" s="62"/>
      <c r="H926" s="62"/>
      <c r="I926" s="62"/>
      <c r="J926" s="62"/>
      <c r="K926" s="62"/>
      <c r="L926" s="62"/>
      <c r="M926" s="62"/>
      <c r="N926" s="62"/>
      <c r="O926" s="62"/>
      <c r="P926" s="62"/>
      <c r="Q926" s="62"/>
    </row>
    <row r="927" spans="2:17" x14ac:dyDescent="0.35">
      <c r="B927" s="62"/>
      <c r="C927" s="61"/>
      <c r="D927" s="63"/>
      <c r="E927" s="63"/>
      <c r="F927" s="62"/>
      <c r="G927" s="62"/>
      <c r="H927" s="62"/>
      <c r="I927" s="62"/>
      <c r="J927" s="62"/>
      <c r="K927" s="62"/>
      <c r="L927" s="62"/>
      <c r="M927" s="62"/>
      <c r="N927" s="62"/>
      <c r="O927" s="62"/>
      <c r="P927" s="62"/>
      <c r="Q927" s="62"/>
    </row>
    <row r="928" spans="2:17" x14ac:dyDescent="0.35">
      <c r="B928" s="62"/>
      <c r="C928" s="61"/>
      <c r="D928" s="63"/>
      <c r="E928" s="63"/>
      <c r="F928" s="62"/>
      <c r="G928" s="62"/>
      <c r="H928" s="62"/>
      <c r="I928" s="62"/>
      <c r="J928" s="62"/>
      <c r="K928" s="62"/>
      <c r="L928" s="62"/>
      <c r="M928" s="62"/>
      <c r="N928" s="62"/>
      <c r="O928" s="62"/>
      <c r="P928" s="62"/>
      <c r="Q928" s="62"/>
    </row>
    <row r="929" spans="2:17" x14ac:dyDescent="0.35">
      <c r="B929" s="62"/>
      <c r="C929" s="61"/>
      <c r="D929" s="63"/>
      <c r="E929" s="63"/>
      <c r="F929" s="62"/>
      <c r="G929" s="62"/>
      <c r="H929" s="62"/>
      <c r="I929" s="62"/>
      <c r="J929" s="62"/>
      <c r="K929" s="62"/>
      <c r="L929" s="62"/>
      <c r="M929" s="62"/>
      <c r="N929" s="62"/>
      <c r="O929" s="62"/>
      <c r="P929" s="62"/>
      <c r="Q929" s="62"/>
    </row>
    <row r="930" spans="2:17" x14ac:dyDescent="0.35">
      <c r="B930" s="62"/>
      <c r="C930" s="61"/>
      <c r="D930" s="63"/>
      <c r="E930" s="63"/>
      <c r="F930" s="62"/>
      <c r="G930" s="62"/>
      <c r="H930" s="62"/>
      <c r="I930" s="62"/>
      <c r="J930" s="62"/>
      <c r="K930" s="62"/>
      <c r="L930" s="62"/>
      <c r="M930" s="62"/>
      <c r="N930" s="62"/>
      <c r="O930" s="62"/>
      <c r="P930" s="62"/>
      <c r="Q930" s="62"/>
    </row>
    <row r="931" spans="2:17" x14ac:dyDescent="0.35">
      <c r="B931" s="62"/>
      <c r="C931" s="61"/>
      <c r="D931" s="63"/>
      <c r="E931" s="63"/>
      <c r="F931" s="62"/>
      <c r="G931" s="62"/>
      <c r="H931" s="62"/>
      <c r="I931" s="62"/>
      <c r="J931" s="62"/>
      <c r="K931" s="62"/>
      <c r="L931" s="62"/>
      <c r="M931" s="62"/>
      <c r="N931" s="62"/>
      <c r="O931" s="62"/>
      <c r="P931" s="62"/>
      <c r="Q931" s="62"/>
    </row>
    <row r="932" spans="2:17" x14ac:dyDescent="0.35">
      <c r="B932" s="62"/>
      <c r="C932" s="61"/>
      <c r="D932" s="63"/>
      <c r="E932" s="63"/>
      <c r="F932" s="62"/>
      <c r="G932" s="62"/>
      <c r="H932" s="62"/>
      <c r="I932" s="62"/>
      <c r="J932" s="62"/>
      <c r="K932" s="62"/>
      <c r="L932" s="62"/>
      <c r="M932" s="62"/>
      <c r="N932" s="62"/>
      <c r="O932" s="62"/>
      <c r="P932" s="62"/>
      <c r="Q932" s="62"/>
    </row>
    <row r="933" spans="2:17" x14ac:dyDescent="0.35">
      <c r="B933" s="62"/>
      <c r="C933" s="61"/>
      <c r="D933" s="63"/>
      <c r="E933" s="63"/>
      <c r="F933" s="62"/>
      <c r="G933" s="62"/>
      <c r="H933" s="62"/>
      <c r="I933" s="62"/>
      <c r="J933" s="62"/>
      <c r="K933" s="62"/>
      <c r="L933" s="62"/>
      <c r="M933" s="62"/>
      <c r="N933" s="62"/>
      <c r="O933" s="62"/>
      <c r="P933" s="62"/>
      <c r="Q933" s="62"/>
    </row>
    <row r="934" spans="2:17" x14ac:dyDescent="0.35">
      <c r="B934" s="62"/>
      <c r="C934" s="61"/>
      <c r="D934" s="63"/>
      <c r="E934" s="63"/>
      <c r="F934" s="62"/>
      <c r="G934" s="62"/>
      <c r="H934" s="62"/>
      <c r="I934" s="62"/>
      <c r="J934" s="62"/>
      <c r="K934" s="62"/>
      <c r="L934" s="62"/>
      <c r="M934" s="62"/>
      <c r="N934" s="62"/>
      <c r="O934" s="62"/>
      <c r="P934" s="62"/>
      <c r="Q934" s="62"/>
    </row>
    <row r="935" spans="2:17" x14ac:dyDescent="0.35">
      <c r="B935" s="62"/>
      <c r="C935" s="61"/>
      <c r="D935" s="63"/>
      <c r="E935" s="63"/>
      <c r="F935" s="62"/>
      <c r="G935" s="62"/>
      <c r="H935" s="62"/>
      <c r="I935" s="62"/>
      <c r="J935" s="62"/>
      <c r="K935" s="62"/>
      <c r="L935" s="62"/>
      <c r="M935" s="62"/>
      <c r="N935" s="62"/>
      <c r="O935" s="62"/>
      <c r="P935" s="62"/>
      <c r="Q935" s="62"/>
    </row>
    <row r="936" spans="2:17" x14ac:dyDescent="0.35">
      <c r="B936" s="62"/>
      <c r="C936" s="61"/>
      <c r="D936" s="63"/>
      <c r="E936" s="63"/>
      <c r="F936" s="62"/>
      <c r="G936" s="62"/>
      <c r="H936" s="62"/>
      <c r="I936" s="62"/>
      <c r="J936" s="62"/>
      <c r="K936" s="62"/>
      <c r="L936" s="62"/>
      <c r="M936" s="62"/>
      <c r="N936" s="62"/>
      <c r="O936" s="62"/>
      <c r="P936" s="62"/>
      <c r="Q936" s="62"/>
    </row>
    <row r="937" spans="2:17" x14ac:dyDescent="0.35">
      <c r="B937" s="62"/>
      <c r="C937" s="61"/>
      <c r="D937" s="63"/>
      <c r="E937" s="63"/>
      <c r="F937" s="62"/>
      <c r="G937" s="62"/>
      <c r="H937" s="62"/>
      <c r="I937" s="62"/>
      <c r="J937" s="62"/>
      <c r="K937" s="62"/>
      <c r="L937" s="62"/>
      <c r="M937" s="62"/>
      <c r="N937" s="62"/>
      <c r="O937" s="62"/>
      <c r="P937" s="62"/>
      <c r="Q937" s="62"/>
    </row>
    <row r="938" spans="2:17" x14ac:dyDescent="0.35">
      <c r="B938" s="62"/>
      <c r="C938" s="61"/>
      <c r="D938" s="63"/>
      <c r="E938" s="63"/>
      <c r="F938" s="62"/>
      <c r="G938" s="62"/>
      <c r="H938" s="62"/>
      <c r="I938" s="62"/>
      <c r="J938" s="62"/>
      <c r="K938" s="62"/>
      <c r="L938" s="62"/>
      <c r="M938" s="62"/>
      <c r="N938" s="62"/>
      <c r="O938" s="62"/>
      <c r="P938" s="62"/>
      <c r="Q938" s="62"/>
    </row>
    <row r="939" spans="2:17" x14ac:dyDescent="0.35">
      <c r="B939" s="62"/>
      <c r="C939" s="61"/>
      <c r="D939" s="63"/>
      <c r="E939" s="63"/>
      <c r="F939" s="62"/>
      <c r="G939" s="62"/>
      <c r="H939" s="62"/>
      <c r="I939" s="62"/>
      <c r="J939" s="62"/>
      <c r="K939" s="62"/>
      <c r="L939" s="62"/>
      <c r="M939" s="62"/>
      <c r="N939" s="62"/>
      <c r="O939" s="62"/>
      <c r="P939" s="62"/>
      <c r="Q939" s="62"/>
    </row>
    <row r="940" spans="2:17" x14ac:dyDescent="0.35">
      <c r="B940" s="62"/>
      <c r="C940" s="61"/>
      <c r="D940" s="63"/>
      <c r="E940" s="63"/>
      <c r="F940" s="62"/>
      <c r="G940" s="62"/>
      <c r="H940" s="62"/>
      <c r="I940" s="62"/>
      <c r="J940" s="62"/>
      <c r="K940" s="62"/>
      <c r="L940" s="62"/>
      <c r="M940" s="62"/>
      <c r="N940" s="62"/>
      <c r="O940" s="62"/>
      <c r="P940" s="62"/>
      <c r="Q940" s="62"/>
    </row>
    <row r="941" spans="2:17" x14ac:dyDescent="0.35">
      <c r="B941" s="62"/>
      <c r="C941" s="61"/>
      <c r="D941" s="63"/>
      <c r="E941" s="63"/>
      <c r="F941" s="62"/>
      <c r="G941" s="62"/>
      <c r="H941" s="62"/>
      <c r="I941" s="62"/>
      <c r="J941" s="62"/>
      <c r="K941" s="62"/>
      <c r="L941" s="62"/>
      <c r="M941" s="62"/>
      <c r="N941" s="62"/>
      <c r="O941" s="62"/>
      <c r="P941" s="62"/>
      <c r="Q941" s="62"/>
    </row>
    <row r="942" spans="2:17" x14ac:dyDescent="0.35">
      <c r="B942" s="62"/>
      <c r="C942" s="61"/>
      <c r="D942" s="63"/>
      <c r="E942" s="63"/>
      <c r="F942" s="62"/>
      <c r="G942" s="62"/>
      <c r="H942" s="62"/>
      <c r="I942" s="62"/>
      <c r="J942" s="62"/>
      <c r="K942" s="62"/>
      <c r="L942" s="62"/>
      <c r="M942" s="62"/>
      <c r="N942" s="62"/>
      <c r="O942" s="62"/>
      <c r="P942" s="62"/>
      <c r="Q942" s="62"/>
    </row>
    <row r="943" spans="2:17" x14ac:dyDescent="0.35">
      <c r="B943" s="62"/>
      <c r="C943" s="61"/>
      <c r="D943" s="63"/>
      <c r="E943" s="63"/>
      <c r="F943" s="62"/>
      <c r="G943" s="62"/>
      <c r="H943" s="62"/>
      <c r="I943" s="62"/>
      <c r="J943" s="62"/>
      <c r="K943" s="62"/>
      <c r="L943" s="62"/>
      <c r="M943" s="62"/>
      <c r="N943" s="62"/>
      <c r="O943" s="62"/>
      <c r="P943" s="62"/>
      <c r="Q943" s="62"/>
    </row>
    <row r="944" spans="2:17" x14ac:dyDescent="0.35">
      <c r="B944" s="62"/>
      <c r="C944" s="61"/>
      <c r="D944" s="63"/>
      <c r="E944" s="63"/>
      <c r="F944" s="62"/>
      <c r="G944" s="62"/>
      <c r="H944" s="62"/>
      <c r="I944" s="62"/>
      <c r="J944" s="62"/>
      <c r="K944" s="62"/>
      <c r="L944" s="62"/>
      <c r="M944" s="62"/>
      <c r="N944" s="62"/>
      <c r="O944" s="62"/>
      <c r="P944" s="62"/>
      <c r="Q944" s="62"/>
    </row>
    <row r="945" spans="2:17" x14ac:dyDescent="0.35">
      <c r="B945" s="62"/>
      <c r="C945" s="61"/>
      <c r="D945" s="63"/>
      <c r="E945" s="63"/>
      <c r="F945" s="62"/>
      <c r="G945" s="62"/>
      <c r="H945" s="62"/>
      <c r="I945" s="62"/>
      <c r="J945" s="62"/>
      <c r="K945" s="62"/>
      <c r="L945" s="62"/>
      <c r="M945" s="62"/>
      <c r="N945" s="62"/>
      <c r="O945" s="62"/>
      <c r="P945" s="62"/>
      <c r="Q945" s="62"/>
    </row>
    <row r="946" spans="2:17" x14ac:dyDescent="0.35">
      <c r="B946" s="62"/>
      <c r="C946" s="61"/>
      <c r="D946" s="63"/>
      <c r="E946" s="63"/>
      <c r="F946" s="62"/>
      <c r="G946" s="62"/>
      <c r="H946" s="62"/>
      <c r="I946" s="62"/>
      <c r="J946" s="62"/>
      <c r="K946" s="62"/>
      <c r="L946" s="62"/>
      <c r="M946" s="62"/>
      <c r="N946" s="62"/>
      <c r="O946" s="62"/>
      <c r="P946" s="62"/>
      <c r="Q946" s="62"/>
    </row>
    <row r="947" spans="2:17" x14ac:dyDescent="0.35">
      <c r="B947" s="62"/>
      <c r="C947" s="61"/>
      <c r="D947" s="63"/>
      <c r="E947" s="63"/>
      <c r="F947" s="62"/>
      <c r="G947" s="62"/>
      <c r="H947" s="62"/>
      <c r="I947" s="62"/>
      <c r="J947" s="62"/>
      <c r="K947" s="62"/>
      <c r="L947" s="62"/>
      <c r="M947" s="62"/>
      <c r="N947" s="62"/>
      <c r="O947" s="62"/>
      <c r="P947" s="62"/>
      <c r="Q947" s="62"/>
    </row>
    <row r="948" spans="2:17" x14ac:dyDescent="0.35">
      <c r="B948" s="62"/>
      <c r="C948" s="61"/>
      <c r="D948" s="63"/>
      <c r="E948" s="63"/>
      <c r="F948" s="62"/>
      <c r="G948" s="62"/>
      <c r="H948" s="62"/>
      <c r="I948" s="62"/>
      <c r="J948" s="62"/>
      <c r="K948" s="62"/>
      <c r="L948" s="62"/>
      <c r="M948" s="62"/>
      <c r="N948" s="62"/>
      <c r="O948" s="62"/>
      <c r="P948" s="62"/>
      <c r="Q948" s="62"/>
    </row>
    <row r="949" spans="2:17" x14ac:dyDescent="0.35">
      <c r="B949" s="62"/>
      <c r="C949" s="61"/>
      <c r="D949" s="63"/>
      <c r="E949" s="63"/>
      <c r="F949" s="62"/>
      <c r="G949" s="62"/>
      <c r="H949" s="62"/>
      <c r="I949" s="62"/>
      <c r="J949" s="62"/>
      <c r="K949" s="62"/>
      <c r="L949" s="62"/>
      <c r="M949" s="62"/>
      <c r="N949" s="62"/>
      <c r="O949" s="62"/>
      <c r="P949" s="62"/>
      <c r="Q949" s="62"/>
    </row>
    <row r="950" spans="2:17" x14ac:dyDescent="0.35">
      <c r="B950" s="62"/>
      <c r="C950" s="61"/>
      <c r="D950" s="63"/>
      <c r="E950" s="63"/>
      <c r="F950" s="62"/>
      <c r="G950" s="62"/>
      <c r="H950" s="62"/>
      <c r="I950" s="62"/>
      <c r="J950" s="62"/>
      <c r="K950" s="62"/>
      <c r="L950" s="62"/>
      <c r="M950" s="62"/>
      <c r="N950" s="62"/>
      <c r="O950" s="62"/>
      <c r="P950" s="62"/>
      <c r="Q950" s="62"/>
    </row>
    <row r="951" spans="2:17" x14ac:dyDescent="0.35">
      <c r="B951" s="62"/>
      <c r="C951" s="61"/>
      <c r="D951" s="63"/>
      <c r="E951" s="63"/>
      <c r="F951" s="62"/>
      <c r="G951" s="62"/>
      <c r="H951" s="62"/>
      <c r="I951" s="62"/>
      <c r="J951" s="62"/>
      <c r="K951" s="62"/>
      <c r="L951" s="62"/>
      <c r="M951" s="62"/>
      <c r="N951" s="62"/>
      <c r="O951" s="62"/>
      <c r="P951" s="62"/>
      <c r="Q951" s="62"/>
    </row>
    <row r="952" spans="2:17" x14ac:dyDescent="0.35">
      <c r="B952" s="62"/>
      <c r="C952" s="61"/>
      <c r="D952" s="63"/>
      <c r="E952" s="63"/>
      <c r="F952" s="62"/>
      <c r="G952" s="62"/>
      <c r="H952" s="62"/>
      <c r="I952" s="62"/>
      <c r="J952" s="62"/>
      <c r="K952" s="62"/>
      <c r="L952" s="62"/>
      <c r="M952" s="62"/>
      <c r="N952" s="62"/>
      <c r="O952" s="62"/>
      <c r="P952" s="62"/>
      <c r="Q952" s="62"/>
    </row>
    <row r="953" spans="2:17" x14ac:dyDescent="0.35">
      <c r="B953" s="62"/>
      <c r="C953" s="61"/>
      <c r="D953" s="63"/>
      <c r="E953" s="63"/>
      <c r="F953" s="62"/>
      <c r="G953" s="62"/>
      <c r="H953" s="62"/>
      <c r="I953" s="62"/>
      <c r="J953" s="62"/>
      <c r="K953" s="62"/>
      <c r="L953" s="62"/>
      <c r="M953" s="62"/>
      <c r="N953" s="62"/>
      <c r="O953" s="62"/>
      <c r="P953" s="62"/>
      <c r="Q953" s="62"/>
    </row>
    <row r="954" spans="2:17" x14ac:dyDescent="0.35">
      <c r="B954" s="62"/>
      <c r="C954" s="61"/>
      <c r="D954" s="63"/>
      <c r="E954" s="63"/>
      <c r="F954" s="62"/>
      <c r="G954" s="62"/>
      <c r="H954" s="62"/>
      <c r="I954" s="62"/>
      <c r="J954" s="62"/>
      <c r="K954" s="62"/>
      <c r="L954" s="62"/>
      <c r="M954" s="62"/>
      <c r="N954" s="62"/>
      <c r="O954" s="62"/>
      <c r="P954" s="62"/>
      <c r="Q954" s="62"/>
    </row>
    <row r="955" spans="2:17" x14ac:dyDescent="0.35">
      <c r="B955" s="62"/>
      <c r="C955" s="61"/>
      <c r="D955" s="63"/>
      <c r="E955" s="63"/>
      <c r="F955" s="62"/>
      <c r="G955" s="62"/>
      <c r="H955" s="62"/>
      <c r="I955" s="62"/>
      <c r="J955" s="62"/>
      <c r="K955" s="62"/>
      <c r="L955" s="62"/>
      <c r="M955" s="62"/>
      <c r="N955" s="62"/>
      <c r="O955" s="62"/>
      <c r="P955" s="62"/>
      <c r="Q955" s="62"/>
    </row>
    <row r="956" spans="2:17" x14ac:dyDescent="0.35">
      <c r="B956" s="62"/>
      <c r="C956" s="61"/>
      <c r="D956" s="63"/>
      <c r="E956" s="63"/>
      <c r="F956" s="62"/>
      <c r="G956" s="62"/>
      <c r="H956" s="62"/>
      <c r="I956" s="62"/>
      <c r="J956" s="62"/>
      <c r="K956" s="62"/>
      <c r="L956" s="62"/>
      <c r="M956" s="62"/>
      <c r="N956" s="62"/>
      <c r="O956" s="62"/>
      <c r="P956" s="62"/>
      <c r="Q956" s="62"/>
    </row>
    <row r="957" spans="2:17" x14ac:dyDescent="0.35">
      <c r="B957" s="62"/>
      <c r="C957" s="61"/>
      <c r="D957" s="63"/>
      <c r="E957" s="63"/>
      <c r="F957" s="62"/>
      <c r="G957" s="62"/>
      <c r="H957" s="62"/>
      <c r="I957" s="62"/>
      <c r="J957" s="62"/>
      <c r="K957" s="62"/>
      <c r="L957" s="62"/>
      <c r="M957" s="62"/>
      <c r="N957" s="62"/>
      <c r="O957" s="62"/>
      <c r="P957" s="62"/>
      <c r="Q957" s="62"/>
    </row>
    <row r="958" spans="2:17" x14ac:dyDescent="0.35">
      <c r="B958" s="62"/>
      <c r="C958" s="61"/>
      <c r="D958" s="63"/>
      <c r="E958" s="63"/>
      <c r="F958" s="62"/>
      <c r="G958" s="62"/>
      <c r="H958" s="62"/>
      <c r="I958" s="62"/>
      <c r="J958" s="62"/>
      <c r="K958" s="62"/>
      <c r="L958" s="62"/>
      <c r="M958" s="62"/>
      <c r="N958" s="62"/>
      <c r="O958" s="62"/>
      <c r="P958" s="62"/>
      <c r="Q958" s="62"/>
    </row>
    <row r="959" spans="2:17" x14ac:dyDescent="0.35">
      <c r="B959" s="62"/>
      <c r="C959" s="61"/>
      <c r="D959" s="63"/>
      <c r="E959" s="63"/>
      <c r="F959" s="62"/>
      <c r="G959" s="62"/>
      <c r="H959" s="62"/>
      <c r="I959" s="62"/>
      <c r="J959" s="62"/>
      <c r="K959" s="62"/>
      <c r="L959" s="62"/>
      <c r="M959" s="62"/>
      <c r="N959" s="62"/>
      <c r="O959" s="62"/>
      <c r="P959" s="62"/>
      <c r="Q959" s="62"/>
    </row>
    <row r="960" spans="2:17" x14ac:dyDescent="0.35">
      <c r="B960" s="62"/>
      <c r="C960" s="61"/>
      <c r="D960" s="63"/>
      <c r="E960" s="63"/>
      <c r="F960" s="62"/>
      <c r="G960" s="62"/>
      <c r="H960" s="62"/>
      <c r="I960" s="62"/>
      <c r="J960" s="62"/>
      <c r="K960" s="62"/>
      <c r="L960" s="62"/>
      <c r="M960" s="62"/>
      <c r="N960" s="62"/>
      <c r="O960" s="62"/>
      <c r="P960" s="62"/>
      <c r="Q960" s="62"/>
    </row>
    <row r="961" spans="2:17" x14ac:dyDescent="0.35">
      <c r="B961" s="62"/>
      <c r="C961" s="61"/>
      <c r="D961" s="63"/>
      <c r="E961" s="63"/>
      <c r="F961" s="62"/>
      <c r="G961" s="62"/>
      <c r="H961" s="62"/>
      <c r="I961" s="62"/>
      <c r="J961" s="62"/>
      <c r="K961" s="62"/>
      <c r="L961" s="62"/>
      <c r="M961" s="62"/>
      <c r="N961" s="62"/>
      <c r="O961" s="62"/>
      <c r="P961" s="62"/>
      <c r="Q961" s="62"/>
    </row>
    <row r="962" spans="2:17" x14ac:dyDescent="0.35">
      <c r="B962" s="62"/>
      <c r="C962" s="61"/>
      <c r="D962" s="63"/>
      <c r="E962" s="63"/>
      <c r="F962" s="62"/>
      <c r="G962" s="62"/>
      <c r="H962" s="62"/>
      <c r="I962" s="62"/>
      <c r="J962" s="62"/>
      <c r="K962" s="62"/>
      <c r="L962" s="62"/>
      <c r="M962" s="62"/>
      <c r="N962" s="62"/>
      <c r="O962" s="62"/>
      <c r="P962" s="62"/>
      <c r="Q962" s="62"/>
    </row>
    <row r="963" spans="2:17" x14ac:dyDescent="0.35">
      <c r="B963" s="62"/>
      <c r="C963" s="61"/>
      <c r="D963" s="63"/>
      <c r="E963" s="63"/>
      <c r="F963" s="62"/>
      <c r="G963" s="62"/>
      <c r="H963" s="62"/>
      <c r="I963" s="62"/>
      <c r="J963" s="62"/>
      <c r="K963" s="62"/>
      <c r="L963" s="62"/>
      <c r="M963" s="62"/>
      <c r="N963" s="62"/>
      <c r="O963" s="62"/>
      <c r="P963" s="62"/>
      <c r="Q963" s="62"/>
    </row>
    <row r="964" spans="2:17" x14ac:dyDescent="0.35">
      <c r="B964" s="62"/>
      <c r="C964" s="61"/>
      <c r="D964" s="63"/>
      <c r="E964" s="63"/>
      <c r="F964" s="62"/>
      <c r="G964" s="62"/>
      <c r="H964" s="62"/>
      <c r="I964" s="62"/>
      <c r="J964" s="62"/>
      <c r="K964" s="62"/>
      <c r="L964" s="62"/>
      <c r="M964" s="62"/>
      <c r="N964" s="62"/>
      <c r="O964" s="62"/>
      <c r="P964" s="62"/>
      <c r="Q964" s="62"/>
    </row>
    <row r="965" spans="2:17" x14ac:dyDescent="0.35">
      <c r="B965" s="62"/>
      <c r="C965" s="61"/>
      <c r="D965" s="63"/>
      <c r="E965" s="63"/>
      <c r="F965" s="62"/>
      <c r="G965" s="62"/>
      <c r="H965" s="62"/>
      <c r="I965" s="62"/>
      <c r="J965" s="62"/>
      <c r="K965" s="62"/>
      <c r="L965" s="62"/>
      <c r="M965" s="62"/>
      <c r="N965" s="62"/>
      <c r="O965" s="62"/>
      <c r="P965" s="62"/>
      <c r="Q965" s="62"/>
    </row>
    <row r="966" spans="2:17" x14ac:dyDescent="0.35">
      <c r="B966" s="62"/>
      <c r="C966" s="61"/>
      <c r="D966" s="63"/>
      <c r="E966" s="63"/>
      <c r="F966" s="62"/>
      <c r="G966" s="62"/>
      <c r="H966" s="62"/>
      <c r="I966" s="62"/>
      <c r="J966" s="62"/>
      <c r="K966" s="62"/>
      <c r="L966" s="62"/>
      <c r="M966" s="62"/>
      <c r="N966" s="62"/>
      <c r="O966" s="62"/>
      <c r="P966" s="62"/>
      <c r="Q966" s="62"/>
    </row>
    <row r="967" spans="2:17" x14ac:dyDescent="0.35">
      <c r="B967" s="62"/>
      <c r="C967" s="61"/>
      <c r="D967" s="63"/>
      <c r="E967" s="63"/>
      <c r="F967" s="62"/>
      <c r="G967" s="62"/>
      <c r="H967" s="62"/>
      <c r="I967" s="62"/>
      <c r="J967" s="62"/>
      <c r="K967" s="62"/>
      <c r="L967" s="62"/>
      <c r="M967" s="62"/>
      <c r="N967" s="62"/>
      <c r="O967" s="62"/>
      <c r="P967" s="62"/>
      <c r="Q967" s="62"/>
    </row>
    <row r="968" spans="2:17" x14ac:dyDescent="0.35">
      <c r="B968" s="62"/>
      <c r="C968" s="61"/>
      <c r="D968" s="63"/>
      <c r="E968" s="63"/>
      <c r="F968" s="62"/>
      <c r="G968" s="62"/>
      <c r="H968" s="62"/>
      <c r="I968" s="62"/>
      <c r="J968" s="62"/>
      <c r="K968" s="62"/>
      <c r="L968" s="62"/>
      <c r="M968" s="62"/>
      <c r="N968" s="62"/>
      <c r="O968" s="62"/>
      <c r="P968" s="62"/>
      <c r="Q968" s="62"/>
    </row>
    <row r="969" spans="2:17" x14ac:dyDescent="0.35">
      <c r="B969" s="62"/>
      <c r="C969" s="61"/>
      <c r="D969" s="63"/>
      <c r="E969" s="63"/>
      <c r="F969" s="62"/>
      <c r="G969" s="62"/>
      <c r="H969" s="62"/>
      <c r="I969" s="62"/>
      <c r="J969" s="62"/>
      <c r="K969" s="62"/>
      <c r="L969" s="62"/>
      <c r="M969" s="62"/>
      <c r="N969" s="62"/>
      <c r="O969" s="62"/>
      <c r="P969" s="62"/>
      <c r="Q969" s="62"/>
    </row>
    <row r="970" spans="2:17" x14ac:dyDescent="0.35">
      <c r="B970" s="62"/>
      <c r="C970" s="61"/>
      <c r="D970" s="63"/>
      <c r="E970" s="63"/>
      <c r="F970" s="62"/>
      <c r="G970" s="62"/>
      <c r="H970" s="62"/>
      <c r="I970" s="62"/>
      <c r="J970" s="62"/>
      <c r="K970" s="62"/>
      <c r="L970" s="62"/>
      <c r="M970" s="62"/>
      <c r="N970" s="62"/>
      <c r="O970" s="62"/>
      <c r="P970" s="62"/>
      <c r="Q970" s="62"/>
    </row>
    <row r="971" spans="2:17" x14ac:dyDescent="0.35">
      <c r="B971" s="62"/>
      <c r="C971" s="61"/>
      <c r="D971" s="63"/>
      <c r="E971" s="63"/>
      <c r="F971" s="62"/>
      <c r="G971" s="62"/>
      <c r="H971" s="62"/>
      <c r="I971" s="62"/>
      <c r="J971" s="62"/>
      <c r="K971" s="62"/>
      <c r="L971" s="62"/>
      <c r="M971" s="62"/>
      <c r="N971" s="62"/>
      <c r="O971" s="62"/>
      <c r="P971" s="62"/>
      <c r="Q971" s="62"/>
    </row>
    <row r="972" spans="2:17" x14ac:dyDescent="0.35">
      <c r="B972" s="62"/>
      <c r="C972" s="61"/>
      <c r="D972" s="63"/>
      <c r="E972" s="63"/>
      <c r="F972" s="62"/>
      <c r="G972" s="62"/>
      <c r="H972" s="62"/>
      <c r="I972" s="62"/>
      <c r="J972" s="62"/>
      <c r="K972" s="62"/>
      <c r="L972" s="62"/>
      <c r="M972" s="62"/>
      <c r="N972" s="62"/>
      <c r="O972" s="62"/>
      <c r="P972" s="62"/>
      <c r="Q972" s="62"/>
    </row>
    <row r="973" spans="2:17" x14ac:dyDescent="0.35">
      <c r="B973" s="62"/>
      <c r="C973" s="61"/>
      <c r="D973" s="63"/>
      <c r="E973" s="63"/>
      <c r="F973" s="62"/>
      <c r="G973" s="62"/>
      <c r="H973" s="62"/>
      <c r="I973" s="62"/>
      <c r="J973" s="62"/>
      <c r="K973" s="62"/>
      <c r="L973" s="62"/>
      <c r="M973" s="62"/>
      <c r="N973" s="62"/>
      <c r="O973" s="62"/>
      <c r="P973" s="62"/>
      <c r="Q973" s="62"/>
    </row>
    <row r="974" spans="2:17" x14ac:dyDescent="0.35">
      <c r="B974" s="62"/>
      <c r="C974" s="61"/>
      <c r="D974" s="63"/>
      <c r="E974" s="63"/>
      <c r="F974" s="62"/>
      <c r="G974" s="62"/>
      <c r="H974" s="62"/>
      <c r="I974" s="62"/>
      <c r="J974" s="62"/>
      <c r="K974" s="62"/>
      <c r="L974" s="62"/>
      <c r="M974" s="62"/>
      <c r="N974" s="62"/>
      <c r="O974" s="62"/>
      <c r="P974" s="62"/>
      <c r="Q974" s="62"/>
    </row>
    <row r="975" spans="2:17" x14ac:dyDescent="0.35">
      <c r="B975" s="62"/>
      <c r="C975" s="61"/>
      <c r="D975" s="63"/>
      <c r="E975" s="63"/>
      <c r="F975" s="62"/>
      <c r="G975" s="62"/>
      <c r="H975" s="62"/>
      <c r="I975" s="62"/>
      <c r="J975" s="62"/>
      <c r="K975" s="62"/>
      <c r="L975" s="62"/>
      <c r="M975" s="62"/>
      <c r="N975" s="62"/>
      <c r="O975" s="62"/>
      <c r="P975" s="62"/>
      <c r="Q975" s="62"/>
    </row>
    <row r="976" spans="2:17" x14ac:dyDescent="0.35">
      <c r="B976" s="62"/>
      <c r="C976" s="61"/>
      <c r="D976" s="63"/>
      <c r="E976" s="63"/>
      <c r="F976" s="62"/>
      <c r="G976" s="62"/>
      <c r="H976" s="62"/>
      <c r="I976" s="62"/>
      <c r="J976" s="62"/>
      <c r="K976" s="62"/>
      <c r="L976" s="62"/>
      <c r="M976" s="62"/>
      <c r="N976" s="62"/>
      <c r="O976" s="62"/>
      <c r="P976" s="62"/>
      <c r="Q976" s="62"/>
    </row>
    <row r="977" spans="2:17" x14ac:dyDescent="0.35">
      <c r="B977" s="62"/>
      <c r="C977" s="61"/>
      <c r="D977" s="63"/>
      <c r="E977" s="63"/>
      <c r="F977" s="62"/>
      <c r="G977" s="62"/>
      <c r="H977" s="62"/>
      <c r="I977" s="62"/>
      <c r="J977" s="62"/>
      <c r="K977" s="62"/>
      <c r="L977" s="62"/>
      <c r="M977" s="62"/>
      <c r="N977" s="62"/>
      <c r="O977" s="62"/>
      <c r="P977" s="62"/>
      <c r="Q977" s="62"/>
    </row>
    <row r="978" spans="2:17" x14ac:dyDescent="0.35">
      <c r="B978" s="62"/>
      <c r="C978" s="61"/>
      <c r="D978" s="63"/>
      <c r="E978" s="63"/>
      <c r="F978" s="62"/>
      <c r="G978" s="62"/>
      <c r="H978" s="62"/>
      <c r="I978" s="62"/>
      <c r="J978" s="62"/>
      <c r="K978" s="62"/>
      <c r="L978" s="62"/>
      <c r="M978" s="62"/>
      <c r="N978" s="62"/>
      <c r="O978" s="62"/>
      <c r="P978" s="62"/>
      <c r="Q978" s="62"/>
    </row>
    <row r="979" spans="2:17" x14ac:dyDescent="0.35">
      <c r="B979" s="62"/>
      <c r="C979" s="61"/>
      <c r="D979" s="63"/>
      <c r="E979" s="63"/>
      <c r="F979" s="62"/>
      <c r="G979" s="62"/>
      <c r="H979" s="62"/>
      <c r="I979" s="62"/>
      <c r="J979" s="62"/>
      <c r="K979" s="62"/>
      <c r="L979" s="62"/>
      <c r="M979" s="62"/>
      <c r="N979" s="62"/>
      <c r="O979" s="62"/>
      <c r="P979" s="62"/>
      <c r="Q979" s="62"/>
    </row>
    <row r="980" spans="2:17" x14ac:dyDescent="0.35">
      <c r="B980" s="62"/>
      <c r="C980" s="61"/>
      <c r="D980" s="63"/>
      <c r="E980" s="63"/>
      <c r="F980" s="62"/>
      <c r="G980" s="62"/>
      <c r="H980" s="62"/>
      <c r="I980" s="62"/>
      <c r="J980" s="62"/>
      <c r="K980" s="62"/>
      <c r="L980" s="62"/>
      <c r="M980" s="62"/>
      <c r="N980" s="62"/>
      <c r="O980" s="62"/>
      <c r="P980" s="62"/>
      <c r="Q980" s="62"/>
    </row>
    <row r="981" spans="2:17" x14ac:dyDescent="0.35">
      <c r="B981" s="62"/>
      <c r="C981" s="61"/>
      <c r="D981" s="63"/>
      <c r="E981" s="63"/>
      <c r="F981" s="62"/>
      <c r="G981" s="62"/>
      <c r="H981" s="62"/>
      <c r="I981" s="62"/>
      <c r="J981" s="62"/>
      <c r="K981" s="62"/>
      <c r="L981" s="62"/>
      <c r="M981" s="62"/>
      <c r="N981" s="62"/>
      <c r="O981" s="62"/>
      <c r="P981" s="62"/>
      <c r="Q981" s="62"/>
    </row>
    <row r="982" spans="2:17" x14ac:dyDescent="0.35">
      <c r="B982" s="62"/>
      <c r="C982" s="61"/>
      <c r="D982" s="63"/>
      <c r="E982" s="63"/>
      <c r="F982" s="62"/>
      <c r="G982" s="62"/>
      <c r="H982" s="62"/>
      <c r="I982" s="62"/>
      <c r="J982" s="62"/>
      <c r="K982" s="62"/>
      <c r="L982" s="62"/>
      <c r="M982" s="62"/>
      <c r="N982" s="62"/>
      <c r="O982" s="62"/>
      <c r="P982" s="62"/>
      <c r="Q982" s="62"/>
    </row>
    <row r="983" spans="2:17" x14ac:dyDescent="0.35">
      <c r="B983" s="62"/>
      <c r="C983" s="61"/>
      <c r="D983" s="63"/>
      <c r="E983" s="63"/>
      <c r="F983" s="62"/>
      <c r="G983" s="62"/>
      <c r="H983" s="62"/>
      <c r="I983" s="62"/>
      <c r="J983" s="62"/>
      <c r="K983" s="62"/>
      <c r="L983" s="62"/>
      <c r="M983" s="62"/>
      <c r="N983" s="62"/>
      <c r="O983" s="62"/>
      <c r="P983" s="62"/>
      <c r="Q983" s="62"/>
    </row>
    <row r="984" spans="2:17" x14ac:dyDescent="0.35">
      <c r="B984" s="62"/>
      <c r="C984" s="61"/>
      <c r="D984" s="63"/>
      <c r="E984" s="63"/>
      <c r="F984" s="62"/>
      <c r="G984" s="62"/>
      <c r="H984" s="62"/>
      <c r="I984" s="62"/>
      <c r="J984" s="62"/>
      <c r="K984" s="62"/>
      <c r="L984" s="62"/>
      <c r="M984" s="62"/>
      <c r="N984" s="62"/>
      <c r="O984" s="62"/>
      <c r="P984" s="62"/>
      <c r="Q984" s="62"/>
    </row>
    <row r="985" spans="2:17" x14ac:dyDescent="0.35">
      <c r="B985" s="62"/>
      <c r="C985" s="61"/>
      <c r="D985" s="63"/>
      <c r="E985" s="63"/>
      <c r="F985" s="62"/>
      <c r="G985" s="62"/>
      <c r="H985" s="62"/>
      <c r="I985" s="62"/>
      <c r="J985" s="62"/>
      <c r="K985" s="62"/>
      <c r="L985" s="62"/>
      <c r="M985" s="62"/>
      <c r="N985" s="62"/>
      <c r="O985" s="62"/>
      <c r="P985" s="62"/>
      <c r="Q985" s="62"/>
    </row>
    <row r="986" spans="2:17" x14ac:dyDescent="0.35">
      <c r="B986" s="62"/>
      <c r="C986" s="61"/>
      <c r="D986" s="63"/>
      <c r="E986" s="63"/>
      <c r="F986" s="62"/>
      <c r="G986" s="62"/>
      <c r="H986" s="62"/>
      <c r="I986" s="62"/>
      <c r="J986" s="62"/>
      <c r="K986" s="62"/>
      <c r="L986" s="62"/>
      <c r="M986" s="62"/>
      <c r="N986" s="62"/>
      <c r="O986" s="62"/>
      <c r="P986" s="62"/>
      <c r="Q986" s="62"/>
    </row>
    <row r="987" spans="2:17" x14ac:dyDescent="0.35">
      <c r="B987" s="62"/>
      <c r="C987" s="61"/>
      <c r="D987" s="63"/>
      <c r="E987" s="63"/>
      <c r="F987" s="62"/>
      <c r="G987" s="62"/>
      <c r="H987" s="62"/>
      <c r="I987" s="62"/>
      <c r="J987" s="62"/>
      <c r="K987" s="62"/>
      <c r="L987" s="62"/>
      <c r="M987" s="62"/>
      <c r="N987" s="62"/>
      <c r="O987" s="62"/>
      <c r="P987" s="62"/>
      <c r="Q987" s="62"/>
    </row>
    <row r="988" spans="2:17" x14ac:dyDescent="0.35">
      <c r="B988" s="62"/>
      <c r="C988" s="61"/>
      <c r="D988" s="63"/>
      <c r="E988" s="63"/>
      <c r="F988" s="62"/>
      <c r="G988" s="62"/>
      <c r="H988" s="62"/>
      <c r="I988" s="62"/>
      <c r="J988" s="62"/>
      <c r="K988" s="62"/>
      <c r="L988" s="62"/>
      <c r="M988" s="62"/>
      <c r="N988" s="62"/>
      <c r="O988" s="62"/>
      <c r="P988" s="62"/>
      <c r="Q988" s="62"/>
    </row>
    <row r="989" spans="2:17" x14ac:dyDescent="0.35">
      <c r="B989" s="62"/>
      <c r="C989" s="61"/>
      <c r="D989" s="63"/>
      <c r="E989" s="63"/>
      <c r="F989" s="62"/>
      <c r="G989" s="62"/>
      <c r="H989" s="62"/>
      <c r="I989" s="62"/>
      <c r="J989" s="62"/>
      <c r="K989" s="62"/>
      <c r="L989" s="62"/>
      <c r="M989" s="62"/>
      <c r="N989" s="62"/>
      <c r="O989" s="62"/>
      <c r="P989" s="62"/>
      <c r="Q989" s="62"/>
    </row>
    <row r="990" spans="2:17" x14ac:dyDescent="0.35">
      <c r="B990" s="62"/>
      <c r="C990" s="61"/>
      <c r="D990" s="63"/>
      <c r="E990" s="63"/>
      <c r="F990" s="62"/>
      <c r="G990" s="62"/>
      <c r="H990" s="62"/>
      <c r="I990" s="62"/>
      <c r="J990" s="62"/>
      <c r="K990" s="62"/>
      <c r="L990" s="62"/>
      <c r="M990" s="62"/>
      <c r="N990" s="62"/>
      <c r="O990" s="62"/>
      <c r="P990" s="62"/>
      <c r="Q990" s="62"/>
    </row>
    <row r="991" spans="2:17" x14ac:dyDescent="0.35">
      <c r="B991" s="62"/>
      <c r="C991" s="61"/>
      <c r="D991" s="63"/>
      <c r="E991" s="63"/>
      <c r="F991" s="62"/>
      <c r="G991" s="62"/>
      <c r="H991" s="62"/>
      <c r="I991" s="62"/>
      <c r="J991" s="62"/>
      <c r="K991" s="62"/>
      <c r="L991" s="62"/>
      <c r="M991" s="62"/>
      <c r="N991" s="62"/>
      <c r="O991" s="62"/>
      <c r="P991" s="62"/>
      <c r="Q991" s="62"/>
    </row>
    <row r="992" spans="2:17" x14ac:dyDescent="0.35">
      <c r="B992" s="62"/>
      <c r="C992" s="61"/>
      <c r="D992" s="63"/>
      <c r="E992" s="63"/>
      <c r="F992" s="62"/>
      <c r="G992" s="62"/>
      <c r="H992" s="62"/>
      <c r="I992" s="62"/>
      <c r="J992" s="62"/>
      <c r="K992" s="62"/>
      <c r="L992" s="62"/>
      <c r="M992" s="62"/>
      <c r="N992" s="62"/>
      <c r="O992" s="62"/>
      <c r="P992" s="62"/>
      <c r="Q992" s="62"/>
    </row>
    <row r="993" spans="2:17" x14ac:dyDescent="0.35">
      <c r="B993" s="62"/>
      <c r="C993" s="61"/>
      <c r="D993" s="63"/>
      <c r="E993" s="63"/>
      <c r="F993" s="62"/>
      <c r="G993" s="62"/>
      <c r="H993" s="62"/>
      <c r="I993" s="62"/>
      <c r="J993" s="62"/>
      <c r="K993" s="62"/>
      <c r="L993" s="62"/>
      <c r="M993" s="62"/>
      <c r="N993" s="62"/>
      <c r="O993" s="62"/>
      <c r="P993" s="62"/>
      <c r="Q993" s="62"/>
    </row>
    <row r="994" spans="2:17" x14ac:dyDescent="0.35">
      <c r="B994" s="62"/>
      <c r="C994" s="61"/>
      <c r="D994" s="63"/>
      <c r="E994" s="63"/>
      <c r="F994" s="62"/>
      <c r="G994" s="62"/>
      <c r="H994" s="62"/>
      <c r="I994" s="62"/>
      <c r="J994" s="62"/>
      <c r="K994" s="62"/>
      <c r="L994" s="62"/>
      <c r="M994" s="62"/>
      <c r="N994" s="62"/>
      <c r="O994" s="62"/>
      <c r="P994" s="62"/>
      <c r="Q994" s="62"/>
    </row>
    <row r="995" spans="2:17" x14ac:dyDescent="0.35">
      <c r="B995" s="62"/>
      <c r="C995" s="61"/>
      <c r="D995" s="63"/>
      <c r="E995" s="63"/>
      <c r="F995" s="62"/>
      <c r="G995" s="62"/>
      <c r="H995" s="62"/>
      <c r="I995" s="62"/>
      <c r="J995" s="62"/>
      <c r="K995" s="62"/>
      <c r="L995" s="62"/>
      <c r="M995" s="62"/>
      <c r="N995" s="62"/>
      <c r="O995" s="62"/>
      <c r="P995" s="62"/>
      <c r="Q995" s="62"/>
    </row>
    <row r="996" spans="2:17" x14ac:dyDescent="0.35">
      <c r="B996" s="62"/>
      <c r="C996" s="61"/>
      <c r="D996" s="63"/>
      <c r="E996" s="63"/>
      <c r="F996" s="62"/>
      <c r="G996" s="62"/>
      <c r="H996" s="62"/>
      <c r="I996" s="62"/>
      <c r="J996" s="62"/>
      <c r="K996" s="62"/>
      <c r="L996" s="62"/>
      <c r="M996" s="62"/>
      <c r="N996" s="62"/>
      <c r="O996" s="62"/>
      <c r="P996" s="62"/>
      <c r="Q996" s="62"/>
    </row>
    <row r="997" spans="2:17" x14ac:dyDescent="0.35">
      <c r="B997" s="62"/>
      <c r="C997" s="61"/>
      <c r="D997" s="63"/>
      <c r="E997" s="63"/>
      <c r="F997" s="62"/>
      <c r="G997" s="62"/>
      <c r="H997" s="62"/>
      <c r="I997" s="62"/>
      <c r="J997" s="62"/>
      <c r="K997" s="62"/>
      <c r="L997" s="62"/>
      <c r="M997" s="62"/>
      <c r="N997" s="62"/>
      <c r="O997" s="62"/>
      <c r="P997" s="62"/>
      <c r="Q997" s="62"/>
    </row>
    <row r="998" spans="2:17" x14ac:dyDescent="0.35">
      <c r="B998" s="62"/>
      <c r="C998" s="61"/>
      <c r="D998" s="63"/>
      <c r="E998" s="63"/>
      <c r="F998" s="62"/>
      <c r="G998" s="62"/>
      <c r="H998" s="62"/>
      <c r="I998" s="62"/>
      <c r="J998" s="62"/>
      <c r="K998" s="62"/>
      <c r="L998" s="62"/>
      <c r="M998" s="62"/>
      <c r="N998" s="62"/>
      <c r="O998" s="62"/>
      <c r="P998" s="62"/>
      <c r="Q998" s="62"/>
    </row>
    <row r="999" spans="2:17" x14ac:dyDescent="0.35">
      <c r="B999" s="62"/>
      <c r="C999" s="61"/>
      <c r="D999" s="63"/>
      <c r="E999" s="63"/>
      <c r="F999" s="62"/>
      <c r="G999" s="62"/>
      <c r="H999" s="62"/>
      <c r="I999" s="62"/>
      <c r="J999" s="62"/>
      <c r="K999" s="62"/>
      <c r="L999" s="62"/>
      <c r="M999" s="62"/>
      <c r="N999" s="62"/>
      <c r="O999" s="62"/>
      <c r="P999" s="62"/>
      <c r="Q999" s="62"/>
    </row>
    <row r="1000" spans="2:17" x14ac:dyDescent="0.35">
      <c r="B1000" s="62"/>
      <c r="C1000" s="61"/>
      <c r="D1000" s="63"/>
      <c r="E1000" s="63"/>
      <c r="F1000" s="62"/>
      <c r="G1000" s="62"/>
      <c r="H1000" s="62"/>
      <c r="I1000" s="62"/>
      <c r="J1000" s="62"/>
      <c r="K1000" s="62"/>
      <c r="L1000" s="62"/>
      <c r="M1000" s="62"/>
      <c r="N1000" s="62"/>
      <c r="O1000" s="62"/>
      <c r="P1000" s="62"/>
      <c r="Q1000" s="62"/>
    </row>
    <row r="1001" spans="2:17" x14ac:dyDescent="0.35">
      <c r="B1001" s="62"/>
      <c r="C1001" s="61"/>
      <c r="D1001" s="63"/>
      <c r="E1001" s="63"/>
      <c r="F1001" s="62"/>
      <c r="G1001" s="62"/>
      <c r="H1001" s="62"/>
      <c r="I1001" s="62"/>
      <c r="J1001" s="62"/>
      <c r="K1001" s="62"/>
      <c r="L1001" s="62"/>
      <c r="M1001" s="62"/>
      <c r="N1001" s="62"/>
      <c r="O1001" s="62"/>
      <c r="P1001" s="62"/>
      <c r="Q1001" s="62"/>
    </row>
    <row r="1002" spans="2:17" x14ac:dyDescent="0.35">
      <c r="B1002" s="62"/>
      <c r="C1002" s="61"/>
      <c r="D1002" s="63"/>
      <c r="E1002" s="63"/>
      <c r="F1002" s="62"/>
      <c r="G1002" s="62"/>
      <c r="H1002" s="62"/>
      <c r="I1002" s="62"/>
      <c r="J1002" s="62"/>
      <c r="K1002" s="62"/>
      <c r="L1002" s="62"/>
      <c r="M1002" s="62"/>
      <c r="N1002" s="62"/>
      <c r="O1002" s="62"/>
      <c r="P1002" s="62"/>
      <c r="Q1002" s="62"/>
    </row>
    <row r="1003" spans="2:17" x14ac:dyDescent="0.35">
      <c r="B1003" s="62"/>
      <c r="C1003" s="61"/>
      <c r="D1003" s="63"/>
      <c r="E1003" s="63"/>
      <c r="F1003" s="62"/>
      <c r="G1003" s="62"/>
      <c r="H1003" s="62"/>
      <c r="I1003" s="62"/>
      <c r="J1003" s="62"/>
      <c r="K1003" s="62"/>
      <c r="L1003" s="62"/>
      <c r="M1003" s="62"/>
      <c r="N1003" s="62"/>
      <c r="O1003" s="62"/>
      <c r="P1003" s="62"/>
      <c r="Q1003" s="62"/>
    </row>
    <row r="1004" spans="2:17" x14ac:dyDescent="0.35">
      <c r="B1004" s="62"/>
      <c r="C1004" s="61"/>
      <c r="D1004" s="63"/>
      <c r="E1004" s="63"/>
      <c r="F1004" s="62"/>
      <c r="G1004" s="62"/>
      <c r="H1004" s="62"/>
      <c r="I1004" s="62"/>
      <c r="J1004" s="62"/>
      <c r="K1004" s="62"/>
      <c r="L1004" s="62"/>
      <c r="M1004" s="62"/>
      <c r="N1004" s="62"/>
      <c r="O1004" s="62"/>
      <c r="P1004" s="62"/>
      <c r="Q1004" s="62"/>
    </row>
    <row r="1005" spans="2:17" x14ac:dyDescent="0.35">
      <c r="B1005" s="62"/>
      <c r="C1005" s="61"/>
      <c r="D1005" s="63"/>
      <c r="E1005" s="63"/>
      <c r="F1005" s="62"/>
      <c r="G1005" s="62"/>
      <c r="H1005" s="62"/>
      <c r="I1005" s="62"/>
      <c r="J1005" s="62"/>
      <c r="K1005" s="62"/>
      <c r="L1005" s="62"/>
      <c r="M1005" s="62"/>
      <c r="N1005" s="62"/>
      <c r="O1005" s="62"/>
      <c r="P1005" s="62"/>
      <c r="Q1005" s="62"/>
    </row>
    <row r="1006" spans="2:17" x14ac:dyDescent="0.35">
      <c r="B1006" s="62"/>
      <c r="C1006" s="61"/>
      <c r="D1006" s="63"/>
      <c r="E1006" s="63"/>
      <c r="F1006" s="62"/>
      <c r="G1006" s="62"/>
      <c r="H1006" s="62"/>
      <c r="I1006" s="62"/>
      <c r="J1006" s="62"/>
      <c r="K1006" s="62"/>
      <c r="L1006" s="62"/>
      <c r="M1006" s="62"/>
      <c r="N1006" s="62"/>
      <c r="O1006" s="62"/>
      <c r="P1006" s="62"/>
      <c r="Q1006" s="62"/>
    </row>
  </sheetData>
  <autoFilter ref="B2:Q639" xr:uid="{4CFFF5DF-D2C8-4BE9-97CE-1FE05D2D211C}"/>
  <conditionalFormatting sqref="B4:B5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1BCA-2398-4CB4-993A-2241050ABADC}">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FE15-D1FD-4F2E-AE32-F7357B801B50}">
  <sheetPr filterMode="1"/>
  <dimension ref="A1:B637"/>
  <sheetViews>
    <sheetView topLeftCell="A604" workbookViewId="0">
      <selection activeCell="A637" sqref="A637"/>
    </sheetView>
  </sheetViews>
  <sheetFormatPr defaultRowHeight="14.5" x14ac:dyDescent="0.35"/>
  <cols>
    <col min="1" max="1" width="23.26953125" bestFit="1" customWidth="1"/>
    <col min="2" max="2" width="84.81640625" bestFit="1" customWidth="1"/>
  </cols>
  <sheetData>
    <row r="1" spans="1:2" x14ac:dyDescent="0.35">
      <c r="A1" s="53" t="s">
        <v>6679</v>
      </c>
      <c r="B1" s="53" t="s">
        <v>6680</v>
      </c>
    </row>
    <row r="2" spans="1:2" hidden="1" x14ac:dyDescent="0.35">
      <c r="A2" s="50" t="s">
        <v>1943</v>
      </c>
      <c r="B2" t="str">
        <f>VLOOKUP(A2,Master!B:H,7,0)</f>
        <v>HN Nguyen Van Loc</v>
      </c>
    </row>
    <row r="3" spans="1:2" hidden="1" x14ac:dyDescent="0.35">
      <c r="A3" s="51" t="s">
        <v>1951</v>
      </c>
      <c r="B3" t="str">
        <f>VLOOKUP(A3,Master!B:H,7,0)</f>
        <v>HN Xuan La</v>
      </c>
    </row>
    <row r="4" spans="1:2" hidden="1" x14ac:dyDescent="0.35">
      <c r="A4" s="50" t="s">
        <v>1921</v>
      </c>
      <c r="B4" t="str">
        <f>VLOOKUP(A4,Master!B:H,7,0)</f>
        <v>HN Hao Nam</v>
      </c>
    </row>
    <row r="5" spans="1:2" hidden="1" x14ac:dyDescent="0.35">
      <c r="A5" s="51" t="s">
        <v>1967</v>
      </c>
      <c r="B5" t="str">
        <f>VLOOKUP(A5,Master!B:H,7,0)</f>
        <v>HY Pho Truc Ecopark</v>
      </c>
    </row>
    <row r="6" spans="1:2" hidden="1" x14ac:dyDescent="0.35">
      <c r="A6" s="50" t="s">
        <v>1907</v>
      </c>
      <c r="B6" t="str">
        <f>VLOOKUP(A6,Master!B:H,7,0)</f>
        <v>HN Vu Pham Ham</v>
      </c>
    </row>
    <row r="7" spans="1:2" hidden="1" x14ac:dyDescent="0.35">
      <c r="A7" s="51" t="s">
        <v>1937</v>
      </c>
      <c r="B7" t="str">
        <f>VLOOKUP(A7,Master!B:H,7,0)</f>
        <v>HN Gamuda Gardens</v>
      </c>
    </row>
    <row r="8" spans="1:2" hidden="1" x14ac:dyDescent="0.35">
      <c r="A8" s="50" t="s">
        <v>1828</v>
      </c>
      <c r="B8" t="str">
        <f>VLOOKUP(A8,Master!B:H,7,0)</f>
        <v>HCM Signature Crescent Mall</v>
      </c>
    </row>
    <row r="9" spans="1:2" hidden="1" x14ac:dyDescent="0.35">
      <c r="A9" s="51" t="s">
        <v>1838</v>
      </c>
      <c r="B9" t="str">
        <f>VLOOKUP(A9,Master!B:H,7,0)</f>
        <v>HCM Cao Thang 2</v>
      </c>
    </row>
    <row r="10" spans="1:2" hidden="1" x14ac:dyDescent="0.35">
      <c r="A10" s="50" t="s">
        <v>1919</v>
      </c>
      <c r="B10" t="str">
        <f>VLOOKUP(A10,Master!B:H,7,0)</f>
        <v>HN Thai Ha</v>
      </c>
    </row>
    <row r="11" spans="1:2" hidden="1" x14ac:dyDescent="0.35">
      <c r="A11" s="51" t="s">
        <v>2651</v>
      </c>
      <c r="B11" t="str">
        <f>VLOOKUP(A11,Master!B:H,7,0)</f>
        <v>UT HCM 71 Hoang Van Thai</v>
      </c>
    </row>
    <row r="12" spans="1:2" hidden="1" x14ac:dyDescent="0.35">
      <c r="A12" s="50" t="s">
        <v>1861</v>
      </c>
      <c r="B12" t="str">
        <f>VLOOKUP(A12,Master!B:H,7,0)</f>
        <v>UT HCM 141-143 Tan Son Nhi</v>
      </c>
    </row>
    <row r="13" spans="1:2" hidden="1" x14ac:dyDescent="0.35">
      <c r="A13" s="51" t="s">
        <v>1879</v>
      </c>
      <c r="B13" t="str">
        <f>VLOOKUP(A13,Master!B:H,7,0)</f>
        <v>Utea Phan Huy Ích</v>
      </c>
    </row>
    <row r="14" spans="1:2" hidden="1" x14ac:dyDescent="0.35">
      <c r="A14" s="50" t="s">
        <v>1876</v>
      </c>
      <c r="B14" t="str">
        <f>VLOOKUP(A14,Master!B:H,7,0)</f>
        <v>UT HCM 771 Phan Van Tri</v>
      </c>
    </row>
    <row r="15" spans="1:2" hidden="1" x14ac:dyDescent="0.35">
      <c r="A15" s="51" t="s">
        <v>2645</v>
      </c>
      <c r="B15" t="str">
        <f>VLOOKUP(A15,Master!B:H,7,0)</f>
        <v>UT HCM 75 Nguyen Van Thuong</v>
      </c>
    </row>
    <row r="16" spans="1:2" hidden="1" x14ac:dyDescent="0.35">
      <c r="A16" s="50" t="s">
        <v>1844</v>
      </c>
      <c r="B16" t="str">
        <f>VLOOKUP(A16,Master!B:H,7,0)</f>
        <v>UT HCM 45 Duong So 5 - Cu xa Binh Thoi</v>
      </c>
    </row>
    <row r="17" spans="1:2" hidden="1" x14ac:dyDescent="0.35">
      <c r="A17" s="51" t="s">
        <v>2647</v>
      </c>
      <c r="B17" t="str">
        <f>VLOOKUP(A17,Master!B:H,7,0)</f>
        <v>UT HCM 14B1 Ngo Tat To</v>
      </c>
    </row>
    <row r="18" spans="1:2" hidden="1" x14ac:dyDescent="0.35">
      <c r="A18" s="50" t="s">
        <v>1795</v>
      </c>
      <c r="B18" t="str">
        <f>VLOOKUP(A18,Master!B:H,7,0)</f>
        <v>UT HCM 670 Nguyen Duy Trinh</v>
      </c>
    </row>
    <row r="19" spans="1:2" hidden="1" x14ac:dyDescent="0.35">
      <c r="A19" s="51" t="s">
        <v>1790</v>
      </c>
      <c r="B19" t="str">
        <f>VLOOKUP(A19,Master!B:H,7,0)</f>
        <v>HCM Xuan Thuy</v>
      </c>
    </row>
    <row r="20" spans="1:2" hidden="1" x14ac:dyDescent="0.35">
      <c r="A20" s="50" t="s">
        <v>1845</v>
      </c>
      <c r="B20" t="str">
        <f>VLOOKUP(A20,Master!B:H,7,0)</f>
        <v>HCM Lu Gia</v>
      </c>
    </row>
    <row r="21" spans="1:2" hidden="1" x14ac:dyDescent="0.35">
      <c r="A21" s="51" t="s">
        <v>1840</v>
      </c>
      <c r="B21" t="str">
        <f>VLOOKUP(A21,Master!B:H,7,0)</f>
        <v>HCM Dong Nai</v>
      </c>
    </row>
    <row r="22" spans="1:2" hidden="1" x14ac:dyDescent="0.35">
      <c r="A22" s="50" t="s">
        <v>1822</v>
      </c>
      <c r="B22" t="str">
        <f>VLOOKUP(A22,Master!B:H,7,0)</f>
        <v>HCM Nguyen Thi Thap 2</v>
      </c>
    </row>
    <row r="23" spans="1:2" hidden="1" x14ac:dyDescent="0.35">
      <c r="A23" s="51" t="s">
        <v>1855</v>
      </c>
      <c r="B23" t="str">
        <f>VLOOKUP(A23,Master!B:H,7,0)</f>
        <v>HCM Ap Bac</v>
      </c>
    </row>
    <row r="24" spans="1:2" hidden="1" x14ac:dyDescent="0.35">
      <c r="A24" s="50" t="s">
        <v>1857</v>
      </c>
      <c r="B24" t="str">
        <f>VLOOKUP(A24,Master!B:H,7,0)</f>
        <v>HCM Le Trung Nghia</v>
      </c>
    </row>
    <row r="25" spans="1:2" hidden="1" x14ac:dyDescent="0.35">
      <c r="A25" s="51" t="s">
        <v>1874</v>
      </c>
      <c r="B25" t="str">
        <f>VLOOKUP(A25,Master!B:H,7,0)</f>
        <v>HCM Phan Van Tri</v>
      </c>
    </row>
    <row r="26" spans="1:2" hidden="1" x14ac:dyDescent="0.35">
      <c r="A26" s="50" t="s">
        <v>1847</v>
      </c>
      <c r="B26" t="str">
        <f>VLOOKUP(A26,Master!B:H,7,0)</f>
        <v>HCM Dong Da</v>
      </c>
    </row>
    <row r="27" spans="1:2" hidden="1" x14ac:dyDescent="0.35">
      <c r="A27" s="51" t="s">
        <v>1800</v>
      </c>
      <c r="B27" t="str">
        <f>VLOOKUP(A27,Master!B:H,7,0)</f>
        <v>HCM Homyland Q2</v>
      </c>
    </row>
    <row r="28" spans="1:2" hidden="1" x14ac:dyDescent="0.35">
      <c r="A28" s="50" t="s">
        <v>1812</v>
      </c>
      <c r="B28" t="str">
        <f>VLOOKUP(A28,Master!B:H,7,0)</f>
        <v>HCM Hau Giang</v>
      </c>
    </row>
    <row r="29" spans="1:2" hidden="1" x14ac:dyDescent="0.35">
      <c r="A29" s="51" t="s">
        <v>1802</v>
      </c>
      <c r="B29" t="str">
        <f>VLOOKUP(A29,Master!B:H,7,0)</f>
        <v>HCM Ngo Thoi Nhiem</v>
      </c>
    </row>
    <row r="30" spans="1:2" hidden="1" x14ac:dyDescent="0.35">
      <c r="A30" s="50" t="s">
        <v>1796</v>
      </c>
      <c r="B30" t="str">
        <f>VLOOKUP(A30,Master!B:H,7,0)</f>
        <v>HCM New City Q2</v>
      </c>
    </row>
    <row r="31" spans="1:2" hidden="1" x14ac:dyDescent="0.35">
      <c r="A31" s="51" t="s">
        <v>1830</v>
      </c>
      <c r="B31" t="str">
        <f>VLOOKUP(A31,Master!B:H,7,0)</f>
        <v>HCM Do Xuan Hop</v>
      </c>
    </row>
    <row r="32" spans="1:2" hidden="1" x14ac:dyDescent="0.35">
      <c r="A32" s="50" t="s">
        <v>1976</v>
      </c>
      <c r="B32" t="str">
        <f>VLOOKUP(A32,Master!B:H,7,0)</f>
        <v>TNH Duong 30/4</v>
      </c>
    </row>
    <row r="33" spans="1:2" hidden="1" x14ac:dyDescent="0.35">
      <c r="A33" s="51" t="s">
        <v>1816</v>
      </c>
      <c r="B33" t="str">
        <f>VLOOKUP(A33,Master!B:H,7,0)</f>
        <v>HCM Binh Phu</v>
      </c>
    </row>
    <row r="34" spans="1:2" hidden="1" x14ac:dyDescent="0.35">
      <c r="A34" s="50" t="s">
        <v>1868</v>
      </c>
      <c r="B34" t="str">
        <f>VLOOKUP(A34,Master!B:H,7,0)</f>
        <v>HCM Huynh Van Banh</v>
      </c>
    </row>
    <row r="35" spans="1:2" hidden="1" x14ac:dyDescent="0.35">
      <c r="A35" s="51" t="s">
        <v>1972</v>
      </c>
      <c r="B35" t="str">
        <f>VLOOKUP(A35,Master!B:H,7,0)</f>
        <v>VT Ba Cu</v>
      </c>
    </row>
    <row r="36" spans="1:2" hidden="1" x14ac:dyDescent="0.35">
      <c r="A36" s="50" t="s">
        <v>1980</v>
      </c>
      <c r="B36" t="str">
        <f>VLOOKUP(A36,Master!B:H,7,0)</f>
        <v>NTR AB Tower</v>
      </c>
    </row>
    <row r="37" spans="1:2" hidden="1" x14ac:dyDescent="0.35">
      <c r="A37" s="51" t="s">
        <v>1870</v>
      </c>
      <c r="B37" t="str">
        <f>VLOOKUP(A37,Master!B:H,7,0)</f>
        <v>HCM Hoa Su</v>
      </c>
    </row>
    <row r="38" spans="1:2" hidden="1" x14ac:dyDescent="0.35">
      <c r="A38" s="50" t="s">
        <v>1888</v>
      </c>
      <c r="B38" t="str">
        <f>VLOOKUP(A38,Master!B:H,7,0)</f>
        <v>HCM Hoang Dieu 2</v>
      </c>
    </row>
    <row r="39" spans="1:2" hidden="1" x14ac:dyDescent="0.35">
      <c r="A39" s="51" t="s">
        <v>1892</v>
      </c>
      <c r="B39" t="str">
        <f>VLOOKUP(A39,Master!B:H,7,0)</f>
        <v>HCM Trung Son</v>
      </c>
    </row>
    <row r="40" spans="1:2" hidden="1" x14ac:dyDescent="0.35">
      <c r="A40" s="50" t="s">
        <v>1970</v>
      </c>
      <c r="B40" t="str">
        <f>VLOOKUP(A40,Master!B:H,7,0)</f>
        <v>BH Vo Thi Sau</v>
      </c>
    </row>
    <row r="41" spans="1:2" hidden="1" x14ac:dyDescent="0.35">
      <c r="A41" s="51" t="s">
        <v>1974</v>
      </c>
      <c r="B41" t="str">
        <f>VLOOKUP(A41,Master!B:H,7,0)</f>
        <v>BD Hikari</v>
      </c>
    </row>
    <row r="42" spans="1:2" hidden="1" x14ac:dyDescent="0.35">
      <c r="A42" s="50" t="s">
        <v>1808</v>
      </c>
      <c r="B42" t="str">
        <f>VLOOKUP(A42,Master!B:H,7,0)</f>
        <v>HCM Duong 41</v>
      </c>
    </row>
    <row r="43" spans="1:2" hidden="1" x14ac:dyDescent="0.35">
      <c r="A43" s="51" t="s">
        <v>1798</v>
      </c>
      <c r="B43" t="str">
        <f>VLOOKUP(A43,Master!B:H,7,0)</f>
        <v>HCM Duong 51</v>
      </c>
    </row>
    <row r="44" spans="1:2" hidden="1" x14ac:dyDescent="0.35">
      <c r="A44" s="50" t="s">
        <v>1894</v>
      </c>
      <c r="B44" t="str">
        <f>VLOOKUP(A44,Master!B:H,7,0)</f>
        <v>HCM Nguyen Anh Thu</v>
      </c>
    </row>
    <row r="45" spans="1:2" hidden="1" x14ac:dyDescent="0.35">
      <c r="A45" s="51" t="s">
        <v>1853</v>
      </c>
      <c r="B45" t="str">
        <f>VLOOKUP(A45,Master!B:H,7,0)</f>
        <v>HCM Le Van Sy</v>
      </c>
    </row>
    <row r="46" spans="1:2" hidden="1" x14ac:dyDescent="0.35">
      <c r="A46" s="50" t="s">
        <v>1836</v>
      </c>
      <c r="B46" t="str">
        <f>VLOOKUP(A46,Master!B:H,7,0)</f>
        <v>HCM Su Van Hanh</v>
      </c>
    </row>
    <row r="47" spans="1:2" hidden="1" x14ac:dyDescent="0.35">
      <c r="A47" s="51" t="s">
        <v>1866</v>
      </c>
      <c r="B47" t="str">
        <f>VLOOKUP(A47,Master!B:H,7,0)</f>
        <v>HCM Duong 22</v>
      </c>
    </row>
    <row r="48" spans="1:2" hidden="1" x14ac:dyDescent="0.35">
      <c r="A48" s="50" t="s">
        <v>1983</v>
      </c>
      <c r="B48" t="str">
        <f>VLOOKUP(A48,Master!B:H,7,0)</f>
        <v>NTR Gold Coast</v>
      </c>
    </row>
    <row r="49" spans="1:2" hidden="1" x14ac:dyDescent="0.35">
      <c r="A49" s="51" t="s">
        <v>1965</v>
      </c>
      <c r="B49" t="str">
        <f>VLOOKUP(A49,Master!B:H,7,0)</f>
        <v>HP Aeon Mall Le Chan</v>
      </c>
    </row>
    <row r="50" spans="1:2" hidden="1" x14ac:dyDescent="0.35">
      <c r="A50" s="50" t="s">
        <v>1963</v>
      </c>
      <c r="B50" t="str">
        <f>VLOOKUP(A50,Master!B:H,7,0)</f>
        <v>HP Tran Phu</v>
      </c>
    </row>
    <row r="51" spans="1:2" hidden="1" x14ac:dyDescent="0.35">
      <c r="A51" s="51" t="s">
        <v>1898</v>
      </c>
      <c r="B51" t="str">
        <f>VLOOKUP(A51,Master!B:H,7,0)</f>
        <v>HN Doi Can</v>
      </c>
    </row>
    <row r="52" spans="1:2" hidden="1" x14ac:dyDescent="0.35">
      <c r="A52" s="50" t="s">
        <v>1926</v>
      </c>
      <c r="B52" t="str">
        <f>VLOOKUP(A52,Master!B:H,7,0)</f>
        <v>HN Times City</v>
      </c>
    </row>
    <row r="53" spans="1:2" hidden="1" x14ac:dyDescent="0.35">
      <c r="A53" s="51" t="s">
        <v>1928</v>
      </c>
      <c r="B53" t="str">
        <f>VLOOKUP(A53,Master!B:H,7,0)</f>
        <v>HN Le Thanh Nghi</v>
      </c>
    </row>
    <row r="54" spans="1:2" hidden="1" x14ac:dyDescent="0.35">
      <c r="A54" s="50" t="s">
        <v>1958</v>
      </c>
      <c r="B54" t="str">
        <f>VLOOKUP(A54,Master!B:H,7,0)</f>
        <v>HN Vincom Mega Mall Ocean Park</v>
      </c>
    </row>
    <row r="55" spans="1:2" hidden="1" x14ac:dyDescent="0.35">
      <c r="A55" s="51" t="s">
        <v>1956</v>
      </c>
      <c r="B55" t="str">
        <f>VLOOKUP(A55,Master!B:H,7,0)</f>
        <v>HN Vincom Mega Mall Smart City</v>
      </c>
    </row>
    <row r="56" spans="1:2" hidden="1" x14ac:dyDescent="0.35">
      <c r="A56" s="50" t="s">
        <v>1933</v>
      </c>
      <c r="B56" t="str">
        <f>VLOOKUP(A56,Master!B:H,7,0)</f>
        <v>HN Rice City</v>
      </c>
    </row>
    <row r="57" spans="1:2" hidden="1" x14ac:dyDescent="0.35">
      <c r="A57" s="51" t="s">
        <v>1911</v>
      </c>
      <c r="B57" t="str">
        <f>VLOOKUP(A57,Master!B:H,7,0)</f>
        <v>HN Hoang Dao Thuy 2</v>
      </c>
    </row>
    <row r="58" spans="1:2" hidden="1" x14ac:dyDescent="0.35">
      <c r="A58" s="50" t="s">
        <v>1909</v>
      </c>
      <c r="B58" t="str">
        <f>VLOOKUP(A58,Master!B:H,7,0)</f>
        <v>HN Discovery</v>
      </c>
    </row>
    <row r="59" spans="1:2" hidden="1" x14ac:dyDescent="0.35">
      <c r="A59" s="51" t="s">
        <v>1935</v>
      </c>
      <c r="B59" t="str">
        <f>VLOOKUP(A59,Master!B:H,7,0)</f>
        <v>HN Tran Nguyen Dan</v>
      </c>
    </row>
    <row r="60" spans="1:2" hidden="1" x14ac:dyDescent="0.35">
      <c r="A60" s="50" t="s">
        <v>1939</v>
      </c>
      <c r="B60" t="str">
        <f>VLOOKUP(A60,Master!B:H,7,0)</f>
        <v>HN Victoria Van Phu</v>
      </c>
    </row>
    <row r="61" spans="1:2" hidden="1" x14ac:dyDescent="0.35">
      <c r="A61" s="51" t="s">
        <v>1947</v>
      </c>
      <c r="B61" t="str">
        <f>VLOOKUP(A61,Master!B:H,7,0)</f>
        <v>HN Vu Tong Phan</v>
      </c>
    </row>
    <row r="62" spans="1:2" hidden="1" x14ac:dyDescent="0.35">
      <c r="A62" s="50" t="s">
        <v>1913</v>
      </c>
      <c r="B62" t="str">
        <f>VLOOKUP(A62,Master!B:H,7,0)</f>
        <v>HN Chelsea Residences</v>
      </c>
    </row>
    <row r="63" spans="1:2" hidden="1" x14ac:dyDescent="0.35">
      <c r="A63" s="51" t="s">
        <v>1903</v>
      </c>
      <c r="B63" t="str">
        <f>VLOOKUP(A63,Master!B:H,7,0)</f>
        <v>HN Trung Hoa</v>
      </c>
    </row>
    <row r="64" spans="1:2" hidden="1" x14ac:dyDescent="0.35">
      <c r="A64" s="50" t="s">
        <v>1786</v>
      </c>
      <c r="B64" t="str">
        <f>VLOOKUP(A64,Master!B:H,7,0)</f>
        <v>HCM Nguyen Thai Binh</v>
      </c>
    </row>
    <row r="65" spans="1:2" hidden="1" x14ac:dyDescent="0.35">
      <c r="A65" s="51" t="s">
        <v>1917</v>
      </c>
      <c r="B65" t="str">
        <f>VLOOKUP(A65,Master!B:H,7,0)</f>
        <v>HN Park Home</v>
      </c>
    </row>
    <row r="66" spans="1:2" hidden="1" x14ac:dyDescent="0.35">
      <c r="A66" s="50" t="s">
        <v>1882</v>
      </c>
      <c r="B66" t="str">
        <f>VLOOKUP(A66,Master!B:H,7,0)</f>
        <v>HCM Dien Bien Phu</v>
      </c>
    </row>
    <row r="67" spans="1:2" hidden="1" x14ac:dyDescent="0.35">
      <c r="A67" s="51" t="s">
        <v>1985</v>
      </c>
      <c r="B67" t="str">
        <f>VLOOKUP(A67,Master!B:H,7,0)</f>
        <v>NTR BigC GO Nha Trang</v>
      </c>
    </row>
    <row r="68" spans="1:2" hidden="1" x14ac:dyDescent="0.35">
      <c r="A68" s="50" t="s">
        <v>1810</v>
      </c>
      <c r="B68" t="str">
        <f>VLOOKUP(A68,Master!B:H,7,0)</f>
        <v>HCM Tran Hung Dao</v>
      </c>
    </row>
    <row r="69" spans="1:2" hidden="1" x14ac:dyDescent="0.35">
      <c r="A69" s="51" t="s">
        <v>1849</v>
      </c>
      <c r="B69" t="str">
        <f>VLOOKUP(A69,Master!B:H,7,0)</f>
        <v>HCM Hoang Viet</v>
      </c>
    </row>
    <row r="70" spans="1:2" hidden="1" x14ac:dyDescent="0.35">
      <c r="A70" s="50" t="s">
        <v>1851</v>
      </c>
      <c r="B70" t="str">
        <f>VLOOKUP(A70,Master!B:H,7,0)</f>
        <v>HCM Hong Ha</v>
      </c>
    </row>
    <row r="71" spans="1:2" hidden="1" x14ac:dyDescent="0.35">
      <c r="A71" s="51" t="s">
        <v>1896</v>
      </c>
      <c r="B71" t="str">
        <f>VLOOKUP(A71,Master!B:H,7,0)</f>
        <v>HN Hai Ba Trung</v>
      </c>
    </row>
    <row r="72" spans="1:2" hidden="1" x14ac:dyDescent="0.35">
      <c r="A72" s="50" t="s">
        <v>1872</v>
      </c>
      <c r="B72" t="str">
        <f>VLOOKUP(A72,Master!B:H,7,0)</f>
        <v>HCM Nguyen Van Luong</v>
      </c>
    </row>
    <row r="73" spans="1:2" hidden="1" x14ac:dyDescent="0.35">
      <c r="A73" s="51" t="s">
        <v>1806</v>
      </c>
      <c r="B73" t="str">
        <f>VLOOKUP(A73,Master!B:H,7,0)</f>
        <v>HCM Vo Van Tan</v>
      </c>
    </row>
    <row r="74" spans="1:2" hidden="1" x14ac:dyDescent="0.35">
      <c r="A74" s="50" t="s">
        <v>1814</v>
      </c>
      <c r="B74" t="str">
        <f>VLOOKUP(A74,Master!B:H,7,0)</f>
        <v>HCM Hau Giang PL</v>
      </c>
    </row>
    <row r="75" spans="1:2" hidden="1" x14ac:dyDescent="0.35">
      <c r="A75" s="51" t="s">
        <v>1864</v>
      </c>
      <c r="B75" t="str">
        <f>VLOOKUP(A75,Master!B:H,7,0)</f>
        <v>HCM To Hieu</v>
      </c>
    </row>
    <row r="76" spans="1:2" hidden="1" x14ac:dyDescent="0.35">
      <c r="A76" s="50" t="s">
        <v>1905</v>
      </c>
      <c r="B76" t="str">
        <f>VLOOKUP(A76,Master!B:H,7,0)</f>
        <v>HN Ho Tung Mau</v>
      </c>
    </row>
    <row r="77" spans="1:2" hidden="1" x14ac:dyDescent="0.35">
      <c r="A77" s="51" t="s">
        <v>1890</v>
      </c>
      <c r="B77" t="str">
        <f>VLOOKUP(A77,Master!B:H,7,0)</f>
        <v>HCM To Ngoc Van</v>
      </c>
    </row>
    <row r="78" spans="1:2" hidden="1" x14ac:dyDescent="0.35">
      <c r="A78" s="50" t="s">
        <v>1824</v>
      </c>
      <c r="B78" t="str">
        <f>VLOOKUP(A78,Master!B:H,7,0)</f>
        <v>HCM Sky Garden</v>
      </c>
    </row>
    <row r="79" spans="1:2" hidden="1" x14ac:dyDescent="0.35">
      <c r="A79" s="51" t="s">
        <v>1862</v>
      </c>
      <c r="B79" t="str">
        <f>VLOOKUP(A79,Master!B:H,7,0)</f>
        <v>HCM Le Thiet</v>
      </c>
    </row>
    <row r="80" spans="1:2" hidden="1" x14ac:dyDescent="0.35">
      <c r="A80" s="50" t="s">
        <v>2183</v>
      </c>
      <c r="B80" t="str">
        <f>VLOOKUP(A80,Master!B:H,7,0)</f>
        <v>TCH HCM 28 Ter Mac Dinh Chi</v>
      </c>
    </row>
    <row r="81" spans="1:2" hidden="1" x14ac:dyDescent="0.35">
      <c r="A81" s="51" t="s">
        <v>2137</v>
      </c>
      <c r="B81" t="str">
        <f>VLOOKUP(A81,Master!B:H,7,0)</f>
        <v>TCH LDO so 3 Nguyen Chi Thanh Lam Dong</v>
      </c>
    </row>
    <row r="82" spans="1:2" x14ac:dyDescent="0.35">
      <c r="A82" s="50" t="s">
        <v>6681</v>
      </c>
      <c r="B82" t="str">
        <f>VLOOKUP(A82,Master!B:H,7,0)</f>
        <v>TCH Toko Bắc Ninh</v>
      </c>
    </row>
    <row r="83" spans="1:2" hidden="1" x14ac:dyDescent="0.35">
      <c r="A83" s="51" t="s">
        <v>2468</v>
      </c>
      <c r="B83" t="str">
        <f>VLOOKUP(A83,Master!B:H,7,0)</f>
        <v>136 Đường Hồ Tùng Mậu</v>
      </c>
    </row>
    <row r="84" spans="1:2" x14ac:dyDescent="0.35">
      <c r="A84" s="50" t="s">
        <v>6236</v>
      </c>
      <c r="B84" t="str">
        <f>VLOOKUP(A84,Master!B:H,7,0)</f>
        <v>TCH Nguyễn Tri Phương</v>
      </c>
    </row>
    <row r="85" spans="1:2" x14ac:dyDescent="0.35">
      <c r="A85" s="51" t="s">
        <v>6682</v>
      </c>
      <c r="B85" t="e">
        <f>VLOOKUP(A85,Master!B:H,7,0)</f>
        <v>#N/A</v>
      </c>
    </row>
    <row r="86" spans="1:2" hidden="1" x14ac:dyDescent="0.35">
      <c r="A86" s="50" t="s">
        <v>2105</v>
      </c>
      <c r="B86" t="str">
        <f>VLOOKUP(A86,Master!B:H,7,0)</f>
        <v>UT HNI Peakview 36 Hoang Cau</v>
      </c>
    </row>
    <row r="87" spans="1:2" hidden="1" x14ac:dyDescent="0.35">
      <c r="A87" s="51" t="s">
        <v>1834</v>
      </c>
      <c r="B87" t="str">
        <f>VLOOKUP(A87,Master!B:H,7,0)</f>
        <v>HCM Ba Thang Hai</v>
      </c>
    </row>
    <row r="88" spans="1:2" hidden="1" x14ac:dyDescent="0.35">
      <c r="A88" s="51" t="s">
        <v>1231</v>
      </c>
      <c r="B88" t="str">
        <f>VLOOKUP(A88,Master!B:H,7,0)</f>
        <v>IP Lê Thái Tổ</v>
      </c>
    </row>
    <row r="89" spans="1:2" hidden="1" x14ac:dyDescent="0.35">
      <c r="A89" s="50" t="s">
        <v>1521</v>
      </c>
      <c r="B89" t="str">
        <f>VLOOKUP(A89,Master!B:H,7,0)</f>
        <v>DN Lê Đức Thọ</v>
      </c>
    </row>
    <row r="90" spans="1:2" hidden="1" x14ac:dyDescent="0.35">
      <c r="A90" s="51" t="s">
        <v>2639</v>
      </c>
      <c r="B90" t="str">
        <f>VLOOKUP(A90,Master!B:H,7,0)</f>
        <v>DNG Aeon Tân Phú</v>
      </c>
    </row>
    <row r="91" spans="1:2" hidden="1" x14ac:dyDescent="0.35">
      <c r="A91" s="50" t="s">
        <v>1367</v>
      </c>
      <c r="B91" t="str">
        <f>VLOOKUP(A91,Master!B:H,7,0)</f>
        <v>Dao Niu Guo Diamond Plaza</v>
      </c>
    </row>
    <row r="92" spans="1:2" hidden="1" x14ac:dyDescent="0.35">
      <c r="A92" s="50" t="s">
        <v>701</v>
      </c>
      <c r="B92" t="str">
        <f>VLOOKUP(A92,Master!B:H,7,0)</f>
        <v>Dao Niu Guo Vạn Hạnh Mall</v>
      </c>
    </row>
    <row r="93" spans="1:2" hidden="1" x14ac:dyDescent="0.35">
      <c r="A93" s="50" t="s">
        <v>2200</v>
      </c>
      <c r="B93" t="str">
        <f>VLOOKUP(A93,Master!B:H,7,0)</f>
        <v>DN Nguyễn Tri Phương</v>
      </c>
    </row>
    <row r="94" spans="1:2" hidden="1" x14ac:dyDescent="0.35">
      <c r="A94" s="51" t="s">
        <v>2128</v>
      </c>
      <c r="B94" t="str">
        <f>VLOOKUP(A94,Master!B:H,7,0)</f>
        <v>Dao Niu Guo Tôn Đức Thắng</v>
      </c>
    </row>
    <row r="95" spans="1:2" x14ac:dyDescent="0.35">
      <c r="A95" s="50" t="s">
        <v>5993</v>
      </c>
      <c r="B95" t="str">
        <f>VLOOKUP(A95,Master!B:H,7,0)</f>
        <v>Dao Niu Guo Lê Quý Đôn</v>
      </c>
    </row>
    <row r="96" spans="1:2" hidden="1" x14ac:dyDescent="0.35">
      <c r="A96" s="51" t="s">
        <v>2641</v>
      </c>
      <c r="B96" t="str">
        <f>VLOOKUP(A96,Master!B:H,7,0)</f>
        <v>DNG Đà Lạt</v>
      </c>
    </row>
    <row r="97" spans="1:2" hidden="1" x14ac:dyDescent="0.35">
      <c r="A97" s="50" t="s">
        <v>2463</v>
      </c>
      <c r="B97" t="str">
        <f>VLOOKUP(A97,Master!B:H,7,0)</f>
        <v>Thiso Mall</v>
      </c>
    </row>
    <row r="98" spans="1:2" x14ac:dyDescent="0.35">
      <c r="A98" s="51" t="s">
        <v>6004</v>
      </c>
      <c r="B98" t="str">
        <f>VLOOKUP(A98,Master!B:H,7,0)</f>
        <v>Dao Niu Guo Grand Park Q9</v>
      </c>
    </row>
    <row r="99" spans="1:2" hidden="1" x14ac:dyDescent="0.35">
      <c r="A99" s="51" t="s">
        <v>2637</v>
      </c>
      <c r="B99" t="str">
        <f>VLOOKUP(A99,Master!B:H,7,0)</f>
        <v>Thái Hà</v>
      </c>
    </row>
    <row r="100" spans="1:2" hidden="1" x14ac:dyDescent="0.35">
      <c r="A100" s="50" t="s">
        <v>2171</v>
      </c>
      <c r="B100" t="str">
        <f>VLOOKUP(A100,Master!B:H,7,0)</f>
        <v>DN Trần Huy Liệu</v>
      </c>
    </row>
    <row r="101" spans="1:2" hidden="1" x14ac:dyDescent="0.35">
      <c r="A101" s="51" t="s">
        <v>2643</v>
      </c>
      <c r="B101" t="str">
        <f>VLOOKUP(A101,Master!B:H,7,0)</f>
        <v>Mipec Long Biên</v>
      </c>
    </row>
    <row r="102" spans="1:2" x14ac:dyDescent="0.35">
      <c r="A102" s="50" t="s">
        <v>3620</v>
      </c>
      <c r="B102" t="str">
        <f>VLOOKUP(A102,Master!B:H,7,0)</f>
        <v>Dao Niu Guo Lê Thái TổLê Thái Tổ, Hàng Trống, Hoàn Kiếm, Hà Nội</v>
      </c>
    </row>
    <row r="103" spans="1:2" hidden="1" x14ac:dyDescent="0.35">
      <c r="A103" s="51" t="s">
        <v>2459</v>
      </c>
      <c r="B103" t="str">
        <f>VLOOKUP(A103,Master!B:H,7,0)</f>
        <v>Trung Hoà - HĐT</v>
      </c>
    </row>
    <row r="104" spans="1:2" x14ac:dyDescent="0.35">
      <c r="A104" s="50" t="s">
        <v>4568</v>
      </c>
      <c r="B104" t="str">
        <f>VLOOKUP(A104,Master!B:H,7,0)</f>
        <v>Dao Niu Guo 108 đường số 7</v>
      </c>
    </row>
    <row r="105" spans="1:2" x14ac:dyDescent="0.35">
      <c r="A105" s="51" t="s">
        <v>5026</v>
      </c>
      <c r="B105" t="str">
        <f>VLOOKUP(A105,Master!B:H,7,0)</f>
        <v>Dao Niu Guo Nguyễn Thị Thập</v>
      </c>
    </row>
    <row r="106" spans="1:2" x14ac:dyDescent="0.35">
      <c r="A106" s="50" t="s">
        <v>6024</v>
      </c>
      <c r="B106" t="str">
        <f>VLOOKUP(A106,Master!B:H,7,0)</f>
        <v>Dao Niu Guo Phan Xích Long</v>
      </c>
    </row>
    <row r="107" spans="1:2" x14ac:dyDescent="0.35">
      <c r="A107" s="51" t="s">
        <v>5334</v>
      </c>
      <c r="B107" t="str">
        <f>VLOOKUP(A107,Master!B:H,7,0)</f>
        <v>Dao Niu Guo Cao Thắng</v>
      </c>
    </row>
    <row r="108" spans="1:2" x14ac:dyDescent="0.35">
      <c r="A108" s="50" t="s">
        <v>5945</v>
      </c>
      <c r="B108" t="str">
        <f>VLOOKUP(A108,Master!B:H,7,0)</f>
        <v>Dao Niu Guo Hạ Long</v>
      </c>
    </row>
    <row r="109" spans="1:2" x14ac:dyDescent="0.35">
      <c r="A109" s="51" t="s">
        <v>3958</v>
      </c>
      <c r="B109" t="str">
        <f>VLOOKUP(A109,Master!B:H,7,0)</f>
        <v>Dao Niu Guo Trần PhúTrần Phú, Văn Quán, Hà Đông, Hà Nội</v>
      </c>
    </row>
    <row r="110" spans="1:2" x14ac:dyDescent="0.35">
      <c r="A110" s="50" t="s">
        <v>3077</v>
      </c>
      <c r="B110" t="str">
        <f>VLOOKUP(A110,Master!B:H,7,0)</f>
        <v>Dao Niu Guo 2 tháng 92 tháng 9, Bình Thuận, Hải Châu, Đà Nẵng</v>
      </c>
    </row>
    <row r="111" spans="1:2" x14ac:dyDescent="0.35">
      <c r="A111" s="51" t="s">
        <v>2756</v>
      </c>
      <c r="B111" t="str">
        <f>VLOOKUP(A111,Master!B:H,7,0)</f>
        <v>Dao Niu Guo 251 – 251A Thống Nhất Mới.</v>
      </c>
    </row>
    <row r="112" spans="1:2" x14ac:dyDescent="0.35">
      <c r="A112" s="50" t="s">
        <v>2831</v>
      </c>
      <c r="B112" t="str">
        <f>VLOOKUP(A112,Master!B:H,7,0)</f>
        <v xml:space="preserve">Dao Niu Guo </v>
      </c>
    </row>
    <row r="113" spans="1:2" x14ac:dyDescent="0.35">
      <c r="A113" s="51" t="s">
        <v>6037</v>
      </c>
      <c r="B113" t="str">
        <f>VLOOKUP(A113,Master!B:H,7,0)</f>
        <v>DAO NIU GUO HÙNG VƯƠNG</v>
      </c>
    </row>
    <row r="114" spans="1:2" x14ac:dyDescent="0.35">
      <c r="A114" s="50" t="s">
        <v>5039</v>
      </c>
      <c r="B114" t="str">
        <f>VLOOKUP(A114,Master!B:H,7,0)</f>
        <v>Dao Niu Guo Lê Văn Sĩ</v>
      </c>
    </row>
    <row r="115" spans="1:2" x14ac:dyDescent="0.35">
      <c r="A115" s="51" t="s">
        <v>5340</v>
      </c>
      <c r="B115" t="str">
        <f>VLOOKUP(A115,Master!B:H,7,0)</f>
        <v>Dao Niu Guo 8 Võ Nguyên GiápAeon Mall Huế</v>
      </c>
    </row>
    <row r="116" spans="1:2" x14ac:dyDescent="0.35">
      <c r="A116" s="50" t="s">
        <v>5949</v>
      </c>
      <c r="B116" t="str">
        <f>VLOOKUP(A116,Master!B:H,7,0)</f>
        <v>DAONIUGUO EZY CENTER NGUYEN AI QUOC DONG NAI</v>
      </c>
    </row>
    <row r="117" spans="1:2" x14ac:dyDescent="0.35">
      <c r="A117" s="51" t="s">
        <v>6047</v>
      </c>
      <c r="B117" t="str">
        <f>VLOOKUP(A117,Master!B:H,7,0)</f>
        <v>Dao Niu Guo Lotte Q11</v>
      </c>
    </row>
    <row r="118" spans="1:2" hidden="1" x14ac:dyDescent="0.35">
      <c r="A118" s="50" t="s">
        <v>320</v>
      </c>
      <c r="B118" t="str">
        <f>VLOOKUP(A118,Master!B:H,7,0)</f>
        <v>Gogi House Aeonmall HimLam</v>
      </c>
    </row>
    <row r="119" spans="1:2" hidden="1" x14ac:dyDescent="0.35">
      <c r="A119" s="51" t="s">
        <v>2154</v>
      </c>
      <c r="B119" t="str">
        <f>VLOOKUP(A119,Master!B:H,7,0)</f>
        <v>GG Hanoi Centre NTH</v>
      </c>
    </row>
    <row r="120" spans="1:2" hidden="1" x14ac:dyDescent="0.35">
      <c r="A120" s="50" t="s">
        <v>414</v>
      </c>
      <c r="B120" t="str">
        <f>VLOOKUP(A120,Master!B:H,7,0)</f>
        <v>Gogi House Hà Nam</v>
      </c>
    </row>
    <row r="121" spans="1:2" hidden="1" x14ac:dyDescent="0.35">
      <c r="A121" s="51" t="s">
        <v>2336</v>
      </c>
      <c r="B121" t="str">
        <f>VLOOKUP(A121,Master!B:H,7,0)</f>
        <v>GG Aeon Đà Nẵng</v>
      </c>
    </row>
    <row r="122" spans="1:2" hidden="1" x14ac:dyDescent="0.35">
      <c r="A122" s="50" t="s">
        <v>84</v>
      </c>
      <c r="B122" t="str">
        <f>VLOOKUP(A122,Master!B:H,7,0)</f>
        <v>Gogi House Royal City</v>
      </c>
    </row>
    <row r="123" spans="1:2" hidden="1" x14ac:dyDescent="0.35">
      <c r="A123" s="51" t="s">
        <v>174</v>
      </c>
      <c r="B123" t="str">
        <f>VLOOKUP(A123,Master!B:H,7,0)</f>
        <v>Gogi House Vincom Thái Bình</v>
      </c>
    </row>
    <row r="124" spans="1:2" hidden="1" x14ac:dyDescent="0.35">
      <c r="A124" s="50" t="s">
        <v>277</v>
      </c>
      <c r="B124" t="str">
        <f>VLOOKUP(A124,Master!B:H,7,0)</f>
        <v>Gogi L.V.Thăng Ninh Bình</v>
      </c>
    </row>
    <row r="125" spans="1:2" hidden="1" x14ac:dyDescent="0.35">
      <c r="A125" s="51" t="s">
        <v>2162</v>
      </c>
      <c r="B125" t="str">
        <f>VLOOKUP(A125,Master!B:H,7,0)</f>
        <v>GG Lotte Tân Bình</v>
      </c>
    </row>
    <row r="126" spans="1:2" x14ac:dyDescent="0.35">
      <c r="A126" s="50" t="s">
        <v>5367</v>
      </c>
      <c r="B126" t="str">
        <f>VLOOKUP(A126,Master!B:H,7,0)</f>
        <v>Gogi House 42 Nguyễn Thị Minh Khai</v>
      </c>
    </row>
    <row r="127" spans="1:2" x14ac:dyDescent="0.35">
      <c r="A127" s="51" t="s">
        <v>6282</v>
      </c>
      <c r="B127" t="e">
        <f>VLOOKUP(A127,Master!B:H,7,0)</f>
        <v>#N/A</v>
      </c>
    </row>
    <row r="128" spans="1:2" hidden="1" x14ac:dyDescent="0.35">
      <c r="A128" s="50" t="s">
        <v>299</v>
      </c>
      <c r="B128" t="str">
        <f>VLOOKUP(A128,Master!B:H,7,0)</f>
        <v>Gogi House Lào Cai</v>
      </c>
    </row>
    <row r="129" spans="1:2" hidden="1" x14ac:dyDescent="0.35">
      <c r="A129" s="51" t="s">
        <v>2083</v>
      </c>
      <c r="B129" t="str">
        <f>VLOOKUP(A129,Master!B:H,7,0)</f>
        <v>GG Phan Đình Phùng QN</v>
      </c>
    </row>
    <row r="130" spans="1:2" x14ac:dyDescent="0.35">
      <c r="A130" s="50" t="s">
        <v>5939</v>
      </c>
      <c r="B130" t="str">
        <f>VLOOKUP(A130,Master!B:H,7,0)</f>
        <v>Gogi House số 285 Cách Mạng Tháng 8</v>
      </c>
    </row>
    <row r="131" spans="1:2" hidden="1" x14ac:dyDescent="0.35">
      <c r="A131" s="51" t="s">
        <v>2629</v>
      </c>
      <c r="B131" t="str">
        <f>VLOOKUP(A131,Master!B:H,7,0)</f>
        <v>GG The Garden Mall</v>
      </c>
    </row>
    <row r="132" spans="1:2" x14ac:dyDescent="0.35">
      <c r="A132" s="50" t="s">
        <v>1670</v>
      </c>
      <c r="B132" t="e">
        <f>VLOOKUP(A132,Master!B:H,7,0)</f>
        <v>#N/A</v>
      </c>
    </row>
    <row r="133" spans="1:2" hidden="1" x14ac:dyDescent="0.35">
      <c r="A133" s="51" t="s">
        <v>1043</v>
      </c>
      <c r="B133" t="str">
        <f>VLOOKUP(A133,Master!B:H,7,0)</f>
        <v>Gogi House Big C Đồng Nai</v>
      </c>
    </row>
    <row r="134" spans="1:2" hidden="1" x14ac:dyDescent="0.35">
      <c r="A134" s="50" t="s">
        <v>826</v>
      </c>
      <c r="B134" t="str">
        <f>VLOOKUP(A134,Master!B:H,7,0)</f>
        <v>Gogi An Dương Vương</v>
      </c>
    </row>
    <row r="135" spans="1:2" hidden="1" x14ac:dyDescent="0.35">
      <c r="A135" s="51" t="s">
        <v>2360</v>
      </c>
      <c r="B135" t="str">
        <f>VLOOKUP(A135,Master!B:H,7,0)</f>
        <v>GG Phú La, Q. Hà Đông, HN</v>
      </c>
    </row>
    <row r="136" spans="1:2" x14ac:dyDescent="0.35">
      <c r="A136" s="50" t="s">
        <v>3163</v>
      </c>
      <c r="B136" t="str">
        <f>VLOOKUP(A136,Master!B:H,7,0)</f>
        <v>Gogi House Hàng BúnHàng Bún, Nguyễn Trung Trực, Ba Đình, Hà Nội</v>
      </c>
    </row>
    <row r="137" spans="1:2" hidden="1" x14ac:dyDescent="0.35">
      <c r="A137" s="51" t="s">
        <v>854</v>
      </c>
      <c r="B137" t="str">
        <f>VLOOKUP(A137,Master!B:H,7,0)</f>
        <v>GG Phan Thiet</v>
      </c>
    </row>
    <row r="138" spans="1:2" hidden="1" x14ac:dyDescent="0.35">
      <c r="A138" s="50" t="s">
        <v>108</v>
      </c>
      <c r="B138" t="str">
        <f>VLOOKUP(A138,Master!B:H,7,0)</f>
        <v>Gogi House Bùi Thị Xuân</v>
      </c>
    </row>
    <row r="139" spans="1:2" hidden="1" x14ac:dyDescent="0.35">
      <c r="A139" s="51" t="s">
        <v>432</v>
      </c>
      <c r="B139" t="str">
        <f>VLOOKUP(A139,Master!B:H,7,0)</f>
        <v>Gogi House Savico</v>
      </c>
    </row>
    <row r="140" spans="1:2" hidden="1" x14ac:dyDescent="0.35">
      <c r="A140" s="50" t="s">
        <v>261</v>
      </c>
      <c r="B140" t="str">
        <f>VLOOKUP(A140,Master!B:H,7,0)</f>
        <v>Gogi House Tràng Tiền</v>
      </c>
    </row>
    <row r="141" spans="1:2" hidden="1" x14ac:dyDescent="0.35">
      <c r="A141" s="51" t="s">
        <v>589</v>
      </c>
      <c r="B141" t="str">
        <f>VLOOKUP(A141,Master!B:H,7,0)</f>
        <v>GG Aeon Binh Tan</v>
      </c>
    </row>
    <row r="142" spans="1:2" hidden="1" x14ac:dyDescent="0.35">
      <c r="A142" s="50" t="s">
        <v>936</v>
      </c>
      <c r="B142" t="str">
        <f>VLOOKUP(A142,Master!B:H,7,0)</f>
        <v>GG Nguyen Hue</v>
      </c>
    </row>
    <row r="143" spans="1:2" hidden="1" x14ac:dyDescent="0.35">
      <c r="A143" s="51" t="s">
        <v>606</v>
      </c>
      <c r="B143" t="str">
        <f>VLOOKUP(A143,Master!B:H,7,0)</f>
        <v>GG SG Center</v>
      </c>
    </row>
    <row r="144" spans="1:2" hidden="1" x14ac:dyDescent="0.35">
      <c r="A144" s="50" t="s">
        <v>1249</v>
      </c>
      <c r="B144" t="str">
        <f>VLOOKUP(A144,Master!B:H,7,0)</f>
        <v>Gogi House Đường Số 41 Q4 HCM</v>
      </c>
    </row>
    <row r="145" spans="1:2" hidden="1" x14ac:dyDescent="0.35">
      <c r="A145" s="51" t="s">
        <v>486</v>
      </c>
      <c r="B145" t="str">
        <f>VLOOKUP(A145,Master!B:H,7,0)</f>
        <v>GG Le Van Sy</v>
      </c>
    </row>
    <row r="146" spans="1:2" hidden="1" x14ac:dyDescent="0.35">
      <c r="A146" s="50" t="s">
        <v>508</v>
      </c>
      <c r="B146" t="str">
        <f>VLOOKUP(A146,Master!B:H,7,0)</f>
        <v>GG Vivo</v>
      </c>
    </row>
    <row r="147" spans="1:2" hidden="1" x14ac:dyDescent="0.35">
      <c r="A147" s="50" t="s">
        <v>514</v>
      </c>
      <c r="B147" t="str">
        <f>VLOOKUP(A147,Master!B:H,7,0)</f>
        <v>GG VC Dong Khoi</v>
      </c>
    </row>
    <row r="148" spans="1:2" hidden="1" x14ac:dyDescent="0.35">
      <c r="A148" s="51" t="s">
        <v>663</v>
      </c>
      <c r="B148" t="str">
        <f>VLOOKUP(A148,Master!B:H,7,0)</f>
        <v>GG Nguyen Kim CT</v>
      </c>
    </row>
    <row r="149" spans="1:2" hidden="1" x14ac:dyDescent="0.35">
      <c r="A149" s="50" t="s">
        <v>697</v>
      </c>
      <c r="B149" t="str">
        <f>VLOOKUP(A149,Master!B:H,7,0)</f>
        <v>GG Su Van Hanh mall</v>
      </c>
    </row>
    <row r="150" spans="1:2" hidden="1" x14ac:dyDescent="0.35">
      <c r="A150" s="51" t="s">
        <v>740</v>
      </c>
      <c r="B150" t="str">
        <f>VLOOKUP(A150,Master!B:H,7,0)</f>
        <v>GG Dinh Tien Hoang</v>
      </c>
    </row>
    <row r="151" spans="1:2" hidden="1" x14ac:dyDescent="0.35">
      <c r="A151" s="50" t="s">
        <v>959</v>
      </c>
      <c r="B151" t="str">
        <f>VLOOKUP(A151,Master!B:H,7,0)</f>
        <v>GoGi Bình Phú</v>
      </c>
    </row>
    <row r="152" spans="1:2" hidden="1" x14ac:dyDescent="0.35">
      <c r="A152" s="51" t="s">
        <v>1260</v>
      </c>
      <c r="B152" t="str">
        <f>VLOOKUP(A152,Master!B:H,7,0)</f>
        <v>GG DS7 Tân Bình</v>
      </c>
    </row>
    <row r="153" spans="1:2" hidden="1" x14ac:dyDescent="0.35">
      <c r="A153" s="50" t="s">
        <v>1348</v>
      </c>
      <c r="B153" t="str">
        <f>VLOOKUP(A153,Master!B:H,7,0)</f>
        <v>Gogi House Huynh Tan Phat Q7</v>
      </c>
    </row>
    <row r="154" spans="1:2" hidden="1" x14ac:dyDescent="0.35">
      <c r="A154" s="51" t="s">
        <v>657</v>
      </c>
      <c r="B154" t="str">
        <f>VLOOKUP(A154,Master!B:H,7,0)</f>
        <v>GG Nguyen Tri Phuong</v>
      </c>
    </row>
    <row r="155" spans="1:2" hidden="1" x14ac:dyDescent="0.35">
      <c r="A155" s="50" t="s">
        <v>748</v>
      </c>
      <c r="B155" t="str">
        <f>VLOOKUP(A155,Master!B:H,7,0)</f>
        <v>GG Nguyen Duc Canh</v>
      </c>
    </row>
    <row r="156" spans="1:2" hidden="1" x14ac:dyDescent="0.35">
      <c r="A156" s="50" t="s">
        <v>1547</v>
      </c>
      <c r="B156" t="str">
        <f>VLOOKUP(A156,Master!B:H,7,0)</f>
        <v>GG Le Van Quoi</v>
      </c>
    </row>
    <row r="157" spans="1:2" hidden="1" x14ac:dyDescent="0.35">
      <c r="A157" s="51" t="s">
        <v>1697</v>
      </c>
      <c r="B157" t="str">
        <f>VLOOKUP(A157,Master!B:H,7,0)</f>
        <v>GG Parc Mall Q8</v>
      </c>
    </row>
    <row r="158" spans="1:2" hidden="1" x14ac:dyDescent="0.35">
      <c r="A158" s="50" t="s">
        <v>523</v>
      </c>
      <c r="B158" t="str">
        <f>VLOOKUP(A158,Master!B:H,7,0)</f>
        <v>GG VC DAN</v>
      </c>
    </row>
    <row r="159" spans="1:2" hidden="1" x14ac:dyDescent="0.35">
      <c r="A159" s="51" t="s">
        <v>641</v>
      </c>
      <c r="B159" t="str">
        <f>VLOOKUP(A159,Master!B:H,7,0)</f>
        <v>GG Nguyen Van Linh DAN</v>
      </c>
    </row>
    <row r="160" spans="1:2" hidden="1" x14ac:dyDescent="0.35">
      <c r="A160" s="50" t="s">
        <v>847</v>
      </c>
      <c r="B160" t="str">
        <f>VLOOKUP(A160,Master!B:H,7,0)</f>
        <v>GG Vincom Bạc Liêu</v>
      </c>
    </row>
    <row r="161" spans="1:2" hidden="1" x14ac:dyDescent="0.35">
      <c r="A161" s="51" t="s">
        <v>649</v>
      </c>
      <c r="B161" t="str">
        <f>VLOOKUP(A161,Master!B:H,7,0)</f>
        <v>GG Sensi CMA</v>
      </c>
    </row>
    <row r="162" spans="1:2" hidden="1" x14ac:dyDescent="0.35">
      <c r="A162" s="50" t="s">
        <v>345</v>
      </c>
      <c r="B162" t="str">
        <f>VLOOKUP(A162,Master!B:H,7,0)</f>
        <v>GG Hàm Nghi</v>
      </c>
    </row>
    <row r="163" spans="1:2" hidden="1" x14ac:dyDescent="0.35">
      <c r="A163" s="51" t="s">
        <v>78</v>
      </c>
      <c r="B163" t="str">
        <f>VLOOKUP(A163,Master!B:H,7,0)</f>
        <v>Gogi House Trần Thái Tông</v>
      </c>
    </row>
    <row r="164" spans="1:2" hidden="1" x14ac:dyDescent="0.35">
      <c r="A164" s="50" t="s">
        <v>255</v>
      </c>
      <c r="B164" t="str">
        <f>VLOOKUP(A164,Master!B:H,7,0)</f>
        <v>Gogi House Vạn Phúc Hà Đông</v>
      </c>
    </row>
    <row r="165" spans="1:2" hidden="1" x14ac:dyDescent="0.35">
      <c r="A165" s="51" t="s">
        <v>201</v>
      </c>
      <c r="B165" t="str">
        <f>VLOOKUP(A165,Master!B:H,7,0)</f>
        <v>Gogi House Linh Đàm</v>
      </c>
    </row>
    <row r="166" spans="1:2" hidden="1" x14ac:dyDescent="0.35">
      <c r="A166" s="50" t="s">
        <v>284</v>
      </c>
      <c r="B166" t="str">
        <f>VLOOKUP(A166,Master!B:H,7,0)</f>
        <v xml:space="preserve">Gogi House Tô Hiệu </v>
      </c>
    </row>
    <row r="167" spans="1:2" hidden="1" x14ac:dyDescent="0.35">
      <c r="A167" s="51" t="s">
        <v>733</v>
      </c>
      <c r="B167" t="str">
        <f>VLOOKUP(A167,Master!B:H,7,0)</f>
        <v>GG Vo Thi Sau BH DNA</v>
      </c>
    </row>
    <row r="168" spans="1:2" hidden="1" x14ac:dyDescent="0.35">
      <c r="A168" s="50" t="s">
        <v>834</v>
      </c>
      <c r="B168" t="str">
        <f>VLOOKUP(A168,Master!B:H,7,0)</f>
        <v>GG Tây Ninh</v>
      </c>
    </row>
    <row r="169" spans="1:2" hidden="1" x14ac:dyDescent="0.35">
      <c r="A169" s="51" t="s">
        <v>530</v>
      </c>
      <c r="B169" t="str">
        <f>VLOOKUP(A169,Master!B:H,7,0)</f>
        <v>GG VC Bien Hoa DNA</v>
      </c>
    </row>
    <row r="170" spans="1:2" hidden="1" x14ac:dyDescent="0.35">
      <c r="A170" s="50" t="s">
        <v>1439</v>
      </c>
      <c r="B170" t="str">
        <f>VLOOKUP(A170,Master!B:H,7,0)</f>
        <v>GG Tôn Đức Thắng VP</v>
      </c>
    </row>
    <row r="171" spans="1:2" x14ac:dyDescent="0.35">
      <c r="A171" s="51" t="s">
        <v>6382</v>
      </c>
      <c r="B171" t="str">
        <f>VLOOKUP(A171,Master!B:H,7,0)</f>
        <v>Gogi Phú Thọ</v>
      </c>
    </row>
    <row r="172" spans="1:2" hidden="1" x14ac:dyDescent="0.35">
      <c r="A172" s="50" t="s">
        <v>104</v>
      </c>
      <c r="B172" t="str">
        <f>VLOOKUP(A172,Master!B:H,7,0)</f>
        <v>Gogi House Hạ Long</v>
      </c>
    </row>
    <row r="173" spans="1:2" hidden="1" x14ac:dyDescent="0.35">
      <c r="A173" s="51" t="s">
        <v>398</v>
      </c>
      <c r="B173" t="str">
        <f>VLOOKUP(A173,Master!B:H,7,0)</f>
        <v>Gogi House Times Garden Hạ Long</v>
      </c>
    </row>
    <row r="174" spans="1:2" hidden="1" x14ac:dyDescent="0.35">
      <c r="A174" s="50" t="s">
        <v>934</v>
      </c>
      <c r="B174" t="str">
        <f>VLOOKUP(A174,Master!B:H,7,0)</f>
        <v>GG Cao Lãnh</v>
      </c>
    </row>
    <row r="175" spans="1:2" hidden="1" x14ac:dyDescent="0.35">
      <c r="A175" s="51" t="s">
        <v>924</v>
      </c>
      <c r="B175" t="str">
        <f>VLOOKUP(A175,Master!B:H,7,0)</f>
        <v>GG My Tho</v>
      </c>
    </row>
    <row r="176" spans="1:2" hidden="1" x14ac:dyDescent="0.35">
      <c r="A176" s="50" t="s">
        <v>550</v>
      </c>
      <c r="B176" t="str">
        <f>VLOOKUP(A176,Master!B:H,7,0)</f>
        <v>GG VC Long Xuyen ANG</v>
      </c>
    </row>
    <row r="177" spans="1:2" hidden="1" x14ac:dyDescent="0.35">
      <c r="A177" s="51" t="s">
        <v>548</v>
      </c>
      <c r="B177" t="str">
        <f>VLOOKUP(A177,Master!B:H,7,0)</f>
        <v>GG Nguyen Kim BDU</v>
      </c>
    </row>
    <row r="178" spans="1:2" hidden="1" x14ac:dyDescent="0.35">
      <c r="A178" s="50" t="s">
        <v>563</v>
      </c>
      <c r="B178" t="str">
        <f>VLOOKUP(A178,Master!B:H,7,0)</f>
        <v>GG VC Buon Me Thuot DAK</v>
      </c>
    </row>
    <row r="179" spans="1:2" hidden="1" x14ac:dyDescent="0.35">
      <c r="A179" s="51" t="s">
        <v>758</v>
      </c>
      <c r="B179" t="str">
        <f>VLOOKUP(A179,Master!B:H,7,0)</f>
        <v>GG Gia Lai</v>
      </c>
    </row>
    <row r="180" spans="1:2" hidden="1" x14ac:dyDescent="0.35">
      <c r="A180" s="50" t="s">
        <v>908</v>
      </c>
      <c r="B180" t="str">
        <f>VLOOKUP(A180,Master!B:H,7,0)</f>
        <v>GG Kon Tum</v>
      </c>
    </row>
    <row r="181" spans="1:2" hidden="1" x14ac:dyDescent="0.35">
      <c r="A181" s="51" t="s">
        <v>675</v>
      </c>
      <c r="B181" t="str">
        <f>VLOOKUP(A181,Master!B:H,7,0)</f>
        <v>GG Go Dau BDU</v>
      </c>
    </row>
    <row r="182" spans="1:2" hidden="1" x14ac:dyDescent="0.35">
      <c r="A182" s="50" t="s">
        <v>495</v>
      </c>
      <c r="B182" t="str">
        <f>VLOOKUP(A182,Master!B:H,7,0)</f>
        <v>GG Aeon BDU</v>
      </c>
    </row>
    <row r="183" spans="1:2" hidden="1" x14ac:dyDescent="0.35">
      <c r="A183" s="51" t="s">
        <v>1428</v>
      </c>
      <c r="B183" t="str">
        <f>VLOOKUP(A183,Master!B:H,7,0)</f>
        <v>Gogi House SORA Gardens SC  BD</v>
      </c>
    </row>
    <row r="184" spans="1:2" hidden="1" x14ac:dyDescent="0.35">
      <c r="A184" s="50" t="s">
        <v>691</v>
      </c>
      <c r="B184" t="str">
        <f>VLOOKUP(A184,Master!B:H,7,0)</f>
        <v>GG Ariyana NT KHO</v>
      </c>
    </row>
    <row r="185" spans="1:2" hidden="1" x14ac:dyDescent="0.35">
      <c r="A185" s="50" t="s">
        <v>599</v>
      </c>
      <c r="B185" t="str">
        <f>VLOOKUP(A185,Master!B:H,7,0)</f>
        <v>GG Lotte NT KHO</v>
      </c>
    </row>
    <row r="186" spans="1:2" hidden="1" x14ac:dyDescent="0.35">
      <c r="A186" s="51" t="s">
        <v>963</v>
      </c>
      <c r="B186" t="str">
        <f>VLOOKUP(A186,Master!B:H,7,0)</f>
        <v>GoGi Estella</v>
      </c>
    </row>
    <row r="187" spans="1:2" hidden="1" x14ac:dyDescent="0.35">
      <c r="A187" s="50" t="s">
        <v>629</v>
      </c>
      <c r="B187" t="str">
        <f>VLOOKUP(A187,Master!B:H,7,0)</f>
        <v>GG Nguyen Hong Dao</v>
      </c>
    </row>
    <row r="188" spans="1:2" hidden="1" x14ac:dyDescent="0.35">
      <c r="A188" s="51" t="s">
        <v>804</v>
      </c>
      <c r="B188" t="str">
        <f>VLOOKUP(A188,Master!B:H,7,0)</f>
        <v>GG Tan Son Nhaất</v>
      </c>
    </row>
    <row r="189" spans="1:2" hidden="1" x14ac:dyDescent="0.35">
      <c r="A189" s="50" t="s">
        <v>568</v>
      </c>
      <c r="B189" t="str">
        <f>VLOOKUP(A189,Master!B:H,7,0)</f>
        <v>GG VC Le Van Viet</v>
      </c>
    </row>
    <row r="190" spans="1:2" hidden="1" x14ac:dyDescent="0.35">
      <c r="A190" s="51" t="s">
        <v>647</v>
      </c>
      <c r="B190" t="str">
        <f>VLOOKUP(A190,Master!B:H,7,0)</f>
        <v>GG VC Nguyen Xi</v>
      </c>
    </row>
    <row r="191" spans="1:2" hidden="1" x14ac:dyDescent="0.35">
      <c r="A191" s="50" t="s">
        <v>922</v>
      </c>
      <c r="B191" t="str">
        <f>VLOOKUP(A191,Master!B:H,7,0)</f>
        <v>Gogi Trường Sơn</v>
      </c>
    </row>
    <row r="192" spans="1:2" x14ac:dyDescent="0.35">
      <c r="A192" s="50" t="s">
        <v>5400</v>
      </c>
      <c r="B192" t="str">
        <f>VLOOKUP(A192,Master!B:H,7,0)</f>
        <v xml:space="preserve">Gogi House </v>
      </c>
    </row>
    <row r="193" spans="1:2" hidden="1" x14ac:dyDescent="0.35">
      <c r="A193" s="51" t="s">
        <v>2352</v>
      </c>
      <c r="B193" t="str">
        <f>VLOOKUP(A193,Master!B:H,7,0)</f>
        <v>GG Aeon Thanh Hóa</v>
      </c>
    </row>
    <row r="194" spans="1:2" hidden="1" x14ac:dyDescent="0.35">
      <c r="A194" s="50" t="s">
        <v>2350</v>
      </c>
      <c r="B194" t="str">
        <f>VLOOKUP(A194,Master!B:H,7,0)</f>
        <v>GG Aeon Quảng Ninh</v>
      </c>
    </row>
    <row r="195" spans="1:2" hidden="1" x14ac:dyDescent="0.35">
      <c r="A195" s="50" t="s">
        <v>74</v>
      </c>
      <c r="B195" t="str">
        <f>VLOOKUP(A195,Master!B:H,7,0)</f>
        <v>Gogi House Big C</v>
      </c>
    </row>
    <row r="196" spans="1:2" hidden="1" x14ac:dyDescent="0.35">
      <c r="A196" s="51" t="s">
        <v>2152</v>
      </c>
      <c r="B196" t="str">
        <f>VLOOKUP(A196,Master!B:H,7,0)</f>
        <v>GG Nguyễn Văn Lạc</v>
      </c>
    </row>
    <row r="197" spans="1:2" x14ac:dyDescent="0.35">
      <c r="A197" s="50" t="s">
        <v>3933</v>
      </c>
      <c r="B197" t="str">
        <f>VLOOKUP(A197,Master!B:H,7,0)</f>
        <v>Gogi House Nguyễn Văn Cừ hoặc Hồng Tiến hoặc Nguyễn SơnNguyễn Văn Cừ hoặc Hồng Tiến hoặc Nguyễn Sơn, Bồ Đề, Long Biên, Hà Nội</v>
      </c>
    </row>
    <row r="198" spans="1:2" x14ac:dyDescent="0.35">
      <c r="A198" s="51" t="s">
        <v>3647</v>
      </c>
      <c r="B198" t="str">
        <f>VLOOKUP(A198,Master!B:H,7,0)</f>
        <v>Gogi House Ngoại Giao Đoàn, gần Võ Chí CôngNgoại Giao Đoàn, gần Võ Chí Công, Xuân Đỉnh, Bắc Từ Liêm, Hà Nội</v>
      </c>
    </row>
    <row r="199" spans="1:2" x14ac:dyDescent="0.35">
      <c r="A199" s="50" t="s">
        <v>6442</v>
      </c>
      <c r="B199" t="str">
        <f>VLOOKUP(A199,Master!B:H,7,0)</f>
        <v>Gogi Lotte Q11</v>
      </c>
    </row>
    <row r="200" spans="1:2" x14ac:dyDescent="0.35">
      <c r="A200" s="51" t="s">
        <v>4372</v>
      </c>
      <c r="B200" t="str">
        <f>VLOOKUP(A200,Master!B:H,7,0)</f>
        <v>Gogi House Đại lộ Võ Nguyên GiápAeon Mall Hải DươngĐại lộ Võ Nguyên Giáp, Thạch Khôi, Hải Dương, Hải Dương</v>
      </c>
    </row>
    <row r="201" spans="1:2" hidden="1" x14ac:dyDescent="0.35">
      <c r="A201" s="50" t="s">
        <v>500</v>
      </c>
      <c r="B201" t="str">
        <f>VLOOKUP(A201,Master!B:H,7,0)</f>
        <v>GG Phan Xich Long</v>
      </c>
    </row>
    <row r="202" spans="1:2" hidden="1" x14ac:dyDescent="0.35">
      <c r="A202" s="50" t="s">
        <v>1291</v>
      </c>
      <c r="B202" t="str">
        <f>VLOOKUP(A202,Master!B:H,7,0)</f>
        <v>SS Aeon Mall Tân Phú</v>
      </c>
    </row>
    <row r="203" spans="1:2" hidden="1" x14ac:dyDescent="0.35">
      <c r="A203" s="51" t="s">
        <v>290</v>
      </c>
      <c r="B203" t="str">
        <f>VLOOKUP(A203,Master!B:H,7,0)</f>
        <v>I Sushi Parkson ( Hòa Bình Tower)</v>
      </c>
    </row>
    <row r="204" spans="1:2" hidden="1" x14ac:dyDescent="0.35">
      <c r="A204" s="50" t="s">
        <v>371</v>
      </c>
      <c r="B204" t="str">
        <f>VLOOKUP(A204,Master!B:H,7,0)</f>
        <v>I Sushi Aeon Hà Đông</v>
      </c>
    </row>
    <row r="205" spans="1:2" x14ac:dyDescent="0.35">
      <c r="A205" s="51" t="s">
        <v>3462</v>
      </c>
      <c r="B205" t="str">
        <f>VLOOKUP(A205,Master!B:H,7,0)</f>
        <v>Isushi 90 Trần Thái Tông90 Trần Thái Tông, Dịch Vọng Hậu, Cầu Giấy, Hà Nội</v>
      </c>
    </row>
    <row r="206" spans="1:2" x14ac:dyDescent="0.35">
      <c r="A206" s="50" t="s">
        <v>6455</v>
      </c>
      <c r="B206" t="str">
        <f>VLOOKUP(A206,Master!B:H,7,0)</f>
        <v>Isushi đường 2/9, Hải Châu, Đà Nẵng</v>
      </c>
    </row>
    <row r="207" spans="1:2" hidden="1" x14ac:dyDescent="0.35">
      <c r="A207" s="51" t="s">
        <v>250</v>
      </c>
      <c r="B207" t="str">
        <f>VLOOKUP(A207,Master!B:H,7,0)</f>
        <v>I Sushi Hoàng Đạo Thúy</v>
      </c>
    </row>
    <row r="208" spans="1:2" hidden="1" x14ac:dyDescent="0.35">
      <c r="A208" s="50" t="s">
        <v>2296</v>
      </c>
      <c r="B208" t="str">
        <f>VLOOKUP(A208,Master!B:H,7,0)</f>
        <v>Aeon Mall Hạ Long</v>
      </c>
    </row>
    <row r="209" spans="1:2" hidden="1" x14ac:dyDescent="0.35">
      <c r="A209" s="51" t="s">
        <v>1361</v>
      </c>
      <c r="B209" t="str">
        <f>VLOOKUP(A209,Master!B:H,7,0)</f>
        <v>Isushi Phan Đình Phùng</v>
      </c>
    </row>
    <row r="210" spans="1:2" hidden="1" x14ac:dyDescent="0.35">
      <c r="A210" s="50" t="s">
        <v>2158</v>
      </c>
      <c r="B210" t="str">
        <f>VLOOKUP(A210,Master!B:H,7,0)</f>
        <v>KK HN Centre NTH</v>
      </c>
    </row>
    <row r="211" spans="1:2" hidden="1" x14ac:dyDescent="0.35">
      <c r="A211" s="51" t="s">
        <v>2247</v>
      </c>
      <c r="B211" t="str">
        <f>VLOOKUP(A211,Master!B:H,7,0)</f>
        <v>AEON Đà Nẵng</v>
      </c>
    </row>
    <row r="212" spans="1:2" hidden="1" x14ac:dyDescent="0.35">
      <c r="A212" s="50" t="s">
        <v>440</v>
      </c>
      <c r="B212" t="str">
        <f>VLOOKUP(A212,Master!B:H,7,0)</f>
        <v>KK VC Trần Duy Hưng</v>
      </c>
    </row>
    <row r="213" spans="1:2" hidden="1" x14ac:dyDescent="0.35">
      <c r="A213" s="51" t="s">
        <v>450</v>
      </c>
      <c r="B213" t="str">
        <f>VLOOKUP(A213,Master!B:H,7,0)</f>
        <v>KK VC Dong Khoi</v>
      </c>
    </row>
    <row r="214" spans="1:2" hidden="1" x14ac:dyDescent="0.35">
      <c r="A214" s="50" t="s">
        <v>448</v>
      </c>
      <c r="B214" t="str">
        <f>VLOOKUP(A214,Master!B:H,7,0)</f>
        <v>KK Phu My Hung</v>
      </c>
    </row>
    <row r="215" spans="1:2" hidden="1" x14ac:dyDescent="0.35">
      <c r="A215" s="51" t="s">
        <v>488</v>
      </c>
      <c r="B215" t="str">
        <f>VLOOKUP(A215,Master!B:H,7,0)</f>
        <v>KK Nguyen Son</v>
      </c>
    </row>
    <row r="216" spans="1:2" hidden="1" x14ac:dyDescent="0.35">
      <c r="A216" s="50" t="s">
        <v>645</v>
      </c>
      <c r="B216" t="str">
        <f>VLOOKUP(A216,Master!B:H,7,0)</f>
        <v>KK VC Nguyen Xi</v>
      </c>
    </row>
    <row r="217" spans="1:2" hidden="1" x14ac:dyDescent="0.35">
      <c r="A217" s="51" t="s">
        <v>454</v>
      </c>
      <c r="B217" t="str">
        <f>VLOOKUP(A217,Master!B:H,7,0)</f>
        <v>KK Cao Thang</v>
      </c>
    </row>
    <row r="218" spans="1:2" hidden="1" x14ac:dyDescent="0.35">
      <c r="A218" s="50" t="s">
        <v>918</v>
      </c>
      <c r="B218" t="str">
        <f>VLOOKUP(A218,Master!B:H,7,0)</f>
        <v>KK Tay Ninh</v>
      </c>
    </row>
    <row r="219" spans="1:2" hidden="1" x14ac:dyDescent="0.35">
      <c r="A219" s="51" t="s">
        <v>1707</v>
      </c>
      <c r="B219" t="str">
        <f>VLOOKUP(A219,Master!B:H,7,0)</f>
        <v>KK Aeon Huế</v>
      </c>
    </row>
    <row r="220" spans="1:2" hidden="1" x14ac:dyDescent="0.35">
      <c r="A220" s="50" t="s">
        <v>943</v>
      </c>
      <c r="B220" t="str">
        <f>VLOOKUP(A220,Master!B:H,7,0)</f>
        <v>KK Nguyen Duy Trinh</v>
      </c>
    </row>
    <row r="221" spans="1:2" hidden="1" x14ac:dyDescent="0.35">
      <c r="A221" s="51" t="s">
        <v>553</v>
      </c>
      <c r="B221" t="str">
        <f>VLOOKUP(A221,Master!B:H,7,0)</f>
        <v>KK VC Long Xuyen ANG</v>
      </c>
    </row>
    <row r="222" spans="1:2" hidden="1" x14ac:dyDescent="0.35">
      <c r="A222" s="50" t="s">
        <v>1026</v>
      </c>
      <c r="B222" t="str">
        <f>VLOOKUP(A222,Master!B:H,7,0)</f>
        <v>Kichi Kichi Mỹ Tho</v>
      </c>
    </row>
    <row r="223" spans="1:2" hidden="1" x14ac:dyDescent="0.35">
      <c r="A223" s="51" t="s">
        <v>677</v>
      </c>
      <c r="B223" t="str">
        <f>VLOOKUP(A223,Master!B:H,7,0)</f>
        <v>KK Go Dau BDU</v>
      </c>
    </row>
    <row r="224" spans="1:2" hidden="1" x14ac:dyDescent="0.35">
      <c r="A224" s="50" t="s">
        <v>1139</v>
      </c>
      <c r="B224" t="str">
        <f>VLOOKUP(A224,Master!B:H,7,0)</f>
        <v>KK Tan Son Nhi</v>
      </c>
    </row>
    <row r="225" spans="1:2" hidden="1" x14ac:dyDescent="0.35">
      <c r="A225" s="51" t="s">
        <v>769</v>
      </c>
      <c r="B225" t="str">
        <f>VLOOKUP(A225,Master!B:H,7,0)</f>
        <v>KK Nguyen Anh Thu HT</v>
      </c>
    </row>
    <row r="226" spans="1:2" hidden="1" x14ac:dyDescent="0.35">
      <c r="A226" s="50" t="s">
        <v>859</v>
      </c>
      <c r="B226" t="str">
        <f>VLOOKUP(A226,Master!B:H,7,0)</f>
        <v>KK Phan Thiet</v>
      </c>
    </row>
    <row r="227" spans="1:2" hidden="1" x14ac:dyDescent="0.35">
      <c r="A227" s="51" t="s">
        <v>1285</v>
      </c>
      <c r="B227" t="str">
        <f>VLOOKUP(A227,Master!B:H,7,0)</f>
        <v>Kichi Kichi Nguyễn Thị Thập</v>
      </c>
    </row>
    <row r="228" spans="1:2" hidden="1" x14ac:dyDescent="0.35">
      <c r="A228" s="50" t="s">
        <v>920</v>
      </c>
      <c r="B228" t="str">
        <f>VLOOKUP(A228,Master!B:H,7,0)</f>
        <v>KK BigC TDM</v>
      </c>
    </row>
    <row r="229" spans="1:2" hidden="1" x14ac:dyDescent="0.35">
      <c r="A229" s="51" t="s">
        <v>643</v>
      </c>
      <c r="B229" t="str">
        <f>VLOOKUP(A229,Master!B:H,7,0)</f>
        <v>KK Nguyen Van Linh DAN</v>
      </c>
    </row>
    <row r="230" spans="1:2" hidden="1" x14ac:dyDescent="0.35">
      <c r="A230" s="50" t="s">
        <v>821</v>
      </c>
      <c r="B230" t="str">
        <f>VLOOKUP(A230,Master!B:H,7,0)</f>
        <v>Kichi Đỗ Xuân Hợp</v>
      </c>
    </row>
    <row r="231" spans="1:2" hidden="1" x14ac:dyDescent="0.35">
      <c r="A231" s="51" t="s">
        <v>477</v>
      </c>
      <c r="B231" t="str">
        <f>VLOOKUP(A231,Master!B:H,7,0)</f>
        <v>KK Nguyen Trai</v>
      </c>
    </row>
    <row r="232" spans="1:2" hidden="1" x14ac:dyDescent="0.35">
      <c r="A232" s="50" t="s">
        <v>785</v>
      </c>
      <c r="B232" t="str">
        <f>VLOOKUP(A232,Master!B:H,7,0)</f>
        <v>Kichi Trần Não</v>
      </c>
    </row>
    <row r="233" spans="1:2" hidden="1" x14ac:dyDescent="0.35">
      <c r="A233" s="51" t="s">
        <v>1386</v>
      </c>
      <c r="B233" t="str">
        <f>VLOOKUP(A233,Master!B:H,7,0)</f>
        <v>Kichi Kichi Nguyễn Văn Lạc Bình Thạnh</v>
      </c>
    </row>
    <row r="234" spans="1:2" hidden="1" x14ac:dyDescent="0.35">
      <c r="A234" s="50" t="s">
        <v>1479</v>
      </c>
      <c r="B234" t="str">
        <f>VLOOKUP(A234,Master!B:H,7,0)</f>
        <v>Kichi Kichi Đặng Văn Bi</v>
      </c>
    </row>
    <row r="235" spans="1:2" hidden="1" x14ac:dyDescent="0.35">
      <c r="A235" s="51" t="s">
        <v>1151</v>
      </c>
      <c r="B235" t="str">
        <f>VLOOKUP(A235,Master!B:H,7,0)</f>
        <v>KK Huynh Tan Phat</v>
      </c>
    </row>
    <row r="236" spans="1:2" hidden="1" x14ac:dyDescent="0.35">
      <c r="A236" s="50" t="s">
        <v>459</v>
      </c>
      <c r="B236" t="str">
        <f>VLOOKUP(A236,Master!B:H,7,0)</f>
        <v>KK Su Van Hanh</v>
      </c>
    </row>
    <row r="237" spans="1:2" hidden="1" x14ac:dyDescent="0.35">
      <c r="A237" s="50" t="s">
        <v>659</v>
      </c>
      <c r="B237" t="str">
        <f>VLOOKUP(A237,Master!B:H,7,0)</f>
        <v>KK Nguyen Hong Dao</v>
      </c>
    </row>
    <row r="238" spans="1:2" hidden="1" x14ac:dyDescent="0.35">
      <c r="A238" s="51" t="s">
        <v>867</v>
      </c>
      <c r="B238" t="str">
        <f>VLOOKUP(A238,Master!B:H,7,0)</f>
        <v>KK Phan Huy Ich</v>
      </c>
    </row>
    <row r="239" spans="1:2" hidden="1" x14ac:dyDescent="0.35">
      <c r="A239" s="50" t="s">
        <v>997</v>
      </c>
      <c r="B239" t="str">
        <f>VLOOKUP(A239,Master!B:H,7,0)</f>
        <v>Kichi Kichi Bình Phú Q6</v>
      </c>
    </row>
    <row r="240" spans="1:2" hidden="1" x14ac:dyDescent="0.35">
      <c r="A240" s="51" t="s">
        <v>1120</v>
      </c>
      <c r="B240" t="str">
        <f>VLOOKUP(A240,Master!B:H,7,0)</f>
        <v>KK Nguyen Van Qua</v>
      </c>
    </row>
    <row r="241" spans="1:2" hidden="1" x14ac:dyDescent="0.35">
      <c r="A241" s="50" t="s">
        <v>1264</v>
      </c>
      <c r="B241" t="str">
        <f>VLOOKUP(A241,Master!B:H,7,0)</f>
        <v>KK DS7 Binh Tan</v>
      </c>
    </row>
    <row r="242" spans="1:2" hidden="1" x14ac:dyDescent="0.35">
      <c r="A242" s="51" t="s">
        <v>1247</v>
      </c>
      <c r="B242" t="str">
        <f>VLOOKUP(A242,Master!B:H,7,0)</f>
        <v>Kichi Kichi Lê Thị Hà Hóc Môn</v>
      </c>
    </row>
    <row r="243" spans="1:2" hidden="1" x14ac:dyDescent="0.35">
      <c r="A243" s="50" t="s">
        <v>452</v>
      </c>
      <c r="B243" t="str">
        <f>VLOOKUP(A243,Master!B:H,7,0)</f>
        <v>KK Phan Xich Long</v>
      </c>
    </row>
    <row r="244" spans="1:2" hidden="1" x14ac:dyDescent="0.35">
      <c r="A244" s="51" t="s">
        <v>874</v>
      </c>
      <c r="B244" t="str">
        <f>VLOOKUP(A244,Master!B:H,7,0)</f>
        <v>KK Bình Định</v>
      </c>
    </row>
    <row r="245" spans="1:2" hidden="1" x14ac:dyDescent="0.35">
      <c r="A245" s="50" t="s">
        <v>516</v>
      </c>
      <c r="B245" t="str">
        <f>VLOOKUP(A245,Master!B:H,7,0)</f>
        <v>KK Aeon Tan Phu</v>
      </c>
    </row>
    <row r="246" spans="1:2" hidden="1" x14ac:dyDescent="0.35">
      <c r="A246" s="51" t="s">
        <v>591</v>
      </c>
      <c r="B246" t="str">
        <f>VLOOKUP(A246,Master!B:H,7,0)</f>
        <v>KK Aeon Binh Tan</v>
      </c>
    </row>
    <row r="247" spans="1:2" hidden="1" x14ac:dyDescent="0.35">
      <c r="A247" s="50" t="s">
        <v>363</v>
      </c>
      <c r="B247" t="str">
        <f>VLOOKUP(A247,Master!B:H,7,0)</f>
        <v>Kichi Kichi Aeon Hà Đông</v>
      </c>
    </row>
    <row r="248" spans="1:2" hidden="1" x14ac:dyDescent="0.35">
      <c r="A248" s="51" t="s">
        <v>80</v>
      </c>
      <c r="B248" t="str">
        <f>VLOOKUP(A248,Master!B:H,7,0)</f>
        <v>Kichi Kichi Royal City</v>
      </c>
    </row>
    <row r="249" spans="1:2" hidden="1" x14ac:dyDescent="0.35">
      <c r="A249" s="51" t="s">
        <v>2261</v>
      </c>
      <c r="B249" t="str">
        <f>VLOOKUP(A249,Master!B:H,7,0)</f>
        <v>Ninh Thuận</v>
      </c>
    </row>
    <row r="250" spans="1:2" hidden="1" x14ac:dyDescent="0.35">
      <c r="A250" s="50" t="s">
        <v>2255</v>
      </c>
      <c r="B250" t="str">
        <f>VLOOKUP(A250,Master!B:H,7,0)</f>
        <v>KK VC Metropolis</v>
      </c>
    </row>
    <row r="251" spans="1:2" hidden="1" x14ac:dyDescent="0.35">
      <c r="A251" s="51" t="s">
        <v>913</v>
      </c>
      <c r="B251" t="str">
        <f>VLOOKUP(A251,Master!B:H,7,0)</f>
        <v>KK Soc Trang</v>
      </c>
    </row>
    <row r="252" spans="1:2" hidden="1" x14ac:dyDescent="0.35">
      <c r="A252" s="51" t="s">
        <v>2265</v>
      </c>
      <c r="B252" t="str">
        <f>VLOOKUP(A252,Master!B:H,7,0)</f>
        <v>Văn phú</v>
      </c>
    </row>
    <row r="253" spans="1:2" hidden="1" x14ac:dyDescent="0.35">
      <c r="A253" s="50" t="s">
        <v>2259</v>
      </c>
      <c r="B253" t="str">
        <f>VLOOKUP(A253,Master!B:H,7,0)</f>
        <v>AEON Thanh Hóa</v>
      </c>
    </row>
    <row r="254" spans="1:2" hidden="1" x14ac:dyDescent="0.35">
      <c r="A254" s="51" t="s">
        <v>2239</v>
      </c>
      <c r="B254" t="str">
        <f>VLOOKUP(A254,Master!B:H,7,0)</f>
        <v>AEON Hạ Long</v>
      </c>
    </row>
    <row r="255" spans="1:2" hidden="1" x14ac:dyDescent="0.35">
      <c r="A255" s="50" t="s">
        <v>2402</v>
      </c>
      <c r="B255" t="str">
        <f>VLOOKUP(A255,Master!B:H,7,0)</f>
        <v>AEON ĐN - Mall</v>
      </c>
    </row>
    <row r="256" spans="1:2" hidden="1" x14ac:dyDescent="0.35">
      <c r="A256" s="51" t="s">
        <v>2160</v>
      </c>
      <c r="B256" t="str">
        <f>VLOOKUP(A256,Master!B:H,7,0)</f>
        <v>MW Bắc Giang</v>
      </c>
    </row>
    <row r="257" spans="1:2" x14ac:dyDescent="0.35">
      <c r="A257" s="50" t="s">
        <v>6551</v>
      </c>
      <c r="B257" t="str">
        <f>VLOOKUP(A257,Master!B:H,7,0)</f>
        <v>Manwah Grand Park Q9</v>
      </c>
    </row>
    <row r="258" spans="1:2" hidden="1" x14ac:dyDescent="0.35">
      <c r="A258" s="51" t="s">
        <v>756</v>
      </c>
      <c r="B258" t="str">
        <f>VLOOKUP(A258,Master!B:H,7,0)</f>
        <v>ManWah Đà Nẵng</v>
      </c>
    </row>
    <row r="259" spans="1:2" hidden="1" x14ac:dyDescent="0.35">
      <c r="A259" s="50" t="s">
        <v>1032</v>
      </c>
      <c r="B259" t="str">
        <f>VLOOKUP(A259,Master!B:H,7,0)</f>
        <v>Manwah Giảng Võ</v>
      </c>
    </row>
    <row r="260" spans="1:2" hidden="1" x14ac:dyDescent="0.35">
      <c r="A260" s="51" t="s">
        <v>2631</v>
      </c>
      <c r="B260" t="str">
        <f>VLOOKUP(A260,Master!B:H,7,0)</f>
        <v>Aeon Bình Tân</v>
      </c>
    </row>
    <row r="261" spans="1:2" hidden="1" x14ac:dyDescent="0.35">
      <c r="A261" s="50" t="s">
        <v>1084</v>
      </c>
      <c r="B261" t="str">
        <f>VLOOKUP(A261,Master!B:H,7,0)</f>
        <v>MW Lotte Can Tho</v>
      </c>
    </row>
    <row r="262" spans="1:2" hidden="1" x14ac:dyDescent="0.35">
      <c r="A262" s="50" t="s">
        <v>424</v>
      </c>
      <c r="B262" t="str">
        <f>VLOOKUP(A262,Master!B:H,7,0)</f>
        <v>Manwah Hà Nam</v>
      </c>
    </row>
    <row r="263" spans="1:2" x14ac:dyDescent="0.35">
      <c r="A263" s="50" t="s">
        <v>5338</v>
      </c>
      <c r="B263" t="str">
        <f>VLOOKUP(A263,Master!B:H,7,0)</f>
        <v>Manwah Aeon Mall Thanh Hóa</v>
      </c>
    </row>
    <row r="264" spans="1:2" hidden="1" x14ac:dyDescent="0.35">
      <c r="A264" s="51" t="s">
        <v>2404</v>
      </c>
      <c r="B264" t="str">
        <f>VLOOKUP(A264,Master!B:H,7,0)</f>
        <v>Aeon Hạ Long - Mall</v>
      </c>
    </row>
    <row r="265" spans="1:2" hidden="1" x14ac:dyDescent="0.35">
      <c r="A265" s="51" t="s">
        <v>1001</v>
      </c>
      <c r="B265" t="str">
        <f>VLOOKUP(A265,Master!B:H,7,0)</f>
        <v>Manwah Garden Mall</v>
      </c>
    </row>
    <row r="266" spans="1:2" hidden="1" x14ac:dyDescent="0.35">
      <c r="A266" s="50" t="s">
        <v>882</v>
      </c>
      <c r="B266" t="str">
        <f>VLOOKUP(A266,Master!B:H,7,0)</f>
        <v>Manwah Nguyễn Kim An Giang</v>
      </c>
    </row>
    <row r="267" spans="1:2" hidden="1" x14ac:dyDescent="0.35">
      <c r="A267" s="50" t="s">
        <v>318</v>
      </c>
      <c r="B267" t="str">
        <f>VLOOKUP(A267,Master!B:H,7,0)</f>
        <v>Sumo BBQ Aeonmall HimLam</v>
      </c>
    </row>
    <row r="268" spans="1:2" hidden="1" x14ac:dyDescent="0.35">
      <c r="A268" s="51" t="s">
        <v>67</v>
      </c>
      <c r="B268" t="str">
        <f>VLOOKUP(A268,Master!B:H,7,0)</f>
        <v>LC The Loop IPH</v>
      </c>
    </row>
    <row r="269" spans="1:2" hidden="1" x14ac:dyDescent="0.35">
      <c r="A269" s="50" t="s">
        <v>2653</v>
      </c>
      <c r="B269" t="str">
        <f>VLOOKUP(A269,Master!B:H,7,0)</f>
        <v>UT HCM 798 Su Van Hanh</v>
      </c>
    </row>
    <row r="270" spans="1:2" hidden="1" x14ac:dyDescent="0.35">
      <c r="A270" s="51" t="s">
        <v>1660</v>
      </c>
      <c r="B270" t="str">
        <f>VLOOKUP(A270,Master!B:H,7,0)</f>
        <v>LC Cao Thắng</v>
      </c>
    </row>
    <row r="271" spans="1:2" hidden="1" x14ac:dyDescent="0.35">
      <c r="A271" s="50" t="s">
        <v>2626</v>
      </c>
      <c r="B271" t="str">
        <f>VLOOKUP(A271,Master!B:H,7,0)</f>
        <v>YT Vạn Hạnh Mall</v>
      </c>
    </row>
    <row r="272" spans="1:2" hidden="1" x14ac:dyDescent="0.35">
      <c r="A272" s="51" t="s">
        <v>2291</v>
      </c>
      <c r="B272" t="str">
        <f>VLOOKUP(A272,Master!B:H,7,0)</f>
        <v>CD Aeon Đà Nẵng</v>
      </c>
    </row>
    <row r="273" spans="1:2" hidden="1" x14ac:dyDescent="0.35">
      <c r="A273" s="50" t="s">
        <v>1416</v>
      </c>
      <c r="B273" t="str">
        <f>VLOOKUP(A273,Master!B:H,7,0)</f>
        <v>SG Nguyễn Văn Lộc</v>
      </c>
    </row>
    <row r="274" spans="1:2" hidden="1" x14ac:dyDescent="0.35">
      <c r="A274" s="51" t="s">
        <v>1584</v>
      </c>
      <c r="B274" t="str">
        <f>VLOOKUP(A274,Master!B:H,7,0)</f>
        <v>IP Thái Phiên</v>
      </c>
    </row>
    <row r="275" spans="1:2" hidden="1" x14ac:dyDescent="0.35">
      <c r="A275" s="50" t="s">
        <v>114</v>
      </c>
      <c r="B275" t="str">
        <f>VLOOKUP(A275,Master!B:H,7,0)</f>
        <v>Vuvuzela Nguyễn Trãi</v>
      </c>
    </row>
    <row r="276" spans="1:2" hidden="1" x14ac:dyDescent="0.35">
      <c r="A276" s="51" t="s">
        <v>2178</v>
      </c>
      <c r="B276" t="str">
        <f>VLOOKUP(A276,Master!B:H,7,0)</f>
        <v>YT Lotte 84 Mậu Thân</v>
      </c>
    </row>
    <row r="277" spans="1:2" hidden="1" x14ac:dyDescent="0.35">
      <c r="A277" s="50" t="s">
        <v>1607</v>
      </c>
      <c r="B277" t="str">
        <f>VLOOKUP(A277,Master!B:H,7,0)</f>
        <v>Sakura Bùi Thị Xuân</v>
      </c>
    </row>
    <row r="278" spans="1:2" hidden="1" x14ac:dyDescent="0.35">
      <c r="A278" s="51" t="s">
        <v>1605</v>
      </c>
      <c r="B278" t="str">
        <f>VLOOKUP(A278,Master!B:H,7,0)</f>
        <v>Sakura Trần Thái Tông</v>
      </c>
    </row>
    <row r="279" spans="1:2" hidden="1" x14ac:dyDescent="0.35">
      <c r="A279" s="51" t="s">
        <v>2176</v>
      </c>
      <c r="B279" t="str">
        <f>VLOOKUP(A279,Master!B:H,7,0)</f>
        <v>CJ Parc Mall HCM</v>
      </c>
    </row>
    <row r="280" spans="1:2" x14ac:dyDescent="0.35">
      <c r="A280" s="50" t="s">
        <v>6589</v>
      </c>
      <c r="B280" t="e">
        <f>VLOOKUP(A280,Master!B:H,7,0)</f>
        <v>#N/A</v>
      </c>
    </row>
    <row r="281" spans="1:2" x14ac:dyDescent="0.35">
      <c r="A281" s="50" t="s">
        <v>6593</v>
      </c>
      <c r="B281" t="e">
        <f>VLOOKUP(A281,Master!B:H,7,0)</f>
        <v>#N/A</v>
      </c>
    </row>
    <row r="282" spans="1:2" hidden="1" x14ac:dyDescent="0.35">
      <c r="A282" s="51" t="s">
        <v>2635</v>
      </c>
      <c r="B282" t="str">
        <f>VLOOKUP(A282,Master!B:H,7,0)</f>
        <v>TCH HNI Số 1-2 Thái Hà</v>
      </c>
    </row>
    <row r="283" spans="1:2" hidden="1" x14ac:dyDescent="0.35">
      <c r="A283" s="50" t="s">
        <v>1664</v>
      </c>
      <c r="B283" t="str">
        <f>VLOOKUP(A283,Master!B:H,7,0)</f>
        <v>CT Tô Hoa Đại Nam</v>
      </c>
    </row>
    <row r="284" spans="1:2" x14ac:dyDescent="0.35">
      <c r="A284" s="51" t="s">
        <v>5951</v>
      </c>
      <c r="B284" t="str">
        <f>VLOOKUP(A284,Master!B:H,7,0)</f>
        <v>Yutang Đà Lạt</v>
      </c>
    </row>
    <row r="285" spans="1:2" hidden="1" x14ac:dyDescent="0.35">
      <c r="A285" s="50" t="s">
        <v>930</v>
      </c>
      <c r="B285" t="str">
        <f>VLOOKUP(A285,Master!B:H,7,0)</f>
        <v>KP Phan Xich Long</v>
      </c>
    </row>
    <row r="286" spans="1:2" hidden="1" x14ac:dyDescent="0.35">
      <c r="A286" s="51" t="s">
        <v>2202</v>
      </c>
      <c r="B286" t="str">
        <f>VLOOKUP(A286,Master!B:H,7,0)</f>
        <v>Chibo Aeon Hà Đông</v>
      </c>
    </row>
    <row r="287" spans="1:2" hidden="1" x14ac:dyDescent="0.35">
      <c r="A287" s="50" t="s">
        <v>2164</v>
      </c>
      <c r="B287" t="str">
        <f>VLOOKUP(A287,Master!B:H,7,0)</f>
        <v>YT Lotte Mart Cộng Hòa</v>
      </c>
    </row>
    <row r="288" spans="1:2" hidden="1" x14ac:dyDescent="0.35">
      <c r="A288" s="51" t="s">
        <v>2456</v>
      </c>
      <c r="B288" t="str">
        <f>VLOOKUP(A288,Master!B:H,7,0)</f>
        <v>Lotte Mart Gò Vấp</v>
      </c>
    </row>
    <row r="289" spans="1:2" hidden="1" x14ac:dyDescent="0.35">
      <c r="A289" s="50" t="s">
        <v>2423</v>
      </c>
      <c r="B289" t="str">
        <f>VLOOKUP(A289,Master!B:H,7,0)</f>
        <v>AS Thiso quận 2</v>
      </c>
    </row>
    <row r="290" spans="1:2" hidden="1" x14ac:dyDescent="0.35">
      <c r="A290" s="51" t="s">
        <v>2289</v>
      </c>
      <c r="B290" t="str">
        <f>VLOOKUP(A290,Master!B:H,7,0)</f>
        <v>Thiso Mall</v>
      </c>
    </row>
    <row r="291" spans="1:2" x14ac:dyDescent="0.35">
      <c r="A291" s="51" t="s">
        <v>4690</v>
      </c>
      <c r="B291" t="str">
        <f>VLOOKUP(A291,Master!B:H,7,0)</f>
        <v>SushiX 10 Mai Chí ThọThiso Mall Sala</v>
      </c>
    </row>
    <row r="292" spans="1:2" x14ac:dyDescent="0.35">
      <c r="A292" s="50" t="s">
        <v>5053</v>
      </c>
      <c r="B292" t="str">
        <f>VLOOKUP(A292,Master!B:H,7,0)</f>
        <v>Sumogoya 10 Mai Chí ThọThiso Mall Sala</v>
      </c>
    </row>
    <row r="293" spans="1:2" hidden="1" x14ac:dyDescent="0.35">
      <c r="A293" s="51" t="s">
        <v>2455</v>
      </c>
      <c r="B293" t="str">
        <f>VLOOKUP(A293,Master!B:H,7,0)</f>
        <v>Thiso Mall</v>
      </c>
    </row>
    <row r="294" spans="1:2" x14ac:dyDescent="0.35">
      <c r="A294" s="50" t="s">
        <v>4823</v>
      </c>
      <c r="B294" t="str">
        <f>VLOOKUP(A294,Master!B:H,7,0)</f>
        <v>Sumogoya Đường Nguyễn Xiển và Đường Phước ThiệnVincom Mega Mall Grand Park</v>
      </c>
    </row>
    <row r="295" spans="1:2" x14ac:dyDescent="0.35">
      <c r="A295" s="51" t="s">
        <v>4826</v>
      </c>
      <c r="B295" t="str">
        <f>VLOOKUP(A295,Master!B:H,7,0)</f>
        <v>Wow!Yakiniku Đường D2A, Khu đô thị Vinhomes Grand ParkVincom Mega Mall Grand Park</v>
      </c>
    </row>
    <row r="296" spans="1:2" hidden="1" x14ac:dyDescent="0.35">
      <c r="A296" s="50" t="s">
        <v>2435</v>
      </c>
      <c r="B296" t="str">
        <f>VLOOKUP(A296,Master!B:H,7,0)</f>
        <v>CM Vincom Thái Bình</v>
      </c>
    </row>
    <row r="297" spans="1:2" hidden="1" x14ac:dyDescent="0.35">
      <c r="A297" s="50" t="s">
        <v>2417</v>
      </c>
      <c r="B297" t="str">
        <f>VLOOKUP(A297,Master!B:H,7,0)</f>
        <v>AS Vincom Center Metropolis</v>
      </c>
    </row>
    <row r="298" spans="1:2" hidden="1" x14ac:dyDescent="0.35">
      <c r="A298" s="51" t="s">
        <v>2032</v>
      </c>
      <c r="B298" t="str">
        <f>VLOOKUP(A298,Master!B:H,7,0)</f>
        <v>CV Vạn Vạn GO Thang Long</v>
      </c>
    </row>
    <row r="299" spans="1:2" x14ac:dyDescent="0.35">
      <c r="A299" s="51" t="s">
        <v>3894</v>
      </c>
      <c r="B299" t="str">
        <f>VLOOKUP(A299,Master!B:H,7,0)</f>
        <v>Wow!Yakiniku 222 đường Trần Duy HưngGo! Thăng Long222 đường Trần Duy Hưng, Trung Hoà, Cầu Giấy, Hà Nội</v>
      </c>
    </row>
    <row r="300" spans="1:2" hidden="1" x14ac:dyDescent="0.35">
      <c r="A300" s="50" t="s">
        <v>1309</v>
      </c>
      <c r="B300" t="str">
        <f>VLOOKUP(A300,Master!B:H,7,0)</f>
        <v>UD Pizza &amp; Grill Hoàng Đạo Thúy</v>
      </c>
    </row>
    <row r="301" spans="1:2" hidden="1" x14ac:dyDescent="0.35">
      <c r="A301" s="50" t="s">
        <v>2217</v>
      </c>
      <c r="B301" t="str">
        <f>VLOOKUP(A301,Master!B:H,7,0)</f>
        <v>AS Aeon Mall Hà Đông</v>
      </c>
    </row>
    <row r="302" spans="1:2" x14ac:dyDescent="0.35">
      <c r="A302" s="51" t="s">
        <v>3589</v>
      </c>
      <c r="B302" t="str">
        <f>VLOOKUP(A302,Master!B:H,7,0)</f>
        <v>Sumogoya KĐT Văn PhúKĐT Văn Phú, Phú La, Hà Đông, Hà Nội</v>
      </c>
    </row>
    <row r="303" spans="1:2" hidden="1" x14ac:dyDescent="0.35">
      <c r="A303" s="50" t="s">
        <v>621</v>
      </c>
      <c r="B303" t="str">
        <f>VLOOKUP(A303,Master!B:H,7,0)</f>
        <v>CJ VC Xuan Khanh CTH</v>
      </c>
    </row>
    <row r="304" spans="1:2" hidden="1" x14ac:dyDescent="0.35">
      <c r="A304" s="50" t="s">
        <v>2425</v>
      </c>
      <c r="B304" t="str">
        <f>VLOOKUP(A304,Master!B:H,7,0)</f>
        <v>CM Aeon Hà Đông</v>
      </c>
    </row>
    <row r="305" spans="1:2" hidden="1" x14ac:dyDescent="0.35">
      <c r="A305" s="51" t="s">
        <v>1695</v>
      </c>
      <c r="B305" t="str">
        <f>VLOOKUP(A305,Master!B:H,7,0)</f>
        <v>CD Phan Xích Long</v>
      </c>
    </row>
    <row r="306" spans="1:2" hidden="1" x14ac:dyDescent="0.35">
      <c r="A306" s="50" t="s">
        <v>2173</v>
      </c>
      <c r="B306" t="str">
        <f>VLOOKUP(A306,Master!B:H,7,0)</f>
        <v>UP Phan Đình Phùng</v>
      </c>
    </row>
    <row r="307" spans="1:2" x14ac:dyDescent="0.35">
      <c r="A307" s="51" t="s">
        <v>4124</v>
      </c>
      <c r="B307" t="str">
        <f>VLOOKUP(A307,Master!B:H,7,0)</f>
        <v>Wow!Yakiniku 90 Trần Thái Tông</v>
      </c>
    </row>
    <row r="308" spans="1:2" hidden="1" x14ac:dyDescent="0.35">
      <c r="A308" s="50" t="s">
        <v>801</v>
      </c>
      <c r="B308" t="str">
        <f>VLOOKUP(A308,Master!B:H,7,0)</f>
        <v>CD Giga Mall Thủ Đức</v>
      </c>
    </row>
    <row r="309" spans="1:2" hidden="1" x14ac:dyDescent="0.35">
      <c r="A309" s="50" t="s">
        <v>27</v>
      </c>
      <c r="B309" t="str">
        <f>VLOOKUP(A309,Master!B:H,7,0)</f>
        <v>Ashima 2 - 182 Triệu Việt Vương</v>
      </c>
    </row>
    <row r="310" spans="1:2" hidden="1" x14ac:dyDescent="0.35">
      <c r="A310" s="51" t="s">
        <v>30</v>
      </c>
      <c r="B310" t="str">
        <f>VLOOKUP(A310,Master!B:H,7,0)</f>
        <v>Ashima 6 - 60 Giang Văn Minh</v>
      </c>
    </row>
    <row r="311" spans="1:2" hidden="1" x14ac:dyDescent="0.35">
      <c r="A311" s="50" t="s">
        <v>2036</v>
      </c>
      <c r="B311" t="str">
        <f>VLOOKUP(A311,Master!B:H,7,0)</f>
        <v>Union Pizza Bà Triệu</v>
      </c>
    </row>
    <row r="312" spans="1:2" hidden="1" x14ac:dyDescent="0.35">
      <c r="A312" s="50" t="s">
        <v>1450</v>
      </c>
      <c r="B312" t="str">
        <f>VLOOKUP(A312,Master!B:H,7,0)</f>
        <v>Wow!Yakiniku Times City</v>
      </c>
    </row>
    <row r="313" spans="1:2" x14ac:dyDescent="0.35">
      <c r="A313" s="51" t="s">
        <v>4028</v>
      </c>
      <c r="B313" t="str">
        <f>VLOOKUP(A313,Master!B:H,7,0)</f>
        <v>Wow!Yakiniku Võ Chí CôngLotte Mall West Lake HanoiVõ Chí Công, Phú Thượng, Tây Hồ, Hà Nội</v>
      </c>
    </row>
    <row r="314" spans="1:2" hidden="1" x14ac:dyDescent="0.35">
      <c r="A314" s="50" t="s">
        <v>2380</v>
      </c>
      <c r="B314" t="str">
        <f>VLOOKUP(A314,Master!B:H,7,0)</f>
        <v>MM NEW02 - Aeon Hà Đông</v>
      </c>
    </row>
    <row r="315" spans="1:2" x14ac:dyDescent="0.35">
      <c r="A315" s="51" t="s">
        <v>4198</v>
      </c>
      <c r="B315" t="str">
        <f>VLOOKUP(A315,Master!B:H,7,0)</f>
        <v>Pizza360 10 Đường Võ Nguyên GiápAeon Mall Hải Phòng Lê Chân10 Đường Võ Nguyên Giáp, Dư Hàng Kênh, Lê Chân, Hải Phòng</v>
      </c>
    </row>
    <row r="316" spans="1:2" x14ac:dyDescent="0.35">
      <c r="A316" s="50" t="s">
        <v>5940</v>
      </c>
      <c r="B316" t="str">
        <f>VLOOKUP(A316,Master!B:H,7,0)</f>
        <v xml:space="preserve">Chix Max </v>
      </c>
    </row>
    <row r="317" spans="1:2" x14ac:dyDescent="0.35">
      <c r="A317" s="50" t="s">
        <v>5950</v>
      </c>
      <c r="B317" t="str">
        <f>VLOOKUP(A317,Master!B:H,7,0)</f>
        <v>CLOUD POT BIGC ĐỒNG NAI</v>
      </c>
    </row>
    <row r="318" spans="1:2" hidden="1" x14ac:dyDescent="0.35">
      <c r="A318" s="51" t="s">
        <v>1717</v>
      </c>
      <c r="B318" t="str">
        <f>VLOOKUP(A318,Master!B:H,7,0)</f>
        <v>Ngonya Ramen Trung Hòa</v>
      </c>
    </row>
    <row r="319" spans="1:2" hidden="1" x14ac:dyDescent="0.35">
      <c r="A319" s="50" t="s">
        <v>339</v>
      </c>
      <c r="B319" t="str">
        <f>VLOOKUP(A319,Master!B:H,7,0)</f>
        <v>Yutang Bắc Ninh</v>
      </c>
    </row>
    <row r="320" spans="1:2" hidden="1" x14ac:dyDescent="0.35">
      <c r="A320" s="51" t="s">
        <v>2452</v>
      </c>
      <c r="B320" t="str">
        <f>VLOOKUP(A320,Master!B:H,7,0)</f>
        <v>Aeon Mall Bình Tân</v>
      </c>
    </row>
    <row r="321" spans="1:2" x14ac:dyDescent="0.35">
      <c r="A321" s="50" t="s">
        <v>6674</v>
      </c>
      <c r="B321" t="str">
        <f>VLOOKUP(A321,Master!B:H,7,0)</f>
        <v>Woomaster Aeon Hà Đông</v>
      </c>
    </row>
    <row r="322" spans="1:2" hidden="1" x14ac:dyDescent="0.35">
      <c r="A322" s="50" t="s">
        <v>2376</v>
      </c>
      <c r="B322" t="str">
        <f>VLOOKUP(A322,Master!B:H,7,0)</f>
        <v>GG Cái Dầu, Q. , An Giang</v>
      </c>
    </row>
    <row r="323" spans="1:2" x14ac:dyDescent="0.35">
      <c r="A323" s="51" t="s">
        <v>2726</v>
      </c>
      <c r="B323" t="str">
        <f>VLOOKUP(A323,Master!B:H,7,0)</f>
        <v>CloudPot Số 1242, Đường Trần Hưng ĐạoVincom Plaza Long XuyênSố 1242, Đường Trần Hưng Đạo, Mỹ Bình, Long Xuyên, An Giang</v>
      </c>
    </row>
    <row r="324" spans="1:2" x14ac:dyDescent="0.35">
      <c r="A324" s="50" t="s">
        <v>2748</v>
      </c>
      <c r="B324" t="str">
        <f>VLOOKUP(A324,Master!B:H,7,0)</f>
        <v>Isushi 1242 Trần Hưng ĐạoVincom Plaza Long Xuyên1242 Trần Hưng Đạo, Mỹ Bình, Long Xuyên, An Giang</v>
      </c>
    </row>
    <row r="325" spans="1:2" hidden="1" x14ac:dyDescent="0.35">
      <c r="A325" s="51" t="s">
        <v>2591</v>
      </c>
      <c r="B325" t="str">
        <f>VLOOKUP(A325,Master!B:H,7,0)</f>
        <v>Ngô Gia Tự, Hùng Vương (shop house, chân đế, mall)</v>
      </c>
    </row>
    <row r="326" spans="1:2" hidden="1" x14ac:dyDescent="0.35">
      <c r="A326" s="50" t="s">
        <v>2575</v>
      </c>
      <c r="B326" t="str">
        <f>VLOOKUP(A326,Master!B:H,7,0)</f>
        <v>Go Từ Sơn</v>
      </c>
    </row>
    <row r="327" spans="1:2" hidden="1" x14ac:dyDescent="0.35">
      <c r="A327" s="51" t="s">
        <v>2470</v>
      </c>
      <c r="B327" t="str">
        <f>VLOOKUP(A327,Master!B:H,7,0)</f>
        <v>Lý Thái Tổ (gần Vincom)</v>
      </c>
    </row>
    <row r="328" spans="1:2" x14ac:dyDescent="0.35">
      <c r="A328" s="50" t="s">
        <v>2819</v>
      </c>
      <c r="B328" t="str">
        <f>VLOOKUP(A328,Master!B:H,7,0)</f>
        <v>Kichi Kichi Tiền An, Bắc Ninh, Bắc Ninh</v>
      </c>
    </row>
    <row r="329" spans="1:2" x14ac:dyDescent="0.35">
      <c r="A329" s="50" t="s">
        <v>2836</v>
      </c>
      <c r="B329" t="str">
        <f>VLOOKUP(A329,Master!B:H,7,0)</f>
        <v>The Coffee House Nguyễn Tất Thành/Nguyễn Trãi/Lê LợiNguyễn Tất Thành/Nguyễn Trãi/Lê Lợi, Lê Lợi, Qui Nhơn, Bình Định</v>
      </c>
    </row>
    <row r="330" spans="1:2" x14ac:dyDescent="0.35">
      <c r="A330" s="51" t="s">
        <v>2848</v>
      </c>
      <c r="B330" t="str">
        <f>VLOOKUP(A330,Master!B:H,7,0)</f>
        <v>Wow!Yakiniku Thuận GiaoAeon Mall Bình Dương CanaryThuận Giao, Thuận Giao, Thuận An, Bình Dương</v>
      </c>
    </row>
    <row r="331" spans="1:2" x14ac:dyDescent="0.35">
      <c r="A331" s="50" t="s">
        <v>2867</v>
      </c>
      <c r="B331" t="str">
        <f>VLOOKUP(A331,Master!B:H,7,0)</f>
        <v>Manwah Thống NhấtThống Nhất, Đông Hòa, Dĩ An, Bình Dương</v>
      </c>
    </row>
    <row r="332" spans="1:2" hidden="1" x14ac:dyDescent="0.35">
      <c r="A332" s="51" t="s">
        <v>2145</v>
      </c>
      <c r="B332" t="str">
        <f>VLOOKUP(A332,Master!B:H,7,0)</f>
        <v>YT Bcons Thống Nhất</v>
      </c>
    </row>
    <row r="333" spans="1:2" x14ac:dyDescent="0.35">
      <c r="A333" s="50" t="s">
        <v>2887</v>
      </c>
      <c r="B333" t="str">
        <f>VLOOKUP(A333,Master!B:H,7,0)</f>
        <v>The Coffee House Đường Thống NhấtĐường Thống Nhất, Đông Hòa, Dĩ An, Bình Dương</v>
      </c>
    </row>
    <row r="334" spans="1:2" x14ac:dyDescent="0.35">
      <c r="A334" s="51" t="s">
        <v>2893</v>
      </c>
      <c r="B334" t="str">
        <f>VLOOKUP(A334,Master!B:H,7,0)</f>
        <v>Gogi House Khánh Bình, Tân Uyên, Bình Dương</v>
      </c>
    </row>
    <row r="335" spans="1:2" hidden="1" x14ac:dyDescent="0.35">
      <c r="A335" s="50" t="s">
        <v>2249</v>
      </c>
      <c r="B335" t="str">
        <f>VLOOKUP(A335,Master!B:H,7,0)</f>
        <v>Tân Uyên</v>
      </c>
    </row>
    <row r="336" spans="1:2" x14ac:dyDescent="0.35">
      <c r="A336" s="51" t="s">
        <v>2916</v>
      </c>
      <c r="B336" t="str">
        <f>VLOOKUP(A336,Master!B:H,7,0)</f>
        <v>The Coffee House Hiệp Thành, Thủ Dầu Một, Bình Dương</v>
      </c>
    </row>
    <row r="337" spans="1:2" x14ac:dyDescent="0.35">
      <c r="A337" s="50" t="s">
        <v>2925</v>
      </c>
      <c r="B337" t="str">
        <f>VLOOKUP(A337,Master!B:H,7,0)</f>
        <v>Kichi Kichi Tân Phú, Đồng Xoài, Bình Phước</v>
      </c>
    </row>
    <row r="338" spans="1:2" x14ac:dyDescent="0.35">
      <c r="A338" s="51" t="s">
        <v>2937</v>
      </c>
      <c r="B338" t="str">
        <f>VLOOKUP(A338,Master!B:H,7,0)</f>
        <v>Isushi Phường 5, Cà Mau, Cà Mau</v>
      </c>
    </row>
    <row r="339" spans="1:2" x14ac:dyDescent="0.35">
      <c r="A339" s="50" t="s">
        <v>2949</v>
      </c>
      <c r="B339" t="str">
        <f>VLOOKUP(A339,Master!B:H,7,0)</f>
        <v>Manwah Trần Hưng ĐạoTrần Hưng Đạo, Phường 5, Cà Mau, Cà Mau</v>
      </c>
    </row>
    <row r="340" spans="1:2" x14ac:dyDescent="0.35">
      <c r="A340" s="51" t="s">
        <v>2957</v>
      </c>
      <c r="B340" t="str">
        <f>VLOOKUP(A340,Master!B:H,7,0)</f>
        <v>Gogi House Châu Văn Liêm, Ô Môn, Cần Thơ</v>
      </c>
    </row>
    <row r="341" spans="1:2" hidden="1" x14ac:dyDescent="0.35">
      <c r="A341" s="50" t="s">
        <v>2328</v>
      </c>
      <c r="B341" t="str">
        <f>VLOOKUP(A341,Master!B:H,7,0)</f>
        <v>GG Aeon Cần Thơ</v>
      </c>
    </row>
    <row r="342" spans="1:2" x14ac:dyDescent="0.35">
      <c r="A342" s="50" t="s">
        <v>2994</v>
      </c>
      <c r="B342" t="str">
        <f>VLOOKUP(A342,Master!B:H,7,0)</f>
        <v>Kichi Kichi Châu Văn Liêm, Ô Môn, Cần Thơ</v>
      </c>
    </row>
    <row r="343" spans="1:2" x14ac:dyDescent="0.35">
      <c r="A343" s="51" t="s">
        <v>2999</v>
      </c>
      <c r="B343" t="str">
        <f>VLOOKUP(A343,Master!B:H,7,0)</f>
        <v>The Coffee House Điện Biên Phủ (gần Aeon mall)Điện Biên Phủ (gần Aeon mall), Chính Gián, Thanh Khê, Đà Nẵng</v>
      </c>
    </row>
    <row r="344" spans="1:2" hidden="1" x14ac:dyDescent="0.35">
      <c r="A344" s="51" t="s">
        <v>2354</v>
      </c>
      <c r="B344" t="str">
        <f>VLOOKUP(A344,Master!B:H,7,0)</f>
        <v>GG Mega market Hòa Khánh Nam</v>
      </c>
    </row>
    <row r="345" spans="1:2" hidden="1" x14ac:dyDescent="0.35">
      <c r="A345" s="50" t="s">
        <v>2300</v>
      </c>
      <c r="B345" t="str">
        <f>VLOOKUP(A345,Master!B:H,7,0)</f>
        <v>Aeon Mall Đà Nẵng</v>
      </c>
    </row>
    <row r="346" spans="1:2" hidden="1" x14ac:dyDescent="0.35">
      <c r="A346" s="51" t="s">
        <v>2326</v>
      </c>
      <c r="B346" t="str">
        <f>VLOOKUP(A346,Master!B:H,7,0)</f>
        <v>GG Nowzone  Q1</v>
      </c>
    </row>
    <row r="347" spans="1:2" hidden="1" x14ac:dyDescent="0.35">
      <c r="A347" s="50" t="s">
        <v>2245</v>
      </c>
      <c r="B347" t="str">
        <f>VLOOKUP(A347,Master!B:H,7,0)</f>
        <v>Megamall</v>
      </c>
    </row>
    <row r="348" spans="1:2" hidden="1" x14ac:dyDescent="0.35">
      <c r="A348" s="51" t="s">
        <v>2545</v>
      </c>
      <c r="B348" t="str">
        <f>VLOOKUP(A348,Master!B:H,7,0)</f>
        <v>Nguyễn Văn Linh, giao với 2 tháng 9</v>
      </c>
    </row>
    <row r="349" spans="1:2" hidden="1" x14ac:dyDescent="0.35">
      <c r="A349" s="50" t="s">
        <v>2577</v>
      </c>
      <c r="B349" t="str">
        <f>VLOOKUP(A349,Master!B:H,7,0)</f>
        <v>Lotte, Go hoặc Aeon</v>
      </c>
    </row>
    <row r="350" spans="1:2" x14ac:dyDescent="0.35">
      <c r="A350" s="50" t="s">
        <v>3079</v>
      </c>
      <c r="B350" t="str">
        <f>VLOOKUP(A350,Master!B:H,7,0)</f>
        <v>Kichi Kichi Long Thành/Long KhánhLong Thành/Long Khánh, Xuân An, Long Khánh, Đồng Nai</v>
      </c>
    </row>
    <row r="351" spans="1:2" x14ac:dyDescent="0.35">
      <c r="A351" s="51" t="s">
        <v>3093</v>
      </c>
      <c r="B351" t="str">
        <f>VLOOKUP(A351,Master!B:H,7,0)</f>
        <v>Wow!Yakiniku Thống Nhất, Biên Hòa, Đồng Nai</v>
      </c>
    </row>
    <row r="352" spans="1:2" x14ac:dyDescent="0.35">
      <c r="A352" s="50" t="s">
        <v>3102</v>
      </c>
      <c r="B352" t="str">
        <f>VLOOKUP(A352,Master!B:H,7,0)</f>
        <v>CloudPot Võ Thị SáuVõ Thị Sáu, Thống Nhất, Biên Hòa, Đồng Nai</v>
      </c>
    </row>
    <row r="353" spans="1:2" x14ac:dyDescent="0.35">
      <c r="A353" s="51" t="s">
        <v>3110</v>
      </c>
      <c r="B353" t="str">
        <f>VLOOKUP(A353,Master!B:H,7,0)</f>
        <v>The Coffee House Nguyễn Ái Quốc</v>
      </c>
    </row>
    <row r="354" spans="1:2" x14ac:dyDescent="0.35">
      <c r="A354" s="50" t="s">
        <v>3121</v>
      </c>
      <c r="B354" t="str">
        <f>VLOOKUP(A354,Master!B:H,7,0)</f>
        <v>Yutang Go Đồng Nai</v>
      </c>
    </row>
    <row r="355" spans="1:2" x14ac:dyDescent="0.35">
      <c r="A355" s="51" t="s">
        <v>3131</v>
      </c>
      <c r="B355" t="str">
        <f>VLOOKUP(A355,Master!B:H,7,0)</f>
        <v>Kichi Kichi PCC1 - 44 Triều Khúc, Thanh XuânPCC1 - 44 Triều Khúc, Thanh Xuân, Thanh Xuân Bắc, Thanh Xuân, Hà Nội</v>
      </c>
    </row>
    <row r="356" spans="1:2" x14ac:dyDescent="0.35">
      <c r="A356" s="50" t="s">
        <v>3147</v>
      </c>
      <c r="B356" t="str">
        <f>VLOOKUP(A356,Master!B:H,7,0)</f>
        <v>Dao Niu Guo Huỳnh Thúc KhángHuỳnh Thúc Kháng, Láng Hạ, Đống Đa, Hà Nội</v>
      </c>
    </row>
    <row r="357" spans="1:2" hidden="1" x14ac:dyDescent="0.35">
      <c r="A357" s="51" t="s">
        <v>2551</v>
      </c>
      <c r="B357" t="str">
        <f>VLOOKUP(A357,Master!B:H,7,0)</f>
        <v>Láng Hạ</v>
      </c>
    </row>
    <row r="358" spans="1:2" hidden="1" x14ac:dyDescent="0.35">
      <c r="A358" s="50" t="s">
        <v>2474</v>
      </c>
      <c r="B358" t="str">
        <f>VLOOKUP(A358,Master!B:H,7,0)</f>
        <v>Thái Hà, Tây Sơn, Nguyễn Lương Bằng (thay thế cho TCH Thái Hà)</v>
      </c>
    </row>
    <row r="359" spans="1:2" hidden="1" x14ac:dyDescent="0.35">
      <c r="A359" s="50" t="s">
        <v>2368</v>
      </c>
      <c r="B359" t="str">
        <f>VLOOKUP(A359,Master!B:H,7,0)</f>
        <v>GG Thanh Xuân Trung, Q. Thanh Xuân, HN</v>
      </c>
    </row>
    <row r="360" spans="1:2" x14ac:dyDescent="0.35">
      <c r="A360" s="51" t="s">
        <v>3207</v>
      </c>
      <c r="B360" t="str">
        <f>VLOOKUP(A360,Master!B:H,7,0)</f>
        <v>Sumogoya Lê Trọng Tấn/Vũ Trọng PhụngLê Trọng Tấn/Vũ Trọng Phụng, Thanh Xuân Trung, Thanh Xuân, Hà Nội</v>
      </c>
    </row>
    <row r="361" spans="1:2" hidden="1" x14ac:dyDescent="0.35">
      <c r="A361" s="50" t="s">
        <v>2547</v>
      </c>
      <c r="B361" t="str">
        <f>VLOOKUP(A361,Master!B:H,7,0)</f>
        <v>Phan Đình Phùng, Hàng Cót, Hàng Điếu, Đường Thành</v>
      </c>
    </row>
    <row r="362" spans="1:2" x14ac:dyDescent="0.35">
      <c r="A362" s="51" t="s">
        <v>3224</v>
      </c>
      <c r="B362" t="str">
        <f>VLOOKUP(A362,Master!B:H,7,0)</f>
        <v>Chix Max 175 Nguyễn Thái HọcHanoi Centre175 Nguyễn Thái Học, Giảng Võ, Ba Đình, Hà Nội</v>
      </c>
    </row>
    <row r="363" spans="1:2" x14ac:dyDescent="0.35">
      <c r="A363" s="50" t="s">
        <v>3242</v>
      </c>
      <c r="B363" t="str">
        <f>VLOOKUP(A363,Master!B:H,7,0)</f>
        <v>CloudPot Nguyễn Thái HọcHanoi CentreNguyễn Thái Học, Ô Chợ Dừa, Đống Đa, Hà Nội</v>
      </c>
    </row>
    <row r="364" spans="1:2" x14ac:dyDescent="0.35">
      <c r="A364" s="51" t="s">
        <v>3254</v>
      </c>
      <c r="B364" t="str">
        <f>VLOOKUP(A364,Master!B:H,7,0)</f>
        <v>Crystal Jade 175 Nguyễn Thái HọcHanoi Centre175 Nguyễn Thái Học, Ô Chợ Dừa, Đống Đa, Hà Nội</v>
      </c>
    </row>
    <row r="365" spans="1:2" x14ac:dyDescent="0.35">
      <c r="A365" s="50" t="s">
        <v>3260</v>
      </c>
      <c r="B365" t="str">
        <f>VLOOKUP(A365,Master!B:H,7,0)</f>
        <v>Sumogoya 175 Phố Nguyễn Thái HọcHanoi Centre175 Phố Nguyễn Thái Học, Giảng Võ, Ba Đình, Hà Nội</v>
      </c>
    </row>
    <row r="366" spans="1:2" x14ac:dyDescent="0.35">
      <c r="A366" s="51" t="s">
        <v>3267</v>
      </c>
      <c r="B366" t="str">
        <f>VLOOKUP(A366,Master!B:H,7,0)</f>
        <v>Gogi House 280 Trần PhúBao Loc Center</v>
      </c>
    </row>
    <row r="367" spans="1:2" x14ac:dyDescent="0.35">
      <c r="A367" s="50" t="s">
        <v>3281</v>
      </c>
      <c r="B367" t="str">
        <f>VLOOKUP(A367,Master!B:H,7,0)</f>
        <v>Ngonya Linh Lang/Phan Kế Bính/Kim Mã ThượngLinh Lang/Phan Kế Bính/Kim Mã Thượng, Cống Vị, Ba Đình, Hà Nội</v>
      </c>
    </row>
    <row r="368" spans="1:2" hidden="1" x14ac:dyDescent="0.35">
      <c r="A368" s="51" t="s">
        <v>2390</v>
      </c>
      <c r="B368" t="str">
        <f>VLOOKUP(A368,Master!B:H,7,0)</f>
        <v>SG Linh Lang</v>
      </c>
    </row>
    <row r="369" spans="1:2" hidden="1" x14ac:dyDescent="0.35">
      <c r="A369" s="50" t="s">
        <v>2549</v>
      </c>
      <c r="B369" t="str">
        <f>VLOOKUP(A369,Master!B:H,7,0)</f>
        <v>Vincom Nguyễn Chí Thanh (trệt)</v>
      </c>
    </row>
    <row r="370" spans="1:2" hidden="1" x14ac:dyDescent="0.35">
      <c r="A370" s="51" t="s">
        <v>2271</v>
      </c>
      <c r="B370" t="str">
        <f>VLOOKUP(A370,Master!B:H,7,0)</f>
        <v>Hà Thành Plaza</v>
      </c>
    </row>
    <row r="371" spans="1:2" x14ac:dyDescent="0.35">
      <c r="A371" s="50" t="s">
        <v>3326</v>
      </c>
      <c r="B371" t="str">
        <f>VLOOKUP(A371,Master!B:H,7,0)</f>
        <v>Universal Tea 2 Đường Phạm Ngọc ThạchVincom Center Phạm Ngọc Thạch2 Đường Phạm Ngọc Thạch, Trung Tự, Đống Đa, Hà Nội</v>
      </c>
    </row>
    <row r="372" spans="1:2" x14ac:dyDescent="0.35">
      <c r="A372" s="50" t="s">
        <v>3346</v>
      </c>
      <c r="B372" t="str">
        <f>VLOOKUP(A372,Master!B:H,7,0)</f>
        <v>Gogi House Ngọc KhánhNgọc Khánh, Giảng Võ, Ba Đình, Hà Nội</v>
      </c>
    </row>
    <row r="373" spans="1:2" x14ac:dyDescent="0.35">
      <c r="A373" s="51" t="s">
        <v>3352</v>
      </c>
      <c r="B373" t="str">
        <f>VLOOKUP(A373,Master!B:H,7,0)</f>
        <v>Universal Tea Nguyễn Văn LộcNguyễn Văn Lộc, Mộ Lao, Hà Đông, Hà Nội</v>
      </c>
    </row>
    <row r="374" spans="1:2" x14ac:dyDescent="0.35">
      <c r="A374" s="50" t="s">
        <v>3366</v>
      </c>
      <c r="B374" t="str">
        <f>VLOOKUP(A374,Master!B:H,7,0)</f>
        <v>Sumogoya Tô Hiến Thành/Ngô Thì NhậmTô Hiến Thành/Ngô Thì Nhậm, Phạm Đình Hổ, Hai Bà Trưng, Hà Nội</v>
      </c>
    </row>
    <row r="375" spans="1:2" hidden="1" x14ac:dyDescent="0.35">
      <c r="A375" s="51" t="s">
        <v>2269</v>
      </c>
      <c r="B375" t="str">
        <f>VLOOKUP(A375,Master!B:H,7,0)</f>
        <v>Yên Hòa Sunshine</v>
      </c>
    </row>
    <row r="376" spans="1:2" hidden="1" x14ac:dyDescent="0.35">
      <c r="A376" s="50" t="s">
        <v>2472</v>
      </c>
      <c r="B376" t="str">
        <f>VLOOKUP(A376,Master!B:H,7,0)</f>
        <v>Vương Thừa Vũ (shop house hoặc chân đế gần VP GGG)</v>
      </c>
    </row>
    <row r="377" spans="1:2" x14ac:dyDescent="0.35">
      <c r="A377" s="51" t="s">
        <v>3396</v>
      </c>
      <c r="B377" t="str">
        <f>VLOOKUP(A377,Master!B:H,7,0)</f>
        <v>Man Tang Guo 175 Nguyễn Thái HọcHanoi Centre175 Nguyễn Thái Học, Cát Linh, Đống Đa, Hà Nội</v>
      </c>
    </row>
    <row r="378" spans="1:2" x14ac:dyDescent="0.35">
      <c r="A378" s="50" t="s">
        <v>3408</v>
      </c>
      <c r="B378" t="str">
        <f>VLOOKUP(A378,Master!B:H,7,0)</f>
        <v>Shogun 175 Phố Nguyễn Thái HọcHanoi Centre175 Phố Nguyễn Thái Học, Cát Linh, Đống Đa, Hà Nội</v>
      </c>
    </row>
    <row r="379" spans="1:2" x14ac:dyDescent="0.35">
      <c r="A379" s="51" t="s">
        <v>3414</v>
      </c>
      <c r="B379" t="str">
        <f>VLOOKUP(A379,Master!B:H,7,0)</f>
        <v>Mama's Bakery Bách - Kinh - XâyBách - Kinh - Xây, Bách Khoa, Hai Bà Trưng, Hà Nội</v>
      </c>
    </row>
    <row r="380" spans="1:2" x14ac:dyDescent="0.35">
      <c r="A380" s="50" t="s">
        <v>3428</v>
      </c>
      <c r="B380" t="str">
        <f>VLOOKUP(A380,Master!B:H,7,0)</f>
        <v>Universal Tea Bách Khoa, Hai Bà Trưng, Hà Nội</v>
      </c>
    </row>
    <row r="381" spans="1:2" hidden="1" x14ac:dyDescent="0.35">
      <c r="A381" s="51" t="s">
        <v>2392</v>
      </c>
      <c r="B381" t="str">
        <f>VLOOKUP(A381,Master!B:H,7,0)</f>
        <v>Nguyễn Chí Thanh</v>
      </c>
    </row>
    <row r="382" spans="1:2" x14ac:dyDescent="0.35">
      <c r="A382" s="50" t="s">
        <v>3449</v>
      </c>
      <c r="B382" t="str">
        <f>VLOOKUP(A382,Master!B:H,7,0)</f>
        <v>Chibo Nguyễn Hữu HuânNguyễn Hữu Huân, Lý Thái Tổ, Hoàn Kiếm, Hà Nội</v>
      </c>
    </row>
    <row r="383" spans="1:2" x14ac:dyDescent="0.35">
      <c r="A383" s="50" t="s">
        <v>3473</v>
      </c>
      <c r="B383" t="str">
        <f>VLOOKUP(A383,Master!B:H,7,0)</f>
        <v>Sumogoya 241 Đường Xuân ThủyIndochina Plaza Hanoi241 Đường Xuân Thủy, Dịch Vọng Hậu, Cầu Giấy, Hà Nội</v>
      </c>
    </row>
    <row r="384" spans="1:2" x14ac:dyDescent="0.35">
      <c r="A384" s="51" t="s">
        <v>3481</v>
      </c>
      <c r="B384" t="str">
        <f>VLOOKUP(A384,Master!B:H,7,0)</f>
        <v>Universal Tea Dịch Vọng Hậu, Cầu Giấy, Hà Nội</v>
      </c>
    </row>
    <row r="385" spans="1:2" hidden="1" x14ac:dyDescent="0.35">
      <c r="A385" s="50" t="s">
        <v>2267</v>
      </c>
      <c r="B385" t="str">
        <f>VLOOKUP(A385,Master!B:H,7,0)</f>
        <v>Bắc Hà</v>
      </c>
    </row>
    <row r="386" spans="1:2" x14ac:dyDescent="0.35">
      <c r="A386" s="51" t="s">
        <v>3495</v>
      </c>
      <c r="B386" t="str">
        <f>VLOOKUP(A386,Master!B:H,7,0)</f>
        <v>Universal Tea Lê Đức ThọThe Zei Lê Đức ThọLê Đức Thọ, Mai Dịch, Cầu Giấy, Hà Nội</v>
      </c>
    </row>
    <row r="387" spans="1:2" x14ac:dyDescent="0.35">
      <c r="A387" s="50" t="s">
        <v>3502</v>
      </c>
      <c r="B387" t="str">
        <f>VLOOKUP(A387,Master!B:H,7,0)</f>
        <v>Gogi House Hồ Tùng MậuHồ Tùng Mậu, Phú Diễn, Bắc Từ Liêm, Hà Nội</v>
      </c>
    </row>
    <row r="388" spans="1:2" hidden="1" x14ac:dyDescent="0.35">
      <c r="A388" s="51" t="s">
        <v>2593</v>
      </c>
      <c r="B388" t="str">
        <f>VLOOKUP(A388,Master!B:H,7,0)</f>
        <v>Nguyễn Cơ Thạch, Hàm Nghi, Vincom Gardenia</v>
      </c>
    </row>
    <row r="389" spans="1:2" hidden="1" x14ac:dyDescent="0.35">
      <c r="A389" s="50" t="s">
        <v>2298</v>
      </c>
      <c r="B389" t="str">
        <f>VLOOKUP(A389,Master!B:H,7,0)</f>
        <v>Hoàn Kiếm</v>
      </c>
    </row>
    <row r="390" spans="1:2" x14ac:dyDescent="0.35">
      <c r="A390" s="51" t="s">
        <v>3535</v>
      </c>
      <c r="B390" t="str">
        <f>VLOOKUP(A390,Master!B:H,7,0)</f>
        <v>Gogi House Hồ Linh Đàm, Nguyễn Cảnh DịHồ Linh Đàm, Nguyễn Cảnh Dị, Hoàng Liệt, Hoàng Mai, Hà Nội</v>
      </c>
    </row>
    <row r="391" spans="1:2" x14ac:dyDescent="0.35">
      <c r="A391" s="50" t="s">
        <v>3547</v>
      </c>
      <c r="B391" t="str">
        <f>VLOOKUP(A391,Master!B:H,7,0)</f>
        <v>Sumogoya Linh Đàm: Văn TânLinh Đàm: Văn Tân, Hoàng Liệt, Hoàng Mai, Hà Nội</v>
      </c>
    </row>
    <row r="392" spans="1:2" hidden="1" x14ac:dyDescent="0.35">
      <c r="A392" s="51" t="s">
        <v>2457</v>
      </c>
      <c r="B392" t="str">
        <f>VLOOKUP(A392,Master!B:H,7,0)</f>
        <v>Linh Đàm Hoàng Mai HN</v>
      </c>
    </row>
    <row r="393" spans="1:2" x14ac:dyDescent="0.35">
      <c r="A393" s="50" t="s">
        <v>3557</v>
      </c>
      <c r="B393" t="str">
        <f>VLOOKUP(A393,Master!B:H,7,0)</f>
        <v>Shogun Trích SàiTrích Sài, Bưởi, Tây Hồ, Hà Nội</v>
      </c>
    </row>
    <row r="394" spans="1:2" hidden="1" x14ac:dyDescent="0.35">
      <c r="A394" s="51" t="s">
        <v>2364</v>
      </c>
      <c r="B394" t="str">
        <f>VLOOKUP(A394,Master!B:H,7,0)</f>
        <v>GG Mỹ Đình 1, Q. Nam Từ Liêm, HN</v>
      </c>
    </row>
    <row r="395" spans="1:2" hidden="1" x14ac:dyDescent="0.35">
      <c r="A395" s="50" t="s">
        <v>2396</v>
      </c>
      <c r="B395" t="str">
        <f>VLOOKUP(A395,Master!B:H,7,0)</f>
        <v>Lê Đức Thọ/ Hàm nghi</v>
      </c>
    </row>
    <row r="396" spans="1:2" x14ac:dyDescent="0.35">
      <c r="A396" s="51" t="s">
        <v>3607</v>
      </c>
      <c r="B396" t="str">
        <f>VLOOKUP(A396,Master!B:H,7,0)</f>
        <v>Universal Tea Mễ TrìMễ Trì, Mỹ Đình 1, Nam Từ Liêm, Hà Nội</v>
      </c>
    </row>
    <row r="397" spans="1:2" hidden="1" x14ac:dyDescent="0.35">
      <c r="A397" s="50" t="s">
        <v>2595</v>
      </c>
      <c r="B397" t="str">
        <f>VLOOKUP(A397,Master!B:H,7,0)</f>
        <v xml:space="preserve">The Garden </v>
      </c>
    </row>
    <row r="398" spans="1:2" hidden="1" x14ac:dyDescent="0.35">
      <c r="A398" s="51" t="s">
        <v>2609</v>
      </c>
      <c r="B398" t="str">
        <f>VLOOKUP(A398,Master!B:H,7,0)</f>
        <v>16 Phạm Hùng</v>
      </c>
    </row>
    <row r="399" spans="1:2" x14ac:dyDescent="0.35">
      <c r="A399" s="51" t="s">
        <v>3630</v>
      </c>
      <c r="B399" t="str">
        <f>VLOOKUP(A399,Master!B:H,7,0)</f>
        <v>Ngonya Thi SáchThi Sách, Phạm Đình Hổ, Hai Bà Trưng, Hà Nội</v>
      </c>
    </row>
    <row r="400" spans="1:2" x14ac:dyDescent="0.35">
      <c r="A400" s="50" t="s">
        <v>3634</v>
      </c>
      <c r="B400" t="str">
        <f>VLOOKUP(A400,Master!B:H,7,0)</f>
        <v>Sumogoya Hai Bà TrưngHai Bà Trưng, Tràng Tiền, Hoàn Kiếm, Hà Nội</v>
      </c>
    </row>
    <row r="401" spans="1:2" hidden="1" x14ac:dyDescent="0.35">
      <c r="A401" s="51" t="s">
        <v>2561</v>
      </c>
      <c r="B401" t="str">
        <f>VLOOKUP(A401,Master!B:H,7,0)</f>
        <v>Nguyễn Trường Tộ, Cửa Bắc, Quan Thánh</v>
      </c>
    </row>
    <row r="402" spans="1:2" hidden="1" x14ac:dyDescent="0.35">
      <c r="A402" s="51" t="s">
        <v>2496</v>
      </c>
      <c r="B402" t="str">
        <f>VLOOKUP(A402,Master!B:H,7,0)</f>
        <v>Khu ngoại giao đoàn (chân đế tòa nhà kv ngã tư Hoàng Minh Thảo - Xuân Tảo)</v>
      </c>
    </row>
    <row r="403" spans="1:2" hidden="1" x14ac:dyDescent="0.35">
      <c r="A403" s="50" t="s">
        <v>2366</v>
      </c>
      <c r="B403" t="str">
        <f>VLOOKUP(A403,Master!B:H,7,0)</f>
        <v>GG Mễ Trì, Q. Nam Từ Liêm, HN</v>
      </c>
    </row>
    <row r="404" spans="1:2" hidden="1" x14ac:dyDescent="0.35">
      <c r="A404" s="51" t="s">
        <v>2563</v>
      </c>
      <c r="B404" t="str">
        <f>VLOOKUP(A404,Master!B:H,7,0)</f>
        <v>Mễ Trì</v>
      </c>
    </row>
    <row r="405" spans="1:2" hidden="1" x14ac:dyDescent="0.35">
      <c r="A405" s="50" t="s">
        <v>2565</v>
      </c>
      <c r="B405" t="str">
        <f>VLOOKUP(A405,Master!B:H,7,0)</f>
        <v>Phạm Hùng</v>
      </c>
    </row>
    <row r="406" spans="1:2" hidden="1" x14ac:dyDescent="0.35">
      <c r="A406" s="51" t="s">
        <v>2356</v>
      </c>
      <c r="B406" t="str">
        <f>VLOOKUP(A406,Master!B:H,7,0)</f>
        <v>GG Aeon Mỹ Tho</v>
      </c>
    </row>
    <row r="407" spans="1:2" x14ac:dyDescent="0.35">
      <c r="A407" s="50" t="s">
        <v>3697</v>
      </c>
      <c r="B407" t="str">
        <f>VLOOKUP(A407,Master!B:H,7,0)</f>
        <v>Kichi Kichi Tòa Roma Plaza Tố HữuTòa Roma Plaza Tố Hữu, Đại Mỗ, Nam Từ Liêm, Hà Nội</v>
      </c>
    </row>
    <row r="408" spans="1:2" x14ac:dyDescent="0.35">
      <c r="A408" s="51" t="s">
        <v>3708</v>
      </c>
      <c r="B408" t="str">
        <f>VLOOKUP(A408,Master!B:H,7,0)</f>
        <v>Manwah Lê Trọng TấnLê Trọng Tấn, An Khánh, Hoài Đức, Hà Nội</v>
      </c>
    </row>
    <row r="409" spans="1:2" hidden="1" x14ac:dyDescent="0.35">
      <c r="A409" s="51" t="s">
        <v>2293</v>
      </c>
      <c r="B409" t="str">
        <f>VLOOKUP(A409,Master!B:H,7,0)</f>
        <v>Aeon Mall Hà Đông</v>
      </c>
    </row>
    <row r="410" spans="1:2" x14ac:dyDescent="0.35">
      <c r="A410" s="50" t="s">
        <v>3739</v>
      </c>
      <c r="B410" t="str">
        <f>VLOOKUP(A410,Master!B:H,7,0)</f>
        <v>Union Pizza Hoàng Văn ThụAeon Mall Hà ĐôngHoàng Văn Thụ, Dương Nội, Hà Đông, Hà Nội</v>
      </c>
    </row>
    <row r="411" spans="1:2" x14ac:dyDescent="0.35">
      <c r="A411" s="51" t="s">
        <v>3744</v>
      </c>
      <c r="B411" t="str">
        <f>VLOOKUP(A411,Master!B:H,7,0)</f>
        <v>Kichi Kichi Khu đô thị Vinhomes Smart CityVincom Mega Mall Smart CityKhu đô thị Vinhomes Smart City, Tây Mỗ, Nam Từ Liêm, Hà Nội</v>
      </c>
    </row>
    <row r="412" spans="1:2" x14ac:dyDescent="0.35">
      <c r="A412" s="50" t="s">
        <v>3756</v>
      </c>
      <c r="B412" t="str">
        <f>VLOOKUP(A412,Master!B:H,7,0)</f>
        <v>Gogi House Trâu Quỳ, Gia Lâm, Hà Nội</v>
      </c>
    </row>
    <row r="413" spans="1:2" x14ac:dyDescent="0.35">
      <c r="A413" s="51" t="s">
        <v>3768</v>
      </c>
      <c r="B413" t="str">
        <f>VLOOKUP(A413,Master!B:H,7,0)</f>
        <v>Kichi Kichi Trâu Quỳ, Gia Lâm, Hà Nội</v>
      </c>
    </row>
    <row r="414" spans="1:2" x14ac:dyDescent="0.35">
      <c r="A414" s="50" t="s">
        <v>3771</v>
      </c>
      <c r="B414" t="str">
        <f>VLOOKUP(A414,Master!B:H,7,0)</f>
        <v>Shogun Trâu Quỳ, Gia Lâm, Hà Nội</v>
      </c>
    </row>
    <row r="415" spans="1:2" x14ac:dyDescent="0.35">
      <c r="A415" s="51" t="s">
        <v>3774</v>
      </c>
      <c r="B415" t="str">
        <f>VLOOKUP(A415,Master!B:H,7,0)</f>
        <v>The Coffee House Vinhom Ocean Park 1Vinhom Ocean Park 1, Trâu Quỳ, Gia Lâm, Hà Nội</v>
      </c>
    </row>
    <row r="416" spans="1:2" x14ac:dyDescent="0.35">
      <c r="A416" s="50" t="s">
        <v>3780</v>
      </c>
      <c r="B416" t="str">
        <f>VLOOKUP(A416,Master!B:H,7,0)</f>
        <v>Union Pizza Số 27, Đường Cổ LinhAeon Mall Long BiênSố 27, Đường Cổ Linh, Long Biên, Long Biên, Hà Nội</v>
      </c>
    </row>
    <row r="417" spans="1:2" hidden="1" x14ac:dyDescent="0.35">
      <c r="A417" s="51" t="s">
        <v>2451</v>
      </c>
      <c r="B417" t="str">
        <f>VLOOKUP(A417,Master!B:H,7,0)</f>
        <v>Aeon Long Biên</v>
      </c>
    </row>
    <row r="418" spans="1:2" hidden="1" x14ac:dyDescent="0.35">
      <c r="A418" s="50" t="s">
        <v>2382</v>
      </c>
      <c r="B418" t="str">
        <f>VLOOKUP(A418,Master!B:H,7,0)</f>
        <v>MM NEW04 - Quang Trung</v>
      </c>
    </row>
    <row r="419" spans="1:2" hidden="1" x14ac:dyDescent="0.35">
      <c r="A419" s="51" t="s">
        <v>2498</v>
      </c>
      <c r="B419" t="str">
        <f>VLOOKUP(A419,Master!B:H,7,0)</f>
        <v>131 Lê Duẩn, Trần Hưng Đạo (đối diện ga Hà Nội)</v>
      </c>
    </row>
    <row r="420" spans="1:2" x14ac:dyDescent="0.35">
      <c r="A420" s="50" t="s">
        <v>3809</v>
      </c>
      <c r="B420" t="str">
        <f>VLOOKUP(A420,Master!B:H,7,0)</f>
        <v>Kichi Kichi Yên Sở, Hoàng Mai, Hà Nội</v>
      </c>
    </row>
    <row r="421" spans="1:2" x14ac:dyDescent="0.35">
      <c r="A421" s="51" t="s">
        <v>3817</v>
      </c>
      <c r="B421" t="str">
        <f>VLOOKUP(A421,Master!B:H,7,0)</f>
        <v>Isushi 201 Phố Minh KhaiHinode City Mall201 Phố Minh Khai, Minh Khai, Hai Bà Trưng, Hà Nội</v>
      </c>
    </row>
    <row r="422" spans="1:2" hidden="1" x14ac:dyDescent="0.35">
      <c r="A422" s="50" t="s">
        <v>2611</v>
      </c>
      <c r="B422" t="str">
        <f>VLOOKUP(A422,Master!B:H,7,0)</f>
        <v xml:space="preserve">210 Minh Khai </v>
      </c>
    </row>
    <row r="423" spans="1:2" hidden="1" x14ac:dyDescent="0.35">
      <c r="A423" s="51" t="s">
        <v>2362</v>
      </c>
      <c r="B423" t="str">
        <f>VLOOKUP(A423,Master!B:H,7,0)</f>
        <v>GG Vĩnh Tuy, Q. Hai Bà Trưng, HN</v>
      </c>
    </row>
    <row r="424" spans="1:2" hidden="1" x14ac:dyDescent="0.35">
      <c r="A424" s="50" t="s">
        <v>2209</v>
      </c>
      <c r="B424" t="str">
        <f>VLOOKUP(A424,Master!B:H,7,0)</f>
        <v>UP Vĩnh Tuy</v>
      </c>
    </row>
    <row r="425" spans="1:2" x14ac:dyDescent="0.35">
      <c r="A425" s="51" t="s">
        <v>3849</v>
      </c>
      <c r="B425" t="str">
        <f>VLOOKUP(A425,Master!B:H,7,0)</f>
        <v>Universal Tea Vincom Mega Mall Times CityVĩnh Tuy, Hai Bà Trưng, Hà Nội</v>
      </c>
    </row>
    <row r="426" spans="1:2" x14ac:dyDescent="0.35">
      <c r="A426" s="50" t="s">
        <v>3854</v>
      </c>
      <c r="B426" t="str">
        <f>VLOOKUP(A426,Master!B:H,7,0)</f>
        <v>Kichi Kichi Vĩnh Tuy, Hai Bà Trưng, Hà Nội</v>
      </c>
    </row>
    <row r="427" spans="1:2" hidden="1" x14ac:dyDescent="0.35">
      <c r="A427" s="51" t="s">
        <v>2384</v>
      </c>
      <c r="B427" t="str">
        <f>VLOOKUP(A427,Master!B:H,7,0)</f>
        <v>MM NEW05 - Times City</v>
      </c>
    </row>
    <row r="428" spans="1:2" hidden="1" x14ac:dyDescent="0.35">
      <c r="A428" s="50" t="s">
        <v>2302</v>
      </c>
      <c r="B428" t="str">
        <f>VLOOKUP(A428,Master!B:H,7,0)</f>
        <v>LC Vincom Times City</v>
      </c>
    </row>
    <row r="429" spans="1:2" x14ac:dyDescent="0.35">
      <c r="A429" s="51" t="s">
        <v>3869</v>
      </c>
      <c r="B429" t="str">
        <f>VLOOKUP(A429,Master!B:H,7,0)</f>
        <v>Universal Tea 458 Đường Minh KhaiVincom Mega Mall Times City458 Đường Minh Khai, Vĩnh Tuy, Hai Bà Trưng, Hà Nội</v>
      </c>
    </row>
    <row r="430" spans="1:2" hidden="1" x14ac:dyDescent="0.35">
      <c r="A430" s="50" t="s">
        <v>2318</v>
      </c>
      <c r="B430" t="str">
        <f>VLOOKUP(A430,Master!B:H,7,0)</f>
        <v>Times City</v>
      </c>
    </row>
    <row r="431" spans="1:2" hidden="1" x14ac:dyDescent="0.35">
      <c r="A431" s="51" t="s">
        <v>2533</v>
      </c>
      <c r="B431" t="str">
        <f>VLOOKUP(A431,Master!B:H,7,0)</f>
        <v>Vincom Phạm Ngọc Thạch (trệt)</v>
      </c>
    </row>
    <row r="432" spans="1:2" x14ac:dyDescent="0.35">
      <c r="A432" s="50" t="s">
        <v>3883</v>
      </c>
      <c r="B432" t="str">
        <f>VLOOKUP(A432,Master!B:H,7,0)</f>
        <v>Universal Tea 119 Đường Trần Duy HưngVincom Center Trần Duy Hưng119 Đường Trần Duy Hưng, Trung Hoà, Cầu Giấy, Hà Nội</v>
      </c>
    </row>
    <row r="433" spans="1:2" hidden="1" x14ac:dyDescent="0.35">
      <c r="A433" s="51" t="s">
        <v>2310</v>
      </c>
      <c r="B433" t="str">
        <f>VLOOKUP(A433,Master!B:H,7,0)</f>
        <v>LC Trung Hoà (Trần Duy Hưng/Hoàng Đạo Thúy)</v>
      </c>
    </row>
    <row r="434" spans="1:2" x14ac:dyDescent="0.35">
      <c r="A434" s="50" t="s">
        <v>3908</v>
      </c>
      <c r="B434" t="str">
        <f>VLOOKUP(A434,Master!B:H,7,0)</f>
        <v>Man Tang Guo UDic Hoàng Đạo ThúyUDic Hoàng Đạo Thúy, Trung Hoà, Cầu Giấy, Hà Nội</v>
      </c>
    </row>
    <row r="435" spans="1:2" x14ac:dyDescent="0.35">
      <c r="A435" s="51" t="s">
        <v>3915</v>
      </c>
      <c r="B435" t="str">
        <f>VLOOKUP(A435,Master!B:H,7,0)</f>
        <v>Kichi Kichi Hoàng Đạo ThúyHoàng Đạo Thúy, Trung Hoà, Cầu Giấy, Hà Nội</v>
      </c>
    </row>
    <row r="436" spans="1:2" x14ac:dyDescent="0.35">
      <c r="A436" s="50" t="s">
        <v>3920</v>
      </c>
      <c r="B436" t="str">
        <f>VLOOKUP(A436,Master!B:H,7,0)</f>
        <v>Kichi Kichi Bạch Đằng, Hai Bà Trưng, Hà Nội</v>
      </c>
    </row>
    <row r="437" spans="1:2" x14ac:dyDescent="0.35">
      <c r="A437" s="51" t="s">
        <v>3945</v>
      </c>
      <c r="B437" t="str">
        <f>VLOOKUP(A437,Master!B:H,7,0)</f>
        <v>Manwah Kim Chung/Di Trạch
QL 21/ thế giới DĐKim Chung/Di Trạch
QL 21/ thế giới DĐ, Thạch Hoà, Thạch Thất, Hà Nội</v>
      </c>
    </row>
    <row r="438" spans="1:2" hidden="1" x14ac:dyDescent="0.35">
      <c r="A438" s="51" t="s">
        <v>2207</v>
      </c>
      <c r="B438" t="str">
        <f>VLOOKUP(A438,Master!B:H,7,0)</f>
        <v>Vincom Mega Mall Royal City</v>
      </c>
    </row>
    <row r="439" spans="1:2" hidden="1" x14ac:dyDescent="0.35">
      <c r="A439" s="50" t="s">
        <v>2316</v>
      </c>
      <c r="B439" t="str">
        <f>VLOOKUP(A439,Master!B:H,7,0)</f>
        <v>Royal City</v>
      </c>
    </row>
    <row r="440" spans="1:2" hidden="1" x14ac:dyDescent="0.35">
      <c r="A440" s="51" t="s">
        <v>2518</v>
      </c>
      <c r="B440" t="str">
        <f>VLOOKUP(A440,Master!B:H,7,0)</f>
        <v>72A Đường Nguyễn Trãi (Royal City, B2, khu vực FnB)</v>
      </c>
    </row>
    <row r="441" spans="1:2" x14ac:dyDescent="0.35">
      <c r="A441" s="50" t="s">
        <v>3983</v>
      </c>
      <c r="B441" t="str">
        <f>VLOOKUP(A441,Master!B:H,7,0)</f>
        <v>Man Tang Guo Huỳnh Thúc KhángHuỳnh Thúc Kháng, Thành Công, Ba Đình, Hà Nội</v>
      </c>
    </row>
    <row r="442" spans="1:2" hidden="1" x14ac:dyDescent="0.35">
      <c r="A442" s="51" t="s">
        <v>2295</v>
      </c>
      <c r="B442" t="str">
        <f>VLOOKUP(A442,Master!B:H,7,0)</f>
        <v>Lotte Mart Võ Chí Công</v>
      </c>
    </row>
    <row r="443" spans="1:2" x14ac:dyDescent="0.35">
      <c r="A443" s="50" t="s">
        <v>4004</v>
      </c>
      <c r="B443" t="str">
        <f>VLOOKUP(A443,Master!B:H,7,0)</f>
        <v>Kichi Kichi 272 Đường Võ Chí CôngLotte Mall West Lake Hanoi272 Đường Võ Chí Công, Phú Thượng, Tây Hồ, Hà Nội</v>
      </c>
    </row>
    <row r="444" spans="1:2" hidden="1" x14ac:dyDescent="0.35">
      <c r="A444" s="51" t="s">
        <v>2414</v>
      </c>
      <c r="B444" t="str">
        <f>VLOOKUP(A444,Master!B:H,7,0)</f>
        <v>Lotte Mart Võ Chí Công</v>
      </c>
    </row>
    <row r="445" spans="1:2" hidden="1" x14ac:dyDescent="0.35">
      <c r="A445" s="50" t="s">
        <v>2279</v>
      </c>
      <c r="B445" t="str">
        <f>VLOOKUP(A445,Master!B:H,7,0)</f>
        <v>Lotte Mart Võ Chí Công</v>
      </c>
    </row>
    <row r="446" spans="1:2" x14ac:dyDescent="0.35">
      <c r="A446" s="51" t="s">
        <v>4018</v>
      </c>
      <c r="B446" t="str">
        <f>VLOOKUP(A446,Master!B:H,7,0)</f>
        <v>Union Pizza Số 272, Đường Võ Chí CôngLotte Mall West Lake HanoiSố 272, Đường Võ Chí Công, Phú Thượng, Tây Hồ, Hà Nội</v>
      </c>
    </row>
    <row r="447" spans="1:2" hidden="1" x14ac:dyDescent="0.35">
      <c r="A447" s="50" t="s">
        <v>2535</v>
      </c>
      <c r="B447" t="str">
        <f>VLOOKUP(A447,Master!B:H,7,0)</f>
        <v xml:space="preserve">Lotte Tây Hồ </v>
      </c>
    </row>
    <row r="448" spans="1:2" hidden="1" x14ac:dyDescent="0.35">
      <c r="A448" s="51" t="s">
        <v>2617</v>
      </c>
      <c r="B448" t="str">
        <f>VLOOKUP(A448,Master!B:H,7,0)</f>
        <v>1035 Đường Võ Chí Công</v>
      </c>
    </row>
    <row r="449" spans="1:2" x14ac:dyDescent="0.35">
      <c r="A449" s="51" t="s">
        <v>4030</v>
      </c>
      <c r="B449" t="str">
        <f>VLOOKUP(A449,Master!B:H,7,0)</f>
        <v>Gogi House Tô HiệuTô Hiệu, Nghĩa Đô, Cầu Giấy, Hà Nội</v>
      </c>
    </row>
    <row r="450" spans="1:2" hidden="1" x14ac:dyDescent="0.35">
      <c r="A450" s="50" t="s">
        <v>2388</v>
      </c>
      <c r="B450" t="str">
        <f>VLOOKUP(A450,Master!B:H,7,0)</f>
        <v>SG Tô Hiệu</v>
      </c>
    </row>
    <row r="451" spans="1:2" hidden="1" x14ac:dyDescent="0.35">
      <c r="A451" s="51" t="s">
        <v>2579</v>
      </c>
      <c r="B451" t="str">
        <f>VLOOKUP(A451,Master!B:H,7,0)</f>
        <v>Hoàng Quốc Việt (khu vực có nhiều toà nhà văn phòng)</v>
      </c>
    </row>
    <row r="452" spans="1:2" x14ac:dyDescent="0.35">
      <c r="A452" s="50" t="s">
        <v>4046</v>
      </c>
      <c r="B452" t="str">
        <f>VLOOKUP(A452,Master!B:H,7,0)</f>
        <v>Chibo Xuân DiệuXuân Diệu, Quảng An, Tây Hồ, Hà Nội</v>
      </c>
    </row>
    <row r="453" spans="1:2" hidden="1" x14ac:dyDescent="0.35">
      <c r="A453" s="51" t="s">
        <v>2205</v>
      </c>
      <c r="B453" t="str">
        <f>VLOOKUP(A453,Master!B:H,7,0)</f>
        <v>Nhà hàng Sakura - Hồ Tây</v>
      </c>
    </row>
    <row r="454" spans="1:2" hidden="1" x14ac:dyDescent="0.35">
      <c r="A454" s="51" t="s">
        <v>2394</v>
      </c>
      <c r="B454" t="str">
        <f>VLOOKUP(A454,Master!B:H,7,0)</f>
        <v>Nguyễn văn Cừ</v>
      </c>
    </row>
    <row r="455" spans="1:2" x14ac:dyDescent="0.35">
      <c r="A455" s="50" t="s">
        <v>4074</v>
      </c>
      <c r="B455" t="str">
        <f>VLOOKUP(A455,Master!B:H,7,0)</f>
        <v>Gogi House Ngọc LâmNgọc Lâm, Ngọc Lâm, Long Biên, Hà Nội</v>
      </c>
    </row>
    <row r="456" spans="1:2" x14ac:dyDescent="0.35">
      <c r="A456" s="51" t="s">
        <v>4079</v>
      </c>
      <c r="B456" t="str">
        <f>VLOOKUP(A456,Master!B:H,7,0)</f>
        <v>Kichi Kichi Vĩnh Phúc, Ba Đình, Hà Nội</v>
      </c>
    </row>
    <row r="457" spans="1:2" x14ac:dyDescent="0.35">
      <c r="A457" s="50" t="s">
        <v>4086</v>
      </c>
      <c r="B457" t="str">
        <f>VLOOKUP(A457,Master!B:H,7,0)</f>
        <v>Mama's Bakery Quan Hoa, Cầu Giấy, Hà Nội</v>
      </c>
    </row>
    <row r="458" spans="1:2" x14ac:dyDescent="0.35">
      <c r="A458" s="51" t="s">
        <v>4095</v>
      </c>
      <c r="B458" t="str">
        <f>VLOOKUP(A458,Master!B:H,7,0)</f>
        <v>Union Pizza Quỳnh Mai, Hai Bà Trưng, Hà Nội</v>
      </c>
    </row>
    <row r="459" spans="1:2" x14ac:dyDescent="0.35">
      <c r="A459" s="50" t="s">
        <v>4103</v>
      </c>
      <c r="B459" t="str">
        <f>VLOOKUP(A459,Master!B:H,7,0)</f>
        <v>Dao Niu Guo 19 Đặng Dung19 Đặng Dung, Quán Thánh, Ba Đình, Hà Nội</v>
      </c>
    </row>
    <row r="460" spans="1:2" x14ac:dyDescent="0.35">
      <c r="A460" s="51" t="s">
        <v>4113</v>
      </c>
      <c r="B460" t="str">
        <f>VLOOKUP(A460,Master!B:H,7,0)</f>
        <v>Isushi 62 BT4X2 Bắc Linh Đàm62 BT4X2 Bắc Linh Đàm, Đại Kim, Hoàng Mai, Hà Nội</v>
      </c>
    </row>
    <row r="461" spans="1:2" x14ac:dyDescent="0.35">
      <c r="A461" s="51" t="s">
        <v>4126</v>
      </c>
      <c r="B461" t="str">
        <f>VLOOKUP(A461,Master!B:H,7,0)</f>
        <v>Pizza360 222 đường Trần Duy HưngGo! Thăng Long</v>
      </c>
    </row>
    <row r="462" spans="1:2" hidden="1" x14ac:dyDescent="0.35">
      <c r="A462" s="51" t="s">
        <v>2148</v>
      </c>
      <c r="B462" t="str">
        <f>VLOOKUP(A462,Master!B:H,7,0)</f>
        <v>YT Vincom Ocean Park</v>
      </c>
    </row>
    <row r="463" spans="1:2" x14ac:dyDescent="0.35">
      <c r="A463" s="50" t="s">
        <v>4145</v>
      </c>
      <c r="B463" t="str">
        <f>VLOOKUP(A463,Master!B:H,7,0)</f>
        <v xml:space="preserve">Kichi Kichi </v>
      </c>
    </row>
    <row r="464" spans="1:2" x14ac:dyDescent="0.35">
      <c r="A464" s="51" t="s">
        <v>4149</v>
      </c>
      <c r="B464" t="str">
        <f>VLOOKUP(A464,Master!B:H,7,0)</f>
        <v xml:space="preserve">The Coffee House </v>
      </c>
    </row>
    <row r="465" spans="1:2" hidden="1" x14ac:dyDescent="0.35">
      <c r="A465" s="50" t="s">
        <v>2358</v>
      </c>
      <c r="B465" t="str">
        <f>VLOOKUP(A465,Master!B:H,7,0)</f>
        <v>GG Sensi Festi Vĩnh Long</v>
      </c>
    </row>
    <row r="466" spans="1:2" x14ac:dyDescent="0.35">
      <c r="A466" s="51" t="s">
        <v>4171</v>
      </c>
      <c r="B466" t="str">
        <f>VLOOKUP(A466,Master!B:H,7,0)</f>
        <v>Yutang Đại lộ Võ Nguyên GiápAeon Mall Hải DươngĐại lộ Võ Nguyên Giáp, Thạch Khôi, Hải Dương, Hải Dương</v>
      </c>
    </row>
    <row r="467" spans="1:2" x14ac:dyDescent="0.35">
      <c r="A467" s="50" t="s">
        <v>4184</v>
      </c>
      <c r="B467" t="str">
        <f>VLOOKUP(A467,Master!B:H,7,0)</f>
        <v>Isushi 10 Đường Võ Nguyên GiápAeon Mall Hải Phòng Lê Chân10 Đường Võ Nguyên Giáp, Dư Hàng Kênh, Lê Chân, Hải Phòng</v>
      </c>
    </row>
    <row r="468" spans="1:2" hidden="1" x14ac:dyDescent="0.35">
      <c r="A468" s="50" t="s">
        <v>2445</v>
      </c>
      <c r="B468" t="str">
        <f>VLOOKUP(A468,Master!B:H,7,0)</f>
        <v>Aeon Hải Phòng Lê Chân</v>
      </c>
    </row>
    <row r="469" spans="1:2" x14ac:dyDescent="0.35">
      <c r="A469" s="51" t="s">
        <v>4202</v>
      </c>
      <c r="B469" t="str">
        <f>VLOOKUP(A469,Master!B:H,7,0)</f>
        <v>Ashima 10 đường Võ Nguyên GiápAeon Mall Hải Phòng Lê Chân10 đường Võ Nguyên Giáp, Kênh Dương, Lê Chân, Hải Phòng</v>
      </c>
    </row>
    <row r="470" spans="1:2" x14ac:dyDescent="0.35">
      <c r="A470" s="50" t="s">
        <v>4214</v>
      </c>
      <c r="B470" t="str">
        <f>VLOOKUP(A470,Master!B:H,7,0)</f>
        <v>Yutang Số 10 Đường Võ Nguyên GiápAeon Mall Hải Phòng Lê ChânSố 10 Đường Võ Nguyên Giáp, Kênh Dương, Lê Chân, Hải Phòng</v>
      </c>
    </row>
    <row r="471" spans="1:2" hidden="1" x14ac:dyDescent="0.35">
      <c r="A471" s="51" t="s">
        <v>2567</v>
      </c>
      <c r="B471" t="str">
        <f>VLOOKUP(A471,Master!B:H,7,0)</f>
        <v xml:space="preserve">Lạch Tray (gần ĐH Hàng hải) </v>
      </c>
    </row>
    <row r="472" spans="1:2" hidden="1" x14ac:dyDescent="0.35">
      <c r="A472" s="50" t="s">
        <v>2476</v>
      </c>
      <c r="B472" t="str">
        <f>VLOOKUP(A472,Master!B:H,7,0)</f>
        <v>Lê Hồng Phong, Văn Cao (shop house, chân đế)</v>
      </c>
    </row>
    <row r="473" spans="1:2" hidden="1" x14ac:dyDescent="0.35">
      <c r="A473" s="51" t="s">
        <v>2569</v>
      </c>
      <c r="B473" t="str">
        <f>VLOOKUP(A473,Master!B:H,7,0)</f>
        <v>Aeon, Vincom, Coopmart,...</v>
      </c>
    </row>
    <row r="474" spans="1:2" x14ac:dyDescent="0.35">
      <c r="A474" s="50" t="s">
        <v>4240</v>
      </c>
      <c r="B474" t="str">
        <f>VLOOKUP(A474,Master!B:H,7,0)</f>
        <v>The Coffee House Hồ Sen</v>
      </c>
    </row>
    <row r="475" spans="1:2" x14ac:dyDescent="0.35">
      <c r="A475" s="50" t="s">
        <v>4262</v>
      </c>
      <c r="B475" t="str">
        <f>VLOOKUP(A475,Master!B:H,7,0)</f>
        <v>Ashima 208 đường Nguyễn Hữu CảnhVincom Center Landmark 81208 đường Nguyễn Hữu Cảnh, Phường 22, Bình Thạnh, Hồ Chí Minh</v>
      </c>
    </row>
    <row r="476" spans="1:2" x14ac:dyDescent="0.35">
      <c r="A476" s="51" t="s">
        <v>4274</v>
      </c>
      <c r="B476" t="str">
        <f>VLOOKUP(A476,Master!B:H,7,0)</f>
        <v>Crystal Jade 208 đường Nguyễn Hữu CảnhVincom Center Landmark 81208 đường Nguyễn Hữu Cảnh, Phường 22, Bình Thạnh, Hồ Chí Minh</v>
      </c>
    </row>
    <row r="477" spans="1:2" hidden="1" x14ac:dyDescent="0.35">
      <c r="A477" s="50" t="s">
        <v>2464</v>
      </c>
      <c r="B477" t="str">
        <f>VLOOKUP(A477,Master!B:H,7,0)</f>
        <v>Vincom Center Landmark 81</v>
      </c>
    </row>
    <row r="478" spans="1:2" hidden="1" x14ac:dyDescent="0.35">
      <c r="A478" s="51" t="s">
        <v>2370</v>
      </c>
      <c r="B478" t="str">
        <f>VLOOKUP(A478,Master!B:H,7,0)</f>
        <v>GG Phường 22, Q. Bình Thạnh, HCM 1</v>
      </c>
    </row>
    <row r="479" spans="1:2" hidden="1" x14ac:dyDescent="0.35">
      <c r="A479" s="51" t="s">
        <v>2251</v>
      </c>
      <c r="B479" t="str">
        <f>VLOOKUP(A479,Master!B:H,7,0)</f>
        <v>Lanmark</v>
      </c>
    </row>
    <row r="480" spans="1:2" hidden="1" x14ac:dyDescent="0.35">
      <c r="A480" s="50" t="s">
        <v>2312</v>
      </c>
      <c r="B480" t="str">
        <f>VLOOKUP(A480,Master!B:H,7,0)</f>
        <v>LC Vincom Landmark 81</v>
      </c>
    </row>
    <row r="481" spans="1:2" hidden="1" x14ac:dyDescent="0.35">
      <c r="A481" s="51" t="s">
        <v>2492</v>
      </c>
      <c r="B481" t="str">
        <f>VLOOKUP(A481,Master!B:H,7,0)</f>
        <v>91 Nguyễn Hữu Cảnh</v>
      </c>
    </row>
    <row r="482" spans="1:2" hidden="1" x14ac:dyDescent="0.35">
      <c r="A482" s="50" t="s">
        <v>2541</v>
      </c>
      <c r="B482" t="str">
        <f>VLOOKUP(A482,Master!B:H,7,0)</f>
        <v>Cao Lỗ, Tạ Quang Bửu</v>
      </c>
    </row>
    <row r="483" spans="1:2" hidden="1" x14ac:dyDescent="0.35">
      <c r="A483" s="51" t="s">
        <v>2571</v>
      </c>
      <c r="B483" t="str">
        <f>VLOOKUP(A483,Master!B:H,7,0)</f>
        <v>208 Đường Nguyễn Hữu Cảnh</v>
      </c>
    </row>
    <row r="484" spans="1:2" hidden="1" x14ac:dyDescent="0.35">
      <c r="A484" s="50" t="s">
        <v>2484</v>
      </c>
      <c r="B484" t="str">
        <f>VLOOKUP(A484,Master!B:H,7,0)</f>
        <v>Phan Huy Ích</v>
      </c>
    </row>
    <row r="485" spans="1:2" x14ac:dyDescent="0.35">
      <c r="A485" s="51" t="s">
        <v>4320</v>
      </c>
      <c r="B485" t="str">
        <f>VLOOKUP(A485,Master!B:H,7,0)</f>
        <v>The Coffee House Tam ĐảoTam Đảo, Phường 14, Quận 10, Hồ Chí Minh</v>
      </c>
    </row>
    <row r="486" spans="1:2" hidden="1" x14ac:dyDescent="0.35">
      <c r="A486" s="50" t="s">
        <v>2332</v>
      </c>
      <c r="B486" t="str">
        <f>VLOOKUP(A486,Master!B:H,7,0)</f>
        <v>GG Phường 15, Q. 10, HCM</v>
      </c>
    </row>
    <row r="487" spans="1:2" hidden="1" x14ac:dyDescent="0.35">
      <c r="A487" s="51" t="s">
        <v>2344</v>
      </c>
      <c r="B487" t="str">
        <f>VLOOKUP(A487,Master!B:H,7,0)</f>
        <v>GG Phường 15, Q. 11, HCM</v>
      </c>
    </row>
    <row r="488" spans="1:2" hidden="1" x14ac:dyDescent="0.35">
      <c r="A488" s="51" t="s">
        <v>2186</v>
      </c>
      <c r="B488" t="str">
        <f>VLOOKUP(A488,Master!B:H,7,0)</f>
        <v>FC HCM 469 Dien Bien Phu</v>
      </c>
    </row>
    <row r="489" spans="1:2" hidden="1" x14ac:dyDescent="0.35">
      <c r="A489" s="51" t="s">
        <v>2340</v>
      </c>
      <c r="B489" t="str">
        <f>VLOOKUP(A489,Master!B:H,7,0)</f>
        <v>GG Nguyễn Cư Trinh, Q. 1, HCM</v>
      </c>
    </row>
    <row r="490" spans="1:2" hidden="1" x14ac:dyDescent="0.35">
      <c r="A490" s="51" t="s">
        <v>2398</v>
      </c>
      <c r="B490" t="str">
        <f>VLOOKUP(A490,Master!B:H,7,0)</f>
        <v>Nguyễn Cư Trinh</v>
      </c>
    </row>
    <row r="491" spans="1:2" x14ac:dyDescent="0.35">
      <c r="A491" s="50" t="s">
        <v>4381</v>
      </c>
      <c r="B491" t="str">
        <f>VLOOKUP(A491,Master!B:H,7,0)</f>
        <v>Shogun Phạm Viết ChánhPhạm Viết Chánh, Nguyễn Cư Trinh, Quận 1, Hồ Chí Minh</v>
      </c>
    </row>
    <row r="492" spans="1:2" hidden="1" x14ac:dyDescent="0.35">
      <c r="A492" s="51" t="s">
        <v>2330</v>
      </c>
      <c r="B492" t="str">
        <f>VLOOKUP(A492,Master!B:H,7,0)</f>
        <v>GG Phường 7, Q. Gò Vấp, HCM</v>
      </c>
    </row>
    <row r="493" spans="1:2" hidden="1" x14ac:dyDescent="0.35">
      <c r="A493" s="50" t="s">
        <v>2275</v>
      </c>
      <c r="B493" t="str">
        <f>VLOOKUP(A493,Master!B:H,7,0)</f>
        <v>Gò Vấp Quang Trung</v>
      </c>
    </row>
    <row r="494" spans="1:2" hidden="1" x14ac:dyDescent="0.35">
      <c r="A494" s="50" t="s">
        <v>2520</v>
      </c>
      <c r="B494" t="str">
        <f>VLOOKUP(A494,Master!B:H,7,0)</f>
        <v>Trương Công Định</v>
      </c>
    </row>
    <row r="495" spans="1:2" hidden="1" x14ac:dyDescent="0.35">
      <c r="A495" s="51" t="s">
        <v>2490</v>
      </c>
      <c r="B495" t="str">
        <f>VLOOKUP(A495,Master!B:H,7,0)</f>
        <v>Nguyễn Đình Chiểu/Nguyễn Bỉnh Khiêm</v>
      </c>
    </row>
    <row r="496" spans="1:2" x14ac:dyDescent="0.35">
      <c r="A496" s="51" t="s">
        <v>4430</v>
      </c>
      <c r="B496" t="str">
        <f>VLOOKUP(A496,Master!B:H,7,0)</f>
        <v>Gogi House Pandora Trường Chinh SS</v>
      </c>
    </row>
    <row r="497" spans="1:2" x14ac:dyDescent="0.35">
      <c r="A497" s="50" t="s">
        <v>4438</v>
      </c>
      <c r="B497" t="str">
        <f>VLOOKUP(A497,Master!B:H,7,0)</f>
        <v>Ashima 547 – 549 Tạ Quang BửuParc Mall Q8</v>
      </c>
    </row>
    <row r="498" spans="1:2" hidden="1" x14ac:dyDescent="0.35">
      <c r="A498" s="51" t="s">
        <v>2427</v>
      </c>
      <c r="B498" t="str">
        <f>VLOOKUP(A498,Master!B:H,7,0)</f>
        <v>CM Aeon Tạ Quang Bửu</v>
      </c>
    </row>
    <row r="499" spans="1:2" hidden="1" x14ac:dyDescent="0.35">
      <c r="A499" s="51" t="s">
        <v>2461</v>
      </c>
      <c r="B499" t="str">
        <f>VLOOKUP(A499,Master!B:H,7,0)</f>
        <v>DNG Parcmall</v>
      </c>
    </row>
    <row r="500" spans="1:2" x14ac:dyDescent="0.35">
      <c r="A500" s="50" t="s">
        <v>4451</v>
      </c>
      <c r="B500" t="str">
        <f>VLOOKUP(A500,Master!B:H,7,0)</f>
        <v>Manwah Trần Bình Trọng</v>
      </c>
    </row>
    <row r="501" spans="1:2" x14ac:dyDescent="0.35">
      <c r="A501" s="51" t="s">
        <v>4461</v>
      </c>
      <c r="B501" t="str">
        <f>VLOOKUP(A501,Master!B:H,7,0)</f>
        <v>Sumogoya Số 498, Đường Tạ Quang BửuParc Mall Q8</v>
      </c>
    </row>
    <row r="502" spans="1:2" hidden="1" x14ac:dyDescent="0.35">
      <c r="A502" s="50" t="s">
        <v>2453</v>
      </c>
      <c r="B502" t="str">
        <f>VLOOKUP(A502,Master!B:H,7,0)</f>
        <v>Aeon Tạ Quang Bửu</v>
      </c>
    </row>
    <row r="503" spans="1:2" hidden="1" x14ac:dyDescent="0.35">
      <c r="A503" s="50" t="s">
        <v>2557</v>
      </c>
      <c r="B503" t="str">
        <f>VLOOKUP(A503,Master!B:H,7,0)</f>
        <v>Tạ Quang Bửu</v>
      </c>
    </row>
    <row r="504" spans="1:2" hidden="1" x14ac:dyDescent="0.35">
      <c r="A504" s="51" t="s">
        <v>2277</v>
      </c>
      <c r="B504" t="str">
        <f>VLOOKUP(A504,Master!B:H,7,0)</f>
        <v>Quận 1 Phạm Ngũ Lão</v>
      </c>
    </row>
    <row r="505" spans="1:2" x14ac:dyDescent="0.35">
      <c r="A505" s="50" t="s">
        <v>4482</v>
      </c>
      <c r="B505" t="str">
        <f>VLOOKUP(A505,Master!B:H,7,0)</f>
        <v xml:space="preserve">Universal Tea </v>
      </c>
    </row>
    <row r="506" spans="1:2" hidden="1" x14ac:dyDescent="0.35">
      <c r="A506" s="51" t="s">
        <v>2506</v>
      </c>
      <c r="B506" t="str">
        <f>VLOOKUP(A506,Master!B:H,7,0)</f>
        <v>Lê Lợi</v>
      </c>
    </row>
    <row r="507" spans="1:2" x14ac:dyDescent="0.35">
      <c r="A507" s="50" t="s">
        <v>4486</v>
      </c>
      <c r="B507" t="str">
        <f>VLOOKUP(A507,Master!B:H,7,0)</f>
        <v>Gogi House Cách Mạng Tháng 8</v>
      </c>
    </row>
    <row r="508" spans="1:2" hidden="1" x14ac:dyDescent="0.35">
      <c r="A508" s="51" t="s">
        <v>2196</v>
      </c>
      <c r="B508" t="str">
        <f>VLOOKUP(A508,Master!B:H,7,0)</f>
        <v>FC HCM 141 Nguyen Thai Binh</v>
      </c>
    </row>
    <row r="509" spans="1:2" x14ac:dyDescent="0.35">
      <c r="A509" s="50" t="s">
        <v>4497</v>
      </c>
      <c r="B509" t="str">
        <f>VLOOKUP(A509,Master!B:H,7,0)</f>
        <v>Chix Max 240 - 242 đường Phạm Văn ĐồngGiga Mall</v>
      </c>
    </row>
    <row r="510" spans="1:2" hidden="1" x14ac:dyDescent="0.35">
      <c r="A510" s="51" t="s">
        <v>2281</v>
      </c>
      <c r="B510" t="str">
        <f>VLOOKUP(A510,Master!B:H,7,0)</f>
        <v>Giga Mall</v>
      </c>
    </row>
    <row r="511" spans="1:2" x14ac:dyDescent="0.35">
      <c r="A511" s="50" t="s">
        <v>4512</v>
      </c>
      <c r="B511" t="str">
        <f>VLOOKUP(A511,Master!B:H,7,0)</f>
        <v>Wow!Yakiniku 240 - 242 đường Phạm Văn ĐồngGiga Mall</v>
      </c>
    </row>
    <row r="512" spans="1:2" hidden="1" x14ac:dyDescent="0.35">
      <c r="A512" s="51" t="s">
        <v>2597</v>
      </c>
      <c r="B512" t="str">
        <f>VLOOKUP(A512,Master!B:H,7,0)</f>
        <v>240 - 242 Phạm Văn Đồng</v>
      </c>
    </row>
    <row r="513" spans="1:2" hidden="1" x14ac:dyDescent="0.35">
      <c r="A513" s="50" t="s">
        <v>2553</v>
      </c>
      <c r="B513" t="str">
        <f>VLOOKUP(A513,Master!B:H,7,0)</f>
        <v xml:space="preserve"> Hoàng Diệu</v>
      </c>
    </row>
    <row r="514" spans="1:2" hidden="1" x14ac:dyDescent="0.35">
      <c r="A514" s="51" t="s">
        <v>2581</v>
      </c>
      <c r="B514" t="str">
        <f>VLOOKUP(A514,Master!B:H,7,0)</f>
        <v>Đoàn Văn Bơ</v>
      </c>
    </row>
    <row r="515" spans="1:2" hidden="1" x14ac:dyDescent="0.35">
      <c r="A515" s="50" t="s">
        <v>2615</v>
      </c>
      <c r="B515" t="str">
        <f>VLOOKUP(A515,Master!B:H,7,0)</f>
        <v>Tô Ký</v>
      </c>
    </row>
    <row r="516" spans="1:2" hidden="1" x14ac:dyDescent="0.35">
      <c r="A516" s="51" t="s">
        <v>2431</v>
      </c>
      <c r="B516" t="str">
        <f>VLOOKUP(A516,Master!B:H,7,0)</f>
        <v>CM Vincom Mega Mall Thảo Điền</v>
      </c>
    </row>
    <row r="517" spans="1:2" x14ac:dyDescent="0.35">
      <c r="A517" s="50" t="s">
        <v>4561</v>
      </c>
      <c r="B517" t="str">
        <f>VLOOKUP(A517,Master!B:H,7,0)</f>
        <v>Sakura Yakiniku Võ Nguyên Giáp</v>
      </c>
    </row>
    <row r="518" spans="1:2" hidden="1" x14ac:dyDescent="0.35">
      <c r="A518" s="51" t="s">
        <v>2308</v>
      </c>
      <c r="B518" t="str">
        <f>VLOOKUP(A518,Master!B:H,7,0)</f>
        <v>LC Vincom Thảo Điền</v>
      </c>
    </row>
    <row r="519" spans="1:2" hidden="1" x14ac:dyDescent="0.35">
      <c r="A519" s="50" t="s">
        <v>2504</v>
      </c>
      <c r="B519" t="str">
        <f>VLOOKUP(A519,Master!B:H,7,0)</f>
        <v>Võ Nguyên Giáp</v>
      </c>
    </row>
    <row r="520" spans="1:2" x14ac:dyDescent="0.35">
      <c r="A520" s="51" t="s">
        <v>4581</v>
      </c>
      <c r="B520" t="str">
        <f>VLOOKUP(A520,Master!B:H,7,0)</f>
        <v>Ashima 72 Lê Thánh TônVincom Center Đồng Khởi</v>
      </c>
    </row>
    <row r="521" spans="1:2" hidden="1" x14ac:dyDescent="0.35">
      <c r="A521" s="50" t="s">
        <v>2287</v>
      </c>
      <c r="B521" t="str">
        <f>VLOOKUP(A521,Master!B:H,7,0)</f>
        <v>Lancaster Q1</v>
      </c>
    </row>
    <row r="522" spans="1:2" x14ac:dyDescent="0.35">
      <c r="A522" s="51" t="s">
        <v>4596</v>
      </c>
      <c r="B522" t="str">
        <f>VLOOKUP(A522,Master!B:H,7,0)</f>
        <v>Crystal Jade 72 Lê Thánh TônVincom Center Đồng Khởi</v>
      </c>
    </row>
    <row r="523" spans="1:2" hidden="1" x14ac:dyDescent="0.35">
      <c r="A523" s="50" t="s">
        <v>2443</v>
      </c>
      <c r="B523" t="str">
        <f>VLOOKUP(A523,Master!B:H,7,0)</f>
        <v>PZ Vincom Center Đồng Khởi</v>
      </c>
    </row>
    <row r="524" spans="1:2" x14ac:dyDescent="0.35">
      <c r="A524" s="51" t="s">
        <v>4601</v>
      </c>
      <c r="B524" t="str">
        <f>VLOOKUP(A524,Master!B:H,7,0)</f>
        <v xml:space="preserve">Universal Tea </v>
      </c>
    </row>
    <row r="525" spans="1:2" x14ac:dyDescent="0.35">
      <c r="A525" s="50" t="s">
        <v>4603</v>
      </c>
      <c r="B525" t="str">
        <f>VLOOKUP(A525,Master!B:H,7,0)</f>
        <v>CloudPot 65 Lê LợiSaigon Centre</v>
      </c>
    </row>
    <row r="526" spans="1:2" hidden="1" x14ac:dyDescent="0.35">
      <c r="A526" s="51" t="s">
        <v>2601</v>
      </c>
      <c r="B526" t="str">
        <f>VLOOKUP(A526,Master!B:H,7,0)</f>
        <v>92 - 94 Nam Kỳ Khởi Nghĩa</v>
      </c>
    </row>
    <row r="527" spans="1:2" x14ac:dyDescent="0.35">
      <c r="A527" s="50" t="s">
        <v>4607</v>
      </c>
      <c r="B527" t="str">
        <f>VLOOKUP(A527,Master!B:H,7,0)</f>
        <v xml:space="preserve">The Coffee House Hai Bà Trưng </v>
      </c>
    </row>
    <row r="528" spans="1:2" x14ac:dyDescent="0.35">
      <c r="A528" s="51" t="s">
        <v>4610</v>
      </c>
      <c r="B528" t="str">
        <f>VLOOKUP(A528,Master!B:H,7,0)</f>
        <v>Pizza360 Số 1 Đường số 17A, Khu phố 11Aeon Mall Bình Tân</v>
      </c>
    </row>
    <row r="529" spans="1:2" hidden="1" x14ac:dyDescent="0.35">
      <c r="A529" s="50" t="s">
        <v>2215</v>
      </c>
      <c r="B529" t="str">
        <f>VLOOKUP(A529,Master!B:H,7,0)</f>
        <v>Aeon Mall Bình Tân</v>
      </c>
    </row>
    <row r="530" spans="1:2" x14ac:dyDescent="0.35">
      <c r="A530" s="51" t="s">
        <v>4623</v>
      </c>
      <c r="B530" t="str">
        <f>VLOOKUP(A530,Master!B:H,7,0)</f>
        <v>Ashima Đường số 17AAeon Mall Bình Tân</v>
      </c>
    </row>
    <row r="531" spans="1:2" hidden="1" x14ac:dyDescent="0.35">
      <c r="A531" s="51" t="s">
        <v>2306</v>
      </c>
      <c r="B531" t="str">
        <f>VLOOKUP(A531,Master!B:H,7,0)</f>
        <v>LC Aeon Bình Tân</v>
      </c>
    </row>
    <row r="532" spans="1:2" hidden="1" x14ac:dyDescent="0.35">
      <c r="A532" s="50" t="s">
        <v>2537</v>
      </c>
      <c r="B532" t="str">
        <f>VLOOKUP(A532,Master!B:H,7,0)</f>
        <v>Đường 17A</v>
      </c>
    </row>
    <row r="533" spans="1:2" hidden="1" x14ac:dyDescent="0.35">
      <c r="A533" s="51" t="s">
        <v>2555</v>
      </c>
      <c r="B533" t="str">
        <f>VLOOKUP(A533,Master!B:H,7,0)</f>
        <v>Đặng Văn Bi cũ</v>
      </c>
    </row>
    <row r="534" spans="1:2" x14ac:dyDescent="0.35">
      <c r="A534" s="50" t="s">
        <v>4640</v>
      </c>
      <c r="B534" t="str">
        <f>VLOOKUP(A534,Master!B:H,7,0)</f>
        <v xml:space="preserve">Manwah </v>
      </c>
    </row>
    <row r="535" spans="1:2" hidden="1" x14ac:dyDescent="0.35">
      <c r="A535" s="51" t="s">
        <v>2649</v>
      </c>
      <c r="B535" t="str">
        <f>VLOOKUP(A535,Master!B:H,7,0)</f>
        <v>UT HCM 281 Le van Sy</v>
      </c>
    </row>
    <row r="536" spans="1:2" hidden="1" x14ac:dyDescent="0.35">
      <c r="A536" s="50" t="s">
        <v>2500</v>
      </c>
      <c r="B536" t="str">
        <f>VLOOKUP(A536,Master!B:H,7,0)</f>
        <v>Hoàng Hoa Thám (giao Lê Quang Định)</v>
      </c>
    </row>
    <row r="537" spans="1:2" hidden="1" x14ac:dyDescent="0.35">
      <c r="A537" s="51" t="s">
        <v>2488</v>
      </c>
      <c r="B537" t="str">
        <f>VLOOKUP(A537,Master!B:H,7,0)</f>
        <v>Bến Vân Đồn</v>
      </c>
    </row>
    <row r="538" spans="1:2" x14ac:dyDescent="0.35">
      <c r="A538" s="50" t="s">
        <v>4663</v>
      </c>
      <c r="B538" t="str">
        <f>VLOOKUP(A538,Master!B:H,7,0)</f>
        <v>Gogi House Nguyễn Thị Tú</v>
      </c>
    </row>
    <row r="539" spans="1:2" x14ac:dyDescent="0.35">
      <c r="A539" s="51" t="s">
        <v>4675</v>
      </c>
      <c r="B539" t="str">
        <f>VLOOKUP(A539,Master!B:H,7,0)</f>
        <v>Kichi Kichi Nguyễn Thị Tú</v>
      </c>
    </row>
    <row r="540" spans="1:2" hidden="1" x14ac:dyDescent="0.35">
      <c r="A540" s="50" t="s">
        <v>2346</v>
      </c>
      <c r="B540" t="str">
        <f>VLOOKUP(A540,Master!B:H,7,0)</f>
        <v>GG An Khánh, Q. 2, HCM 1</v>
      </c>
    </row>
    <row r="541" spans="1:2" x14ac:dyDescent="0.35">
      <c r="A541" s="51" t="s">
        <v>4685</v>
      </c>
      <c r="B541" t="str">
        <f>VLOOKUP(A541,Master!B:H,7,0)</f>
        <v>Sumogoya Mai Chí ThoThiso Mall Sala</v>
      </c>
    </row>
    <row r="542" spans="1:2" hidden="1" x14ac:dyDescent="0.35">
      <c r="A542" s="51" t="s">
        <v>2573</v>
      </c>
      <c r="B542" t="str">
        <f>VLOOKUP(A542,Master!B:H,7,0)</f>
        <v>Tố Hữu</v>
      </c>
    </row>
    <row r="543" spans="1:2" hidden="1" x14ac:dyDescent="0.35">
      <c r="A543" s="50" t="s">
        <v>2524</v>
      </c>
      <c r="B543" t="str">
        <f>VLOOKUP(A543,Master!B:H,7,0)</f>
        <v>Lê Thị Hà</v>
      </c>
    </row>
    <row r="544" spans="1:2" hidden="1" x14ac:dyDescent="0.35">
      <c r="A544" s="50" t="s">
        <v>2449</v>
      </c>
      <c r="B544" t="str">
        <f>VLOOKUP(A544,Master!B:H,7,0)</f>
        <v>Lotte Mart Gò Vấp</v>
      </c>
    </row>
    <row r="545" spans="1:2" x14ac:dyDescent="0.35">
      <c r="A545" s="51" t="s">
        <v>4707</v>
      </c>
      <c r="B545" t="str">
        <f>VLOOKUP(A545,Master!B:H,7,0)</f>
        <v>Shogun Số 242, Đường Nguyễn Văn LượngLotte Mart Gò Vấp</v>
      </c>
    </row>
    <row r="546" spans="1:2" hidden="1" x14ac:dyDescent="0.35">
      <c r="A546" s="50" t="s">
        <v>2338</v>
      </c>
      <c r="B546" t="str">
        <f>VLOOKUP(A546,Master!B:H,7,0)</f>
        <v>GG Bình Hưng, Q. Bình Chánh, HCM</v>
      </c>
    </row>
    <row r="547" spans="1:2" x14ac:dyDescent="0.35">
      <c r="A547" s="51" t="s">
        <v>4721</v>
      </c>
      <c r="B547" t="str">
        <f>VLOOKUP(A547,Master!B:H,7,0)</f>
        <v xml:space="preserve">Gogi House </v>
      </c>
    </row>
    <row r="548" spans="1:2" x14ac:dyDescent="0.35">
      <c r="A548" s="50" t="s">
        <v>4732</v>
      </c>
      <c r="B548" t="str">
        <f>VLOOKUP(A548,Master!B:H,7,0)</f>
        <v>Dao Niu Guo DNG Lê Quý Đôn Q3</v>
      </c>
    </row>
    <row r="549" spans="1:2" hidden="1" x14ac:dyDescent="0.35">
      <c r="A549" s="51" t="s">
        <v>2372</v>
      </c>
      <c r="B549" t="str">
        <f>VLOOKUP(A549,Master!B:H,7,0)</f>
        <v>GG Võ Thị Sáu, Q. 3, HCM</v>
      </c>
    </row>
    <row r="550" spans="1:2" hidden="1" x14ac:dyDescent="0.35">
      <c r="A550" s="50" t="s">
        <v>2237</v>
      </c>
      <c r="B550" t="str">
        <f>VLOOKUP(A550,Master!B:H,7,0)</f>
        <v>Quận 4</v>
      </c>
    </row>
    <row r="551" spans="1:2" x14ac:dyDescent="0.35">
      <c r="A551" s="51" t="s">
        <v>4751</v>
      </c>
      <c r="B551" t="str">
        <f>VLOOKUP(A551,Master!B:H,7,0)</f>
        <v>Universal Tea Võ Thị Sáu</v>
      </c>
    </row>
    <row r="552" spans="1:2" hidden="1" x14ac:dyDescent="0.35">
      <c r="A552" s="50" t="s">
        <v>2480</v>
      </c>
      <c r="B552" t="str">
        <f>VLOOKUP(A552,Master!B:H,7,0)</f>
        <v>Võ Thị Sáu (đoạn Hai Bà Trưng, lấy khúc ngã 4), Hoàng Sa/ Trường Sa</v>
      </c>
    </row>
    <row r="553" spans="1:2" x14ac:dyDescent="0.35">
      <c r="A553" s="50" t="s">
        <v>4768</v>
      </c>
      <c r="B553" t="str">
        <f>VLOOKUP(A553,Master!B:H,7,0)</f>
        <v>Kichi Kichi Lê Văn Lương</v>
      </c>
    </row>
    <row r="554" spans="1:2" hidden="1" x14ac:dyDescent="0.35">
      <c r="A554" s="50" t="s">
        <v>2304</v>
      </c>
      <c r="B554" t="str">
        <f>VLOOKUP(A554,Master!B:H,7,0)</f>
        <v>LC Thiso Mall</v>
      </c>
    </row>
    <row r="555" spans="1:2" hidden="1" x14ac:dyDescent="0.35">
      <c r="A555" s="50" t="s">
        <v>2543</v>
      </c>
      <c r="B555" t="str">
        <f>VLOOKUP(A555,Master!B:H,7,0)</f>
        <v>Empire 88 Tower</v>
      </c>
    </row>
    <row r="556" spans="1:2" hidden="1" x14ac:dyDescent="0.35">
      <c r="A556" s="51" t="s">
        <v>2587</v>
      </c>
      <c r="B556" t="str">
        <f>VLOOKUP(A556,Master!B:H,7,0)</f>
        <v>10 Mai Chí Thọ</v>
      </c>
    </row>
    <row r="557" spans="1:2" hidden="1" x14ac:dyDescent="0.35">
      <c r="A557" s="50" t="s">
        <v>2400</v>
      </c>
      <c r="B557" t="str">
        <f>VLOOKUP(A557,Master!B:H,7,0)</f>
        <v>Phường 11</v>
      </c>
    </row>
    <row r="558" spans="1:2" hidden="1" x14ac:dyDescent="0.35">
      <c r="A558" s="51" t="s">
        <v>2559</v>
      </c>
      <c r="B558" t="str">
        <f>VLOOKUP(A558,Master!B:H,7,0)</f>
        <v>Vincom Plaza Ba Tháng Hai</v>
      </c>
    </row>
    <row r="559" spans="1:2" x14ac:dyDescent="0.35">
      <c r="A559" s="50" t="s">
        <v>4804</v>
      </c>
      <c r="B559" t="str">
        <f>VLOOKUP(A559,Master!B:H,7,0)</f>
        <v>Ashima 512 đường Nguyễn XiểnVincom Mega Mall Grand Park</v>
      </c>
    </row>
    <row r="560" spans="1:2" hidden="1" x14ac:dyDescent="0.35">
      <c r="A560" s="51" t="s">
        <v>2429</v>
      </c>
      <c r="B560" t="str">
        <f>VLOOKUP(A560,Master!B:H,7,0)</f>
        <v>CM Vincom Mega Mall Grand Park</v>
      </c>
    </row>
    <row r="561" spans="1:2" x14ac:dyDescent="0.35">
      <c r="A561" s="50" t="s">
        <v>4817</v>
      </c>
      <c r="B561" t="str">
        <f>VLOOKUP(A561,Master!B:H,7,0)</f>
        <v>Manwah Nguyễn XiểnVincom Mega Mall Grand Park</v>
      </c>
    </row>
    <row r="562" spans="1:2" hidden="1" x14ac:dyDescent="0.35">
      <c r="A562" s="51" t="s">
        <v>2314</v>
      </c>
      <c r="B562" t="str">
        <f>VLOOKUP(A562,Master!B:H,7,0)</f>
        <v>LC Vincom Grand Park</v>
      </c>
    </row>
    <row r="563" spans="1:2" x14ac:dyDescent="0.35">
      <c r="A563" s="50" t="s">
        <v>4829</v>
      </c>
      <c r="B563" t="str">
        <f>VLOOKUP(A563,Master!B:H,7,0)</f>
        <v>The Coffee House Techcombank GrandPark HCMSố 6, Đường D1, Khu đô thị Vinhomes Grand Park, Phường Long Bình, Quận 9, TP. Hồ Chí Minh</v>
      </c>
    </row>
    <row r="564" spans="1:2" hidden="1" x14ac:dyDescent="0.35">
      <c r="A564" s="51" t="s">
        <v>2433</v>
      </c>
      <c r="B564" t="str">
        <f>VLOOKUP(A564,Master!B:H,7,0)</f>
        <v>CM Thiso Mall</v>
      </c>
    </row>
    <row r="565" spans="1:2" hidden="1" x14ac:dyDescent="0.35">
      <c r="A565" s="50" t="s">
        <v>2447</v>
      </c>
      <c r="B565" t="str">
        <f>VLOOKUP(A565,Master!B:H,7,0)</f>
        <v>Emart Gò Vấp</v>
      </c>
    </row>
    <row r="566" spans="1:2" hidden="1" x14ac:dyDescent="0.35">
      <c r="A566" s="51" t="s">
        <v>2623</v>
      </c>
      <c r="B566" t="str">
        <f>VLOOKUP(A566,Master!B:H,7,0)</f>
        <v>FC  Sky Garden Q7</v>
      </c>
    </row>
    <row r="567" spans="1:2" hidden="1" x14ac:dyDescent="0.35">
      <c r="A567" s="50" t="s">
        <v>2502</v>
      </c>
      <c r="B567" t="str">
        <f>VLOOKUP(A567,Master!B:H,7,0)</f>
        <v>Phú Mỹ Hưng, gần con The Grace</v>
      </c>
    </row>
    <row r="568" spans="1:2" x14ac:dyDescent="0.35">
      <c r="A568" s="51" t="s">
        <v>4856</v>
      </c>
      <c r="B568" t="str">
        <f>VLOOKUP(A568,Master!B:H,7,0)</f>
        <v>CloudPot 1058 Đại lộ Nguyễn Văn LinhSc Vivocity</v>
      </c>
    </row>
    <row r="569" spans="1:2" hidden="1" x14ac:dyDescent="0.35">
      <c r="A569" s="50" t="s">
        <v>2342</v>
      </c>
      <c r="B569" t="str">
        <f>VLOOKUP(A569,Master!B:H,7,0)</f>
        <v>GG Phạm Ngũ Lão, Q. 1, HCM</v>
      </c>
    </row>
    <row r="570" spans="1:2" hidden="1" x14ac:dyDescent="0.35">
      <c r="A570" s="51" t="s">
        <v>2320</v>
      </c>
      <c r="B570" t="str">
        <f>VLOOKUP(A570,Master!B:H,7,0)</f>
        <v>GG Khu chung cư Hà Đô</v>
      </c>
    </row>
    <row r="571" spans="1:2" x14ac:dyDescent="0.35">
      <c r="A571" s="51" t="s">
        <v>4890</v>
      </c>
      <c r="B571" t="str">
        <f>VLOOKUP(A571,Master!B:H,7,0)</f>
        <v>Isushi Sư Vạn HạnhVạn Hạnh Mall</v>
      </c>
    </row>
    <row r="572" spans="1:2" hidden="1" x14ac:dyDescent="0.35">
      <c r="A572" s="50" t="s">
        <v>2273</v>
      </c>
      <c r="B572" t="str">
        <f>VLOOKUP(A572,Master!B:H,7,0)</f>
        <v>Bình Thạnh Thanh Đa</v>
      </c>
    </row>
    <row r="573" spans="1:2" x14ac:dyDescent="0.35">
      <c r="A573" s="51" t="s">
        <v>4906</v>
      </c>
      <c r="B573" t="str">
        <f>VLOOKUP(A573,Master!B:H,7,0)</f>
        <v>Shogun Số 11, Đường Sư Vạn HạnhVạn Hạnh Mall</v>
      </c>
    </row>
    <row r="574" spans="1:2" hidden="1" x14ac:dyDescent="0.35">
      <c r="A574" s="50" t="s">
        <v>2437</v>
      </c>
      <c r="B574" t="str">
        <f>VLOOKUP(A574,Master!B:H,7,0)</f>
        <v>TCH HCM 175B Cao Thắng nối dài</v>
      </c>
    </row>
    <row r="575" spans="1:2" hidden="1" x14ac:dyDescent="0.35">
      <c r="A575" s="51" t="s">
        <v>2526</v>
      </c>
      <c r="B575" t="str">
        <f>VLOOKUP(A575,Master!B:H,7,0)</f>
        <v>Sư Vạn Hạnh</v>
      </c>
    </row>
    <row r="576" spans="1:2" hidden="1" x14ac:dyDescent="0.35">
      <c r="A576" s="50" t="s">
        <v>2539</v>
      </c>
      <c r="B576" t="str">
        <f>VLOOKUP(A576,Master!B:H,7,0)</f>
        <v>Hồng Bàng</v>
      </c>
    </row>
    <row r="577" spans="1:2" hidden="1" x14ac:dyDescent="0.35">
      <c r="A577" s="51" t="s">
        <v>2585</v>
      </c>
      <c r="B577" t="str">
        <f>VLOOKUP(A577,Master!B:H,7,0)</f>
        <v>126 Hùng Vương</v>
      </c>
    </row>
    <row r="578" spans="1:2" hidden="1" x14ac:dyDescent="0.35">
      <c r="A578" s="50" t="s">
        <v>2607</v>
      </c>
      <c r="B578" t="str">
        <f>VLOOKUP(A578,Master!B:H,7,0)</f>
        <v>1A giao giữa Lê Văn Khương, Nguyễn Ảnh Thủ</v>
      </c>
    </row>
    <row r="579" spans="1:2" hidden="1" x14ac:dyDescent="0.35">
      <c r="A579" s="51" t="s">
        <v>2421</v>
      </c>
      <c r="B579" t="str">
        <f>VLOOKUP(A579,Master!B:H,7,0)</f>
        <v>AS Cressent mall Q7</v>
      </c>
    </row>
    <row r="580" spans="1:2" hidden="1" x14ac:dyDescent="0.35">
      <c r="A580" s="51" t="s">
        <v>2415</v>
      </c>
      <c r="B580" t="str">
        <f>VLOOKUP(A580,Master!B:H,7,0)</f>
        <v>Phú Mỹ Hưng</v>
      </c>
    </row>
    <row r="581" spans="1:2" x14ac:dyDescent="0.35">
      <c r="A581" s="50" t="s">
        <v>4945</v>
      </c>
      <c r="B581" t="str">
        <f>VLOOKUP(A581,Master!B:H,7,0)</f>
        <v xml:space="preserve">Manwah </v>
      </c>
    </row>
    <row r="582" spans="1:2" hidden="1" x14ac:dyDescent="0.35">
      <c r="A582" s="51" t="s">
        <v>2439</v>
      </c>
      <c r="B582" t="str">
        <f>VLOOKUP(A582,Master!B:H,7,0)</f>
        <v>TCH HCM SIG 101 Tôn Dật Tiên (Crescent mall)</v>
      </c>
    </row>
    <row r="583" spans="1:2" hidden="1" x14ac:dyDescent="0.35">
      <c r="A583" s="51" t="s">
        <v>2253</v>
      </c>
      <c r="B583" t="str">
        <f>VLOOKUP(A583,Master!B:H,7,0)</f>
        <v>Estella Place</v>
      </c>
    </row>
    <row r="584" spans="1:2" x14ac:dyDescent="0.35">
      <c r="A584" s="50" t="s">
        <v>4961</v>
      </c>
      <c r="B584" t="str">
        <f>VLOOKUP(A584,Master!B:H,7,0)</f>
        <v xml:space="preserve">The Coffee House </v>
      </c>
    </row>
    <row r="585" spans="1:2" x14ac:dyDescent="0.35">
      <c r="A585" s="51" t="s">
        <v>4964</v>
      </c>
      <c r="B585" t="str">
        <f>VLOOKUP(A585,Master!B:H,7,0)</f>
        <v>Wow!Yakiniku 88 Song HànhEstella Place</v>
      </c>
    </row>
    <row r="586" spans="1:2" hidden="1" x14ac:dyDescent="0.35">
      <c r="A586" s="50" t="s">
        <v>2599</v>
      </c>
      <c r="B586" t="str">
        <f>VLOOKUP(A586,Master!B:H,7,0)</f>
        <v>88 Đường Song Hành</v>
      </c>
    </row>
    <row r="587" spans="1:2" x14ac:dyDescent="0.35">
      <c r="A587" s="51" t="s">
        <v>4967</v>
      </c>
      <c r="B587" t="str">
        <f>VLOOKUP(A587,Master!B:H,7,0)</f>
        <v>Kichi Kichi Tôn Dật Tiên</v>
      </c>
    </row>
    <row r="588" spans="1:2" x14ac:dyDescent="0.35">
      <c r="A588" s="50" t="s">
        <v>4971</v>
      </c>
      <c r="B588" t="str">
        <f>VLOOKUP(A588,Master!B:H,7,0)</f>
        <v>Ashima Tân ThắngAeon Mall Tân Phú Celadon</v>
      </c>
    </row>
    <row r="589" spans="1:2" x14ac:dyDescent="0.35">
      <c r="A589" s="50" t="s">
        <v>4984</v>
      </c>
      <c r="B589" t="str">
        <f>VLOOKUP(A589,Master!B:H,7,0)</f>
        <v>Shogun Số 30, Đường Tân ThắngAeon Mall Tân Phú Celadon</v>
      </c>
    </row>
    <row r="590" spans="1:2" hidden="1" x14ac:dyDescent="0.35">
      <c r="A590" s="51" t="s">
        <v>2213</v>
      </c>
      <c r="B590" t="str">
        <f>VLOOKUP(A590,Master!B:H,7,0)</f>
        <v>Aeon Tân Phú Celadon</v>
      </c>
    </row>
    <row r="591" spans="1:2" hidden="1" x14ac:dyDescent="0.35">
      <c r="A591" s="50" t="s">
        <v>2211</v>
      </c>
      <c r="B591" t="str">
        <f>VLOOKUP(A591,Master!B:H,7,0)</f>
        <v>Aeon Tân Phú</v>
      </c>
    </row>
    <row r="592" spans="1:2" hidden="1" x14ac:dyDescent="0.35">
      <c r="A592" s="51" t="s">
        <v>2530</v>
      </c>
      <c r="B592" t="str">
        <f>VLOOKUP(A592,Master!B:H,7,0)</f>
        <v>AEON Mall Tân Phú</v>
      </c>
    </row>
    <row r="593" spans="1:2" hidden="1" x14ac:dyDescent="0.35">
      <c r="A593" s="50" t="s">
        <v>2522</v>
      </c>
      <c r="B593" t="str">
        <f>VLOOKUP(A593,Master!B:H,7,0)</f>
        <v>Lê Trọng Tấn, Tân Thắng</v>
      </c>
    </row>
    <row r="594" spans="1:2" x14ac:dyDescent="0.35">
      <c r="A594" s="51" t="s">
        <v>4994</v>
      </c>
      <c r="B594" t="str">
        <f>VLOOKUP(A594,Master!B:H,7,0)</f>
        <v>Yutang Tân ThắngAeon Mall Tân Phú Celadon</v>
      </c>
    </row>
    <row r="595" spans="1:2" x14ac:dyDescent="0.35">
      <c r="A595" s="50" t="s">
        <v>4997</v>
      </c>
      <c r="B595" t="str">
        <f>VLOOKUP(A595,Master!B:H,7,0)</f>
        <v>Manwah Lãnh Binh Thăng/Minh Phụng/Bình Thới</v>
      </c>
    </row>
    <row r="596" spans="1:2" x14ac:dyDescent="0.35">
      <c r="A596" s="51" t="s">
        <v>5002</v>
      </c>
      <c r="B596" t="str">
        <f>VLOOKUP(A596,Master!B:H,7,0)</f>
        <v xml:space="preserve">Shogun </v>
      </c>
    </row>
    <row r="597" spans="1:2" x14ac:dyDescent="0.35">
      <c r="A597" s="50" t="s">
        <v>5010</v>
      </c>
      <c r="B597" t="str">
        <f>VLOOKUP(A597,Master!B:H,7,0)</f>
        <v xml:space="preserve">Sumogoya </v>
      </c>
    </row>
    <row r="598" spans="1:2" hidden="1" x14ac:dyDescent="0.35">
      <c r="A598" s="51" t="s">
        <v>2486</v>
      </c>
      <c r="B598" t="str">
        <f>VLOOKUP(A598,Master!B:H,7,0)</f>
        <v>Trung tâm thương mại / Ga tàu, Metro</v>
      </c>
    </row>
    <row r="599" spans="1:2" hidden="1" x14ac:dyDescent="0.35">
      <c r="A599" s="50" t="s">
        <v>2478</v>
      </c>
      <c r="B599" t="str">
        <f>VLOOKUP(A599,Master!B:H,7,0)</f>
        <v>Hoàng Sa, Trường Sa ( tham khảo HL - mới mở thêm điểm thứ 3 trên cung này)</v>
      </c>
    </row>
    <row r="600" spans="1:2" hidden="1" x14ac:dyDescent="0.35">
      <c r="A600" s="51" t="s">
        <v>2583</v>
      </c>
      <c r="B600" t="str">
        <f>VLOOKUP(A600,Master!B:H,7,0)</f>
        <v>khu sư van hạnh/ Lý Thái Tổ/Cửu Long/Thành Thái/
Tô Hiến Thành/Hồ Bá Kiện</v>
      </c>
    </row>
    <row r="601" spans="1:2" x14ac:dyDescent="0.35">
      <c r="A601" s="50" t="s">
        <v>5022</v>
      </c>
      <c r="B601" t="str">
        <f>VLOOKUP(A601,Master!B:H,7,0)</f>
        <v>Dao Niu Guo 136 Hàm Nghi</v>
      </c>
    </row>
    <row r="602" spans="1:2" x14ac:dyDescent="0.35">
      <c r="A602" s="50" t="s">
        <v>5030</v>
      </c>
      <c r="B602" t="str">
        <f>VLOOKUP(A602,Master!B:H,7,0)</f>
        <v>Dao Niu Guo Phan Xích Long</v>
      </c>
    </row>
    <row r="603" spans="1:2" x14ac:dyDescent="0.35">
      <c r="A603" s="50" t="s">
        <v>5056</v>
      </c>
      <c r="B603" t="str">
        <f>VLOOKUP(A603,Master!B:H,7,0)</f>
        <v>Isushi Xuân Thủy, Thảo Điền, Sông Hàn, Trần Mão</v>
      </c>
    </row>
    <row r="604" spans="1:2" x14ac:dyDescent="0.35">
      <c r="A604" s="51" t="s">
        <v>5068</v>
      </c>
      <c r="B604" t="str">
        <f>VLOOKUP(A604,Master!B:H,7,0)</f>
        <v>The Coffee House Nam Á Bank, đường cách mạng T8</v>
      </c>
    </row>
    <row r="605" spans="1:2" hidden="1" x14ac:dyDescent="0.35">
      <c r="A605" s="51" t="s">
        <v>1756</v>
      </c>
      <c r="B605" t="str">
        <f>VLOOKUP(A605,Master!B:H,7,0)</f>
        <v>LC Lotte Phú Thọ HCM</v>
      </c>
    </row>
    <row r="606" spans="1:2" x14ac:dyDescent="0.35">
      <c r="A606" s="50" t="s">
        <v>5085</v>
      </c>
      <c r="B606" t="str">
        <f>VLOOKUP(A606,Master!B:H,7,0)</f>
        <v xml:space="preserve">Kichi Kichi </v>
      </c>
    </row>
    <row r="607" spans="1:2" x14ac:dyDescent="0.35">
      <c r="A607" s="51" t="s">
        <v>5092</v>
      </c>
      <c r="B607" t="str">
        <f>VLOOKUP(A607,Master!B:H,7,0)</f>
        <v xml:space="preserve">Kichi Kichi </v>
      </c>
    </row>
    <row r="608" spans="1:2" x14ac:dyDescent="0.35">
      <c r="A608" s="50" t="s">
        <v>5095</v>
      </c>
      <c r="B608" t="str">
        <f>VLOOKUP(A608,Master!B:H,7,0)</f>
        <v xml:space="preserve">Kichi Kichi </v>
      </c>
    </row>
    <row r="609" spans="1:2" x14ac:dyDescent="0.35">
      <c r="A609" s="51" t="s">
        <v>5104</v>
      </c>
      <c r="B609" t="str">
        <f>VLOOKUP(A609,Master!B:H,7,0)</f>
        <v xml:space="preserve">Gogi House </v>
      </c>
    </row>
    <row r="610" spans="1:2" hidden="1" x14ac:dyDescent="0.35">
      <c r="A610" s="50" t="s">
        <v>2589</v>
      </c>
      <c r="B610" t="str">
        <f>VLOOKUP(A610,Master!B:H,7,0)</f>
        <v>Chùa Chuông, QL 39, Chu Mạnh Trinh (shop house, chân đế)</v>
      </c>
    </row>
    <row r="611" spans="1:2" hidden="1" x14ac:dyDescent="0.35">
      <c r="A611" s="51" t="s">
        <v>2619</v>
      </c>
      <c r="B611" t="str">
        <f>VLOOKUP(A611,Master!B:H,7,0)</f>
        <v>Phan Chu Trinh, Ngô Quyền, Hàn Thuyên, Nguyễn Công Trứ, Lý Thường Kiệt (cụm khu vực Chợ Đầm)</v>
      </c>
    </row>
    <row r="612" spans="1:2" hidden="1" x14ac:dyDescent="0.35">
      <c r="A612" s="50" t="s">
        <v>2508</v>
      </c>
      <c r="B612" t="str">
        <f>VLOOKUP(A612,Master!B:H,7,0)</f>
        <v>Vạn Dạ, Mường Thanh, Vĩnh Chiều</v>
      </c>
    </row>
    <row r="613" spans="1:2" x14ac:dyDescent="0.35">
      <c r="A613" s="51" t="s">
        <v>5134</v>
      </c>
      <c r="B613" t="str">
        <f>VLOOKUP(A613,Master!B:H,7,0)</f>
        <v xml:space="preserve">Kichi Kichi </v>
      </c>
    </row>
    <row r="614" spans="1:2" x14ac:dyDescent="0.35">
      <c r="A614" s="50" t="s">
        <v>5161</v>
      </c>
      <c r="B614" t="str">
        <f>VLOOKUP(A614,Master!B:H,7,0)</f>
        <v>Gogi House Khu đô thị Vinhomes Smart CityVincom Mega Mall Smart CityKhu đô thị Vinhomes Smart City, Đại Mỗ, Nam Từ Liêm, Hà Nội</v>
      </c>
    </row>
    <row r="615" spans="1:2" x14ac:dyDescent="0.35">
      <c r="A615" s="51" t="s">
        <v>5165</v>
      </c>
      <c r="B615" t="str">
        <f>VLOOKUP(A615,Master!B:H,7,0)</f>
        <v>Gogi House Lý Thường Kiệt hoặc khu vực vincom</v>
      </c>
    </row>
    <row r="616" spans="1:2" x14ac:dyDescent="0.35">
      <c r="A616" s="50" t="s">
        <v>5179</v>
      </c>
      <c r="B616" t="str">
        <f>VLOOKUP(A616,Master!B:H,7,0)</f>
        <v>Gogi House An Dương Vương</v>
      </c>
    </row>
    <row r="617" spans="1:2" x14ac:dyDescent="0.35">
      <c r="A617" s="51" t="s">
        <v>5192</v>
      </c>
      <c r="B617" t="str">
        <f>VLOOKUP(A617,Master!B:H,7,0)</f>
        <v xml:space="preserve">Gogi House </v>
      </c>
    </row>
    <row r="618" spans="1:2" x14ac:dyDescent="0.35">
      <c r="A618" s="50" t="s">
        <v>5201</v>
      </c>
      <c r="B618" t="str">
        <f>VLOOKUP(A618,Master!B:H,7,0)</f>
        <v xml:space="preserve">Gogi House </v>
      </c>
    </row>
    <row r="619" spans="1:2" hidden="1" x14ac:dyDescent="0.35">
      <c r="A619" s="51" t="s">
        <v>2510</v>
      </c>
      <c r="B619" t="str">
        <f>VLOOKUP(A619,Master!B:H,7,0)</f>
        <v>Trần Hưng Đạo, Tràng An, Lê Thái Tổ (Quanh điểm DL phố cổ HL, hồ Kỳ lân)</v>
      </c>
    </row>
    <row r="620" spans="1:2" hidden="1" x14ac:dyDescent="0.35">
      <c r="A620" s="50" t="s">
        <v>2348</v>
      </c>
      <c r="B620" t="str">
        <f>VLOOKUP(A620,Master!B:H,7,0)</f>
        <v>GG Ninh Thuận</v>
      </c>
    </row>
    <row r="621" spans="1:2" hidden="1" x14ac:dyDescent="0.35">
      <c r="A621" s="50" t="s">
        <v>2242</v>
      </c>
      <c r="B621" t="str">
        <f>VLOOKUP(A621,Master!B:H,7,0)</f>
        <v>Quang Trung</v>
      </c>
    </row>
    <row r="622" spans="1:2" hidden="1" x14ac:dyDescent="0.35">
      <c r="A622" s="51" t="s">
        <v>2512</v>
      </c>
      <c r="B622" t="str">
        <f>VLOOKUP(A622,Master!B:H,7,0)</f>
        <v>Trần Hưng Đạo, Lê Thành Tông, Đường 25/4 (khu vực cột đồng hồ, Vincom, Bảo tàng)</v>
      </c>
    </row>
    <row r="623" spans="1:2" x14ac:dyDescent="0.35">
      <c r="A623" s="50" t="s">
        <v>5258</v>
      </c>
      <c r="B623" t="str">
        <f>VLOOKUP(A623,Master!B:H,7,0)</f>
        <v>Gogi House Satra - Centre Mall Võ Văn Kiệt</v>
      </c>
    </row>
    <row r="624" spans="1:2" x14ac:dyDescent="0.35">
      <c r="A624" s="50" t="s">
        <v>5276</v>
      </c>
      <c r="B624" t="str">
        <f>VLOOKUP(A624,Master!B:H,7,0)</f>
        <v xml:space="preserve">Gogi House </v>
      </c>
    </row>
    <row r="625" spans="1:2" x14ac:dyDescent="0.35">
      <c r="A625" s="51" t="s">
        <v>5287</v>
      </c>
      <c r="B625" t="str">
        <f>VLOOKUP(A625,Master!B:H,7,0)</f>
        <v xml:space="preserve">Gogi House </v>
      </c>
    </row>
    <row r="626" spans="1:2" x14ac:dyDescent="0.35">
      <c r="A626" s="50" t="s">
        <v>5296</v>
      </c>
      <c r="B626" t="str">
        <f>VLOOKUP(A626,Master!B:H,7,0)</f>
        <v>Gogi House Lê Quý Đôn, Lê Lợi, Hai Bà Trưng</v>
      </c>
    </row>
    <row r="627" spans="1:2" hidden="1" x14ac:dyDescent="0.35">
      <c r="A627" s="50" t="s">
        <v>2514</v>
      </c>
      <c r="B627" t="str">
        <f>VLOOKUP(A627,Master!B:H,7,0)</f>
        <v>Lê Lợi, Trần Phú (shop house, chân đế, mall)</v>
      </c>
    </row>
    <row r="628" spans="1:2" x14ac:dyDescent="0.35">
      <c r="A628" s="51" t="s">
        <v>5325</v>
      </c>
      <c r="B628" t="str">
        <f>VLOOKUP(A628,Master!B:H,7,0)</f>
        <v>Gogi House Liễu GiaiVincom Center MetropolisLiễu Giai, Cống Vị, Ba Đình, Hà Nội</v>
      </c>
    </row>
    <row r="629" spans="1:2" hidden="1" x14ac:dyDescent="0.35">
      <c r="A629" s="50" t="s">
        <v>2374</v>
      </c>
      <c r="B629" t="str">
        <f>VLOOKUP(A629,Master!B:H,7,0)</f>
        <v>GG Chợ Gạo, Q. , Tiền Giang</v>
      </c>
    </row>
    <row r="630" spans="1:2" x14ac:dyDescent="0.35">
      <c r="A630" s="51" t="s">
        <v>5359</v>
      </c>
      <c r="B630" t="str">
        <f>VLOOKUP(A630,Master!B:H,7,0)</f>
        <v>CloudPot Quảng trường Mỹ ThoAeon Mall Mỹ Tho</v>
      </c>
    </row>
    <row r="631" spans="1:2" hidden="1" x14ac:dyDescent="0.35">
      <c r="A631" s="50" t="s">
        <v>2324</v>
      </c>
      <c r="B631" t="str">
        <f>VLOOKUP(A631,Master!B:H,7,0)</f>
        <v>GG Vincom Center Landmark 81</v>
      </c>
    </row>
    <row r="632" spans="1:2" hidden="1" x14ac:dyDescent="0.35">
      <c r="A632" s="51" t="s">
        <v>2263</v>
      </c>
      <c r="B632" t="str">
        <f>VLOOKUP(A632,Master!B:H,7,0)</f>
        <v>AEON Mỹ Tho</v>
      </c>
    </row>
    <row r="633" spans="1:2" hidden="1" x14ac:dyDescent="0.35">
      <c r="A633" s="50" t="s">
        <v>2408</v>
      </c>
      <c r="B633" t="str">
        <f>VLOOKUP(A633,Master!B:H,7,0)</f>
        <v>MW Aeon Mỹ Tho</v>
      </c>
    </row>
    <row r="634" spans="1:2" hidden="1" x14ac:dyDescent="0.35">
      <c r="A634" s="50" t="s">
        <v>2378</v>
      </c>
      <c r="B634" t="str">
        <f>VLOOKUP(A634,Master!B:H,7,0)</f>
        <v>GG TP Tuyên Quang, Q. , Tuyên Quang</v>
      </c>
    </row>
    <row r="635" spans="1:2" hidden="1" x14ac:dyDescent="0.35">
      <c r="A635" s="51" t="s">
        <v>2322</v>
      </c>
      <c r="B635" t="str">
        <f>VLOOKUP(A635,Master!B:H,7,0)</f>
        <v>GG Crescent Mall</v>
      </c>
    </row>
    <row r="636" spans="1:2" x14ac:dyDescent="0.35">
      <c r="A636" s="50" t="s">
        <v>5388</v>
      </c>
      <c r="B636" t="str">
        <f>VLOOKUP(A636,Master!B:H,7,0)</f>
        <v>Dao Niu Guo 136 Tôn Đức Thắng</v>
      </c>
    </row>
    <row r="637" spans="1:2" x14ac:dyDescent="0.35">
      <c r="A637" s="51" t="s">
        <v>5941</v>
      </c>
      <c r="B637" t="str">
        <f>VLOOKUP(A637,Master!B:H,7,0)</f>
        <v xml:space="preserve">Kichi Kichi </v>
      </c>
    </row>
  </sheetData>
  <autoFilter ref="A1:B637" xr:uid="{A8C0FE15-D1FD-4F2E-AE32-F7357B801B50}">
    <filterColumn colId="1">
      <filters>
        <filter val="#N/A"/>
      </filters>
    </filterColumn>
  </autoFilter>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7215-180F-420C-864C-E8F2AC9B2B5B}">
  <dimension ref="A1:P354"/>
  <sheetViews>
    <sheetView topLeftCell="K1" workbookViewId="0">
      <selection activeCell="P2" sqref="P2"/>
    </sheetView>
  </sheetViews>
  <sheetFormatPr defaultRowHeight="14.5" x14ac:dyDescent="0.35"/>
  <cols>
    <col min="1" max="1" width="9.36328125" bestFit="1" customWidth="1"/>
    <col min="2" max="2" width="20.81640625" bestFit="1" customWidth="1"/>
    <col min="3" max="3" width="14.7265625" bestFit="1" customWidth="1"/>
    <col min="4" max="4" width="49.26953125" bestFit="1" customWidth="1"/>
    <col min="5" max="5" width="80.7265625" bestFit="1" customWidth="1"/>
    <col min="6" max="6" width="48.9062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5974</v>
      </c>
      <c r="B2" t="s">
        <v>6049</v>
      </c>
      <c r="C2" s="52" t="s">
        <v>1943</v>
      </c>
      <c r="D2" t="s">
        <v>6050</v>
      </c>
      <c r="E2" t="s">
        <v>5976</v>
      </c>
      <c r="F2" t="s">
        <v>1788</v>
      </c>
      <c r="G2" t="s">
        <v>1794</v>
      </c>
      <c r="H2" t="s">
        <v>2709</v>
      </c>
      <c r="I2" t="s">
        <v>5977</v>
      </c>
      <c r="J2" t="s">
        <v>5977</v>
      </c>
      <c r="K2" t="s">
        <v>5977</v>
      </c>
      <c r="L2">
        <v>45976</v>
      </c>
      <c r="M2">
        <v>45933</v>
      </c>
      <c r="N2">
        <v>45991</v>
      </c>
      <c r="O2">
        <v>1</v>
      </c>
      <c r="P2" t="s">
        <v>5977</v>
      </c>
    </row>
    <row r="3" spans="1:16" x14ac:dyDescent="0.35">
      <c r="A3" t="s">
        <v>5974</v>
      </c>
      <c r="B3" t="s">
        <v>6051</v>
      </c>
      <c r="C3" s="52" t="s">
        <v>1951</v>
      </c>
      <c r="D3" t="s">
        <v>6052</v>
      </c>
      <c r="E3" t="s">
        <v>5976</v>
      </c>
      <c r="F3" t="s">
        <v>1788</v>
      </c>
      <c r="G3" t="s">
        <v>5423</v>
      </c>
      <c r="H3" t="s">
        <v>2810</v>
      </c>
      <c r="I3" t="s">
        <v>5977</v>
      </c>
      <c r="J3" t="s">
        <v>5977</v>
      </c>
      <c r="K3" t="s">
        <v>5977</v>
      </c>
      <c r="L3">
        <v>45966</v>
      </c>
      <c r="M3">
        <v>45923</v>
      </c>
      <c r="N3">
        <v>45966</v>
      </c>
      <c r="O3">
        <v>1</v>
      </c>
      <c r="P3" t="s">
        <v>5977</v>
      </c>
    </row>
    <row r="4" spans="1:16" x14ac:dyDescent="0.35">
      <c r="A4" t="s">
        <v>5974</v>
      </c>
      <c r="B4" t="s">
        <v>6053</v>
      </c>
      <c r="C4" s="52" t="s">
        <v>1921</v>
      </c>
      <c r="D4" t="s">
        <v>6054</v>
      </c>
      <c r="E4" t="s">
        <v>5976</v>
      </c>
      <c r="F4" t="s">
        <v>1788</v>
      </c>
      <c r="G4" t="s">
        <v>5423</v>
      </c>
      <c r="H4" t="s">
        <v>2709</v>
      </c>
      <c r="I4" t="s">
        <v>5977</v>
      </c>
      <c r="J4" t="s">
        <v>5977</v>
      </c>
      <c r="K4" t="s">
        <v>5977</v>
      </c>
      <c r="L4">
        <v>46002</v>
      </c>
      <c r="M4">
        <v>45980</v>
      </c>
      <c r="N4">
        <v>46002</v>
      </c>
      <c r="O4">
        <v>1</v>
      </c>
      <c r="P4" t="s">
        <v>5977</v>
      </c>
    </row>
    <row r="5" spans="1:16" x14ac:dyDescent="0.35">
      <c r="A5" t="s">
        <v>5974</v>
      </c>
      <c r="B5" t="s">
        <v>6055</v>
      </c>
      <c r="C5" s="52" t="s">
        <v>1967</v>
      </c>
      <c r="D5" t="s">
        <v>6056</v>
      </c>
      <c r="E5" t="s">
        <v>5976</v>
      </c>
      <c r="F5" t="s">
        <v>1788</v>
      </c>
      <c r="G5" t="s">
        <v>5423</v>
      </c>
      <c r="H5" t="s">
        <v>2709</v>
      </c>
      <c r="I5" t="s">
        <v>5977</v>
      </c>
      <c r="J5" t="s">
        <v>5977</v>
      </c>
      <c r="K5" t="s">
        <v>5977</v>
      </c>
      <c r="L5">
        <v>46016</v>
      </c>
      <c r="M5">
        <v>45986</v>
      </c>
      <c r="N5">
        <v>46016</v>
      </c>
      <c r="O5">
        <v>1</v>
      </c>
      <c r="P5" t="s">
        <v>5977</v>
      </c>
    </row>
    <row r="6" spans="1:16" x14ac:dyDescent="0.35">
      <c r="A6" t="s">
        <v>5974</v>
      </c>
      <c r="B6" t="s">
        <v>6057</v>
      </c>
      <c r="C6" s="52" t="s">
        <v>1907</v>
      </c>
      <c r="D6" t="s">
        <v>6058</v>
      </c>
      <c r="E6" t="s">
        <v>5976</v>
      </c>
      <c r="F6" t="s">
        <v>1788</v>
      </c>
      <c r="G6" t="s">
        <v>5423</v>
      </c>
      <c r="H6" t="s">
        <v>2709</v>
      </c>
      <c r="I6" t="s">
        <v>5977</v>
      </c>
      <c r="J6" t="s">
        <v>5977</v>
      </c>
      <c r="K6" t="s">
        <v>5977</v>
      </c>
      <c r="L6">
        <v>46016</v>
      </c>
      <c r="M6">
        <v>45987</v>
      </c>
      <c r="N6">
        <v>46014</v>
      </c>
      <c r="O6">
        <v>1</v>
      </c>
      <c r="P6" t="s">
        <v>5977</v>
      </c>
    </row>
    <row r="7" spans="1:16" x14ac:dyDescent="0.35">
      <c r="A7" t="s">
        <v>5974</v>
      </c>
      <c r="B7" t="s">
        <v>6059</v>
      </c>
      <c r="C7" s="52" t="s">
        <v>1937</v>
      </c>
      <c r="D7" t="s">
        <v>6060</v>
      </c>
      <c r="E7" t="s">
        <v>5976</v>
      </c>
      <c r="F7" t="s">
        <v>1788</v>
      </c>
      <c r="G7" t="s">
        <v>5423</v>
      </c>
      <c r="H7" t="s">
        <v>2810</v>
      </c>
      <c r="I7" t="s">
        <v>5977</v>
      </c>
      <c r="J7" t="s">
        <v>5977</v>
      </c>
      <c r="K7" t="s">
        <v>5977</v>
      </c>
      <c r="L7">
        <v>46051</v>
      </c>
      <c r="M7">
        <v>46021</v>
      </c>
      <c r="N7">
        <v>46050</v>
      </c>
      <c r="O7">
        <v>1</v>
      </c>
      <c r="P7" t="s">
        <v>5977</v>
      </c>
    </row>
    <row r="8" spans="1:16" x14ac:dyDescent="0.35">
      <c r="A8" t="s">
        <v>61</v>
      </c>
      <c r="B8" t="s">
        <v>6061</v>
      </c>
      <c r="C8" s="52" t="s">
        <v>1828</v>
      </c>
      <c r="D8" t="s">
        <v>6062</v>
      </c>
      <c r="E8" t="s">
        <v>6063</v>
      </c>
      <c r="F8" t="s">
        <v>6064</v>
      </c>
      <c r="G8" t="s">
        <v>1794</v>
      </c>
      <c r="H8" t="s">
        <v>2732</v>
      </c>
      <c r="I8" t="s">
        <v>5977</v>
      </c>
      <c r="J8" t="s">
        <v>5977</v>
      </c>
      <c r="K8" t="s">
        <v>5977</v>
      </c>
      <c r="M8" t="s">
        <v>5976</v>
      </c>
      <c r="N8" t="s">
        <v>5976</v>
      </c>
      <c r="O8" t="s">
        <v>5976</v>
      </c>
      <c r="P8" t="s">
        <v>5980</v>
      </c>
    </row>
    <row r="9" spans="1:16" x14ac:dyDescent="0.35">
      <c r="A9" t="s">
        <v>61</v>
      </c>
      <c r="B9" t="s">
        <v>6065</v>
      </c>
      <c r="C9" s="52" t="s">
        <v>1838</v>
      </c>
      <c r="D9" t="s">
        <v>6066</v>
      </c>
      <c r="E9" t="s">
        <v>5976</v>
      </c>
      <c r="F9" t="s">
        <v>6067</v>
      </c>
      <c r="G9" t="s">
        <v>1794</v>
      </c>
      <c r="H9" t="s">
        <v>2709</v>
      </c>
      <c r="I9" t="s">
        <v>5977</v>
      </c>
      <c r="J9" t="s">
        <v>5981</v>
      </c>
      <c r="K9" t="s">
        <v>5980</v>
      </c>
      <c r="L9" t="s">
        <v>5976</v>
      </c>
      <c r="M9" t="s">
        <v>5976</v>
      </c>
      <c r="N9" t="s">
        <v>5976</v>
      </c>
      <c r="O9" t="s">
        <v>5976</v>
      </c>
      <c r="P9" t="s">
        <v>5980</v>
      </c>
    </row>
    <row r="10" spans="1:16" x14ac:dyDescent="0.35">
      <c r="A10" t="s">
        <v>5974</v>
      </c>
      <c r="B10" t="s">
        <v>6068</v>
      </c>
      <c r="C10" s="52" t="s">
        <v>1919</v>
      </c>
      <c r="D10" t="s">
        <v>6069</v>
      </c>
      <c r="E10" t="s">
        <v>5976</v>
      </c>
      <c r="F10" t="s">
        <v>1311</v>
      </c>
      <c r="G10" t="s">
        <v>1794</v>
      </c>
      <c r="H10" t="s">
        <v>2810</v>
      </c>
      <c r="I10" t="s">
        <v>5996</v>
      </c>
      <c r="J10" t="s">
        <v>5996</v>
      </c>
      <c r="K10" t="s">
        <v>5996</v>
      </c>
      <c r="L10" t="s">
        <v>5976</v>
      </c>
      <c r="M10" t="s">
        <v>5976</v>
      </c>
      <c r="N10" t="s">
        <v>5976</v>
      </c>
      <c r="O10" t="s">
        <v>5976</v>
      </c>
      <c r="P10" t="s">
        <v>5980</v>
      </c>
    </row>
    <row r="11" spans="1:16" x14ac:dyDescent="0.35">
      <c r="A11" t="s">
        <v>61</v>
      </c>
      <c r="B11" t="s">
        <v>6070</v>
      </c>
      <c r="C11" s="52" t="s">
        <v>2651</v>
      </c>
      <c r="D11" t="s">
        <v>6071</v>
      </c>
      <c r="E11" t="s">
        <v>5976</v>
      </c>
      <c r="F11" t="s">
        <v>1446</v>
      </c>
      <c r="G11" t="s">
        <v>1794</v>
      </c>
      <c r="H11" t="s">
        <v>2709</v>
      </c>
      <c r="I11" t="s">
        <v>5977</v>
      </c>
      <c r="J11" t="s">
        <v>5977</v>
      </c>
      <c r="K11" t="s">
        <v>5980</v>
      </c>
      <c r="L11" t="s">
        <v>5976</v>
      </c>
      <c r="M11" t="s">
        <v>5976</v>
      </c>
      <c r="N11" t="s">
        <v>5976</v>
      </c>
      <c r="O11" t="s">
        <v>5976</v>
      </c>
      <c r="P11" t="s">
        <v>5980</v>
      </c>
    </row>
    <row r="12" spans="1:16" x14ac:dyDescent="0.35">
      <c r="A12" t="s">
        <v>61</v>
      </c>
      <c r="B12" t="s">
        <v>6072</v>
      </c>
      <c r="C12" s="52" t="s">
        <v>1861</v>
      </c>
      <c r="D12" t="s">
        <v>6073</v>
      </c>
      <c r="E12" t="s">
        <v>5976</v>
      </c>
      <c r="F12" t="s">
        <v>1446</v>
      </c>
      <c r="G12" t="s">
        <v>1794</v>
      </c>
      <c r="H12" t="s">
        <v>2709</v>
      </c>
      <c r="I12" t="s">
        <v>5977</v>
      </c>
      <c r="J12" t="s">
        <v>5977</v>
      </c>
      <c r="K12" t="s">
        <v>5977</v>
      </c>
      <c r="L12">
        <v>46042</v>
      </c>
      <c r="M12">
        <v>46009</v>
      </c>
      <c r="N12">
        <v>46042</v>
      </c>
      <c r="O12">
        <v>1</v>
      </c>
      <c r="P12" t="s">
        <v>5977</v>
      </c>
    </row>
    <row r="13" spans="1:16" x14ac:dyDescent="0.35">
      <c r="A13" t="s">
        <v>61</v>
      </c>
      <c r="B13" t="s">
        <v>6074</v>
      </c>
      <c r="C13" s="52" t="s">
        <v>1879</v>
      </c>
      <c r="D13" t="s">
        <v>6075</v>
      </c>
      <c r="E13" t="s">
        <v>5976</v>
      </c>
      <c r="F13" t="s">
        <v>1446</v>
      </c>
      <c r="G13" t="s">
        <v>1794</v>
      </c>
      <c r="H13" t="s">
        <v>2709</v>
      </c>
      <c r="I13" t="s">
        <v>5977</v>
      </c>
      <c r="J13" t="s">
        <v>5977</v>
      </c>
      <c r="K13" t="s">
        <v>5977</v>
      </c>
      <c r="L13">
        <v>46002</v>
      </c>
      <c r="M13">
        <v>45974</v>
      </c>
      <c r="N13">
        <v>46002</v>
      </c>
      <c r="O13">
        <v>1</v>
      </c>
      <c r="P13" t="s">
        <v>5977</v>
      </c>
    </row>
    <row r="14" spans="1:16" x14ac:dyDescent="0.35">
      <c r="A14" t="s">
        <v>61</v>
      </c>
      <c r="B14" t="s">
        <v>6076</v>
      </c>
      <c r="C14" s="52" t="s">
        <v>1876</v>
      </c>
      <c r="D14" t="s">
        <v>6077</v>
      </c>
      <c r="E14" t="s">
        <v>5976</v>
      </c>
      <c r="F14" t="s">
        <v>1446</v>
      </c>
      <c r="G14" t="s">
        <v>1794</v>
      </c>
      <c r="H14" t="s">
        <v>2709</v>
      </c>
      <c r="I14" t="s">
        <v>5977</v>
      </c>
      <c r="J14" t="s">
        <v>5977</v>
      </c>
      <c r="K14" t="s">
        <v>5977</v>
      </c>
      <c r="L14">
        <v>46039</v>
      </c>
      <c r="M14">
        <v>46008</v>
      </c>
      <c r="N14">
        <v>46039</v>
      </c>
      <c r="O14">
        <v>1</v>
      </c>
      <c r="P14" t="s">
        <v>5977</v>
      </c>
    </row>
    <row r="15" spans="1:16" x14ac:dyDescent="0.35">
      <c r="A15" t="s">
        <v>61</v>
      </c>
      <c r="B15" t="s">
        <v>6078</v>
      </c>
      <c r="C15" s="52" t="s">
        <v>2645</v>
      </c>
      <c r="D15" t="s">
        <v>6079</v>
      </c>
      <c r="E15" t="s">
        <v>5976</v>
      </c>
      <c r="F15" t="s">
        <v>1446</v>
      </c>
      <c r="G15" t="s">
        <v>1794</v>
      </c>
      <c r="H15" t="s">
        <v>2709</v>
      </c>
      <c r="I15" t="s">
        <v>5977</v>
      </c>
      <c r="J15" t="s">
        <v>5977</v>
      </c>
      <c r="K15" t="s">
        <v>6011</v>
      </c>
    </row>
    <row r="16" spans="1:16" x14ac:dyDescent="0.35">
      <c r="A16" t="s">
        <v>61</v>
      </c>
      <c r="B16" t="s">
        <v>6080</v>
      </c>
      <c r="C16" s="52" t="s">
        <v>1844</v>
      </c>
      <c r="D16" t="s">
        <v>6081</v>
      </c>
      <c r="E16" t="s">
        <v>5976</v>
      </c>
      <c r="F16" t="s">
        <v>1446</v>
      </c>
      <c r="G16" t="s">
        <v>1794</v>
      </c>
      <c r="H16" t="s">
        <v>2709</v>
      </c>
      <c r="I16" t="s">
        <v>5977</v>
      </c>
      <c r="J16" t="s">
        <v>5977</v>
      </c>
      <c r="K16" t="s">
        <v>5977</v>
      </c>
      <c r="L16">
        <v>46032</v>
      </c>
      <c r="M16">
        <v>46007</v>
      </c>
      <c r="N16">
        <v>46031</v>
      </c>
      <c r="O16">
        <v>1</v>
      </c>
      <c r="P16" t="s">
        <v>5977</v>
      </c>
    </row>
    <row r="17" spans="1:16" x14ac:dyDescent="0.35">
      <c r="A17" t="s">
        <v>61</v>
      </c>
      <c r="B17" t="s">
        <v>6082</v>
      </c>
      <c r="C17" s="52" t="s">
        <v>2647</v>
      </c>
      <c r="D17" t="s">
        <v>6083</v>
      </c>
      <c r="E17" t="s">
        <v>5976</v>
      </c>
      <c r="F17" t="s">
        <v>1446</v>
      </c>
      <c r="G17" t="s">
        <v>1794</v>
      </c>
      <c r="H17" t="s">
        <v>2709</v>
      </c>
      <c r="I17" t="s">
        <v>5996</v>
      </c>
      <c r="J17" t="s">
        <v>5977</v>
      </c>
      <c r="K17" t="s">
        <v>5996</v>
      </c>
      <c r="L17" t="s">
        <v>5976</v>
      </c>
      <c r="M17" t="s">
        <v>5976</v>
      </c>
      <c r="N17" t="s">
        <v>5976</v>
      </c>
      <c r="O17" t="s">
        <v>5976</v>
      </c>
      <c r="P17" t="s">
        <v>5996</v>
      </c>
    </row>
    <row r="18" spans="1:16" x14ac:dyDescent="0.35">
      <c r="A18" t="s">
        <v>61</v>
      </c>
      <c r="B18" t="s">
        <v>6084</v>
      </c>
      <c r="C18" s="52" t="s">
        <v>1795</v>
      </c>
      <c r="D18" t="s">
        <v>6085</v>
      </c>
      <c r="E18" t="s">
        <v>5976</v>
      </c>
      <c r="F18" t="s">
        <v>1446</v>
      </c>
      <c r="G18" t="s">
        <v>1794</v>
      </c>
      <c r="H18" t="s">
        <v>2709</v>
      </c>
      <c r="I18" t="s">
        <v>5977</v>
      </c>
      <c r="J18" t="s">
        <v>5977</v>
      </c>
      <c r="K18" t="s">
        <v>5977</v>
      </c>
      <c r="L18">
        <v>46010</v>
      </c>
      <c r="M18">
        <v>45975</v>
      </c>
      <c r="N18">
        <v>46008</v>
      </c>
      <c r="O18">
        <v>1</v>
      </c>
      <c r="P18" t="s">
        <v>5977</v>
      </c>
    </row>
    <row r="19" spans="1:16" x14ac:dyDescent="0.35">
      <c r="A19" t="s">
        <v>61</v>
      </c>
      <c r="B19" t="s">
        <v>6086</v>
      </c>
      <c r="C19" s="52" t="s">
        <v>1790</v>
      </c>
      <c r="D19" t="s">
        <v>6087</v>
      </c>
      <c r="E19" t="s">
        <v>5976</v>
      </c>
      <c r="F19" t="s">
        <v>6064</v>
      </c>
      <c r="G19" t="s">
        <v>1794</v>
      </c>
      <c r="H19" t="s">
        <v>2709</v>
      </c>
      <c r="I19" t="s">
        <v>5977</v>
      </c>
      <c r="J19" t="s">
        <v>5977</v>
      </c>
      <c r="K19" t="s">
        <v>5977</v>
      </c>
      <c r="L19">
        <v>46044</v>
      </c>
      <c r="M19">
        <v>45996</v>
      </c>
      <c r="N19">
        <v>46044</v>
      </c>
      <c r="O19">
        <v>1</v>
      </c>
      <c r="P19" t="s">
        <v>5977</v>
      </c>
    </row>
    <row r="20" spans="1:16" x14ac:dyDescent="0.35">
      <c r="A20" t="s">
        <v>61</v>
      </c>
      <c r="B20" t="s">
        <v>6088</v>
      </c>
      <c r="C20" s="52" t="s">
        <v>1845</v>
      </c>
      <c r="D20" t="s">
        <v>6089</v>
      </c>
      <c r="E20" t="s">
        <v>5976</v>
      </c>
      <c r="F20" t="s">
        <v>1788</v>
      </c>
      <c r="G20" t="s">
        <v>6090</v>
      </c>
      <c r="H20" t="s">
        <v>2709</v>
      </c>
      <c r="I20" t="s">
        <v>5977</v>
      </c>
      <c r="J20" t="s">
        <v>5977</v>
      </c>
      <c r="K20" t="s">
        <v>5977</v>
      </c>
      <c r="L20">
        <v>46068</v>
      </c>
      <c r="M20">
        <v>46051</v>
      </c>
      <c r="N20">
        <v>46060</v>
      </c>
      <c r="O20">
        <v>1</v>
      </c>
      <c r="P20" t="s">
        <v>5977</v>
      </c>
    </row>
    <row r="21" spans="1:16" x14ac:dyDescent="0.35">
      <c r="A21" t="s">
        <v>61</v>
      </c>
      <c r="B21" t="s">
        <v>6091</v>
      </c>
      <c r="C21" s="52" t="s">
        <v>1840</v>
      </c>
      <c r="D21" t="s">
        <v>6092</v>
      </c>
      <c r="E21" t="s">
        <v>5976</v>
      </c>
      <c r="F21" t="s">
        <v>1788</v>
      </c>
      <c r="G21" t="s">
        <v>6090</v>
      </c>
      <c r="H21" t="s">
        <v>2709</v>
      </c>
      <c r="I21" t="s">
        <v>5977</v>
      </c>
      <c r="J21" t="s">
        <v>5981</v>
      </c>
      <c r="K21" t="s">
        <v>5980</v>
      </c>
      <c r="L21" t="s">
        <v>5976</v>
      </c>
      <c r="M21" t="s">
        <v>5976</v>
      </c>
      <c r="N21" t="s">
        <v>5976</v>
      </c>
      <c r="O21" t="s">
        <v>5976</v>
      </c>
      <c r="P21" t="s">
        <v>5980</v>
      </c>
    </row>
    <row r="22" spans="1:16" x14ac:dyDescent="0.35">
      <c r="A22" t="s">
        <v>61</v>
      </c>
      <c r="B22" t="s">
        <v>6093</v>
      </c>
      <c r="C22" s="52" t="s">
        <v>1822</v>
      </c>
      <c r="D22" t="s">
        <v>6094</v>
      </c>
      <c r="E22" t="s">
        <v>6095</v>
      </c>
      <c r="F22" t="s">
        <v>1788</v>
      </c>
      <c r="G22" t="s">
        <v>6090</v>
      </c>
      <c r="H22" t="s">
        <v>2709</v>
      </c>
      <c r="I22" t="s">
        <v>5977</v>
      </c>
      <c r="J22" t="s">
        <v>5981</v>
      </c>
      <c r="K22" t="s">
        <v>5977</v>
      </c>
      <c r="L22">
        <v>46071</v>
      </c>
      <c r="M22">
        <v>46041</v>
      </c>
      <c r="N22">
        <v>46063</v>
      </c>
      <c r="O22">
        <v>1</v>
      </c>
      <c r="P22" t="s">
        <v>5977</v>
      </c>
    </row>
    <row r="23" spans="1:16" x14ac:dyDescent="0.35">
      <c r="A23" t="s">
        <v>61</v>
      </c>
      <c r="B23" t="s">
        <v>6096</v>
      </c>
      <c r="C23" s="52" t="s">
        <v>1855</v>
      </c>
      <c r="D23" t="s">
        <v>6097</v>
      </c>
      <c r="E23" t="s">
        <v>5976</v>
      </c>
      <c r="F23" t="s">
        <v>1788</v>
      </c>
      <c r="G23" t="s">
        <v>6090</v>
      </c>
      <c r="H23" t="s">
        <v>2709</v>
      </c>
      <c r="I23" t="s">
        <v>5977</v>
      </c>
      <c r="J23" t="s">
        <v>5981</v>
      </c>
      <c r="K23" t="s">
        <v>5977</v>
      </c>
      <c r="L23">
        <v>46064</v>
      </c>
      <c r="M23">
        <v>46039</v>
      </c>
      <c r="N23">
        <v>46064</v>
      </c>
      <c r="O23">
        <v>1</v>
      </c>
      <c r="P23" t="s">
        <v>5977</v>
      </c>
    </row>
    <row r="24" spans="1:16" x14ac:dyDescent="0.35">
      <c r="A24" t="s">
        <v>61</v>
      </c>
      <c r="B24" t="s">
        <v>6098</v>
      </c>
      <c r="C24" s="52" t="s">
        <v>1857</v>
      </c>
      <c r="D24" t="s">
        <v>6099</v>
      </c>
      <c r="E24" t="s">
        <v>5976</v>
      </c>
      <c r="F24" t="s">
        <v>1788</v>
      </c>
      <c r="G24" t="s">
        <v>6090</v>
      </c>
      <c r="H24" t="s">
        <v>2709</v>
      </c>
      <c r="I24" t="s">
        <v>5977</v>
      </c>
      <c r="J24" t="s">
        <v>5977</v>
      </c>
      <c r="K24" t="s">
        <v>5977</v>
      </c>
      <c r="L24">
        <v>46058</v>
      </c>
      <c r="M24">
        <v>46027</v>
      </c>
      <c r="N24">
        <v>46058</v>
      </c>
      <c r="O24">
        <v>1</v>
      </c>
      <c r="P24" t="s">
        <v>5977</v>
      </c>
    </row>
    <row r="25" spans="1:16" x14ac:dyDescent="0.35">
      <c r="A25" t="s">
        <v>61</v>
      </c>
      <c r="B25" t="s">
        <v>6100</v>
      </c>
      <c r="C25" s="52" t="s">
        <v>1874</v>
      </c>
      <c r="D25" t="s">
        <v>6101</v>
      </c>
      <c r="E25" t="s">
        <v>6102</v>
      </c>
      <c r="F25" t="s">
        <v>1788</v>
      </c>
      <c r="G25" t="s">
        <v>6090</v>
      </c>
      <c r="H25" t="s">
        <v>2709</v>
      </c>
      <c r="I25" t="s">
        <v>5977</v>
      </c>
      <c r="J25" t="s">
        <v>5981</v>
      </c>
      <c r="K25" t="s">
        <v>5977</v>
      </c>
      <c r="L25">
        <v>46067</v>
      </c>
      <c r="M25">
        <v>46042</v>
      </c>
      <c r="N25">
        <v>46067</v>
      </c>
      <c r="O25">
        <v>1</v>
      </c>
      <c r="P25" t="s">
        <v>5977</v>
      </c>
    </row>
    <row r="26" spans="1:16" x14ac:dyDescent="0.35">
      <c r="A26" t="s">
        <v>61</v>
      </c>
      <c r="B26" t="s">
        <v>6103</v>
      </c>
      <c r="C26" s="52" t="s">
        <v>1847</v>
      </c>
      <c r="D26" t="s">
        <v>6104</v>
      </c>
      <c r="E26" t="s">
        <v>5976</v>
      </c>
      <c r="F26" t="s">
        <v>1788</v>
      </c>
      <c r="G26" t="s">
        <v>6090</v>
      </c>
      <c r="H26" t="s">
        <v>2709</v>
      </c>
      <c r="I26" t="s">
        <v>5977</v>
      </c>
      <c r="J26" t="s">
        <v>5977</v>
      </c>
      <c r="K26" t="s">
        <v>5977</v>
      </c>
      <c r="L26">
        <v>46053</v>
      </c>
      <c r="M26">
        <v>46027</v>
      </c>
      <c r="N26" t="s">
        <v>5976</v>
      </c>
      <c r="O26">
        <v>1</v>
      </c>
      <c r="P26" t="s">
        <v>5977</v>
      </c>
    </row>
    <row r="27" spans="1:16" x14ac:dyDescent="0.35">
      <c r="A27" t="s">
        <v>61</v>
      </c>
      <c r="B27" t="s">
        <v>6105</v>
      </c>
      <c r="C27" s="52" t="s">
        <v>1800</v>
      </c>
      <c r="D27" t="s">
        <v>6106</v>
      </c>
      <c r="E27" t="s">
        <v>5976</v>
      </c>
      <c r="F27" t="s">
        <v>1788</v>
      </c>
      <c r="G27" t="s">
        <v>6090</v>
      </c>
      <c r="H27" t="s">
        <v>2810</v>
      </c>
      <c r="I27" t="s">
        <v>5977</v>
      </c>
      <c r="J27" t="s">
        <v>5977</v>
      </c>
      <c r="K27" t="s">
        <v>5977</v>
      </c>
      <c r="L27">
        <v>46058</v>
      </c>
      <c r="M27">
        <v>46043</v>
      </c>
      <c r="N27" t="s">
        <v>5976</v>
      </c>
      <c r="O27">
        <v>1</v>
      </c>
      <c r="P27" t="s">
        <v>5977</v>
      </c>
    </row>
    <row r="28" spans="1:16" x14ac:dyDescent="0.35">
      <c r="A28" t="s">
        <v>61</v>
      </c>
      <c r="B28" t="s">
        <v>6107</v>
      </c>
      <c r="C28" s="52" t="s">
        <v>1812</v>
      </c>
      <c r="D28" t="s">
        <v>6108</v>
      </c>
      <c r="E28" t="s">
        <v>6109</v>
      </c>
      <c r="F28" t="s">
        <v>1788</v>
      </c>
      <c r="G28" t="s">
        <v>6090</v>
      </c>
      <c r="H28" t="s">
        <v>2709</v>
      </c>
      <c r="I28" t="s">
        <v>5977</v>
      </c>
      <c r="J28" t="s">
        <v>5981</v>
      </c>
      <c r="K28" t="s">
        <v>5977</v>
      </c>
      <c r="L28">
        <v>46063</v>
      </c>
      <c r="M28">
        <v>46051</v>
      </c>
      <c r="N28">
        <v>46063</v>
      </c>
      <c r="O28">
        <v>1</v>
      </c>
      <c r="P28" t="s">
        <v>5977</v>
      </c>
    </row>
    <row r="29" spans="1:16" x14ac:dyDescent="0.35">
      <c r="A29" t="s">
        <v>61</v>
      </c>
      <c r="B29" t="s">
        <v>6110</v>
      </c>
      <c r="C29" s="52" t="s">
        <v>1802</v>
      </c>
      <c r="D29" t="s">
        <v>6111</v>
      </c>
      <c r="E29" t="s">
        <v>5976</v>
      </c>
      <c r="F29" t="s">
        <v>1788</v>
      </c>
      <c r="G29" t="s">
        <v>5423</v>
      </c>
      <c r="H29" t="s">
        <v>2709</v>
      </c>
      <c r="I29" t="s">
        <v>5977</v>
      </c>
      <c r="J29" t="s">
        <v>5977</v>
      </c>
      <c r="K29" t="s">
        <v>5977</v>
      </c>
      <c r="L29">
        <v>46062</v>
      </c>
      <c r="M29">
        <v>46035</v>
      </c>
      <c r="N29">
        <v>46061</v>
      </c>
      <c r="O29">
        <v>1</v>
      </c>
      <c r="P29" t="s">
        <v>5977</v>
      </c>
    </row>
    <row r="30" spans="1:16" x14ac:dyDescent="0.35">
      <c r="A30" t="s">
        <v>61</v>
      </c>
      <c r="B30" t="s">
        <v>6112</v>
      </c>
      <c r="C30" s="52" t="s">
        <v>1796</v>
      </c>
      <c r="D30" t="s">
        <v>6113</v>
      </c>
      <c r="E30" t="s">
        <v>6114</v>
      </c>
      <c r="F30" t="s">
        <v>1788</v>
      </c>
      <c r="G30" t="s">
        <v>6090</v>
      </c>
      <c r="H30" t="s">
        <v>2810</v>
      </c>
      <c r="I30" t="s">
        <v>5977</v>
      </c>
      <c r="J30" t="s">
        <v>5981</v>
      </c>
      <c r="K30" t="s">
        <v>5977</v>
      </c>
      <c r="L30">
        <v>46075</v>
      </c>
      <c r="M30">
        <v>46048</v>
      </c>
      <c r="N30">
        <v>46067</v>
      </c>
      <c r="O30">
        <v>1</v>
      </c>
      <c r="P30" t="s">
        <v>5977</v>
      </c>
    </row>
    <row r="31" spans="1:16" x14ac:dyDescent="0.35">
      <c r="A31" t="s">
        <v>61</v>
      </c>
      <c r="B31" t="s">
        <v>6115</v>
      </c>
      <c r="C31" s="52" t="s">
        <v>1830</v>
      </c>
      <c r="D31" t="s">
        <v>6116</v>
      </c>
      <c r="E31" t="s">
        <v>6117</v>
      </c>
      <c r="F31" t="s">
        <v>1788</v>
      </c>
      <c r="G31" t="s">
        <v>6090</v>
      </c>
      <c r="H31" t="s">
        <v>2709</v>
      </c>
      <c r="I31" t="s">
        <v>5977</v>
      </c>
      <c r="J31" t="s">
        <v>5977</v>
      </c>
      <c r="K31" t="s">
        <v>5977</v>
      </c>
      <c r="L31">
        <v>46057</v>
      </c>
      <c r="M31">
        <v>46021</v>
      </c>
      <c r="N31">
        <v>46059</v>
      </c>
      <c r="O31">
        <v>1</v>
      </c>
      <c r="P31" t="s">
        <v>5977</v>
      </c>
    </row>
    <row r="32" spans="1:16" x14ac:dyDescent="0.35">
      <c r="A32" t="s">
        <v>61</v>
      </c>
      <c r="B32" t="s">
        <v>6118</v>
      </c>
      <c r="C32" s="52" t="s">
        <v>1976</v>
      </c>
      <c r="D32" t="s">
        <v>6119</v>
      </c>
      <c r="E32" t="s">
        <v>5976</v>
      </c>
      <c r="F32" t="s">
        <v>1788</v>
      </c>
      <c r="G32" t="s">
        <v>6090</v>
      </c>
      <c r="H32" t="s">
        <v>2709</v>
      </c>
      <c r="I32" t="s">
        <v>5977</v>
      </c>
      <c r="J32" t="s">
        <v>5981</v>
      </c>
      <c r="K32" t="s">
        <v>6011</v>
      </c>
    </row>
    <row r="33" spans="1:16" x14ac:dyDescent="0.35">
      <c r="A33" t="s">
        <v>61</v>
      </c>
      <c r="B33" t="s">
        <v>6120</v>
      </c>
      <c r="C33" s="52" t="s">
        <v>1816</v>
      </c>
      <c r="D33" t="s">
        <v>6121</v>
      </c>
      <c r="E33" t="s">
        <v>6122</v>
      </c>
      <c r="F33" t="s">
        <v>1788</v>
      </c>
      <c r="G33" t="s">
        <v>6090</v>
      </c>
      <c r="H33" t="s">
        <v>2709</v>
      </c>
      <c r="I33" t="s">
        <v>5977</v>
      </c>
      <c r="J33" t="s">
        <v>5981</v>
      </c>
      <c r="K33" t="s">
        <v>5977</v>
      </c>
      <c r="L33">
        <v>46139</v>
      </c>
      <c r="O33">
        <v>0</v>
      </c>
      <c r="P33" t="s">
        <v>6011</v>
      </c>
    </row>
    <row r="34" spans="1:16" x14ac:dyDescent="0.35">
      <c r="A34" t="s">
        <v>61</v>
      </c>
      <c r="B34" t="s">
        <v>6123</v>
      </c>
      <c r="C34" s="52" t="s">
        <v>1868</v>
      </c>
      <c r="D34" t="s">
        <v>6124</v>
      </c>
      <c r="E34" t="s">
        <v>5976</v>
      </c>
      <c r="F34" t="s">
        <v>1788</v>
      </c>
      <c r="G34" t="s">
        <v>6090</v>
      </c>
      <c r="H34" t="s">
        <v>2709</v>
      </c>
      <c r="I34" t="s">
        <v>5977</v>
      </c>
      <c r="J34" t="s">
        <v>5981</v>
      </c>
      <c r="K34" t="s">
        <v>5996</v>
      </c>
      <c r="L34" t="s">
        <v>5976</v>
      </c>
      <c r="M34" t="s">
        <v>5976</v>
      </c>
      <c r="N34" t="s">
        <v>5976</v>
      </c>
      <c r="O34" t="s">
        <v>5976</v>
      </c>
      <c r="P34" t="s">
        <v>5996</v>
      </c>
    </row>
    <row r="35" spans="1:16" x14ac:dyDescent="0.35">
      <c r="A35" t="s">
        <v>61</v>
      </c>
      <c r="B35" t="s">
        <v>6125</v>
      </c>
      <c r="C35" s="52" t="s">
        <v>1972</v>
      </c>
      <c r="D35" t="s">
        <v>6126</v>
      </c>
      <c r="E35" t="s">
        <v>5976</v>
      </c>
      <c r="F35" t="s">
        <v>1788</v>
      </c>
      <c r="G35" t="s">
        <v>6090</v>
      </c>
      <c r="H35" t="s">
        <v>2709</v>
      </c>
      <c r="I35" t="s">
        <v>5977</v>
      </c>
      <c r="J35" t="s">
        <v>5981</v>
      </c>
      <c r="K35" t="s">
        <v>5977</v>
      </c>
      <c r="P35" t="s">
        <v>6011</v>
      </c>
    </row>
    <row r="36" spans="1:16" x14ac:dyDescent="0.35">
      <c r="A36" t="s">
        <v>61</v>
      </c>
      <c r="B36" t="s">
        <v>6127</v>
      </c>
      <c r="C36" s="52" t="s">
        <v>1980</v>
      </c>
      <c r="D36" t="s">
        <v>6128</v>
      </c>
      <c r="E36" t="s">
        <v>5976</v>
      </c>
      <c r="F36" t="s">
        <v>1788</v>
      </c>
      <c r="G36" t="s">
        <v>6090</v>
      </c>
      <c r="H36" t="s">
        <v>5976</v>
      </c>
      <c r="I36" t="s">
        <v>5977</v>
      </c>
      <c r="J36" t="s">
        <v>5981</v>
      </c>
      <c r="K36" t="s">
        <v>6011</v>
      </c>
    </row>
    <row r="37" spans="1:16" x14ac:dyDescent="0.35">
      <c r="A37" t="s">
        <v>61</v>
      </c>
      <c r="B37" t="s">
        <v>6129</v>
      </c>
      <c r="C37" s="52" t="s">
        <v>1870</v>
      </c>
      <c r="D37" t="s">
        <v>6130</v>
      </c>
      <c r="E37" t="s">
        <v>5976</v>
      </c>
      <c r="F37" t="s">
        <v>1788</v>
      </c>
      <c r="G37" t="s">
        <v>6090</v>
      </c>
      <c r="H37" t="s">
        <v>2709</v>
      </c>
      <c r="I37" t="s">
        <v>5977</v>
      </c>
      <c r="J37" t="s">
        <v>5977</v>
      </c>
      <c r="K37" t="s">
        <v>5977</v>
      </c>
      <c r="L37">
        <v>46056</v>
      </c>
      <c r="M37">
        <v>46021</v>
      </c>
      <c r="N37" t="s">
        <v>5976</v>
      </c>
      <c r="O37">
        <v>1</v>
      </c>
      <c r="P37" t="s">
        <v>5977</v>
      </c>
    </row>
    <row r="38" spans="1:16" x14ac:dyDescent="0.35">
      <c r="A38" t="s">
        <v>61</v>
      </c>
      <c r="B38" t="s">
        <v>6131</v>
      </c>
      <c r="C38" s="52" t="s">
        <v>1888</v>
      </c>
      <c r="D38" t="s">
        <v>6132</v>
      </c>
      <c r="E38" t="s">
        <v>5976</v>
      </c>
      <c r="F38" t="s">
        <v>1788</v>
      </c>
      <c r="G38" t="s">
        <v>6090</v>
      </c>
      <c r="H38" t="s">
        <v>2709</v>
      </c>
      <c r="I38" t="s">
        <v>5977</v>
      </c>
      <c r="J38" t="s">
        <v>5977</v>
      </c>
      <c r="K38" t="s">
        <v>5977</v>
      </c>
      <c r="L38">
        <v>46056</v>
      </c>
      <c r="M38">
        <v>46021</v>
      </c>
      <c r="N38" t="s">
        <v>5976</v>
      </c>
      <c r="O38">
        <v>1</v>
      </c>
      <c r="P38" t="s">
        <v>5977</v>
      </c>
    </row>
    <row r="39" spans="1:16" x14ac:dyDescent="0.35">
      <c r="A39" t="s">
        <v>61</v>
      </c>
      <c r="B39" t="s">
        <v>6133</v>
      </c>
      <c r="C39" s="52" t="s">
        <v>1892</v>
      </c>
      <c r="D39" t="s">
        <v>6134</v>
      </c>
      <c r="E39" t="s">
        <v>6135</v>
      </c>
      <c r="F39" t="s">
        <v>1788</v>
      </c>
      <c r="G39" t="s">
        <v>6090</v>
      </c>
      <c r="H39" t="s">
        <v>2709</v>
      </c>
      <c r="I39" t="s">
        <v>5977</v>
      </c>
      <c r="J39" t="s">
        <v>5981</v>
      </c>
      <c r="K39" t="s">
        <v>5977</v>
      </c>
      <c r="L39">
        <v>46119</v>
      </c>
      <c r="M39">
        <v>46098</v>
      </c>
      <c r="N39" t="s">
        <v>5976</v>
      </c>
      <c r="O39">
        <v>0.1</v>
      </c>
      <c r="P39" t="s">
        <v>6011</v>
      </c>
    </row>
    <row r="40" spans="1:16" x14ac:dyDescent="0.35">
      <c r="A40" t="s">
        <v>61</v>
      </c>
      <c r="B40" t="s">
        <v>6136</v>
      </c>
      <c r="C40" s="52" t="s">
        <v>1970</v>
      </c>
      <c r="D40" t="s">
        <v>6137</v>
      </c>
      <c r="E40" t="s">
        <v>6138</v>
      </c>
      <c r="F40" t="s">
        <v>1788</v>
      </c>
      <c r="G40" t="s">
        <v>6090</v>
      </c>
      <c r="H40" t="s">
        <v>5976</v>
      </c>
      <c r="I40" t="s">
        <v>5977</v>
      </c>
      <c r="J40" t="s">
        <v>5981</v>
      </c>
      <c r="K40" t="s">
        <v>5977</v>
      </c>
    </row>
    <row r="41" spans="1:16" x14ac:dyDescent="0.35">
      <c r="A41" t="s">
        <v>61</v>
      </c>
      <c r="B41" t="s">
        <v>6139</v>
      </c>
      <c r="C41" s="52" t="s">
        <v>1974</v>
      </c>
      <c r="D41" t="s">
        <v>6140</v>
      </c>
      <c r="E41" t="s">
        <v>5976</v>
      </c>
      <c r="F41" t="s">
        <v>1788</v>
      </c>
      <c r="G41" t="s">
        <v>6090</v>
      </c>
      <c r="H41" t="s">
        <v>2732</v>
      </c>
      <c r="I41" t="s">
        <v>5977</v>
      </c>
      <c r="J41" t="s">
        <v>5981</v>
      </c>
      <c r="K41" t="s">
        <v>5977</v>
      </c>
    </row>
    <row r="42" spans="1:16" x14ac:dyDescent="0.35">
      <c r="A42" t="s">
        <v>61</v>
      </c>
      <c r="B42" t="s">
        <v>6141</v>
      </c>
      <c r="C42" s="52" t="s">
        <v>1808</v>
      </c>
      <c r="D42" t="s">
        <v>6142</v>
      </c>
      <c r="E42" t="s">
        <v>5976</v>
      </c>
      <c r="F42" t="s">
        <v>1788</v>
      </c>
      <c r="G42" t="s">
        <v>6090</v>
      </c>
      <c r="H42" t="s">
        <v>2709</v>
      </c>
      <c r="I42" t="s">
        <v>5977</v>
      </c>
      <c r="J42" t="s">
        <v>5977</v>
      </c>
      <c r="K42" t="s">
        <v>5977</v>
      </c>
      <c r="L42">
        <v>46060</v>
      </c>
      <c r="M42">
        <v>46027</v>
      </c>
      <c r="N42">
        <v>46060</v>
      </c>
      <c r="O42">
        <v>1</v>
      </c>
      <c r="P42" t="s">
        <v>5977</v>
      </c>
    </row>
    <row r="43" spans="1:16" x14ac:dyDescent="0.35">
      <c r="A43" t="s">
        <v>61</v>
      </c>
      <c r="B43" t="s">
        <v>6143</v>
      </c>
      <c r="C43" s="52" t="s">
        <v>1798</v>
      </c>
      <c r="D43" t="s">
        <v>6144</v>
      </c>
      <c r="E43" t="s">
        <v>6145</v>
      </c>
      <c r="F43" t="s">
        <v>1788</v>
      </c>
      <c r="G43" t="s">
        <v>6090</v>
      </c>
      <c r="H43" t="s">
        <v>2709</v>
      </c>
      <c r="I43" t="s">
        <v>5977</v>
      </c>
      <c r="J43" t="s">
        <v>5977</v>
      </c>
      <c r="K43" t="s">
        <v>5977</v>
      </c>
      <c r="L43">
        <v>46133</v>
      </c>
      <c r="O43">
        <v>0</v>
      </c>
      <c r="P43" t="s">
        <v>6011</v>
      </c>
    </row>
    <row r="44" spans="1:16" x14ac:dyDescent="0.35">
      <c r="A44" t="s">
        <v>61</v>
      </c>
      <c r="B44" t="s">
        <v>6146</v>
      </c>
      <c r="C44" s="52" t="s">
        <v>1894</v>
      </c>
      <c r="D44" t="s">
        <v>6147</v>
      </c>
      <c r="F44" t="s">
        <v>1788</v>
      </c>
      <c r="G44" t="s">
        <v>6090</v>
      </c>
      <c r="H44" t="s">
        <v>2709</v>
      </c>
      <c r="I44" t="s">
        <v>5977</v>
      </c>
      <c r="J44" t="s">
        <v>5981</v>
      </c>
      <c r="K44" t="s">
        <v>5977</v>
      </c>
    </row>
    <row r="45" spans="1:16" x14ac:dyDescent="0.35">
      <c r="A45" t="s">
        <v>61</v>
      </c>
      <c r="B45" t="s">
        <v>6148</v>
      </c>
      <c r="C45" s="52" t="s">
        <v>1853</v>
      </c>
      <c r="D45" t="s">
        <v>6149</v>
      </c>
      <c r="E45" t="s">
        <v>5976</v>
      </c>
      <c r="F45" t="s">
        <v>1446</v>
      </c>
      <c r="G45" t="s">
        <v>6150</v>
      </c>
      <c r="H45" t="s">
        <v>2709</v>
      </c>
      <c r="I45" t="s">
        <v>5996</v>
      </c>
      <c r="J45" t="s">
        <v>5981</v>
      </c>
      <c r="K45" t="s">
        <v>5996</v>
      </c>
      <c r="L45" t="s">
        <v>5976</v>
      </c>
      <c r="M45" t="s">
        <v>5976</v>
      </c>
      <c r="N45" t="s">
        <v>5976</v>
      </c>
      <c r="O45" t="s">
        <v>5976</v>
      </c>
      <c r="P45" t="s">
        <v>5996</v>
      </c>
    </row>
    <row r="46" spans="1:16" x14ac:dyDescent="0.35">
      <c r="A46" t="s">
        <v>61</v>
      </c>
      <c r="B46" t="s">
        <v>6151</v>
      </c>
      <c r="C46" s="52" t="s">
        <v>1836</v>
      </c>
      <c r="D46" t="s">
        <v>6152</v>
      </c>
      <c r="E46" t="s">
        <v>6138</v>
      </c>
      <c r="F46" t="s">
        <v>1446</v>
      </c>
      <c r="G46" t="s">
        <v>6150</v>
      </c>
      <c r="H46" t="s">
        <v>2709</v>
      </c>
      <c r="I46" t="s">
        <v>5977</v>
      </c>
      <c r="J46" t="s">
        <v>5981</v>
      </c>
      <c r="K46" t="s">
        <v>5977</v>
      </c>
    </row>
    <row r="47" spans="1:16" x14ac:dyDescent="0.35">
      <c r="A47" t="s">
        <v>61</v>
      </c>
      <c r="B47" t="s">
        <v>6153</v>
      </c>
      <c r="C47" s="52" t="s">
        <v>1866</v>
      </c>
      <c r="D47" t="s">
        <v>6154</v>
      </c>
      <c r="E47" t="s">
        <v>6155</v>
      </c>
      <c r="F47" t="s">
        <v>6067</v>
      </c>
      <c r="G47" t="s">
        <v>6150</v>
      </c>
      <c r="H47" t="s">
        <v>2732</v>
      </c>
      <c r="I47" t="s">
        <v>5977</v>
      </c>
      <c r="J47" t="s">
        <v>5981</v>
      </c>
      <c r="K47" t="s">
        <v>5976</v>
      </c>
    </row>
    <row r="48" spans="1:16" x14ac:dyDescent="0.35">
      <c r="A48" t="s">
        <v>61</v>
      </c>
      <c r="B48" t="s">
        <v>6156</v>
      </c>
      <c r="C48" s="52" t="s">
        <v>1983</v>
      </c>
      <c r="D48" t="s">
        <v>6157</v>
      </c>
      <c r="E48" t="s">
        <v>5976</v>
      </c>
      <c r="F48" t="s">
        <v>1788</v>
      </c>
      <c r="G48" t="s">
        <v>6150</v>
      </c>
      <c r="H48" t="s">
        <v>2732</v>
      </c>
      <c r="I48" t="s">
        <v>5977</v>
      </c>
      <c r="J48" t="s">
        <v>5981</v>
      </c>
      <c r="K48" t="s">
        <v>6011</v>
      </c>
    </row>
    <row r="49" spans="1:16" x14ac:dyDescent="0.35">
      <c r="A49" t="s">
        <v>5974</v>
      </c>
      <c r="B49" t="s">
        <v>6158</v>
      </c>
      <c r="C49" s="52" t="s">
        <v>1965</v>
      </c>
      <c r="D49" t="s">
        <v>6159</v>
      </c>
      <c r="E49" t="s">
        <v>6160</v>
      </c>
      <c r="F49" t="s">
        <v>1788</v>
      </c>
      <c r="G49" t="s">
        <v>6090</v>
      </c>
      <c r="H49" t="s">
        <v>2732</v>
      </c>
      <c r="I49" t="s">
        <v>5996</v>
      </c>
      <c r="J49" t="s">
        <v>5981</v>
      </c>
      <c r="K49" t="s">
        <v>5977</v>
      </c>
      <c r="L49">
        <v>46091</v>
      </c>
      <c r="M49">
        <v>46082</v>
      </c>
      <c r="N49" t="s">
        <v>5976</v>
      </c>
      <c r="O49">
        <v>1</v>
      </c>
      <c r="P49" t="s">
        <v>5977</v>
      </c>
    </row>
    <row r="50" spans="1:16" x14ac:dyDescent="0.35">
      <c r="A50" t="s">
        <v>5974</v>
      </c>
      <c r="B50" t="s">
        <v>6161</v>
      </c>
      <c r="C50" s="52" t="s">
        <v>1963</v>
      </c>
      <c r="D50" t="s">
        <v>6162</v>
      </c>
      <c r="E50" t="s">
        <v>5976</v>
      </c>
      <c r="F50" t="s">
        <v>1788</v>
      </c>
      <c r="G50" t="s">
        <v>6090</v>
      </c>
      <c r="H50" t="s">
        <v>2709</v>
      </c>
      <c r="I50" t="s">
        <v>5977</v>
      </c>
      <c r="J50" t="s">
        <v>5981</v>
      </c>
      <c r="K50" t="s">
        <v>5977</v>
      </c>
      <c r="L50">
        <v>46134</v>
      </c>
      <c r="M50" t="s">
        <v>5976</v>
      </c>
      <c r="N50" t="s">
        <v>5976</v>
      </c>
      <c r="O50">
        <v>0</v>
      </c>
      <c r="P50" t="s">
        <v>6011</v>
      </c>
    </row>
    <row r="51" spans="1:16" x14ac:dyDescent="0.35">
      <c r="A51" t="s">
        <v>5974</v>
      </c>
      <c r="B51" t="s">
        <v>6163</v>
      </c>
      <c r="C51" s="52" t="s">
        <v>1898</v>
      </c>
      <c r="D51" t="s">
        <v>6164</v>
      </c>
      <c r="E51" t="s">
        <v>5976</v>
      </c>
      <c r="F51" t="s">
        <v>1788</v>
      </c>
      <c r="G51" t="s">
        <v>6090</v>
      </c>
      <c r="H51" t="s">
        <v>2810</v>
      </c>
      <c r="I51" t="s">
        <v>5977</v>
      </c>
      <c r="J51" t="s">
        <v>5977</v>
      </c>
      <c r="K51" t="s">
        <v>5977</v>
      </c>
      <c r="L51">
        <v>46025</v>
      </c>
      <c r="M51">
        <v>46006</v>
      </c>
      <c r="N51">
        <v>46025</v>
      </c>
      <c r="O51">
        <v>1</v>
      </c>
      <c r="P51" t="s">
        <v>5977</v>
      </c>
    </row>
    <row r="52" spans="1:16" x14ac:dyDescent="0.35">
      <c r="A52" t="s">
        <v>5974</v>
      </c>
      <c r="B52" t="s">
        <v>6165</v>
      </c>
      <c r="C52" s="52" t="s">
        <v>1926</v>
      </c>
      <c r="D52" t="s">
        <v>6166</v>
      </c>
      <c r="E52" t="s">
        <v>5976</v>
      </c>
      <c r="F52" t="s">
        <v>1788</v>
      </c>
      <c r="G52" t="s">
        <v>6090</v>
      </c>
      <c r="H52" t="s">
        <v>5976</v>
      </c>
      <c r="I52" t="s">
        <v>5977</v>
      </c>
      <c r="J52" t="s">
        <v>5981</v>
      </c>
      <c r="K52" t="s">
        <v>5977</v>
      </c>
      <c r="L52">
        <v>46067</v>
      </c>
      <c r="M52">
        <v>46041</v>
      </c>
      <c r="N52">
        <v>46067</v>
      </c>
      <c r="O52">
        <v>1</v>
      </c>
      <c r="P52" t="s">
        <v>5977</v>
      </c>
    </row>
    <row r="53" spans="1:16" x14ac:dyDescent="0.35">
      <c r="A53" t="s">
        <v>5974</v>
      </c>
      <c r="B53" t="s">
        <v>6167</v>
      </c>
      <c r="C53" s="52" t="s">
        <v>1928</v>
      </c>
      <c r="D53" t="s">
        <v>6168</v>
      </c>
      <c r="E53" t="s">
        <v>5976</v>
      </c>
      <c r="F53" t="s">
        <v>1788</v>
      </c>
      <c r="G53" t="s">
        <v>6090</v>
      </c>
      <c r="H53" t="s">
        <v>2709</v>
      </c>
      <c r="I53" t="s">
        <v>5977</v>
      </c>
      <c r="J53" t="s">
        <v>5981</v>
      </c>
      <c r="K53" t="s">
        <v>5977</v>
      </c>
      <c r="L53">
        <v>46118</v>
      </c>
      <c r="M53">
        <v>46091</v>
      </c>
      <c r="N53" t="s">
        <v>5976</v>
      </c>
      <c r="O53">
        <v>0</v>
      </c>
      <c r="P53" t="s">
        <v>6011</v>
      </c>
    </row>
    <row r="54" spans="1:16" x14ac:dyDescent="0.35">
      <c r="A54" t="s">
        <v>5974</v>
      </c>
      <c r="B54" t="s">
        <v>6169</v>
      </c>
      <c r="C54" s="52" t="s">
        <v>1958</v>
      </c>
      <c r="D54" t="s">
        <v>6170</v>
      </c>
      <c r="E54" t="s">
        <v>5976</v>
      </c>
      <c r="F54" t="s">
        <v>1788</v>
      </c>
      <c r="G54" t="s">
        <v>6090</v>
      </c>
      <c r="H54" t="s">
        <v>2732</v>
      </c>
      <c r="I54" t="s">
        <v>5977</v>
      </c>
      <c r="J54" t="s">
        <v>5981</v>
      </c>
      <c r="K54" t="s">
        <v>5980</v>
      </c>
      <c r="L54" t="s">
        <v>5976</v>
      </c>
      <c r="M54">
        <v>46091</v>
      </c>
      <c r="N54" t="s">
        <v>5976</v>
      </c>
      <c r="O54" t="s">
        <v>5976</v>
      </c>
      <c r="P54" t="s">
        <v>5980</v>
      </c>
    </row>
    <row r="55" spans="1:16" x14ac:dyDescent="0.35">
      <c r="A55" t="s">
        <v>5974</v>
      </c>
      <c r="B55" t="s">
        <v>6171</v>
      </c>
      <c r="C55" s="52" t="s">
        <v>1956</v>
      </c>
      <c r="D55" t="s">
        <v>6172</v>
      </c>
      <c r="E55" t="s">
        <v>5976</v>
      </c>
      <c r="F55" t="s">
        <v>1788</v>
      </c>
      <c r="G55" t="s">
        <v>6090</v>
      </c>
      <c r="H55" t="s">
        <v>5976</v>
      </c>
      <c r="I55" t="s">
        <v>5977</v>
      </c>
      <c r="J55" t="s">
        <v>5981</v>
      </c>
      <c r="K55" t="s">
        <v>6011</v>
      </c>
      <c r="M55">
        <v>46091</v>
      </c>
      <c r="N55" t="s">
        <v>5976</v>
      </c>
      <c r="O55" t="s">
        <v>5976</v>
      </c>
    </row>
    <row r="56" spans="1:16" x14ac:dyDescent="0.35">
      <c r="A56" t="s">
        <v>5974</v>
      </c>
      <c r="B56" t="s">
        <v>6173</v>
      </c>
      <c r="C56" s="52" t="s">
        <v>1933</v>
      </c>
      <c r="D56" t="s">
        <v>6174</v>
      </c>
      <c r="E56" t="s">
        <v>5976</v>
      </c>
      <c r="F56" t="s">
        <v>1788</v>
      </c>
      <c r="G56" t="s">
        <v>6090</v>
      </c>
      <c r="H56" t="s">
        <v>2810</v>
      </c>
      <c r="I56" t="s">
        <v>5977</v>
      </c>
      <c r="J56" t="s">
        <v>5981</v>
      </c>
      <c r="K56" t="s">
        <v>5977</v>
      </c>
      <c r="L56">
        <v>46118</v>
      </c>
      <c r="M56">
        <v>46092</v>
      </c>
      <c r="N56" t="s">
        <v>5976</v>
      </c>
      <c r="O56">
        <v>0</v>
      </c>
      <c r="P56" t="s">
        <v>6011</v>
      </c>
    </row>
    <row r="57" spans="1:16" x14ac:dyDescent="0.35">
      <c r="A57" t="s">
        <v>5974</v>
      </c>
      <c r="B57" t="s">
        <v>6175</v>
      </c>
      <c r="C57" s="52" t="s">
        <v>1911</v>
      </c>
      <c r="D57" t="s">
        <v>6176</v>
      </c>
      <c r="E57" t="s">
        <v>5976</v>
      </c>
      <c r="F57" t="s">
        <v>1788</v>
      </c>
      <c r="G57" t="s">
        <v>6090</v>
      </c>
      <c r="H57" t="s">
        <v>2709</v>
      </c>
      <c r="I57" t="s">
        <v>5977</v>
      </c>
      <c r="J57" t="s">
        <v>5981</v>
      </c>
      <c r="K57" t="s">
        <v>5977</v>
      </c>
      <c r="L57">
        <v>46129</v>
      </c>
      <c r="M57">
        <v>46091</v>
      </c>
      <c r="N57" t="s">
        <v>5976</v>
      </c>
      <c r="O57">
        <v>0.15</v>
      </c>
      <c r="P57" t="s">
        <v>6011</v>
      </c>
    </row>
    <row r="58" spans="1:16" x14ac:dyDescent="0.35">
      <c r="A58" t="s">
        <v>5974</v>
      </c>
      <c r="B58" t="s">
        <v>6177</v>
      </c>
      <c r="C58" s="52" t="s">
        <v>1909</v>
      </c>
      <c r="D58" t="s">
        <v>6178</v>
      </c>
      <c r="E58" t="s">
        <v>5976</v>
      </c>
      <c r="F58" t="s">
        <v>1788</v>
      </c>
      <c r="G58" t="s">
        <v>6090</v>
      </c>
      <c r="H58" t="s">
        <v>2709</v>
      </c>
      <c r="I58" t="s">
        <v>5977</v>
      </c>
      <c r="J58" t="s">
        <v>5981</v>
      </c>
      <c r="K58" t="s">
        <v>6011</v>
      </c>
      <c r="M58" t="s">
        <v>5976</v>
      </c>
      <c r="N58" t="s">
        <v>5976</v>
      </c>
      <c r="O58" t="s">
        <v>5976</v>
      </c>
    </row>
    <row r="59" spans="1:16" x14ac:dyDescent="0.35">
      <c r="A59" t="s">
        <v>5974</v>
      </c>
      <c r="B59" t="s">
        <v>6179</v>
      </c>
      <c r="C59" s="52" t="s">
        <v>1935</v>
      </c>
      <c r="D59" t="s">
        <v>6180</v>
      </c>
      <c r="E59" t="s">
        <v>5976</v>
      </c>
      <c r="F59" t="s">
        <v>1788</v>
      </c>
      <c r="G59" t="s">
        <v>6090</v>
      </c>
      <c r="H59" t="s">
        <v>2709</v>
      </c>
      <c r="I59" t="s">
        <v>5977</v>
      </c>
      <c r="J59" t="s">
        <v>5981</v>
      </c>
      <c r="K59" t="s">
        <v>5977</v>
      </c>
      <c r="L59">
        <v>46058</v>
      </c>
      <c r="M59">
        <v>46033</v>
      </c>
      <c r="N59">
        <v>46057</v>
      </c>
      <c r="O59">
        <v>1</v>
      </c>
      <c r="P59" t="s">
        <v>5977</v>
      </c>
    </row>
    <row r="60" spans="1:16" x14ac:dyDescent="0.35">
      <c r="A60" t="s">
        <v>5974</v>
      </c>
      <c r="B60" t="s">
        <v>6181</v>
      </c>
      <c r="C60" s="52" t="s">
        <v>1939</v>
      </c>
      <c r="D60" t="s">
        <v>6182</v>
      </c>
      <c r="E60" t="s">
        <v>5976</v>
      </c>
      <c r="F60" t="s">
        <v>1788</v>
      </c>
      <c r="G60" t="s">
        <v>6090</v>
      </c>
      <c r="H60" t="s">
        <v>2810</v>
      </c>
      <c r="I60" t="s">
        <v>5977</v>
      </c>
      <c r="J60" t="s">
        <v>5981</v>
      </c>
      <c r="K60" t="s">
        <v>5977</v>
      </c>
      <c r="L60">
        <v>46065</v>
      </c>
      <c r="M60">
        <v>46044</v>
      </c>
      <c r="N60">
        <v>46065</v>
      </c>
      <c r="O60">
        <v>1</v>
      </c>
      <c r="P60" t="s">
        <v>5977</v>
      </c>
    </row>
    <row r="61" spans="1:16" x14ac:dyDescent="0.35">
      <c r="A61" t="s">
        <v>5974</v>
      </c>
      <c r="B61" t="s">
        <v>6183</v>
      </c>
      <c r="C61" s="52" t="s">
        <v>1947</v>
      </c>
      <c r="D61" t="s">
        <v>6184</v>
      </c>
      <c r="E61" t="s">
        <v>5976</v>
      </c>
      <c r="F61" t="s">
        <v>1788</v>
      </c>
      <c r="G61" t="s">
        <v>6090</v>
      </c>
      <c r="H61" t="s">
        <v>2810</v>
      </c>
      <c r="I61" t="s">
        <v>5977</v>
      </c>
      <c r="J61" t="s">
        <v>5981</v>
      </c>
      <c r="K61" t="s">
        <v>5977</v>
      </c>
      <c r="L61">
        <v>46115</v>
      </c>
      <c r="M61">
        <v>46092</v>
      </c>
      <c r="N61" t="s">
        <v>5976</v>
      </c>
      <c r="O61">
        <v>0</v>
      </c>
      <c r="P61" t="s">
        <v>6011</v>
      </c>
    </row>
    <row r="62" spans="1:16" x14ac:dyDescent="0.35">
      <c r="A62" t="s">
        <v>5974</v>
      </c>
      <c r="B62" t="s">
        <v>6185</v>
      </c>
      <c r="C62" s="52" t="s">
        <v>1913</v>
      </c>
      <c r="D62" t="s">
        <v>6186</v>
      </c>
      <c r="E62" t="s">
        <v>5976</v>
      </c>
      <c r="F62" t="s">
        <v>1788</v>
      </c>
      <c r="G62" t="s">
        <v>6090</v>
      </c>
      <c r="H62" t="s">
        <v>2810</v>
      </c>
      <c r="I62" t="s">
        <v>5977</v>
      </c>
      <c r="J62" t="s">
        <v>5981</v>
      </c>
      <c r="K62" t="s">
        <v>5977</v>
      </c>
      <c r="L62">
        <v>46125</v>
      </c>
      <c r="M62">
        <v>46091</v>
      </c>
      <c r="N62" t="s">
        <v>5976</v>
      </c>
      <c r="O62">
        <v>0</v>
      </c>
      <c r="P62" t="s">
        <v>6011</v>
      </c>
    </row>
    <row r="63" spans="1:16" x14ac:dyDescent="0.35">
      <c r="A63" t="s">
        <v>5974</v>
      </c>
      <c r="B63" t="s">
        <v>6187</v>
      </c>
      <c r="C63" s="52" t="s">
        <v>1903</v>
      </c>
      <c r="D63" t="s">
        <v>6188</v>
      </c>
      <c r="E63" t="s">
        <v>5976</v>
      </c>
      <c r="F63" t="s">
        <v>1788</v>
      </c>
      <c r="G63" t="s">
        <v>6150</v>
      </c>
      <c r="H63" t="s">
        <v>2709</v>
      </c>
      <c r="I63" t="s">
        <v>5977</v>
      </c>
      <c r="J63" t="s">
        <v>5977</v>
      </c>
      <c r="K63" t="s">
        <v>5977</v>
      </c>
      <c r="L63">
        <v>46048</v>
      </c>
      <c r="M63">
        <v>46004</v>
      </c>
      <c r="N63">
        <v>46048</v>
      </c>
      <c r="O63">
        <v>1</v>
      </c>
      <c r="P63" t="s">
        <v>5977</v>
      </c>
    </row>
    <row r="64" spans="1:16" x14ac:dyDescent="0.35">
      <c r="A64" t="s">
        <v>61</v>
      </c>
      <c r="B64" t="s">
        <v>6189</v>
      </c>
      <c r="C64" s="52" t="s">
        <v>1786</v>
      </c>
      <c r="D64" t="s">
        <v>6190</v>
      </c>
      <c r="E64" t="s">
        <v>5976</v>
      </c>
      <c r="F64" t="s">
        <v>6191</v>
      </c>
      <c r="G64" t="s">
        <v>6150</v>
      </c>
      <c r="H64" t="s">
        <v>2709</v>
      </c>
      <c r="I64" t="s">
        <v>5977</v>
      </c>
      <c r="J64" t="s">
        <v>5977</v>
      </c>
      <c r="K64" t="s">
        <v>5977</v>
      </c>
      <c r="L64">
        <v>46021</v>
      </c>
      <c r="M64">
        <v>45981</v>
      </c>
      <c r="N64">
        <v>46021</v>
      </c>
      <c r="O64">
        <v>1</v>
      </c>
      <c r="P64" t="s">
        <v>5977</v>
      </c>
    </row>
    <row r="65" spans="1:16" x14ac:dyDescent="0.35">
      <c r="A65" t="s">
        <v>5974</v>
      </c>
      <c r="B65" t="s">
        <v>6192</v>
      </c>
      <c r="C65" s="52" t="s">
        <v>1917</v>
      </c>
      <c r="D65" t="s">
        <v>6193</v>
      </c>
      <c r="E65" t="s">
        <v>5976</v>
      </c>
      <c r="F65" t="s">
        <v>1788</v>
      </c>
      <c r="G65" t="s">
        <v>6150</v>
      </c>
      <c r="H65" t="s">
        <v>2709</v>
      </c>
      <c r="I65" t="s">
        <v>5977</v>
      </c>
      <c r="J65" t="s">
        <v>5977</v>
      </c>
      <c r="K65" t="s">
        <v>5977</v>
      </c>
      <c r="L65" t="s">
        <v>5976</v>
      </c>
      <c r="M65" t="s">
        <v>5976</v>
      </c>
      <c r="N65" t="s">
        <v>5976</v>
      </c>
      <c r="O65" t="s">
        <v>5976</v>
      </c>
      <c r="P65" t="s">
        <v>6011</v>
      </c>
    </row>
    <row r="66" spans="1:16" x14ac:dyDescent="0.35">
      <c r="A66" t="s">
        <v>61</v>
      </c>
      <c r="B66" t="s">
        <v>6194</v>
      </c>
      <c r="C66" s="52" t="s">
        <v>1882</v>
      </c>
      <c r="D66" t="s">
        <v>6195</v>
      </c>
      <c r="E66" t="s">
        <v>6196</v>
      </c>
      <c r="F66" t="s">
        <v>6191</v>
      </c>
      <c r="G66" t="s">
        <v>6150</v>
      </c>
      <c r="H66" t="s">
        <v>2709</v>
      </c>
      <c r="I66" t="s">
        <v>5977</v>
      </c>
      <c r="J66" t="s">
        <v>5977</v>
      </c>
      <c r="K66" t="s">
        <v>5977</v>
      </c>
      <c r="L66">
        <v>46014</v>
      </c>
      <c r="M66">
        <v>45964</v>
      </c>
      <c r="N66">
        <v>46014</v>
      </c>
      <c r="O66">
        <v>1</v>
      </c>
      <c r="P66" t="s">
        <v>5977</v>
      </c>
    </row>
    <row r="67" spans="1:16" x14ac:dyDescent="0.35">
      <c r="A67" t="s">
        <v>61</v>
      </c>
      <c r="B67" t="s">
        <v>6197</v>
      </c>
      <c r="C67" s="52" t="s">
        <v>1985</v>
      </c>
      <c r="D67" t="s">
        <v>6198</v>
      </c>
      <c r="E67" t="s">
        <v>5976</v>
      </c>
      <c r="F67" t="s">
        <v>1788</v>
      </c>
      <c r="G67" t="s">
        <v>5423</v>
      </c>
      <c r="H67" t="s">
        <v>2732</v>
      </c>
      <c r="I67" t="s">
        <v>5977</v>
      </c>
      <c r="J67" t="s">
        <v>5977</v>
      </c>
      <c r="K67" t="s">
        <v>6011</v>
      </c>
      <c r="N67" t="s">
        <v>5976</v>
      </c>
      <c r="O67" t="s">
        <v>5976</v>
      </c>
    </row>
    <row r="68" spans="1:16" x14ac:dyDescent="0.35">
      <c r="A68" t="s">
        <v>61</v>
      </c>
      <c r="B68" t="s">
        <v>6199</v>
      </c>
      <c r="C68" s="52" t="s">
        <v>1810</v>
      </c>
      <c r="D68" t="s">
        <v>6200</v>
      </c>
      <c r="E68" t="s">
        <v>5976</v>
      </c>
      <c r="F68" t="s">
        <v>1788</v>
      </c>
      <c r="G68" t="s">
        <v>6090</v>
      </c>
      <c r="H68" t="s">
        <v>2709</v>
      </c>
      <c r="I68" t="s">
        <v>5977</v>
      </c>
      <c r="J68" t="s">
        <v>5977</v>
      </c>
      <c r="K68" t="s">
        <v>5977</v>
      </c>
      <c r="L68">
        <v>46058</v>
      </c>
      <c r="M68">
        <v>46027</v>
      </c>
      <c r="N68">
        <v>46058</v>
      </c>
      <c r="O68">
        <v>1</v>
      </c>
      <c r="P68" t="s">
        <v>5977</v>
      </c>
    </row>
    <row r="69" spans="1:16" x14ac:dyDescent="0.35">
      <c r="A69" t="s">
        <v>61</v>
      </c>
      <c r="B69" t="s">
        <v>6201</v>
      </c>
      <c r="C69" s="52" t="s">
        <v>1849</v>
      </c>
      <c r="D69" t="s">
        <v>6202</v>
      </c>
      <c r="E69" t="s">
        <v>5976</v>
      </c>
      <c r="F69" t="s">
        <v>1788</v>
      </c>
      <c r="G69" t="s">
        <v>6090</v>
      </c>
      <c r="H69" t="s">
        <v>2709</v>
      </c>
      <c r="I69" t="s">
        <v>5977</v>
      </c>
      <c r="J69" t="s">
        <v>5981</v>
      </c>
      <c r="K69" t="s">
        <v>6011</v>
      </c>
    </row>
    <row r="70" spans="1:16" x14ac:dyDescent="0.35">
      <c r="A70" t="s">
        <v>61</v>
      </c>
      <c r="B70" t="s">
        <v>6203</v>
      </c>
      <c r="C70" s="52" t="s">
        <v>1851</v>
      </c>
      <c r="D70" t="s">
        <v>6204</v>
      </c>
      <c r="E70" t="s">
        <v>6205</v>
      </c>
      <c r="F70" t="s">
        <v>1788</v>
      </c>
      <c r="G70" t="s">
        <v>6090</v>
      </c>
      <c r="H70" t="s">
        <v>2709</v>
      </c>
      <c r="I70" t="s">
        <v>5977</v>
      </c>
      <c r="J70" t="s">
        <v>5981</v>
      </c>
      <c r="K70" t="s">
        <v>5977</v>
      </c>
      <c r="L70">
        <v>46142</v>
      </c>
      <c r="O70">
        <v>0</v>
      </c>
      <c r="P70" t="s">
        <v>6011</v>
      </c>
    </row>
    <row r="71" spans="1:16" x14ac:dyDescent="0.35">
      <c r="A71" t="s">
        <v>5974</v>
      </c>
      <c r="B71" t="s">
        <v>6206</v>
      </c>
      <c r="C71" s="52" t="s">
        <v>1896</v>
      </c>
      <c r="D71" t="s">
        <v>6207</v>
      </c>
      <c r="E71" t="s">
        <v>5976</v>
      </c>
      <c r="F71" t="s">
        <v>1788</v>
      </c>
      <c r="G71" t="s">
        <v>6150</v>
      </c>
      <c r="H71" t="s">
        <v>2709</v>
      </c>
      <c r="I71" t="s">
        <v>5977</v>
      </c>
      <c r="J71" t="s">
        <v>5981</v>
      </c>
      <c r="K71" t="s">
        <v>6011</v>
      </c>
      <c r="L71" t="s">
        <v>5976</v>
      </c>
      <c r="M71" t="s">
        <v>5976</v>
      </c>
      <c r="N71" t="s">
        <v>5976</v>
      </c>
      <c r="O71" t="s">
        <v>5976</v>
      </c>
      <c r="P71" t="s">
        <v>6011</v>
      </c>
    </row>
    <row r="72" spans="1:16" x14ac:dyDescent="0.35">
      <c r="A72" t="s">
        <v>61</v>
      </c>
      <c r="B72" t="s">
        <v>6208</v>
      </c>
      <c r="C72" s="52" t="s">
        <v>1872</v>
      </c>
      <c r="D72" t="s">
        <v>6209</v>
      </c>
      <c r="E72" t="s">
        <v>5976</v>
      </c>
      <c r="F72" t="s">
        <v>1788</v>
      </c>
      <c r="G72" t="s">
        <v>5423</v>
      </c>
      <c r="H72" t="s">
        <v>2709</v>
      </c>
      <c r="I72" t="s">
        <v>5977</v>
      </c>
      <c r="J72" t="s">
        <v>5981</v>
      </c>
      <c r="K72" t="s">
        <v>5977</v>
      </c>
      <c r="L72">
        <v>46068</v>
      </c>
      <c r="M72">
        <v>46027</v>
      </c>
      <c r="N72">
        <v>46068</v>
      </c>
      <c r="O72">
        <v>1</v>
      </c>
      <c r="P72" t="s">
        <v>5977</v>
      </c>
    </row>
    <row r="73" spans="1:16" x14ac:dyDescent="0.35">
      <c r="A73" t="s">
        <v>61</v>
      </c>
      <c r="B73" t="s">
        <v>6210</v>
      </c>
      <c r="C73" s="52" t="s">
        <v>1806</v>
      </c>
      <c r="D73" t="s">
        <v>6211</v>
      </c>
      <c r="E73" t="s">
        <v>6212</v>
      </c>
      <c r="F73" t="s">
        <v>1788</v>
      </c>
      <c r="G73" t="s">
        <v>5423</v>
      </c>
      <c r="H73" t="s">
        <v>2709</v>
      </c>
      <c r="I73" t="s">
        <v>5977</v>
      </c>
      <c r="J73" t="s">
        <v>5977</v>
      </c>
      <c r="K73" t="s">
        <v>5977</v>
      </c>
      <c r="L73">
        <v>46054</v>
      </c>
      <c r="M73">
        <v>46020</v>
      </c>
      <c r="N73">
        <v>46061</v>
      </c>
      <c r="O73">
        <v>1</v>
      </c>
      <c r="P73" t="s">
        <v>5977</v>
      </c>
    </row>
    <row r="74" spans="1:16" x14ac:dyDescent="0.35">
      <c r="A74" t="s">
        <v>61</v>
      </c>
      <c r="B74" t="s">
        <v>6213</v>
      </c>
      <c r="C74" s="52" t="s">
        <v>1814</v>
      </c>
      <c r="D74" t="s">
        <v>6214</v>
      </c>
      <c r="E74" t="s">
        <v>6215</v>
      </c>
      <c r="F74" t="s">
        <v>1788</v>
      </c>
      <c r="G74" t="s">
        <v>5423</v>
      </c>
      <c r="H74" t="s">
        <v>2709</v>
      </c>
      <c r="I74" t="s">
        <v>5977</v>
      </c>
      <c r="J74" t="s">
        <v>5977</v>
      </c>
      <c r="K74" t="s">
        <v>5977</v>
      </c>
      <c r="L74">
        <v>46139</v>
      </c>
      <c r="O74">
        <v>0</v>
      </c>
      <c r="P74" t="s">
        <v>6011</v>
      </c>
    </row>
    <row r="75" spans="1:16" x14ac:dyDescent="0.35">
      <c r="A75" t="s">
        <v>61</v>
      </c>
      <c r="B75" t="s">
        <v>6216</v>
      </c>
      <c r="C75" s="52" t="s">
        <v>1864</v>
      </c>
      <c r="D75" t="s">
        <v>6217</v>
      </c>
      <c r="E75" t="s">
        <v>5976</v>
      </c>
      <c r="F75" t="s">
        <v>1788</v>
      </c>
      <c r="G75" t="s">
        <v>6090</v>
      </c>
      <c r="H75" t="s">
        <v>2709</v>
      </c>
      <c r="I75" t="s">
        <v>5977</v>
      </c>
      <c r="J75" t="s">
        <v>5981</v>
      </c>
      <c r="K75" t="s">
        <v>5977</v>
      </c>
      <c r="L75">
        <v>46065</v>
      </c>
      <c r="M75">
        <v>46035</v>
      </c>
      <c r="N75">
        <v>46065</v>
      </c>
      <c r="O75">
        <v>1</v>
      </c>
      <c r="P75" t="s">
        <v>5977</v>
      </c>
    </row>
    <row r="76" spans="1:16" x14ac:dyDescent="0.35">
      <c r="A76" t="s">
        <v>5974</v>
      </c>
      <c r="B76" t="s">
        <v>6218</v>
      </c>
      <c r="C76" s="52" t="s">
        <v>1905</v>
      </c>
      <c r="D76" t="s">
        <v>6219</v>
      </c>
      <c r="E76" t="s">
        <v>5976</v>
      </c>
      <c r="F76" t="s">
        <v>1788</v>
      </c>
      <c r="G76" t="s">
        <v>5423</v>
      </c>
      <c r="H76" t="s">
        <v>5976</v>
      </c>
      <c r="I76" t="s">
        <v>5977</v>
      </c>
      <c r="J76" t="s">
        <v>5977</v>
      </c>
      <c r="K76" t="s">
        <v>5977</v>
      </c>
      <c r="L76">
        <v>45998</v>
      </c>
      <c r="M76">
        <v>45976</v>
      </c>
      <c r="N76">
        <v>45998</v>
      </c>
      <c r="O76">
        <v>1</v>
      </c>
      <c r="P76" t="s">
        <v>5977</v>
      </c>
    </row>
    <row r="77" spans="1:16" x14ac:dyDescent="0.35">
      <c r="A77" t="s">
        <v>61</v>
      </c>
      <c r="B77" t="s">
        <v>6220</v>
      </c>
      <c r="C77" s="52" t="s">
        <v>1890</v>
      </c>
      <c r="D77" t="s">
        <v>6221</v>
      </c>
      <c r="E77" t="s">
        <v>6222</v>
      </c>
      <c r="F77" t="s">
        <v>1788</v>
      </c>
      <c r="G77" t="s">
        <v>6090</v>
      </c>
      <c r="H77" t="s">
        <v>2709</v>
      </c>
      <c r="I77" t="s">
        <v>5977</v>
      </c>
      <c r="J77" t="s">
        <v>5977</v>
      </c>
      <c r="K77" t="s">
        <v>5977</v>
      </c>
      <c r="L77">
        <v>46067</v>
      </c>
      <c r="M77">
        <v>46049</v>
      </c>
      <c r="N77">
        <v>46067</v>
      </c>
      <c r="O77">
        <v>1</v>
      </c>
      <c r="P77" t="s">
        <v>5977</v>
      </c>
    </row>
    <row r="78" spans="1:16" x14ac:dyDescent="0.35">
      <c r="A78" t="s">
        <v>61</v>
      </c>
      <c r="B78" t="s">
        <v>6223</v>
      </c>
      <c r="C78" s="52" t="s">
        <v>1824</v>
      </c>
      <c r="D78" t="s">
        <v>6224</v>
      </c>
      <c r="E78" t="s">
        <v>5976</v>
      </c>
      <c r="F78" t="s">
        <v>6191</v>
      </c>
      <c r="G78" t="s">
        <v>5423</v>
      </c>
      <c r="H78" t="s">
        <v>5976</v>
      </c>
      <c r="I78" t="s">
        <v>5977</v>
      </c>
      <c r="J78" t="s">
        <v>5977</v>
      </c>
      <c r="K78" t="s">
        <v>5977</v>
      </c>
      <c r="L78">
        <v>46064</v>
      </c>
      <c r="M78">
        <v>46027</v>
      </c>
      <c r="N78">
        <v>46060</v>
      </c>
      <c r="O78">
        <v>1</v>
      </c>
      <c r="P78" t="s">
        <v>5977</v>
      </c>
    </row>
    <row r="79" spans="1:16" x14ac:dyDescent="0.35">
      <c r="A79" t="s">
        <v>61</v>
      </c>
      <c r="B79" t="s">
        <v>6225</v>
      </c>
      <c r="C79" s="52" t="s">
        <v>1862</v>
      </c>
      <c r="D79" t="s">
        <v>6226</v>
      </c>
      <c r="E79" t="s">
        <v>5976</v>
      </c>
      <c r="F79" t="s">
        <v>1788</v>
      </c>
      <c r="G79" t="s">
        <v>6090</v>
      </c>
      <c r="H79" t="s">
        <v>2709</v>
      </c>
      <c r="I79" t="s">
        <v>5977</v>
      </c>
      <c r="J79" t="s">
        <v>5977</v>
      </c>
      <c r="K79" t="s">
        <v>5977</v>
      </c>
      <c r="L79">
        <v>46038</v>
      </c>
      <c r="M79">
        <v>46013</v>
      </c>
      <c r="N79">
        <v>46037</v>
      </c>
      <c r="O79">
        <v>1</v>
      </c>
      <c r="P79" t="s">
        <v>5977</v>
      </c>
    </row>
    <row r="80" spans="1:16" x14ac:dyDescent="0.35">
      <c r="A80" t="s">
        <v>61</v>
      </c>
      <c r="B80" t="s">
        <v>6227</v>
      </c>
      <c r="C80" s="52" t="s">
        <v>2183</v>
      </c>
      <c r="D80" t="s">
        <v>6228</v>
      </c>
      <c r="E80" t="s">
        <v>5976</v>
      </c>
      <c r="F80" t="s">
        <v>5976</v>
      </c>
      <c r="G80" t="s">
        <v>5423</v>
      </c>
      <c r="H80" t="s">
        <v>2709</v>
      </c>
      <c r="I80" t="s">
        <v>5977</v>
      </c>
      <c r="J80" t="s">
        <v>5977</v>
      </c>
      <c r="K80" t="s">
        <v>5977</v>
      </c>
      <c r="L80">
        <v>46060</v>
      </c>
      <c r="M80">
        <v>46028</v>
      </c>
      <c r="N80">
        <v>46060</v>
      </c>
      <c r="O80">
        <v>1</v>
      </c>
      <c r="P80" t="s">
        <v>5977</v>
      </c>
    </row>
    <row r="81" spans="1:16" x14ac:dyDescent="0.35">
      <c r="A81" t="s">
        <v>61</v>
      </c>
      <c r="B81" t="s">
        <v>6229</v>
      </c>
      <c r="C81" s="52" t="s">
        <v>2137</v>
      </c>
      <c r="D81" t="s">
        <v>6230</v>
      </c>
      <c r="E81" t="s">
        <v>5976</v>
      </c>
      <c r="F81" t="s">
        <v>1788</v>
      </c>
      <c r="G81" t="s">
        <v>6150</v>
      </c>
      <c r="H81" t="s">
        <v>2709</v>
      </c>
      <c r="I81" t="s">
        <v>5977</v>
      </c>
      <c r="J81" t="s">
        <v>5977</v>
      </c>
      <c r="K81" t="s">
        <v>5977</v>
      </c>
      <c r="L81">
        <v>46004</v>
      </c>
      <c r="M81">
        <v>45950</v>
      </c>
      <c r="N81">
        <v>46002</v>
      </c>
      <c r="O81">
        <v>1</v>
      </c>
      <c r="P81" t="s">
        <v>5977</v>
      </c>
    </row>
    <row r="82" spans="1:16" x14ac:dyDescent="0.35">
      <c r="A82" t="s">
        <v>5974</v>
      </c>
      <c r="B82" t="s">
        <v>6231</v>
      </c>
      <c r="C82" s="52" t="s">
        <v>6681</v>
      </c>
      <c r="D82" t="s">
        <v>6232</v>
      </c>
      <c r="E82" t="s">
        <v>5976</v>
      </c>
      <c r="F82" t="s">
        <v>1788</v>
      </c>
      <c r="G82" t="s">
        <v>2716</v>
      </c>
      <c r="H82" t="s">
        <v>5976</v>
      </c>
      <c r="I82" t="s">
        <v>5977</v>
      </c>
      <c r="J82" t="s">
        <v>5977</v>
      </c>
      <c r="K82" t="s">
        <v>5977</v>
      </c>
      <c r="L82" t="s">
        <v>5976</v>
      </c>
      <c r="M82" t="s">
        <v>5976</v>
      </c>
      <c r="N82" t="s">
        <v>5976</v>
      </c>
      <c r="O82">
        <v>1</v>
      </c>
      <c r="P82" t="s">
        <v>5977</v>
      </c>
    </row>
    <row r="83" spans="1:16" x14ac:dyDescent="0.35">
      <c r="A83" t="s">
        <v>5974</v>
      </c>
      <c r="B83" t="s">
        <v>6233</v>
      </c>
      <c r="C83" s="52" t="s">
        <v>2468</v>
      </c>
      <c r="D83" t="s">
        <v>6234</v>
      </c>
      <c r="E83" t="s">
        <v>5976</v>
      </c>
      <c r="F83" t="s">
        <v>1788</v>
      </c>
      <c r="G83" t="s">
        <v>2716</v>
      </c>
      <c r="H83" t="s">
        <v>2810</v>
      </c>
      <c r="I83" t="s">
        <v>5977</v>
      </c>
      <c r="J83" t="s">
        <v>5977</v>
      </c>
      <c r="K83" t="s">
        <v>5996</v>
      </c>
      <c r="L83" t="s">
        <v>5976</v>
      </c>
      <c r="M83" t="s">
        <v>5976</v>
      </c>
      <c r="N83" t="s">
        <v>5976</v>
      </c>
      <c r="O83" t="s">
        <v>5976</v>
      </c>
      <c r="P83" t="s">
        <v>5996</v>
      </c>
    </row>
    <row r="84" spans="1:16" x14ac:dyDescent="0.35">
      <c r="A84" t="s">
        <v>61</v>
      </c>
      <c r="B84" t="s">
        <v>6235</v>
      </c>
      <c r="C84" s="52" t="s">
        <v>6236</v>
      </c>
      <c r="D84" t="s">
        <v>6237</v>
      </c>
      <c r="E84" t="s">
        <v>6238</v>
      </c>
      <c r="F84" t="s">
        <v>1788</v>
      </c>
      <c r="G84" t="s">
        <v>5423</v>
      </c>
      <c r="H84" t="s">
        <v>5976</v>
      </c>
      <c r="I84" t="s">
        <v>5977</v>
      </c>
      <c r="J84" t="s">
        <v>5976</v>
      </c>
      <c r="K84" t="s">
        <v>5977</v>
      </c>
      <c r="L84">
        <v>46081</v>
      </c>
      <c r="M84">
        <v>46044</v>
      </c>
      <c r="N84">
        <v>46081</v>
      </c>
      <c r="O84">
        <v>1</v>
      </c>
      <c r="P84" t="s">
        <v>5977</v>
      </c>
    </row>
    <row r="85" spans="1:16" x14ac:dyDescent="0.35">
      <c r="A85" t="s">
        <v>61</v>
      </c>
      <c r="B85" t="s">
        <v>6239</v>
      </c>
      <c r="C85" s="52" t="s">
        <v>6682</v>
      </c>
      <c r="D85" t="s">
        <v>6240</v>
      </c>
      <c r="E85" t="s">
        <v>6241</v>
      </c>
      <c r="F85" t="s">
        <v>1788</v>
      </c>
      <c r="G85" t="s">
        <v>2716</v>
      </c>
      <c r="H85" t="s">
        <v>5976</v>
      </c>
      <c r="J85" t="s">
        <v>5976</v>
      </c>
      <c r="K85" t="s">
        <v>5977</v>
      </c>
      <c r="L85">
        <v>46122</v>
      </c>
      <c r="M85">
        <v>46091</v>
      </c>
      <c r="N85" t="s">
        <v>5976</v>
      </c>
      <c r="O85">
        <v>0.05</v>
      </c>
      <c r="P85" t="s">
        <v>6011</v>
      </c>
    </row>
    <row r="86" spans="1:16" x14ac:dyDescent="0.35">
      <c r="A86" t="s">
        <v>5974</v>
      </c>
      <c r="B86" t="s">
        <v>6242</v>
      </c>
      <c r="C86" s="52" t="s">
        <v>2105</v>
      </c>
      <c r="D86" t="s">
        <v>6243</v>
      </c>
      <c r="E86" t="s">
        <v>5976</v>
      </c>
      <c r="F86" t="s">
        <v>1788</v>
      </c>
      <c r="G86" t="s">
        <v>5423</v>
      </c>
      <c r="H86" t="s">
        <v>5976</v>
      </c>
      <c r="I86" t="s">
        <v>5977</v>
      </c>
      <c r="J86" t="s">
        <v>5977</v>
      </c>
      <c r="K86" t="s">
        <v>5977</v>
      </c>
      <c r="L86">
        <v>45952</v>
      </c>
      <c r="M86">
        <v>46093</v>
      </c>
      <c r="N86">
        <v>45952</v>
      </c>
      <c r="O86">
        <v>1</v>
      </c>
      <c r="P86" t="s">
        <v>5977</v>
      </c>
    </row>
    <row r="87" spans="1:16" x14ac:dyDescent="0.35">
      <c r="A87" t="s">
        <v>61</v>
      </c>
      <c r="B87" t="s">
        <v>6244</v>
      </c>
      <c r="C87" s="52" t="s">
        <v>1834</v>
      </c>
      <c r="D87" t="s">
        <v>6245</v>
      </c>
      <c r="E87" t="s">
        <v>6246</v>
      </c>
      <c r="F87" t="s">
        <v>1788</v>
      </c>
      <c r="G87" t="s">
        <v>2716</v>
      </c>
      <c r="H87" t="s">
        <v>2709</v>
      </c>
      <c r="J87" t="s">
        <v>5976</v>
      </c>
      <c r="K87" t="s">
        <v>5976</v>
      </c>
      <c r="L87" t="s">
        <v>5976</v>
      </c>
      <c r="M87" t="s">
        <v>5976</v>
      </c>
      <c r="N87" t="s">
        <v>5976</v>
      </c>
      <c r="O87" t="s">
        <v>5976</v>
      </c>
    </row>
    <row r="88" spans="1:16" x14ac:dyDescent="0.35">
      <c r="A88" t="s">
        <v>61</v>
      </c>
      <c r="B88" t="s">
        <v>6247</v>
      </c>
      <c r="C88" s="52" t="s">
        <v>1983</v>
      </c>
      <c r="D88" t="s">
        <v>6248</v>
      </c>
      <c r="F88" t="s">
        <v>5976</v>
      </c>
      <c r="G88" t="s">
        <v>2716</v>
      </c>
      <c r="H88" t="s">
        <v>5976</v>
      </c>
      <c r="I88" t="s">
        <v>5977</v>
      </c>
      <c r="J88" t="s">
        <v>5977</v>
      </c>
      <c r="K88" t="s">
        <v>5977</v>
      </c>
      <c r="L88">
        <v>46128</v>
      </c>
      <c r="M88">
        <v>46093</v>
      </c>
      <c r="N88" t="s">
        <v>5976</v>
      </c>
      <c r="O88">
        <v>0.1</v>
      </c>
      <c r="P88" t="s">
        <v>6011</v>
      </c>
    </row>
    <row r="89" spans="1:16" x14ac:dyDescent="0.35">
      <c r="A89" t="s">
        <v>5976</v>
      </c>
      <c r="B89" t="s">
        <v>6249</v>
      </c>
      <c r="C89" s="52"/>
      <c r="D89" t="s">
        <v>6250</v>
      </c>
      <c r="E89" t="s">
        <v>5976</v>
      </c>
      <c r="F89" t="s">
        <v>5976</v>
      </c>
      <c r="J89" t="s">
        <v>5976</v>
      </c>
      <c r="K89" t="s">
        <v>5976</v>
      </c>
      <c r="L89" t="s">
        <v>5976</v>
      </c>
      <c r="M89" t="s">
        <v>5976</v>
      </c>
      <c r="N89" t="s">
        <v>5976</v>
      </c>
      <c r="O89" t="s">
        <v>5976</v>
      </c>
    </row>
    <row r="90" spans="1:16" x14ac:dyDescent="0.35">
      <c r="B90" t="s">
        <v>6251</v>
      </c>
      <c r="C90" s="52"/>
      <c r="D90" t="s">
        <v>6252</v>
      </c>
      <c r="H90" t="s">
        <v>5976</v>
      </c>
      <c r="K90" t="s">
        <v>5976</v>
      </c>
    </row>
    <row r="91" spans="1:16" x14ac:dyDescent="0.35">
      <c r="B91" t="s">
        <v>6253</v>
      </c>
      <c r="C91" s="52"/>
      <c r="D91" t="s">
        <v>6254</v>
      </c>
      <c r="E91" t="s">
        <v>6255</v>
      </c>
      <c r="H91" t="s">
        <v>2732</v>
      </c>
      <c r="I91" t="s">
        <v>6011</v>
      </c>
      <c r="K91" t="s">
        <v>5976</v>
      </c>
    </row>
    <row r="92" spans="1:16" x14ac:dyDescent="0.35">
      <c r="B92" t="s">
        <v>6256</v>
      </c>
      <c r="C92" s="52"/>
      <c r="D92" t="s">
        <v>6257</v>
      </c>
      <c r="E92" t="s">
        <v>6255</v>
      </c>
      <c r="H92" t="s">
        <v>5976</v>
      </c>
      <c r="I92" t="s">
        <v>6011</v>
      </c>
      <c r="K92" t="s">
        <v>5976</v>
      </c>
    </row>
    <row r="93" spans="1:16" x14ac:dyDescent="0.35">
      <c r="B93" t="s">
        <v>6258</v>
      </c>
      <c r="C93" s="52"/>
      <c r="D93" t="s">
        <v>6259</v>
      </c>
      <c r="E93" t="s">
        <v>6255</v>
      </c>
      <c r="H93" t="s">
        <v>5976</v>
      </c>
      <c r="I93" t="s">
        <v>6011</v>
      </c>
      <c r="K93" t="s">
        <v>5976</v>
      </c>
    </row>
    <row r="94" spans="1:16" x14ac:dyDescent="0.35">
      <c r="B94" t="s">
        <v>6260</v>
      </c>
      <c r="C94" s="52"/>
      <c r="D94" t="s">
        <v>6261</v>
      </c>
      <c r="E94" t="s">
        <v>6262</v>
      </c>
      <c r="I94" t="s">
        <v>6011</v>
      </c>
      <c r="K94" t="s">
        <v>5976</v>
      </c>
    </row>
    <row r="95" spans="1:16" x14ac:dyDescent="0.35">
      <c r="B95" t="s">
        <v>6263</v>
      </c>
      <c r="C95" s="52" t="s">
        <v>1231</v>
      </c>
      <c r="D95" t="s">
        <v>6264</v>
      </c>
      <c r="E95" t="s">
        <v>6265</v>
      </c>
      <c r="G95" t="s">
        <v>6090</v>
      </c>
      <c r="H95" t="s">
        <v>2709</v>
      </c>
      <c r="I95" t="s">
        <v>6011</v>
      </c>
      <c r="K95" t="s">
        <v>5976</v>
      </c>
    </row>
    <row r="96" spans="1:16" x14ac:dyDescent="0.35">
      <c r="A96" t="s">
        <v>5974</v>
      </c>
      <c r="B96" t="s">
        <v>5975</v>
      </c>
      <c r="C96" s="52" t="s">
        <v>1521</v>
      </c>
      <c r="D96" t="s">
        <v>5486</v>
      </c>
      <c r="E96" t="s">
        <v>5976</v>
      </c>
      <c r="F96" t="s">
        <v>2008</v>
      </c>
      <c r="G96" t="s">
        <v>1794</v>
      </c>
      <c r="H96" t="s">
        <v>2810</v>
      </c>
      <c r="I96" t="s">
        <v>5977</v>
      </c>
      <c r="J96" t="s">
        <v>5977</v>
      </c>
      <c r="K96" t="s">
        <v>5977</v>
      </c>
      <c r="L96" t="s">
        <v>5976</v>
      </c>
      <c r="M96" t="s">
        <v>5976</v>
      </c>
      <c r="N96" t="s">
        <v>5976</v>
      </c>
      <c r="O96" t="s">
        <v>5976</v>
      </c>
      <c r="P96" t="s">
        <v>5977</v>
      </c>
    </row>
    <row r="97" spans="1:16" x14ac:dyDescent="0.35">
      <c r="A97" t="s">
        <v>61</v>
      </c>
      <c r="B97" t="s">
        <v>5978</v>
      </c>
      <c r="C97" s="52" t="s">
        <v>2639</v>
      </c>
      <c r="D97" t="s">
        <v>5979</v>
      </c>
      <c r="E97" t="s">
        <v>5976</v>
      </c>
      <c r="F97" t="s">
        <v>2008</v>
      </c>
      <c r="G97" t="s">
        <v>1794</v>
      </c>
      <c r="H97" t="s">
        <v>2732</v>
      </c>
      <c r="I97" t="s">
        <v>5977</v>
      </c>
      <c r="J97" t="s">
        <v>5980</v>
      </c>
      <c r="K97" t="s">
        <v>5981</v>
      </c>
      <c r="L97" t="s">
        <v>5976</v>
      </c>
      <c r="M97" t="s">
        <v>5976</v>
      </c>
      <c r="N97" t="s">
        <v>5976</v>
      </c>
      <c r="O97" t="s">
        <v>5976</v>
      </c>
      <c r="P97" t="s">
        <v>5981</v>
      </c>
    </row>
    <row r="98" spans="1:16" x14ac:dyDescent="0.35">
      <c r="A98" t="s">
        <v>61</v>
      </c>
      <c r="B98" t="s">
        <v>5982</v>
      </c>
      <c r="C98" s="52" t="s">
        <v>1367</v>
      </c>
      <c r="D98" t="s">
        <v>2130</v>
      </c>
      <c r="E98" t="s">
        <v>5976</v>
      </c>
      <c r="F98" t="s">
        <v>2008</v>
      </c>
      <c r="G98" t="s">
        <v>1794</v>
      </c>
      <c r="H98" t="s">
        <v>2732</v>
      </c>
      <c r="I98" t="s">
        <v>5977</v>
      </c>
      <c r="J98" t="s">
        <v>5977</v>
      </c>
      <c r="K98" t="s">
        <v>5977</v>
      </c>
      <c r="L98">
        <v>46014</v>
      </c>
      <c r="M98">
        <v>45986</v>
      </c>
      <c r="N98">
        <v>46014</v>
      </c>
      <c r="O98">
        <v>1</v>
      </c>
      <c r="P98" t="s">
        <v>5977</v>
      </c>
    </row>
    <row r="99" spans="1:16" x14ac:dyDescent="0.35">
      <c r="A99" t="s">
        <v>61</v>
      </c>
      <c r="B99" t="s">
        <v>5983</v>
      </c>
      <c r="C99" s="52" t="s">
        <v>701</v>
      </c>
      <c r="D99" t="s">
        <v>2126</v>
      </c>
      <c r="E99" t="s">
        <v>5976</v>
      </c>
      <c r="F99" t="s">
        <v>2008</v>
      </c>
      <c r="G99" t="s">
        <v>1794</v>
      </c>
      <c r="H99" t="s">
        <v>2732</v>
      </c>
      <c r="I99" t="s">
        <v>5977</v>
      </c>
      <c r="J99" t="s">
        <v>5977</v>
      </c>
      <c r="K99" t="s">
        <v>5977</v>
      </c>
      <c r="L99">
        <v>46014</v>
      </c>
      <c r="M99">
        <v>45989</v>
      </c>
      <c r="N99">
        <v>46014</v>
      </c>
      <c r="O99">
        <v>1</v>
      </c>
      <c r="P99" t="s">
        <v>5977</v>
      </c>
    </row>
    <row r="100" spans="1:16" x14ac:dyDescent="0.35">
      <c r="A100" t="s">
        <v>61</v>
      </c>
      <c r="B100" t="s">
        <v>5984</v>
      </c>
      <c r="C100" s="52" t="s">
        <v>5976</v>
      </c>
      <c r="D100" t="s">
        <v>5985</v>
      </c>
      <c r="E100" t="s">
        <v>5986</v>
      </c>
      <c r="F100" t="s">
        <v>2008</v>
      </c>
      <c r="G100" t="s">
        <v>1794</v>
      </c>
      <c r="H100" t="s">
        <v>2709</v>
      </c>
      <c r="I100" t="s">
        <v>5980</v>
      </c>
      <c r="J100" t="s">
        <v>5981</v>
      </c>
      <c r="K100" t="s">
        <v>5981</v>
      </c>
      <c r="L100" t="s">
        <v>5976</v>
      </c>
      <c r="M100" t="s">
        <v>5976</v>
      </c>
      <c r="N100" t="s">
        <v>5976</v>
      </c>
      <c r="O100" t="s">
        <v>5976</v>
      </c>
      <c r="P100" t="s">
        <v>5981</v>
      </c>
    </row>
    <row r="101" spans="1:16" x14ac:dyDescent="0.35">
      <c r="A101" t="s">
        <v>61</v>
      </c>
      <c r="B101" t="s">
        <v>5987</v>
      </c>
      <c r="C101" s="52" t="s">
        <v>2200</v>
      </c>
      <c r="D101" t="s">
        <v>5988</v>
      </c>
      <c r="E101" t="s">
        <v>5989</v>
      </c>
      <c r="F101" t="s">
        <v>2008</v>
      </c>
      <c r="G101" t="s">
        <v>1794</v>
      </c>
      <c r="H101" t="s">
        <v>2709</v>
      </c>
      <c r="I101" t="s">
        <v>5977</v>
      </c>
      <c r="J101" t="s">
        <v>5977</v>
      </c>
      <c r="K101" t="s">
        <v>5977</v>
      </c>
      <c r="L101">
        <v>46081</v>
      </c>
      <c r="M101">
        <v>46048</v>
      </c>
      <c r="N101">
        <v>46081</v>
      </c>
      <c r="O101">
        <v>1</v>
      </c>
      <c r="P101" t="s">
        <v>5977</v>
      </c>
    </row>
    <row r="102" spans="1:16" x14ac:dyDescent="0.35">
      <c r="A102" t="s">
        <v>5974</v>
      </c>
      <c r="B102" t="s">
        <v>5990</v>
      </c>
      <c r="C102" s="52" t="s">
        <v>2128</v>
      </c>
      <c r="D102" t="s">
        <v>5991</v>
      </c>
      <c r="E102" t="s">
        <v>2779</v>
      </c>
      <c r="F102" t="s">
        <v>2008</v>
      </c>
      <c r="G102" t="s">
        <v>1794</v>
      </c>
      <c r="H102" t="s">
        <v>2709</v>
      </c>
      <c r="I102" t="s">
        <v>5977</v>
      </c>
      <c r="J102" t="s">
        <v>5977</v>
      </c>
      <c r="K102" t="s">
        <v>5977</v>
      </c>
      <c r="L102">
        <v>46015</v>
      </c>
      <c r="M102">
        <v>45991</v>
      </c>
      <c r="N102">
        <v>46015</v>
      </c>
      <c r="O102">
        <v>1</v>
      </c>
      <c r="P102" t="s">
        <v>5977</v>
      </c>
    </row>
    <row r="103" spans="1:16" x14ac:dyDescent="0.35">
      <c r="A103" t="s">
        <v>61</v>
      </c>
      <c r="B103" t="s">
        <v>5992</v>
      </c>
      <c r="C103" s="52" t="s">
        <v>5993</v>
      </c>
      <c r="D103" t="s">
        <v>5994</v>
      </c>
      <c r="E103" t="s">
        <v>5995</v>
      </c>
      <c r="F103" t="s">
        <v>2008</v>
      </c>
      <c r="G103" t="s">
        <v>1794</v>
      </c>
      <c r="H103" t="s">
        <v>2709</v>
      </c>
      <c r="I103" t="s">
        <v>5996</v>
      </c>
      <c r="J103" t="s">
        <v>5981</v>
      </c>
      <c r="K103" t="s">
        <v>5980</v>
      </c>
      <c r="L103" t="s">
        <v>5976</v>
      </c>
      <c r="M103" t="s">
        <v>5976</v>
      </c>
      <c r="N103" t="s">
        <v>5976</v>
      </c>
      <c r="O103" t="s">
        <v>5976</v>
      </c>
      <c r="P103" t="s">
        <v>5980</v>
      </c>
    </row>
    <row r="104" spans="1:16" x14ac:dyDescent="0.35">
      <c r="A104" t="s">
        <v>61</v>
      </c>
      <c r="B104" t="s">
        <v>5997</v>
      </c>
      <c r="C104" s="52" t="s">
        <v>2641</v>
      </c>
      <c r="D104" t="s">
        <v>5998</v>
      </c>
      <c r="E104" t="s">
        <v>5999</v>
      </c>
      <c r="F104" t="s">
        <v>2008</v>
      </c>
      <c r="G104" t="s">
        <v>1794</v>
      </c>
      <c r="H104" t="s">
        <v>2709</v>
      </c>
      <c r="I104" t="s">
        <v>5980</v>
      </c>
      <c r="J104" t="s">
        <v>5981</v>
      </c>
      <c r="K104" t="s">
        <v>5981</v>
      </c>
      <c r="L104">
        <v>46137</v>
      </c>
      <c r="M104" t="s">
        <v>5976</v>
      </c>
      <c r="N104" t="s">
        <v>5976</v>
      </c>
      <c r="O104" t="s">
        <v>5976</v>
      </c>
      <c r="P104" t="s">
        <v>5981</v>
      </c>
    </row>
    <row r="105" spans="1:16" x14ac:dyDescent="0.35">
      <c r="A105" t="s">
        <v>61</v>
      </c>
      <c r="B105" t="s">
        <v>6000</v>
      </c>
      <c r="C105" s="52" t="s">
        <v>2463</v>
      </c>
      <c r="D105" t="s">
        <v>6001</v>
      </c>
      <c r="E105" t="s">
        <v>6002</v>
      </c>
      <c r="F105" t="s">
        <v>2008</v>
      </c>
      <c r="G105" t="s">
        <v>2716</v>
      </c>
      <c r="H105" t="s">
        <v>2732</v>
      </c>
      <c r="I105" t="s">
        <v>5981</v>
      </c>
      <c r="J105" t="s">
        <v>5981</v>
      </c>
      <c r="K105" t="s">
        <v>5981</v>
      </c>
      <c r="L105" t="s">
        <v>5976</v>
      </c>
      <c r="M105" t="s">
        <v>5976</v>
      </c>
      <c r="N105" t="s">
        <v>5976</v>
      </c>
      <c r="O105" t="s">
        <v>5976</v>
      </c>
      <c r="P105" t="s">
        <v>5981</v>
      </c>
    </row>
    <row r="106" spans="1:16" x14ac:dyDescent="0.35">
      <c r="A106" t="s">
        <v>61</v>
      </c>
      <c r="B106" t="s">
        <v>6003</v>
      </c>
      <c r="C106" s="52" t="s">
        <v>6004</v>
      </c>
      <c r="D106" t="s">
        <v>6005</v>
      </c>
      <c r="E106" t="s">
        <v>5976</v>
      </c>
      <c r="F106" t="s">
        <v>2008</v>
      </c>
      <c r="G106" t="s">
        <v>2716</v>
      </c>
      <c r="H106" t="s">
        <v>2732</v>
      </c>
      <c r="I106" t="s">
        <v>5996</v>
      </c>
      <c r="J106" t="s">
        <v>5981</v>
      </c>
      <c r="K106" t="s">
        <v>5981</v>
      </c>
      <c r="L106">
        <v>46130</v>
      </c>
      <c r="M106" t="s">
        <v>5976</v>
      </c>
      <c r="N106" t="s">
        <v>5976</v>
      </c>
      <c r="O106" t="s">
        <v>5976</v>
      </c>
      <c r="P106" t="s">
        <v>5981</v>
      </c>
    </row>
    <row r="107" spans="1:16" x14ac:dyDescent="0.35">
      <c r="A107" t="s">
        <v>5974</v>
      </c>
      <c r="B107" t="s">
        <v>6006</v>
      </c>
      <c r="C107" s="52" t="s">
        <v>1521</v>
      </c>
      <c r="D107" t="s">
        <v>6007</v>
      </c>
      <c r="E107" t="s">
        <v>6008</v>
      </c>
      <c r="F107" t="s">
        <v>2008</v>
      </c>
      <c r="G107" t="s">
        <v>1794</v>
      </c>
      <c r="H107" t="s">
        <v>2810</v>
      </c>
      <c r="I107" t="s">
        <v>5977</v>
      </c>
      <c r="J107" t="s">
        <v>5981</v>
      </c>
      <c r="K107" t="s">
        <v>5977</v>
      </c>
      <c r="L107">
        <v>46067</v>
      </c>
      <c r="M107">
        <v>46036</v>
      </c>
      <c r="N107">
        <v>46067</v>
      </c>
      <c r="O107">
        <v>1</v>
      </c>
      <c r="P107" t="s">
        <v>5977</v>
      </c>
    </row>
    <row r="108" spans="1:16" x14ac:dyDescent="0.35">
      <c r="A108" t="s">
        <v>5974</v>
      </c>
      <c r="B108" t="s">
        <v>6009</v>
      </c>
      <c r="C108" s="52" t="s">
        <v>2637</v>
      </c>
      <c r="D108" t="s">
        <v>5501</v>
      </c>
      <c r="E108" t="s">
        <v>6010</v>
      </c>
      <c r="F108" t="s">
        <v>2008</v>
      </c>
      <c r="G108" t="s">
        <v>1794</v>
      </c>
      <c r="H108" t="s">
        <v>2810</v>
      </c>
      <c r="I108" t="s">
        <v>6011</v>
      </c>
      <c r="J108" t="s">
        <v>5981</v>
      </c>
      <c r="K108" t="s">
        <v>5981</v>
      </c>
      <c r="L108">
        <v>46174</v>
      </c>
      <c r="M108" t="s">
        <v>5976</v>
      </c>
      <c r="N108" t="s">
        <v>5976</v>
      </c>
      <c r="O108" t="s">
        <v>5976</v>
      </c>
      <c r="P108" t="s">
        <v>5981</v>
      </c>
    </row>
    <row r="109" spans="1:16" x14ac:dyDescent="0.35">
      <c r="A109" t="s">
        <v>5974</v>
      </c>
      <c r="B109" t="s">
        <v>6012</v>
      </c>
      <c r="C109" s="52" t="s">
        <v>2171</v>
      </c>
      <c r="D109" t="s">
        <v>5489</v>
      </c>
      <c r="E109" t="s">
        <v>5986</v>
      </c>
      <c r="F109" t="s">
        <v>2008</v>
      </c>
      <c r="G109" t="s">
        <v>1794</v>
      </c>
      <c r="H109" t="s">
        <v>2709</v>
      </c>
      <c r="I109" t="s">
        <v>5977</v>
      </c>
      <c r="J109" t="s">
        <v>5977</v>
      </c>
      <c r="K109" t="s">
        <v>5977</v>
      </c>
      <c r="L109">
        <v>46067</v>
      </c>
      <c r="M109">
        <v>46038</v>
      </c>
      <c r="N109">
        <v>46064</v>
      </c>
      <c r="O109">
        <v>1</v>
      </c>
      <c r="P109" t="s">
        <v>5977</v>
      </c>
    </row>
    <row r="110" spans="1:16" x14ac:dyDescent="0.35">
      <c r="A110" t="s">
        <v>5974</v>
      </c>
      <c r="B110" t="s">
        <v>6013</v>
      </c>
      <c r="C110" s="52" t="s">
        <v>2643</v>
      </c>
      <c r="D110" t="s">
        <v>5493</v>
      </c>
      <c r="E110" t="s">
        <v>6014</v>
      </c>
      <c r="F110" t="s">
        <v>2008</v>
      </c>
      <c r="G110" t="s">
        <v>1794</v>
      </c>
      <c r="H110" t="s">
        <v>2810</v>
      </c>
      <c r="I110" t="s">
        <v>5977</v>
      </c>
      <c r="J110" t="s">
        <v>5981</v>
      </c>
      <c r="L110">
        <v>46132</v>
      </c>
      <c r="M110" t="s">
        <v>5976</v>
      </c>
      <c r="N110" t="s">
        <v>5976</v>
      </c>
      <c r="O110" t="s">
        <v>5976</v>
      </c>
      <c r="P110" t="s">
        <v>5981</v>
      </c>
    </row>
    <row r="111" spans="1:16" x14ac:dyDescent="0.35">
      <c r="A111" t="s">
        <v>5974</v>
      </c>
      <c r="B111" t="s">
        <v>6015</v>
      </c>
      <c r="C111" s="52" t="s">
        <v>3620</v>
      </c>
      <c r="D111" t="s">
        <v>5497</v>
      </c>
      <c r="E111" t="s">
        <v>6010</v>
      </c>
      <c r="F111" t="s">
        <v>2008</v>
      </c>
      <c r="G111" t="s">
        <v>1794</v>
      </c>
      <c r="H111" t="s">
        <v>2810</v>
      </c>
      <c r="I111" t="s">
        <v>6011</v>
      </c>
      <c r="J111" t="s">
        <v>5981</v>
      </c>
      <c r="K111" t="s">
        <v>5981</v>
      </c>
      <c r="L111">
        <v>46174</v>
      </c>
      <c r="M111" t="s">
        <v>5976</v>
      </c>
      <c r="N111" t="s">
        <v>5976</v>
      </c>
      <c r="O111" t="s">
        <v>5976</v>
      </c>
      <c r="P111" t="s">
        <v>5981</v>
      </c>
    </row>
    <row r="112" spans="1:16" x14ac:dyDescent="0.35">
      <c r="A112" t="s">
        <v>5974</v>
      </c>
      <c r="B112" t="s">
        <v>6016</v>
      </c>
      <c r="C112" s="52" t="s">
        <v>2459</v>
      </c>
      <c r="D112" t="s">
        <v>6017</v>
      </c>
      <c r="E112" t="s">
        <v>5976</v>
      </c>
      <c r="F112" t="s">
        <v>2008</v>
      </c>
      <c r="G112" t="s">
        <v>2716</v>
      </c>
      <c r="H112" t="s">
        <v>2810</v>
      </c>
      <c r="I112" t="s">
        <v>5981</v>
      </c>
      <c r="J112" t="s">
        <v>5981</v>
      </c>
      <c r="K112" t="s">
        <v>5981</v>
      </c>
      <c r="L112" t="s">
        <v>5976</v>
      </c>
      <c r="M112" t="s">
        <v>5976</v>
      </c>
      <c r="N112" t="s">
        <v>5976</v>
      </c>
      <c r="O112" t="s">
        <v>5976</v>
      </c>
      <c r="P112" t="s">
        <v>5981</v>
      </c>
    </row>
    <row r="113" spans="1:16" x14ac:dyDescent="0.35">
      <c r="A113" t="s">
        <v>61</v>
      </c>
      <c r="B113" t="s">
        <v>6018</v>
      </c>
      <c r="C113" s="52" t="s">
        <v>4568</v>
      </c>
      <c r="D113" t="s">
        <v>6019</v>
      </c>
      <c r="E113" t="s">
        <v>5976</v>
      </c>
      <c r="F113" t="s">
        <v>2008</v>
      </c>
      <c r="G113" t="s">
        <v>2716</v>
      </c>
      <c r="H113" t="s">
        <v>2709</v>
      </c>
      <c r="I113" t="s">
        <v>5980</v>
      </c>
      <c r="J113" t="s">
        <v>5981</v>
      </c>
      <c r="K113" t="s">
        <v>5981</v>
      </c>
      <c r="L113" t="s">
        <v>5976</v>
      </c>
      <c r="M113" t="s">
        <v>5976</v>
      </c>
      <c r="N113" t="s">
        <v>5976</v>
      </c>
      <c r="O113" t="s">
        <v>5976</v>
      </c>
      <c r="P113" t="s">
        <v>5981</v>
      </c>
    </row>
    <row r="114" spans="1:16" x14ac:dyDescent="0.35">
      <c r="A114" t="s">
        <v>61</v>
      </c>
      <c r="B114" t="s">
        <v>6020</v>
      </c>
      <c r="C114" s="52" t="s">
        <v>5026</v>
      </c>
      <c r="D114" t="s">
        <v>6021</v>
      </c>
      <c r="E114" t="s">
        <v>6022</v>
      </c>
      <c r="F114" t="s">
        <v>2008</v>
      </c>
      <c r="G114" t="s">
        <v>1794</v>
      </c>
      <c r="H114" t="s">
        <v>2709</v>
      </c>
      <c r="I114" t="s">
        <v>5981</v>
      </c>
      <c r="J114" t="s">
        <v>5981</v>
      </c>
      <c r="K114" t="s">
        <v>5981</v>
      </c>
      <c r="L114">
        <v>46162</v>
      </c>
      <c r="M114" t="s">
        <v>5976</v>
      </c>
      <c r="N114" t="s">
        <v>5976</v>
      </c>
      <c r="O114" t="s">
        <v>5976</v>
      </c>
      <c r="P114" t="s">
        <v>5981</v>
      </c>
    </row>
    <row r="115" spans="1:16" x14ac:dyDescent="0.35">
      <c r="A115" t="s">
        <v>61</v>
      </c>
      <c r="B115" t="s">
        <v>6023</v>
      </c>
      <c r="C115" s="52" t="s">
        <v>6024</v>
      </c>
      <c r="D115" t="s">
        <v>6025</v>
      </c>
      <c r="E115" t="s">
        <v>6022</v>
      </c>
      <c r="F115" t="s">
        <v>2008</v>
      </c>
      <c r="G115" t="s">
        <v>1794</v>
      </c>
      <c r="H115" t="s">
        <v>2709</v>
      </c>
      <c r="I115" t="s">
        <v>5981</v>
      </c>
      <c r="J115" t="s">
        <v>5981</v>
      </c>
      <c r="K115" t="s">
        <v>5981</v>
      </c>
      <c r="L115">
        <v>46162</v>
      </c>
      <c r="M115" t="s">
        <v>5976</v>
      </c>
      <c r="N115" t="s">
        <v>5976</v>
      </c>
      <c r="O115" t="s">
        <v>5976</v>
      </c>
      <c r="P115" t="s">
        <v>5981</v>
      </c>
    </row>
    <row r="116" spans="1:16" x14ac:dyDescent="0.35">
      <c r="A116" t="s">
        <v>5974</v>
      </c>
      <c r="B116" t="s">
        <v>6026</v>
      </c>
      <c r="C116" s="52" t="s">
        <v>5334</v>
      </c>
      <c r="D116" t="s">
        <v>6027</v>
      </c>
      <c r="E116" t="s">
        <v>6022</v>
      </c>
      <c r="F116" t="s">
        <v>2008</v>
      </c>
      <c r="G116" t="s">
        <v>1794</v>
      </c>
      <c r="H116" t="s">
        <v>2810</v>
      </c>
      <c r="I116" t="s">
        <v>5977</v>
      </c>
      <c r="J116" t="s">
        <v>5981</v>
      </c>
      <c r="K116" t="s">
        <v>5981</v>
      </c>
      <c r="L116">
        <v>46137</v>
      </c>
      <c r="M116" t="s">
        <v>5976</v>
      </c>
      <c r="N116" t="s">
        <v>5976</v>
      </c>
      <c r="O116" t="s">
        <v>5976</v>
      </c>
      <c r="P116" t="s">
        <v>5981</v>
      </c>
    </row>
    <row r="117" spans="1:16" x14ac:dyDescent="0.35">
      <c r="A117" t="s">
        <v>5974</v>
      </c>
      <c r="B117" t="s">
        <v>6028</v>
      </c>
      <c r="C117" s="52" t="s">
        <v>5945</v>
      </c>
      <c r="D117" t="s">
        <v>5694</v>
      </c>
      <c r="E117" t="s">
        <v>5976</v>
      </c>
      <c r="F117" t="s">
        <v>2008</v>
      </c>
      <c r="G117" t="s">
        <v>1794</v>
      </c>
      <c r="H117" t="s">
        <v>2810</v>
      </c>
      <c r="I117" t="s">
        <v>5977</v>
      </c>
      <c r="J117" t="s">
        <v>5981</v>
      </c>
      <c r="K117" t="s">
        <v>5981</v>
      </c>
      <c r="L117">
        <v>46137</v>
      </c>
      <c r="M117" t="s">
        <v>5976</v>
      </c>
      <c r="N117" t="s">
        <v>5976</v>
      </c>
      <c r="O117" t="s">
        <v>5976</v>
      </c>
      <c r="P117" t="s">
        <v>5981</v>
      </c>
    </row>
    <row r="118" spans="1:16" x14ac:dyDescent="0.35">
      <c r="A118" t="s">
        <v>5974</v>
      </c>
      <c r="B118" t="s">
        <v>6029</v>
      </c>
      <c r="C118" s="52" t="s">
        <v>3958</v>
      </c>
      <c r="D118" t="s">
        <v>6030</v>
      </c>
      <c r="E118" t="s">
        <v>5976</v>
      </c>
      <c r="F118" t="s">
        <v>2008</v>
      </c>
      <c r="G118" t="s">
        <v>1794</v>
      </c>
      <c r="H118" t="s">
        <v>2709</v>
      </c>
      <c r="I118" t="s">
        <v>5977</v>
      </c>
      <c r="J118" t="s">
        <v>5981</v>
      </c>
      <c r="K118" t="s">
        <v>5981</v>
      </c>
      <c r="L118">
        <v>46137</v>
      </c>
      <c r="M118" t="s">
        <v>5976</v>
      </c>
      <c r="N118" t="s">
        <v>5976</v>
      </c>
      <c r="O118" t="s">
        <v>5976</v>
      </c>
      <c r="P118" t="s">
        <v>5981</v>
      </c>
    </row>
    <row r="119" spans="1:16" x14ac:dyDescent="0.35">
      <c r="A119" t="s">
        <v>61</v>
      </c>
      <c r="B119" t="s">
        <v>6031</v>
      </c>
      <c r="C119" s="52" t="s">
        <v>3077</v>
      </c>
      <c r="D119" t="s">
        <v>6032</v>
      </c>
      <c r="E119" t="s">
        <v>5976</v>
      </c>
      <c r="F119" t="s">
        <v>2008</v>
      </c>
      <c r="G119" t="s">
        <v>2716</v>
      </c>
      <c r="H119" t="s">
        <v>2709</v>
      </c>
      <c r="I119" t="s">
        <v>5977</v>
      </c>
      <c r="J119" t="s">
        <v>5981</v>
      </c>
      <c r="K119" t="s">
        <v>6011</v>
      </c>
      <c r="L119">
        <v>46139</v>
      </c>
      <c r="M119" t="s">
        <v>5976</v>
      </c>
      <c r="N119" t="s">
        <v>5976</v>
      </c>
      <c r="O119" t="s">
        <v>5976</v>
      </c>
      <c r="P119" t="s">
        <v>5981</v>
      </c>
    </row>
    <row r="120" spans="1:16" x14ac:dyDescent="0.35">
      <c r="A120" t="s">
        <v>61</v>
      </c>
      <c r="B120" t="s">
        <v>6033</v>
      </c>
      <c r="C120" s="52" t="s">
        <v>2756</v>
      </c>
      <c r="D120" t="s">
        <v>6034</v>
      </c>
      <c r="E120" t="s">
        <v>2764</v>
      </c>
      <c r="F120" t="s">
        <v>2008</v>
      </c>
      <c r="G120" t="s">
        <v>1794</v>
      </c>
      <c r="H120" t="s">
        <v>2709</v>
      </c>
      <c r="I120" t="s">
        <v>6011</v>
      </c>
      <c r="J120" t="s">
        <v>5981</v>
      </c>
      <c r="K120" t="s">
        <v>5981</v>
      </c>
      <c r="L120">
        <v>46137</v>
      </c>
      <c r="M120" t="s">
        <v>5976</v>
      </c>
      <c r="N120" t="s">
        <v>5976</v>
      </c>
      <c r="O120" t="s">
        <v>5976</v>
      </c>
      <c r="P120" t="s">
        <v>5981</v>
      </c>
    </row>
    <row r="121" spans="1:16" x14ac:dyDescent="0.35">
      <c r="A121" t="s">
        <v>5974</v>
      </c>
      <c r="B121" t="s">
        <v>6035</v>
      </c>
      <c r="C121" s="52" t="s">
        <v>2831</v>
      </c>
      <c r="D121" t="s">
        <v>5851</v>
      </c>
      <c r="E121" t="s">
        <v>2833</v>
      </c>
      <c r="F121" t="s">
        <v>2008</v>
      </c>
      <c r="G121" t="s">
        <v>1794</v>
      </c>
      <c r="H121" t="s">
        <v>5976</v>
      </c>
      <c r="I121" t="s">
        <v>6011</v>
      </c>
      <c r="J121" t="s">
        <v>5981</v>
      </c>
      <c r="K121" t="s">
        <v>5981</v>
      </c>
      <c r="L121">
        <v>46193</v>
      </c>
      <c r="M121" t="s">
        <v>5976</v>
      </c>
      <c r="N121" t="s">
        <v>5976</v>
      </c>
      <c r="O121" t="s">
        <v>5976</v>
      </c>
      <c r="P121" t="s">
        <v>5981</v>
      </c>
    </row>
    <row r="122" spans="1:16" x14ac:dyDescent="0.35">
      <c r="A122" t="s">
        <v>61</v>
      </c>
      <c r="B122" t="s">
        <v>6036</v>
      </c>
      <c r="C122" s="52" t="s">
        <v>6037</v>
      </c>
      <c r="D122" t="s">
        <v>6038</v>
      </c>
      <c r="E122" t="s">
        <v>6039</v>
      </c>
      <c r="F122" t="s">
        <v>2008</v>
      </c>
      <c r="G122" t="s">
        <v>1794</v>
      </c>
      <c r="H122" t="s">
        <v>5976</v>
      </c>
      <c r="I122" t="s">
        <v>6011</v>
      </c>
      <c r="J122" t="s">
        <v>5981</v>
      </c>
      <c r="K122" t="s">
        <v>5981</v>
      </c>
      <c r="L122" t="s">
        <v>5976</v>
      </c>
      <c r="M122" t="s">
        <v>5976</v>
      </c>
      <c r="N122" t="s">
        <v>5976</v>
      </c>
      <c r="O122" t="s">
        <v>5976</v>
      </c>
      <c r="P122" t="s">
        <v>5981</v>
      </c>
    </row>
    <row r="123" spans="1:16" x14ac:dyDescent="0.35">
      <c r="A123" t="s">
        <v>61</v>
      </c>
      <c r="B123" t="s">
        <v>6040</v>
      </c>
      <c r="C123" s="52" t="s">
        <v>5039</v>
      </c>
      <c r="D123" t="s">
        <v>6041</v>
      </c>
      <c r="E123" t="s">
        <v>5986</v>
      </c>
      <c r="F123" t="s">
        <v>2008</v>
      </c>
      <c r="G123" t="s">
        <v>1794</v>
      </c>
      <c r="H123" t="s">
        <v>5976</v>
      </c>
      <c r="I123" t="s">
        <v>6011</v>
      </c>
      <c r="J123" t="s">
        <v>5981</v>
      </c>
      <c r="K123" t="s">
        <v>5981</v>
      </c>
      <c r="L123">
        <v>46132</v>
      </c>
      <c r="M123" t="s">
        <v>5976</v>
      </c>
      <c r="N123" t="s">
        <v>5976</v>
      </c>
      <c r="O123" t="s">
        <v>5976</v>
      </c>
      <c r="P123" t="s">
        <v>5981</v>
      </c>
    </row>
    <row r="124" spans="1:16" x14ac:dyDescent="0.35">
      <c r="A124" t="s">
        <v>5974</v>
      </c>
      <c r="B124" t="s">
        <v>6042</v>
      </c>
      <c r="C124" s="52" t="s">
        <v>5340</v>
      </c>
      <c r="D124" t="s">
        <v>5856</v>
      </c>
      <c r="E124" t="s">
        <v>6043</v>
      </c>
      <c r="F124" t="s">
        <v>2008</v>
      </c>
      <c r="G124" t="s">
        <v>1794</v>
      </c>
      <c r="H124" t="s">
        <v>5976</v>
      </c>
      <c r="I124" t="s">
        <v>6011</v>
      </c>
      <c r="J124" t="s">
        <v>5976</v>
      </c>
      <c r="K124" t="s">
        <v>5976</v>
      </c>
      <c r="L124" t="s">
        <v>5976</v>
      </c>
      <c r="M124" t="s">
        <v>5976</v>
      </c>
      <c r="N124" t="s">
        <v>5976</v>
      </c>
      <c r="O124" t="s">
        <v>5976</v>
      </c>
      <c r="P124" t="s">
        <v>5976</v>
      </c>
    </row>
    <row r="125" spans="1:16" x14ac:dyDescent="0.35">
      <c r="A125" t="s">
        <v>61</v>
      </c>
      <c r="B125" t="s">
        <v>6044</v>
      </c>
      <c r="C125" s="52" t="s">
        <v>5949</v>
      </c>
      <c r="D125" t="s">
        <v>6045</v>
      </c>
      <c r="F125" t="s">
        <v>2008</v>
      </c>
    </row>
    <row r="126" spans="1:16" x14ac:dyDescent="0.35">
      <c r="B126" t="s">
        <v>6046</v>
      </c>
      <c r="C126" s="52" t="s">
        <v>6047</v>
      </c>
      <c r="D126" t="s">
        <v>6048</v>
      </c>
      <c r="F126" t="s">
        <v>2008</v>
      </c>
      <c r="I126" t="s">
        <v>6011</v>
      </c>
    </row>
    <row r="127" spans="1:16" x14ac:dyDescent="0.35">
      <c r="A127" t="s">
        <v>5974</v>
      </c>
      <c r="B127" t="s">
        <v>6266</v>
      </c>
      <c r="C127" s="52" t="s">
        <v>320</v>
      </c>
      <c r="D127" t="s">
        <v>6267</v>
      </c>
      <c r="E127" t="s">
        <v>6268</v>
      </c>
      <c r="F127" t="s">
        <v>76</v>
      </c>
      <c r="G127" t="s">
        <v>5423</v>
      </c>
      <c r="H127" t="s">
        <v>2732</v>
      </c>
      <c r="I127" t="s">
        <v>5977</v>
      </c>
      <c r="J127" t="s">
        <v>5977</v>
      </c>
      <c r="K127" t="s">
        <v>5977</v>
      </c>
      <c r="L127">
        <v>46136</v>
      </c>
      <c r="M127" t="s">
        <v>5976</v>
      </c>
      <c r="N127" t="s">
        <v>5976</v>
      </c>
      <c r="P127" t="s">
        <v>6011</v>
      </c>
    </row>
    <row r="128" spans="1:16" x14ac:dyDescent="0.35">
      <c r="A128" t="s">
        <v>5974</v>
      </c>
      <c r="B128" t="s">
        <v>6269</v>
      </c>
      <c r="C128" s="52" t="s">
        <v>2154</v>
      </c>
      <c r="D128" t="s">
        <v>6270</v>
      </c>
      <c r="E128" t="s">
        <v>6271</v>
      </c>
      <c r="F128" t="s">
        <v>76</v>
      </c>
      <c r="G128" t="s">
        <v>2716</v>
      </c>
      <c r="H128" t="s">
        <v>2732</v>
      </c>
      <c r="I128" t="s">
        <v>5977</v>
      </c>
      <c r="J128" t="s">
        <v>5977</v>
      </c>
      <c r="K128" t="s">
        <v>5977</v>
      </c>
      <c r="L128">
        <v>46001</v>
      </c>
      <c r="M128">
        <v>45882</v>
      </c>
      <c r="N128">
        <v>45992</v>
      </c>
      <c r="O128">
        <v>1</v>
      </c>
      <c r="P128" t="s">
        <v>5977</v>
      </c>
    </row>
    <row r="129" spans="1:16" x14ac:dyDescent="0.35">
      <c r="A129" t="s">
        <v>5974</v>
      </c>
      <c r="B129" t="s">
        <v>6003</v>
      </c>
      <c r="C129" s="52" t="s">
        <v>414</v>
      </c>
      <c r="D129" t="s">
        <v>6272</v>
      </c>
      <c r="E129" t="s">
        <v>6268</v>
      </c>
      <c r="F129" t="s">
        <v>76</v>
      </c>
      <c r="G129" t="s">
        <v>5423</v>
      </c>
      <c r="H129" t="s">
        <v>2709</v>
      </c>
      <c r="I129" t="s">
        <v>5977</v>
      </c>
      <c r="J129" t="s">
        <v>5977</v>
      </c>
      <c r="K129" t="s">
        <v>5981</v>
      </c>
      <c r="L129">
        <v>46140</v>
      </c>
      <c r="M129" t="s">
        <v>5976</v>
      </c>
      <c r="N129" t="s">
        <v>5976</v>
      </c>
      <c r="P129" t="s">
        <v>5981</v>
      </c>
    </row>
    <row r="130" spans="1:16" x14ac:dyDescent="0.35">
      <c r="A130" t="s">
        <v>61</v>
      </c>
      <c r="B130" t="s">
        <v>6009</v>
      </c>
      <c r="C130" s="52" t="s">
        <v>2336</v>
      </c>
      <c r="D130" t="s">
        <v>6273</v>
      </c>
      <c r="E130" t="s">
        <v>5976</v>
      </c>
      <c r="F130" t="s">
        <v>76</v>
      </c>
      <c r="G130" t="s">
        <v>2716</v>
      </c>
      <c r="H130" t="s">
        <v>2732</v>
      </c>
      <c r="I130" t="s">
        <v>5977</v>
      </c>
      <c r="J130" t="s">
        <v>5977</v>
      </c>
      <c r="K130" t="s">
        <v>5977</v>
      </c>
      <c r="L130">
        <v>46134</v>
      </c>
      <c r="M130">
        <v>46094</v>
      </c>
      <c r="N130" t="s">
        <v>5976</v>
      </c>
      <c r="O130">
        <v>0.05</v>
      </c>
      <c r="P130" t="s">
        <v>6011</v>
      </c>
    </row>
    <row r="131" spans="1:16" x14ac:dyDescent="0.35">
      <c r="A131" t="s">
        <v>5974</v>
      </c>
      <c r="B131" t="s">
        <v>6012</v>
      </c>
      <c r="C131" s="52" t="s">
        <v>84</v>
      </c>
      <c r="D131" t="s">
        <v>6274</v>
      </c>
      <c r="E131" t="s">
        <v>6275</v>
      </c>
      <c r="F131" t="s">
        <v>76</v>
      </c>
      <c r="G131" t="s">
        <v>5423</v>
      </c>
      <c r="H131" t="s">
        <v>2732</v>
      </c>
      <c r="I131" t="s">
        <v>5977</v>
      </c>
      <c r="J131" t="s">
        <v>5977</v>
      </c>
      <c r="K131" t="s">
        <v>5977</v>
      </c>
      <c r="L131">
        <v>46132</v>
      </c>
      <c r="M131" t="s">
        <v>5976</v>
      </c>
      <c r="N131" t="s">
        <v>5976</v>
      </c>
      <c r="P131" t="s">
        <v>6011</v>
      </c>
    </row>
    <row r="132" spans="1:16" x14ac:dyDescent="0.35">
      <c r="A132" t="s">
        <v>5974</v>
      </c>
      <c r="B132" t="s">
        <v>6015</v>
      </c>
      <c r="C132" s="52" t="s">
        <v>174</v>
      </c>
      <c r="D132" t="s">
        <v>6276</v>
      </c>
      <c r="E132" t="s">
        <v>5976</v>
      </c>
      <c r="F132" t="s">
        <v>76</v>
      </c>
      <c r="G132" t="s">
        <v>5423</v>
      </c>
      <c r="H132" t="s">
        <v>2732</v>
      </c>
      <c r="I132" t="s">
        <v>5977</v>
      </c>
      <c r="J132" t="s">
        <v>5977</v>
      </c>
      <c r="K132" t="s">
        <v>5977</v>
      </c>
      <c r="L132">
        <v>46038</v>
      </c>
      <c r="M132">
        <v>46013</v>
      </c>
      <c r="N132">
        <v>46038</v>
      </c>
      <c r="O132">
        <v>1</v>
      </c>
      <c r="P132" t="s">
        <v>5977</v>
      </c>
    </row>
    <row r="133" spans="1:16" x14ac:dyDescent="0.35">
      <c r="A133" t="s">
        <v>5974</v>
      </c>
      <c r="B133" t="s">
        <v>6277</v>
      </c>
      <c r="C133" s="52" t="s">
        <v>277</v>
      </c>
      <c r="D133" t="s">
        <v>6278</v>
      </c>
      <c r="F133" t="s">
        <v>76</v>
      </c>
      <c r="G133" t="s">
        <v>5423</v>
      </c>
      <c r="H133" t="s">
        <v>2709</v>
      </c>
      <c r="I133" t="s">
        <v>5977</v>
      </c>
      <c r="J133" t="s">
        <v>5981</v>
      </c>
      <c r="K133" t="s">
        <v>5981</v>
      </c>
      <c r="L133">
        <v>46136</v>
      </c>
      <c r="M133" t="s">
        <v>5976</v>
      </c>
      <c r="N133" t="s">
        <v>5976</v>
      </c>
      <c r="O133" t="s">
        <v>5976</v>
      </c>
      <c r="P133" t="s">
        <v>5981</v>
      </c>
    </row>
    <row r="134" spans="1:16" x14ac:dyDescent="0.35">
      <c r="A134" t="s">
        <v>61</v>
      </c>
      <c r="B134" t="s">
        <v>6279</v>
      </c>
      <c r="C134" s="52" t="s">
        <v>2162</v>
      </c>
      <c r="D134" t="s">
        <v>6280</v>
      </c>
      <c r="E134" t="s">
        <v>5976</v>
      </c>
      <c r="F134" t="s">
        <v>76</v>
      </c>
      <c r="G134" t="s">
        <v>1794</v>
      </c>
      <c r="H134" t="s">
        <v>2732</v>
      </c>
      <c r="I134" t="s">
        <v>5977</v>
      </c>
      <c r="J134" t="s">
        <v>5977</v>
      </c>
      <c r="K134" t="s">
        <v>5977</v>
      </c>
      <c r="L134">
        <v>46044</v>
      </c>
      <c r="M134">
        <v>46021</v>
      </c>
      <c r="N134">
        <v>46044</v>
      </c>
      <c r="O134">
        <v>1</v>
      </c>
      <c r="P134" t="s">
        <v>5977</v>
      </c>
    </row>
    <row r="135" spans="1:16" x14ac:dyDescent="0.35">
      <c r="A135" t="s">
        <v>61</v>
      </c>
      <c r="B135" t="s">
        <v>6016</v>
      </c>
      <c r="C135" s="52" t="s">
        <v>5367</v>
      </c>
      <c r="D135" t="s">
        <v>6281</v>
      </c>
      <c r="E135" t="s">
        <v>5976</v>
      </c>
      <c r="F135" t="s">
        <v>76</v>
      </c>
      <c r="G135" t="s">
        <v>2716</v>
      </c>
      <c r="H135" t="s">
        <v>2709</v>
      </c>
      <c r="I135" t="s">
        <v>6011</v>
      </c>
      <c r="J135" t="s">
        <v>5981</v>
      </c>
      <c r="K135" t="s">
        <v>5981</v>
      </c>
      <c r="L135">
        <v>46188</v>
      </c>
      <c r="M135" t="s">
        <v>5976</v>
      </c>
      <c r="N135" t="s">
        <v>5976</v>
      </c>
      <c r="O135" t="s">
        <v>5976</v>
      </c>
      <c r="P135" t="s">
        <v>5981</v>
      </c>
    </row>
    <row r="136" spans="1:16" x14ac:dyDescent="0.35">
      <c r="A136" t="s">
        <v>61</v>
      </c>
      <c r="B136" t="s">
        <v>6018</v>
      </c>
      <c r="C136" s="52" t="s">
        <v>6282</v>
      </c>
      <c r="D136" t="s">
        <v>6283</v>
      </c>
      <c r="F136" t="s">
        <v>76</v>
      </c>
      <c r="G136" t="s">
        <v>2716</v>
      </c>
      <c r="H136" t="s">
        <v>2709</v>
      </c>
      <c r="I136" t="s">
        <v>5977</v>
      </c>
      <c r="J136" t="s">
        <v>5977</v>
      </c>
      <c r="K136" t="s">
        <v>5977</v>
      </c>
      <c r="L136">
        <v>46123</v>
      </c>
      <c r="M136">
        <v>46083</v>
      </c>
      <c r="N136" t="s">
        <v>5976</v>
      </c>
      <c r="O136">
        <v>0.5</v>
      </c>
      <c r="P136" t="s">
        <v>6011</v>
      </c>
    </row>
    <row r="137" spans="1:16" x14ac:dyDescent="0.35">
      <c r="A137" t="s">
        <v>5974</v>
      </c>
      <c r="B137" t="s">
        <v>6020</v>
      </c>
      <c r="C137" s="52" t="s">
        <v>299</v>
      </c>
      <c r="D137" t="s">
        <v>6284</v>
      </c>
      <c r="E137" t="s">
        <v>5976</v>
      </c>
      <c r="F137" t="s">
        <v>76</v>
      </c>
      <c r="G137" t="s">
        <v>5423</v>
      </c>
      <c r="H137" t="s">
        <v>2709</v>
      </c>
      <c r="I137" t="s">
        <v>5977</v>
      </c>
      <c r="J137" t="s">
        <v>5977</v>
      </c>
      <c r="K137" t="s">
        <v>5977</v>
      </c>
      <c r="L137">
        <v>46131</v>
      </c>
      <c r="M137" t="s">
        <v>5976</v>
      </c>
      <c r="N137" t="s">
        <v>5976</v>
      </c>
      <c r="P137" t="s">
        <v>6011</v>
      </c>
    </row>
    <row r="138" spans="1:16" x14ac:dyDescent="0.35">
      <c r="A138" t="s">
        <v>61</v>
      </c>
      <c r="B138" t="s">
        <v>6029</v>
      </c>
      <c r="C138" s="52" t="s">
        <v>2083</v>
      </c>
      <c r="D138" t="s">
        <v>6285</v>
      </c>
      <c r="E138" t="s">
        <v>6286</v>
      </c>
      <c r="F138" t="s">
        <v>76</v>
      </c>
      <c r="G138" t="s">
        <v>5423</v>
      </c>
      <c r="H138" t="s">
        <v>2709</v>
      </c>
      <c r="I138" t="s">
        <v>5977</v>
      </c>
      <c r="J138" t="s">
        <v>5977</v>
      </c>
      <c r="K138" t="s">
        <v>5977</v>
      </c>
      <c r="L138">
        <v>46059</v>
      </c>
      <c r="M138">
        <v>46027</v>
      </c>
      <c r="N138">
        <v>46059</v>
      </c>
      <c r="O138">
        <v>1</v>
      </c>
      <c r="P138" t="s">
        <v>5977</v>
      </c>
    </row>
    <row r="139" spans="1:16" x14ac:dyDescent="0.35">
      <c r="A139" t="s">
        <v>61</v>
      </c>
      <c r="B139" t="s">
        <v>6031</v>
      </c>
      <c r="C139" s="52" t="s">
        <v>5939</v>
      </c>
      <c r="D139" t="s">
        <v>6287</v>
      </c>
      <c r="E139" t="s">
        <v>6288</v>
      </c>
      <c r="F139" t="s">
        <v>6289</v>
      </c>
      <c r="G139" t="s">
        <v>1794</v>
      </c>
      <c r="H139" t="s">
        <v>2732</v>
      </c>
      <c r="I139" t="s">
        <v>5977</v>
      </c>
      <c r="J139" t="s">
        <v>5977</v>
      </c>
      <c r="K139" t="s">
        <v>5977</v>
      </c>
      <c r="L139">
        <v>46163</v>
      </c>
      <c r="M139" t="s">
        <v>5976</v>
      </c>
      <c r="N139" t="s">
        <v>5976</v>
      </c>
      <c r="O139">
        <v>0</v>
      </c>
      <c r="P139" t="s">
        <v>6011</v>
      </c>
    </row>
    <row r="140" spans="1:16" x14ac:dyDescent="0.35">
      <c r="A140" t="s">
        <v>61</v>
      </c>
      <c r="B140" t="s">
        <v>6290</v>
      </c>
      <c r="C140" s="52" t="s">
        <v>2629</v>
      </c>
      <c r="D140" t="s">
        <v>6291</v>
      </c>
      <c r="E140" t="s">
        <v>6292</v>
      </c>
      <c r="F140" t="s">
        <v>6293</v>
      </c>
      <c r="G140" t="s">
        <v>1794</v>
      </c>
      <c r="H140" t="s">
        <v>2810</v>
      </c>
      <c r="I140" t="s">
        <v>5977</v>
      </c>
      <c r="J140" t="s">
        <v>5977</v>
      </c>
      <c r="K140" t="s">
        <v>5977</v>
      </c>
      <c r="L140">
        <v>46163</v>
      </c>
      <c r="M140" t="s">
        <v>5976</v>
      </c>
      <c r="N140" t="s">
        <v>5976</v>
      </c>
      <c r="O140">
        <v>0</v>
      </c>
      <c r="P140" t="s">
        <v>6011</v>
      </c>
    </row>
    <row r="141" spans="1:16" x14ac:dyDescent="0.35">
      <c r="A141" t="s">
        <v>61</v>
      </c>
      <c r="B141" t="s">
        <v>6294</v>
      </c>
      <c r="C141" s="52" t="s">
        <v>1670</v>
      </c>
      <c r="D141" t="s">
        <v>6295</v>
      </c>
      <c r="F141" t="s">
        <v>6296</v>
      </c>
      <c r="G141" t="s">
        <v>5423</v>
      </c>
      <c r="H141" t="s">
        <v>2709</v>
      </c>
      <c r="I141" t="s">
        <v>5977</v>
      </c>
      <c r="J141" t="s">
        <v>5977</v>
      </c>
      <c r="K141" t="s">
        <v>5977</v>
      </c>
      <c r="L141">
        <v>46046</v>
      </c>
      <c r="M141">
        <v>46031</v>
      </c>
      <c r="N141">
        <v>46046</v>
      </c>
      <c r="O141">
        <v>1</v>
      </c>
      <c r="P141" t="s">
        <v>5977</v>
      </c>
    </row>
    <row r="142" spans="1:16" x14ac:dyDescent="0.35">
      <c r="A142" t="s">
        <v>61</v>
      </c>
      <c r="B142" t="s">
        <v>6297</v>
      </c>
      <c r="C142" s="52" t="s">
        <v>1043</v>
      </c>
      <c r="D142" t="s">
        <v>6298</v>
      </c>
      <c r="F142" t="s">
        <v>6299</v>
      </c>
      <c r="G142" t="s">
        <v>6300</v>
      </c>
      <c r="H142" t="s">
        <v>2732</v>
      </c>
      <c r="I142" t="s">
        <v>5977</v>
      </c>
      <c r="J142" t="s">
        <v>5977</v>
      </c>
      <c r="K142" t="s">
        <v>5977</v>
      </c>
      <c r="L142">
        <v>46124</v>
      </c>
      <c r="M142">
        <v>46094</v>
      </c>
      <c r="N142" t="s">
        <v>5976</v>
      </c>
      <c r="O142">
        <v>0.1</v>
      </c>
      <c r="P142" t="s">
        <v>6011</v>
      </c>
    </row>
    <row r="143" spans="1:16" x14ac:dyDescent="0.35">
      <c r="A143" t="s">
        <v>61</v>
      </c>
      <c r="B143" t="s">
        <v>6301</v>
      </c>
      <c r="C143" s="52" t="s">
        <v>826</v>
      </c>
      <c r="D143" t="s">
        <v>827</v>
      </c>
      <c r="E143" t="s">
        <v>5976</v>
      </c>
      <c r="F143" t="s">
        <v>76</v>
      </c>
      <c r="G143" t="s">
        <v>5423</v>
      </c>
      <c r="H143" t="s">
        <v>2709</v>
      </c>
      <c r="I143" t="s">
        <v>5977</v>
      </c>
      <c r="J143" t="s">
        <v>5977</v>
      </c>
      <c r="K143" t="s">
        <v>5977</v>
      </c>
      <c r="L143">
        <v>46101</v>
      </c>
      <c r="M143">
        <v>46091</v>
      </c>
      <c r="N143">
        <v>46101</v>
      </c>
      <c r="O143">
        <v>1</v>
      </c>
      <c r="P143" t="s">
        <v>5977</v>
      </c>
    </row>
    <row r="144" spans="1:16" x14ac:dyDescent="0.35">
      <c r="A144" t="s">
        <v>5974</v>
      </c>
      <c r="B144" t="s">
        <v>6302</v>
      </c>
      <c r="C144" s="52" t="s">
        <v>2360</v>
      </c>
      <c r="D144" t="s">
        <v>6303</v>
      </c>
      <c r="E144" t="s">
        <v>5976</v>
      </c>
      <c r="F144" t="s">
        <v>76</v>
      </c>
      <c r="G144" t="s">
        <v>2716</v>
      </c>
      <c r="H144" t="s">
        <v>2810</v>
      </c>
      <c r="I144" t="s">
        <v>5977</v>
      </c>
      <c r="J144" t="s">
        <v>6011</v>
      </c>
      <c r="K144" t="s">
        <v>5981</v>
      </c>
      <c r="L144">
        <v>46157</v>
      </c>
      <c r="M144" t="s">
        <v>5976</v>
      </c>
      <c r="N144" t="s">
        <v>5976</v>
      </c>
      <c r="O144" t="s">
        <v>5976</v>
      </c>
      <c r="P144" t="s">
        <v>5981</v>
      </c>
    </row>
    <row r="145" spans="1:16" x14ac:dyDescent="0.35">
      <c r="A145" t="s">
        <v>5974</v>
      </c>
      <c r="B145" t="s">
        <v>6304</v>
      </c>
      <c r="C145" s="52" t="s">
        <v>3163</v>
      </c>
      <c r="D145" t="s">
        <v>6305</v>
      </c>
      <c r="E145" t="s">
        <v>6306</v>
      </c>
      <c r="F145" t="s">
        <v>76</v>
      </c>
      <c r="G145" t="s">
        <v>2716</v>
      </c>
      <c r="H145" t="s">
        <v>2709</v>
      </c>
      <c r="I145" t="s">
        <v>5977</v>
      </c>
      <c r="J145" t="s">
        <v>5977</v>
      </c>
      <c r="K145" t="s">
        <v>5977</v>
      </c>
      <c r="L145">
        <v>46130</v>
      </c>
      <c r="M145">
        <v>46062</v>
      </c>
      <c r="O145">
        <v>0.25</v>
      </c>
      <c r="P145" t="s">
        <v>6011</v>
      </c>
    </row>
    <row r="146" spans="1:16" x14ac:dyDescent="0.35">
      <c r="A146" t="s">
        <v>61</v>
      </c>
      <c r="B146" t="s">
        <v>6307</v>
      </c>
      <c r="C146" s="52" t="s">
        <v>854</v>
      </c>
      <c r="D146" t="s">
        <v>6308</v>
      </c>
      <c r="E146" t="s">
        <v>6138</v>
      </c>
      <c r="F146" t="s">
        <v>76</v>
      </c>
      <c r="G146" t="s">
        <v>5423</v>
      </c>
      <c r="H146" t="s">
        <v>2709</v>
      </c>
      <c r="I146" t="s">
        <v>5977</v>
      </c>
      <c r="J146" t="s">
        <v>5977</v>
      </c>
      <c r="K146" t="s">
        <v>6011</v>
      </c>
      <c r="N146" t="s">
        <v>5976</v>
      </c>
    </row>
    <row r="147" spans="1:16" x14ac:dyDescent="0.35">
      <c r="A147" t="s">
        <v>5974</v>
      </c>
      <c r="B147" t="s">
        <v>6309</v>
      </c>
      <c r="C147" s="52" t="s">
        <v>108</v>
      </c>
      <c r="D147" t="s">
        <v>6310</v>
      </c>
      <c r="E147" t="s">
        <v>5976</v>
      </c>
      <c r="F147" t="s">
        <v>76</v>
      </c>
      <c r="G147" t="s">
        <v>5423</v>
      </c>
      <c r="H147" t="s">
        <v>2709</v>
      </c>
      <c r="I147" t="s">
        <v>6011</v>
      </c>
      <c r="J147" t="s">
        <v>5981</v>
      </c>
      <c r="K147" t="s">
        <v>5981</v>
      </c>
      <c r="L147">
        <v>46172</v>
      </c>
      <c r="M147" t="s">
        <v>5976</v>
      </c>
      <c r="N147" t="s">
        <v>5976</v>
      </c>
      <c r="O147" t="s">
        <v>5976</v>
      </c>
      <c r="P147" t="s">
        <v>5981</v>
      </c>
    </row>
    <row r="148" spans="1:16" x14ac:dyDescent="0.35">
      <c r="A148" t="s">
        <v>5974</v>
      </c>
      <c r="B148" t="s">
        <v>6311</v>
      </c>
      <c r="C148" s="52" t="s">
        <v>432</v>
      </c>
      <c r="D148" t="s">
        <v>6312</v>
      </c>
      <c r="E148" t="s">
        <v>6313</v>
      </c>
      <c r="F148" t="s">
        <v>76</v>
      </c>
      <c r="G148" t="s">
        <v>5423</v>
      </c>
      <c r="H148" t="s">
        <v>2732</v>
      </c>
      <c r="I148" t="s">
        <v>5981</v>
      </c>
      <c r="J148" t="s">
        <v>5981</v>
      </c>
      <c r="K148" t="s">
        <v>5981</v>
      </c>
      <c r="M148" t="s">
        <v>5976</v>
      </c>
      <c r="N148" t="s">
        <v>5976</v>
      </c>
      <c r="O148" t="s">
        <v>5976</v>
      </c>
      <c r="P148" t="s">
        <v>5981</v>
      </c>
    </row>
    <row r="149" spans="1:16" x14ac:dyDescent="0.35">
      <c r="A149" t="s">
        <v>5974</v>
      </c>
      <c r="B149" t="s">
        <v>6314</v>
      </c>
      <c r="C149" s="52" t="s">
        <v>261</v>
      </c>
      <c r="D149" t="s">
        <v>6315</v>
      </c>
      <c r="E149" t="s">
        <v>6316</v>
      </c>
      <c r="F149" t="s">
        <v>76</v>
      </c>
      <c r="G149" t="s">
        <v>5423</v>
      </c>
      <c r="H149" t="s">
        <v>2732</v>
      </c>
      <c r="I149" t="s">
        <v>6011</v>
      </c>
      <c r="J149" t="s">
        <v>5981</v>
      </c>
      <c r="K149" t="s">
        <v>5981</v>
      </c>
      <c r="L149">
        <v>46172</v>
      </c>
      <c r="M149" t="s">
        <v>5976</v>
      </c>
      <c r="N149" t="s">
        <v>5976</v>
      </c>
      <c r="O149" t="s">
        <v>5976</v>
      </c>
      <c r="P149" t="s">
        <v>5981</v>
      </c>
    </row>
    <row r="150" spans="1:16" x14ac:dyDescent="0.35">
      <c r="A150" t="s">
        <v>61</v>
      </c>
      <c r="B150" t="s">
        <v>6317</v>
      </c>
      <c r="C150" s="52" t="s">
        <v>589</v>
      </c>
      <c r="D150" t="s">
        <v>6318</v>
      </c>
      <c r="E150" t="s">
        <v>6319</v>
      </c>
      <c r="F150" t="s">
        <v>76</v>
      </c>
      <c r="G150" t="s">
        <v>5423</v>
      </c>
      <c r="H150" t="s">
        <v>2732</v>
      </c>
      <c r="I150" t="s">
        <v>5977</v>
      </c>
      <c r="J150" t="s">
        <v>5977</v>
      </c>
      <c r="K150" t="s">
        <v>5977</v>
      </c>
      <c r="L150">
        <v>46132</v>
      </c>
      <c r="M150" t="s">
        <v>5976</v>
      </c>
      <c r="N150" t="s">
        <v>5976</v>
      </c>
      <c r="O150">
        <v>0</v>
      </c>
      <c r="P150" t="s">
        <v>6011</v>
      </c>
    </row>
    <row r="151" spans="1:16" x14ac:dyDescent="0.35">
      <c r="A151" t="s">
        <v>61</v>
      </c>
      <c r="B151" t="s">
        <v>6320</v>
      </c>
      <c r="C151" s="52" t="s">
        <v>936</v>
      </c>
      <c r="D151" t="s">
        <v>6321</v>
      </c>
      <c r="E151" t="s">
        <v>6322</v>
      </c>
      <c r="F151" t="s">
        <v>76</v>
      </c>
      <c r="G151" t="s">
        <v>5423</v>
      </c>
      <c r="H151" t="s">
        <v>2810</v>
      </c>
      <c r="I151" t="s">
        <v>6011</v>
      </c>
      <c r="J151" t="s">
        <v>5981</v>
      </c>
      <c r="K151" t="s">
        <v>5981</v>
      </c>
      <c r="M151" t="s">
        <v>5976</v>
      </c>
      <c r="N151" t="s">
        <v>5976</v>
      </c>
      <c r="O151" t="s">
        <v>5976</v>
      </c>
      <c r="P151" t="s">
        <v>5981</v>
      </c>
    </row>
    <row r="152" spans="1:16" x14ac:dyDescent="0.35">
      <c r="A152" t="s">
        <v>61</v>
      </c>
      <c r="B152" t="s">
        <v>6323</v>
      </c>
      <c r="C152" s="52" t="s">
        <v>606</v>
      </c>
      <c r="D152" t="s">
        <v>6324</v>
      </c>
      <c r="E152" t="s">
        <v>5976</v>
      </c>
      <c r="F152" t="s">
        <v>76</v>
      </c>
      <c r="G152" t="s">
        <v>5423</v>
      </c>
      <c r="H152" t="s">
        <v>2732</v>
      </c>
      <c r="I152" t="s">
        <v>6011</v>
      </c>
      <c r="J152" t="s">
        <v>5981</v>
      </c>
      <c r="K152" t="s">
        <v>5981</v>
      </c>
      <c r="M152" t="s">
        <v>5976</v>
      </c>
      <c r="N152" t="s">
        <v>5976</v>
      </c>
      <c r="O152" t="s">
        <v>5976</v>
      </c>
      <c r="P152" t="s">
        <v>5981</v>
      </c>
    </row>
    <row r="153" spans="1:16" x14ac:dyDescent="0.35">
      <c r="A153" t="s">
        <v>61</v>
      </c>
      <c r="B153" t="s">
        <v>6325</v>
      </c>
      <c r="C153" s="52" t="s">
        <v>1249</v>
      </c>
      <c r="D153" t="s">
        <v>6326</v>
      </c>
      <c r="E153" t="s">
        <v>5976</v>
      </c>
      <c r="F153" t="s">
        <v>76</v>
      </c>
      <c r="G153" t="s">
        <v>5423</v>
      </c>
      <c r="H153" t="s">
        <v>2709</v>
      </c>
      <c r="I153" t="s">
        <v>5981</v>
      </c>
      <c r="J153" t="s">
        <v>5981</v>
      </c>
      <c r="K153" t="s">
        <v>5981</v>
      </c>
      <c r="M153" t="s">
        <v>5976</v>
      </c>
      <c r="N153" t="s">
        <v>5976</v>
      </c>
      <c r="O153" t="s">
        <v>5976</v>
      </c>
      <c r="P153" t="s">
        <v>5981</v>
      </c>
    </row>
    <row r="154" spans="1:16" x14ac:dyDescent="0.35">
      <c r="A154" t="s">
        <v>61</v>
      </c>
      <c r="B154" t="s">
        <v>6327</v>
      </c>
      <c r="C154" s="52" t="s">
        <v>486</v>
      </c>
      <c r="D154" t="s">
        <v>6328</v>
      </c>
      <c r="E154" t="s">
        <v>5976</v>
      </c>
      <c r="F154" t="s">
        <v>76</v>
      </c>
      <c r="G154" t="s">
        <v>5423</v>
      </c>
      <c r="H154" t="s">
        <v>2709</v>
      </c>
      <c r="I154" t="s">
        <v>5981</v>
      </c>
      <c r="J154" t="s">
        <v>5981</v>
      </c>
      <c r="K154" t="s">
        <v>5981</v>
      </c>
      <c r="M154" t="s">
        <v>5976</v>
      </c>
      <c r="N154" t="s">
        <v>5976</v>
      </c>
      <c r="O154" t="s">
        <v>5976</v>
      </c>
      <c r="P154" t="s">
        <v>5981</v>
      </c>
    </row>
    <row r="155" spans="1:16" x14ac:dyDescent="0.35">
      <c r="A155" t="s">
        <v>61</v>
      </c>
      <c r="B155" t="s">
        <v>6329</v>
      </c>
      <c r="C155" s="52" t="s">
        <v>508</v>
      </c>
      <c r="D155" t="s">
        <v>6330</v>
      </c>
      <c r="E155" t="s">
        <v>5976</v>
      </c>
      <c r="F155" t="s">
        <v>76</v>
      </c>
      <c r="G155" t="s">
        <v>5423</v>
      </c>
      <c r="H155" t="s">
        <v>2732</v>
      </c>
      <c r="I155" t="s">
        <v>5981</v>
      </c>
      <c r="J155" t="s">
        <v>5981</v>
      </c>
      <c r="K155" t="s">
        <v>5981</v>
      </c>
      <c r="M155" t="s">
        <v>5976</v>
      </c>
      <c r="N155" t="s">
        <v>5976</v>
      </c>
      <c r="O155" t="s">
        <v>5976</v>
      </c>
      <c r="P155" t="s">
        <v>5981</v>
      </c>
    </row>
    <row r="156" spans="1:16" x14ac:dyDescent="0.35">
      <c r="A156" t="s">
        <v>61</v>
      </c>
      <c r="B156" t="s">
        <v>6331</v>
      </c>
      <c r="C156" s="52" t="s">
        <v>514</v>
      </c>
      <c r="D156" t="s">
        <v>6332</v>
      </c>
      <c r="E156" t="s">
        <v>5976</v>
      </c>
      <c r="F156" t="s">
        <v>76</v>
      </c>
      <c r="G156" t="s">
        <v>5423</v>
      </c>
      <c r="H156" t="s">
        <v>2732</v>
      </c>
      <c r="I156" t="s">
        <v>5981</v>
      </c>
      <c r="J156" t="s">
        <v>5981</v>
      </c>
      <c r="K156" t="s">
        <v>5981</v>
      </c>
      <c r="M156" t="s">
        <v>5976</v>
      </c>
      <c r="N156" t="s">
        <v>5976</v>
      </c>
      <c r="O156" t="s">
        <v>5976</v>
      </c>
      <c r="P156" t="s">
        <v>5981</v>
      </c>
    </row>
    <row r="157" spans="1:16" x14ac:dyDescent="0.35">
      <c r="A157" t="s">
        <v>61</v>
      </c>
      <c r="B157" t="s">
        <v>6333</v>
      </c>
      <c r="C157" s="52" t="s">
        <v>663</v>
      </c>
      <c r="D157" t="s">
        <v>6334</v>
      </c>
      <c r="E157" t="s">
        <v>5976</v>
      </c>
      <c r="F157" t="s">
        <v>76</v>
      </c>
      <c r="G157" t="s">
        <v>5423</v>
      </c>
      <c r="H157" t="s">
        <v>2732</v>
      </c>
      <c r="I157" t="s">
        <v>5981</v>
      </c>
      <c r="J157" t="s">
        <v>5981</v>
      </c>
      <c r="K157" t="s">
        <v>5981</v>
      </c>
      <c r="O157" t="s">
        <v>5976</v>
      </c>
      <c r="P157" t="s">
        <v>5981</v>
      </c>
    </row>
    <row r="158" spans="1:16" x14ac:dyDescent="0.35">
      <c r="A158" t="s">
        <v>61</v>
      </c>
      <c r="B158" t="s">
        <v>6335</v>
      </c>
      <c r="C158" s="52" t="s">
        <v>697</v>
      </c>
      <c r="D158" t="s">
        <v>6336</v>
      </c>
      <c r="E158" t="s">
        <v>5976</v>
      </c>
      <c r="F158" t="s">
        <v>76</v>
      </c>
      <c r="G158" t="s">
        <v>5423</v>
      </c>
      <c r="H158" t="s">
        <v>2732</v>
      </c>
      <c r="I158" t="s">
        <v>5981</v>
      </c>
      <c r="J158" t="s">
        <v>5981</v>
      </c>
      <c r="K158" t="s">
        <v>5981</v>
      </c>
      <c r="M158" t="s">
        <v>5976</v>
      </c>
      <c r="N158" t="s">
        <v>5976</v>
      </c>
      <c r="O158" t="s">
        <v>5976</v>
      </c>
      <c r="P158" t="s">
        <v>5981</v>
      </c>
    </row>
    <row r="159" spans="1:16" x14ac:dyDescent="0.35">
      <c r="A159" t="s">
        <v>61</v>
      </c>
      <c r="B159" t="s">
        <v>6337</v>
      </c>
      <c r="C159" s="52" t="s">
        <v>740</v>
      </c>
      <c r="D159" t="s">
        <v>6338</v>
      </c>
      <c r="E159" t="s">
        <v>6339</v>
      </c>
      <c r="F159" t="s">
        <v>76</v>
      </c>
      <c r="G159" t="s">
        <v>5423</v>
      </c>
      <c r="H159" t="s">
        <v>2709</v>
      </c>
      <c r="I159" t="s">
        <v>6011</v>
      </c>
      <c r="J159" t="s">
        <v>5981</v>
      </c>
      <c r="K159" t="s">
        <v>5981</v>
      </c>
      <c r="M159" t="s">
        <v>5976</v>
      </c>
      <c r="N159" t="s">
        <v>5976</v>
      </c>
      <c r="O159" t="s">
        <v>5976</v>
      </c>
      <c r="P159" t="s">
        <v>5981</v>
      </c>
    </row>
    <row r="160" spans="1:16" x14ac:dyDescent="0.35">
      <c r="A160" t="s">
        <v>61</v>
      </c>
      <c r="B160" t="s">
        <v>6340</v>
      </c>
      <c r="C160" s="52" t="s">
        <v>959</v>
      </c>
      <c r="D160" t="s">
        <v>6341</v>
      </c>
      <c r="E160" t="s">
        <v>5976</v>
      </c>
      <c r="F160" t="s">
        <v>76</v>
      </c>
      <c r="G160" t="s">
        <v>5423</v>
      </c>
      <c r="H160" t="s">
        <v>2709</v>
      </c>
      <c r="I160" t="s">
        <v>6011</v>
      </c>
      <c r="J160" t="s">
        <v>5981</v>
      </c>
      <c r="K160" t="s">
        <v>5981</v>
      </c>
      <c r="M160" t="s">
        <v>5976</v>
      </c>
      <c r="N160" t="s">
        <v>5976</v>
      </c>
      <c r="O160" t="s">
        <v>5976</v>
      </c>
      <c r="P160" t="s">
        <v>5981</v>
      </c>
    </row>
    <row r="161" spans="1:16" x14ac:dyDescent="0.35">
      <c r="A161" t="s">
        <v>61</v>
      </c>
      <c r="B161" t="s">
        <v>6342</v>
      </c>
      <c r="C161" s="52" t="s">
        <v>1260</v>
      </c>
      <c r="D161" t="s">
        <v>6343</v>
      </c>
      <c r="E161" t="s">
        <v>5976</v>
      </c>
      <c r="F161" t="s">
        <v>76</v>
      </c>
      <c r="G161" t="s">
        <v>5423</v>
      </c>
      <c r="H161" t="s">
        <v>2709</v>
      </c>
      <c r="I161" t="s">
        <v>5981</v>
      </c>
      <c r="J161" t="s">
        <v>5981</v>
      </c>
      <c r="K161" t="s">
        <v>5981</v>
      </c>
      <c r="M161" t="s">
        <v>5976</v>
      </c>
      <c r="N161" t="s">
        <v>5976</v>
      </c>
      <c r="O161" t="s">
        <v>5976</v>
      </c>
      <c r="P161" t="s">
        <v>5981</v>
      </c>
    </row>
    <row r="162" spans="1:16" x14ac:dyDescent="0.35">
      <c r="A162" t="s">
        <v>61</v>
      </c>
      <c r="B162" t="s">
        <v>6266</v>
      </c>
      <c r="C162" s="52" t="s">
        <v>1348</v>
      </c>
      <c r="D162" t="s">
        <v>6344</v>
      </c>
      <c r="E162" t="s">
        <v>5976</v>
      </c>
      <c r="F162" t="s">
        <v>76</v>
      </c>
      <c r="G162" t="s">
        <v>5423</v>
      </c>
      <c r="H162" t="s">
        <v>2709</v>
      </c>
      <c r="I162" t="s">
        <v>5981</v>
      </c>
      <c r="J162" t="s">
        <v>5981</v>
      </c>
      <c r="K162" t="s">
        <v>5981</v>
      </c>
      <c r="M162" t="s">
        <v>5976</v>
      </c>
      <c r="N162" t="s">
        <v>5976</v>
      </c>
      <c r="O162" t="s">
        <v>5976</v>
      </c>
      <c r="P162" t="s">
        <v>5981</v>
      </c>
    </row>
    <row r="163" spans="1:16" x14ac:dyDescent="0.35">
      <c r="A163" t="s">
        <v>61</v>
      </c>
      <c r="B163" t="s">
        <v>6345</v>
      </c>
      <c r="C163" s="52" t="s">
        <v>657</v>
      </c>
      <c r="D163" t="s">
        <v>6346</v>
      </c>
      <c r="E163" t="s">
        <v>5976</v>
      </c>
      <c r="F163" t="s">
        <v>76</v>
      </c>
      <c r="G163" t="s">
        <v>5423</v>
      </c>
      <c r="H163" t="s">
        <v>2709</v>
      </c>
      <c r="I163" t="s">
        <v>5981</v>
      </c>
      <c r="J163" t="s">
        <v>5981</v>
      </c>
      <c r="K163" t="s">
        <v>5981</v>
      </c>
      <c r="M163" t="s">
        <v>5976</v>
      </c>
      <c r="N163" t="s">
        <v>5976</v>
      </c>
      <c r="O163" t="s">
        <v>5976</v>
      </c>
      <c r="P163" t="s">
        <v>5981</v>
      </c>
    </row>
    <row r="164" spans="1:16" x14ac:dyDescent="0.35">
      <c r="A164" t="s">
        <v>61</v>
      </c>
      <c r="B164" t="s">
        <v>6347</v>
      </c>
      <c r="C164" s="52" t="s">
        <v>748</v>
      </c>
      <c r="D164" t="s">
        <v>6348</v>
      </c>
      <c r="E164" t="s">
        <v>5976</v>
      </c>
      <c r="F164" t="s">
        <v>76</v>
      </c>
      <c r="G164" t="s">
        <v>5423</v>
      </c>
      <c r="H164" t="s">
        <v>2810</v>
      </c>
      <c r="I164" t="s">
        <v>5981</v>
      </c>
      <c r="J164" t="s">
        <v>5981</v>
      </c>
      <c r="K164" t="s">
        <v>5981</v>
      </c>
      <c r="M164" t="s">
        <v>5976</v>
      </c>
      <c r="N164" t="s">
        <v>5976</v>
      </c>
      <c r="O164" t="s">
        <v>5976</v>
      </c>
      <c r="P164" t="s">
        <v>5981</v>
      </c>
    </row>
    <row r="165" spans="1:16" x14ac:dyDescent="0.35">
      <c r="A165" t="s">
        <v>61</v>
      </c>
      <c r="B165" t="s">
        <v>6349</v>
      </c>
      <c r="C165" s="52" t="s">
        <v>854</v>
      </c>
      <c r="D165" t="s">
        <v>6350</v>
      </c>
      <c r="E165" t="s">
        <v>5976</v>
      </c>
      <c r="F165" t="s">
        <v>76</v>
      </c>
      <c r="G165" t="s">
        <v>5423</v>
      </c>
      <c r="H165" t="s">
        <v>2709</v>
      </c>
      <c r="I165" t="s">
        <v>6011</v>
      </c>
      <c r="J165" t="s">
        <v>5981</v>
      </c>
      <c r="K165" t="s">
        <v>5981</v>
      </c>
      <c r="M165" t="s">
        <v>5976</v>
      </c>
      <c r="N165" t="s">
        <v>5976</v>
      </c>
      <c r="O165" t="s">
        <v>5976</v>
      </c>
      <c r="P165" t="s">
        <v>5981</v>
      </c>
    </row>
    <row r="166" spans="1:16" x14ac:dyDescent="0.35">
      <c r="A166" t="s">
        <v>61</v>
      </c>
      <c r="B166" t="s">
        <v>6351</v>
      </c>
      <c r="C166" s="52" t="s">
        <v>1547</v>
      </c>
      <c r="D166" t="s">
        <v>6352</v>
      </c>
      <c r="E166" t="s">
        <v>5976</v>
      </c>
      <c r="F166" t="s">
        <v>76</v>
      </c>
      <c r="G166" t="s">
        <v>5423</v>
      </c>
      <c r="H166" t="s">
        <v>2709</v>
      </c>
      <c r="I166" t="s">
        <v>5981</v>
      </c>
      <c r="J166" t="s">
        <v>5981</v>
      </c>
      <c r="K166" t="s">
        <v>5981</v>
      </c>
      <c r="M166" t="s">
        <v>5976</v>
      </c>
      <c r="N166" t="s">
        <v>5976</v>
      </c>
      <c r="O166" t="s">
        <v>5976</v>
      </c>
      <c r="P166" t="s">
        <v>5981</v>
      </c>
    </row>
    <row r="167" spans="1:16" x14ac:dyDescent="0.35">
      <c r="A167" t="s">
        <v>61</v>
      </c>
      <c r="B167" t="s">
        <v>5987</v>
      </c>
      <c r="C167" s="52" t="s">
        <v>1697</v>
      </c>
      <c r="D167" t="s">
        <v>6353</v>
      </c>
      <c r="E167" t="s">
        <v>5976</v>
      </c>
      <c r="F167" t="s">
        <v>76</v>
      </c>
      <c r="G167" t="s">
        <v>5423</v>
      </c>
      <c r="H167" t="s">
        <v>2732</v>
      </c>
      <c r="I167" t="s">
        <v>5981</v>
      </c>
      <c r="J167" t="s">
        <v>5981</v>
      </c>
      <c r="K167" t="s">
        <v>5981</v>
      </c>
      <c r="M167" t="s">
        <v>5976</v>
      </c>
      <c r="N167" t="s">
        <v>5976</v>
      </c>
      <c r="O167" t="s">
        <v>5976</v>
      </c>
      <c r="P167" t="s">
        <v>5981</v>
      </c>
    </row>
    <row r="168" spans="1:16" x14ac:dyDescent="0.35">
      <c r="A168" t="s">
        <v>61</v>
      </c>
      <c r="B168" t="s">
        <v>6354</v>
      </c>
      <c r="C168" s="52" t="s">
        <v>523</v>
      </c>
      <c r="D168" t="s">
        <v>6355</v>
      </c>
      <c r="E168" t="s">
        <v>5976</v>
      </c>
      <c r="F168" t="s">
        <v>76</v>
      </c>
      <c r="G168" t="s">
        <v>5423</v>
      </c>
      <c r="H168" t="s">
        <v>2732</v>
      </c>
      <c r="I168" t="s">
        <v>5981</v>
      </c>
      <c r="J168" t="s">
        <v>5981</v>
      </c>
      <c r="K168" t="s">
        <v>5981</v>
      </c>
      <c r="M168" t="s">
        <v>5976</v>
      </c>
      <c r="N168" t="s">
        <v>5976</v>
      </c>
      <c r="O168" t="s">
        <v>5976</v>
      </c>
      <c r="P168" t="s">
        <v>5981</v>
      </c>
    </row>
    <row r="169" spans="1:16" x14ac:dyDescent="0.35">
      <c r="A169" t="s">
        <v>61</v>
      </c>
      <c r="B169" t="s">
        <v>6356</v>
      </c>
      <c r="C169" s="52" t="s">
        <v>641</v>
      </c>
      <c r="D169" t="s">
        <v>6357</v>
      </c>
      <c r="E169" t="s">
        <v>6358</v>
      </c>
      <c r="F169" t="s">
        <v>76</v>
      </c>
      <c r="G169" t="s">
        <v>5423</v>
      </c>
      <c r="H169" t="s">
        <v>2709</v>
      </c>
      <c r="I169" t="s">
        <v>6011</v>
      </c>
      <c r="J169" t="s">
        <v>5981</v>
      </c>
      <c r="K169" t="s">
        <v>5981</v>
      </c>
      <c r="L169">
        <v>46132</v>
      </c>
      <c r="M169" t="s">
        <v>5976</v>
      </c>
      <c r="N169" t="s">
        <v>5976</v>
      </c>
      <c r="O169" t="s">
        <v>5976</v>
      </c>
      <c r="P169" t="s">
        <v>5981</v>
      </c>
    </row>
    <row r="170" spans="1:16" x14ac:dyDescent="0.35">
      <c r="A170" t="s">
        <v>61</v>
      </c>
      <c r="B170" t="s">
        <v>6359</v>
      </c>
      <c r="C170" s="52" t="s">
        <v>847</v>
      </c>
      <c r="D170" t="s">
        <v>6360</v>
      </c>
      <c r="E170" t="s">
        <v>5976</v>
      </c>
      <c r="F170" t="s">
        <v>76</v>
      </c>
      <c r="G170" t="s">
        <v>5423</v>
      </c>
      <c r="H170" t="s">
        <v>2732</v>
      </c>
      <c r="I170" t="s">
        <v>5977</v>
      </c>
      <c r="J170" t="s">
        <v>5977</v>
      </c>
      <c r="K170" t="s">
        <v>5980</v>
      </c>
      <c r="L170">
        <v>46132</v>
      </c>
      <c r="M170" t="s">
        <v>5976</v>
      </c>
      <c r="N170" t="s">
        <v>5976</v>
      </c>
      <c r="O170" t="s">
        <v>5976</v>
      </c>
      <c r="P170" t="s">
        <v>5981</v>
      </c>
    </row>
    <row r="171" spans="1:16" x14ac:dyDescent="0.35">
      <c r="A171" t="s">
        <v>61</v>
      </c>
      <c r="B171" t="s">
        <v>6361</v>
      </c>
      <c r="C171" s="52" t="s">
        <v>649</v>
      </c>
      <c r="D171" t="s">
        <v>6362</v>
      </c>
      <c r="E171" t="s">
        <v>5976</v>
      </c>
      <c r="F171" t="s">
        <v>76</v>
      </c>
      <c r="G171" t="s">
        <v>5423</v>
      </c>
      <c r="H171" t="s">
        <v>2810</v>
      </c>
      <c r="I171" t="s">
        <v>5981</v>
      </c>
      <c r="J171" t="s">
        <v>5981</v>
      </c>
      <c r="K171" t="s">
        <v>5981</v>
      </c>
      <c r="M171" t="s">
        <v>5976</v>
      </c>
      <c r="N171" t="s">
        <v>5976</v>
      </c>
      <c r="O171" t="s">
        <v>5976</v>
      </c>
      <c r="P171" t="s">
        <v>5981</v>
      </c>
    </row>
    <row r="172" spans="1:16" x14ac:dyDescent="0.35">
      <c r="A172" t="s">
        <v>5974</v>
      </c>
      <c r="B172" t="s">
        <v>6363</v>
      </c>
      <c r="C172" s="52" t="s">
        <v>345</v>
      </c>
      <c r="D172" t="s">
        <v>6364</v>
      </c>
      <c r="E172" t="s">
        <v>5976</v>
      </c>
      <c r="F172" t="s">
        <v>76</v>
      </c>
      <c r="G172" t="s">
        <v>5423</v>
      </c>
      <c r="H172" t="s">
        <v>2709</v>
      </c>
      <c r="I172" t="s">
        <v>6011</v>
      </c>
      <c r="J172" t="s">
        <v>5981</v>
      </c>
      <c r="K172" t="s">
        <v>5981</v>
      </c>
      <c r="M172" t="s">
        <v>5976</v>
      </c>
      <c r="N172" t="s">
        <v>5976</v>
      </c>
      <c r="O172" t="s">
        <v>5976</v>
      </c>
      <c r="P172" t="s">
        <v>5981</v>
      </c>
    </row>
    <row r="173" spans="1:16" x14ac:dyDescent="0.35">
      <c r="A173" t="s">
        <v>5974</v>
      </c>
      <c r="B173" t="s">
        <v>5990</v>
      </c>
      <c r="C173" s="52" t="s">
        <v>78</v>
      </c>
      <c r="D173" t="s">
        <v>6365</v>
      </c>
      <c r="E173" t="s">
        <v>5976</v>
      </c>
      <c r="F173" t="s">
        <v>76</v>
      </c>
      <c r="G173" t="s">
        <v>5423</v>
      </c>
      <c r="H173" t="s">
        <v>2810</v>
      </c>
      <c r="I173" t="s">
        <v>6011</v>
      </c>
      <c r="J173" t="s">
        <v>5981</v>
      </c>
      <c r="K173" t="s">
        <v>5981</v>
      </c>
      <c r="M173" t="s">
        <v>5976</v>
      </c>
      <c r="N173" t="s">
        <v>5976</v>
      </c>
      <c r="O173" t="s">
        <v>5976</v>
      </c>
      <c r="P173" t="s">
        <v>5981</v>
      </c>
    </row>
    <row r="174" spans="1:16" x14ac:dyDescent="0.35">
      <c r="A174" t="s">
        <v>5974</v>
      </c>
      <c r="B174" t="s">
        <v>6366</v>
      </c>
      <c r="C174" s="52" t="s">
        <v>255</v>
      </c>
      <c r="D174" t="s">
        <v>6367</v>
      </c>
      <c r="E174" t="s">
        <v>5976</v>
      </c>
      <c r="F174" t="s">
        <v>76</v>
      </c>
      <c r="G174" t="s">
        <v>5423</v>
      </c>
      <c r="H174" t="s">
        <v>2709</v>
      </c>
      <c r="I174" t="s">
        <v>6011</v>
      </c>
      <c r="J174" t="s">
        <v>5981</v>
      </c>
      <c r="K174" t="s">
        <v>5981</v>
      </c>
      <c r="L174">
        <v>46172</v>
      </c>
      <c r="M174" t="s">
        <v>5976</v>
      </c>
      <c r="N174" t="s">
        <v>5976</v>
      </c>
      <c r="O174" t="s">
        <v>5976</v>
      </c>
      <c r="P174" t="s">
        <v>5981</v>
      </c>
    </row>
    <row r="175" spans="1:16" x14ac:dyDescent="0.35">
      <c r="A175" t="s">
        <v>5974</v>
      </c>
      <c r="B175" t="s">
        <v>6277</v>
      </c>
      <c r="C175" s="52" t="s">
        <v>201</v>
      </c>
      <c r="D175" t="s">
        <v>6368</v>
      </c>
      <c r="E175" t="s">
        <v>5976</v>
      </c>
      <c r="F175" t="s">
        <v>76</v>
      </c>
      <c r="G175" t="s">
        <v>5423</v>
      </c>
      <c r="H175" t="s">
        <v>2709</v>
      </c>
      <c r="I175" t="s">
        <v>6011</v>
      </c>
      <c r="J175" t="s">
        <v>5981</v>
      </c>
      <c r="K175" t="s">
        <v>5981</v>
      </c>
      <c r="L175">
        <v>46172</v>
      </c>
      <c r="M175" t="s">
        <v>5976</v>
      </c>
      <c r="N175" t="s">
        <v>5976</v>
      </c>
      <c r="O175" t="s">
        <v>5976</v>
      </c>
      <c r="P175" t="s">
        <v>5981</v>
      </c>
    </row>
    <row r="176" spans="1:16" x14ac:dyDescent="0.35">
      <c r="A176" t="s">
        <v>5974</v>
      </c>
      <c r="B176" t="s">
        <v>6369</v>
      </c>
      <c r="C176" s="52" t="s">
        <v>284</v>
      </c>
      <c r="D176" t="s">
        <v>6370</v>
      </c>
      <c r="E176" t="s">
        <v>5976</v>
      </c>
      <c r="F176" t="s">
        <v>76</v>
      </c>
      <c r="G176" t="s">
        <v>5423</v>
      </c>
      <c r="H176" t="s">
        <v>2709</v>
      </c>
      <c r="I176" t="s">
        <v>5981</v>
      </c>
      <c r="J176" t="s">
        <v>5981</v>
      </c>
      <c r="K176" t="s">
        <v>5981</v>
      </c>
      <c r="M176" t="s">
        <v>5976</v>
      </c>
      <c r="N176" t="s">
        <v>5976</v>
      </c>
      <c r="O176" t="s">
        <v>5976</v>
      </c>
      <c r="P176" t="s">
        <v>5981</v>
      </c>
    </row>
    <row r="177" spans="1:16" x14ac:dyDescent="0.35">
      <c r="A177" t="s">
        <v>61</v>
      </c>
      <c r="B177" t="s">
        <v>6371</v>
      </c>
      <c r="C177" s="52" t="s">
        <v>733</v>
      </c>
      <c r="D177" t="s">
        <v>6372</v>
      </c>
      <c r="E177" t="s">
        <v>5976</v>
      </c>
      <c r="F177" t="s">
        <v>76</v>
      </c>
      <c r="G177" t="s">
        <v>5423</v>
      </c>
      <c r="H177" t="s">
        <v>2709</v>
      </c>
      <c r="I177" t="s">
        <v>5981</v>
      </c>
      <c r="J177" t="s">
        <v>5981</v>
      </c>
      <c r="K177" t="s">
        <v>5981</v>
      </c>
      <c r="M177" t="s">
        <v>5976</v>
      </c>
      <c r="N177" t="s">
        <v>5976</v>
      </c>
      <c r="O177" t="s">
        <v>5976</v>
      </c>
      <c r="P177" t="s">
        <v>5981</v>
      </c>
    </row>
    <row r="178" spans="1:16" x14ac:dyDescent="0.35">
      <c r="A178" t="s">
        <v>61</v>
      </c>
      <c r="B178" t="s">
        <v>6373</v>
      </c>
      <c r="C178" s="52" t="s">
        <v>834</v>
      </c>
      <c r="D178" t="s">
        <v>6374</v>
      </c>
      <c r="E178" t="s">
        <v>6375</v>
      </c>
      <c r="F178" t="s">
        <v>76</v>
      </c>
      <c r="G178" t="s">
        <v>5423</v>
      </c>
      <c r="H178" t="s">
        <v>2709</v>
      </c>
      <c r="I178" t="s">
        <v>5977</v>
      </c>
      <c r="J178" t="s">
        <v>5977</v>
      </c>
      <c r="K178" t="s">
        <v>5977</v>
      </c>
      <c r="L178">
        <v>46131</v>
      </c>
      <c r="M178" t="s">
        <v>5976</v>
      </c>
      <c r="N178" t="s">
        <v>5976</v>
      </c>
      <c r="O178">
        <v>0</v>
      </c>
      <c r="P178" t="s">
        <v>6011</v>
      </c>
    </row>
    <row r="179" spans="1:16" x14ac:dyDescent="0.35">
      <c r="A179" t="s">
        <v>61</v>
      </c>
      <c r="B179" t="s">
        <v>6376</v>
      </c>
      <c r="C179" s="52" t="s">
        <v>530</v>
      </c>
      <c r="D179" t="s">
        <v>6377</v>
      </c>
      <c r="E179" t="s">
        <v>5976</v>
      </c>
      <c r="F179" t="s">
        <v>76</v>
      </c>
      <c r="G179" t="s">
        <v>5423</v>
      </c>
      <c r="H179" t="s">
        <v>2732</v>
      </c>
      <c r="I179" t="s">
        <v>5981</v>
      </c>
      <c r="J179" t="s">
        <v>5981</v>
      </c>
      <c r="K179" t="s">
        <v>5981</v>
      </c>
      <c r="M179" t="s">
        <v>5976</v>
      </c>
      <c r="N179" t="s">
        <v>5976</v>
      </c>
      <c r="O179" t="s">
        <v>5976</v>
      </c>
      <c r="P179" t="s">
        <v>5981</v>
      </c>
    </row>
    <row r="180" spans="1:16" x14ac:dyDescent="0.35">
      <c r="A180" t="s">
        <v>5974</v>
      </c>
      <c r="B180" t="s">
        <v>6378</v>
      </c>
      <c r="C180" s="52" t="s">
        <v>1439</v>
      </c>
      <c r="D180" t="s">
        <v>6379</v>
      </c>
      <c r="E180" t="s">
        <v>6380</v>
      </c>
      <c r="F180" t="s">
        <v>76</v>
      </c>
      <c r="G180" t="s">
        <v>5423</v>
      </c>
      <c r="H180" t="s">
        <v>2709</v>
      </c>
      <c r="I180" t="s">
        <v>5977</v>
      </c>
      <c r="J180" t="s">
        <v>6011</v>
      </c>
      <c r="K180" t="s">
        <v>5981</v>
      </c>
      <c r="L180">
        <v>46112</v>
      </c>
      <c r="M180" t="s">
        <v>5976</v>
      </c>
      <c r="N180" t="s">
        <v>5976</v>
      </c>
      <c r="O180" t="s">
        <v>5976</v>
      </c>
      <c r="P180" t="s">
        <v>5981</v>
      </c>
    </row>
    <row r="181" spans="1:16" x14ac:dyDescent="0.35">
      <c r="A181" t="s">
        <v>5974</v>
      </c>
      <c r="B181" t="s">
        <v>6381</v>
      </c>
      <c r="C181" s="52" t="s">
        <v>6382</v>
      </c>
      <c r="D181" t="s">
        <v>6383</v>
      </c>
      <c r="E181" t="s">
        <v>6384</v>
      </c>
      <c r="F181" t="s">
        <v>76</v>
      </c>
      <c r="G181" t="s">
        <v>5423</v>
      </c>
      <c r="H181" t="s">
        <v>2810</v>
      </c>
      <c r="I181" t="s">
        <v>5977</v>
      </c>
      <c r="J181" t="s">
        <v>5977</v>
      </c>
      <c r="K181" t="s">
        <v>5977</v>
      </c>
      <c r="L181">
        <v>46112</v>
      </c>
      <c r="M181" t="s">
        <v>5976</v>
      </c>
      <c r="N181" t="s">
        <v>5976</v>
      </c>
      <c r="O181" t="s">
        <v>5976</v>
      </c>
      <c r="P181" t="s">
        <v>6011</v>
      </c>
    </row>
    <row r="182" spans="1:16" x14ac:dyDescent="0.35">
      <c r="A182" t="s">
        <v>5974</v>
      </c>
      <c r="B182" t="s">
        <v>6385</v>
      </c>
      <c r="C182" s="52" t="s">
        <v>104</v>
      </c>
      <c r="D182" t="s">
        <v>6386</v>
      </c>
      <c r="E182" t="s">
        <v>5976</v>
      </c>
      <c r="F182" t="s">
        <v>76</v>
      </c>
      <c r="G182" t="s">
        <v>5423</v>
      </c>
      <c r="H182" t="s">
        <v>2732</v>
      </c>
      <c r="I182" t="s">
        <v>5981</v>
      </c>
      <c r="J182" t="s">
        <v>5981</v>
      </c>
      <c r="K182" t="s">
        <v>5981</v>
      </c>
      <c r="M182" t="s">
        <v>5976</v>
      </c>
      <c r="N182" t="s">
        <v>5976</v>
      </c>
      <c r="O182" t="s">
        <v>5976</v>
      </c>
      <c r="P182" t="s">
        <v>5981</v>
      </c>
    </row>
    <row r="183" spans="1:16" x14ac:dyDescent="0.35">
      <c r="A183" t="s">
        <v>5974</v>
      </c>
      <c r="B183" t="s">
        <v>6387</v>
      </c>
      <c r="C183" s="52" t="s">
        <v>398</v>
      </c>
      <c r="D183" t="s">
        <v>6388</v>
      </c>
      <c r="E183" t="s">
        <v>5976</v>
      </c>
      <c r="F183" t="s">
        <v>76</v>
      </c>
      <c r="G183" t="s">
        <v>5423</v>
      </c>
      <c r="H183" t="s">
        <v>2709</v>
      </c>
      <c r="I183" t="s">
        <v>5981</v>
      </c>
      <c r="J183" t="s">
        <v>5981</v>
      </c>
      <c r="K183" t="s">
        <v>5981</v>
      </c>
      <c r="M183" t="s">
        <v>5976</v>
      </c>
      <c r="N183" t="s">
        <v>5976</v>
      </c>
      <c r="O183" t="s">
        <v>5976</v>
      </c>
      <c r="P183" t="s">
        <v>5981</v>
      </c>
    </row>
    <row r="184" spans="1:16" x14ac:dyDescent="0.35">
      <c r="A184" t="s">
        <v>61</v>
      </c>
      <c r="B184" t="s">
        <v>6389</v>
      </c>
      <c r="C184" s="52" t="s">
        <v>934</v>
      </c>
      <c r="D184" t="s">
        <v>6390</v>
      </c>
      <c r="E184" t="s">
        <v>5976</v>
      </c>
      <c r="F184" t="s">
        <v>76</v>
      </c>
      <c r="G184" t="s">
        <v>5423</v>
      </c>
      <c r="H184" t="s">
        <v>5976</v>
      </c>
      <c r="I184" t="s">
        <v>5977</v>
      </c>
      <c r="J184" t="s">
        <v>6011</v>
      </c>
      <c r="K184" t="s">
        <v>5981</v>
      </c>
      <c r="M184" t="s">
        <v>5976</v>
      </c>
      <c r="N184" t="s">
        <v>5976</v>
      </c>
      <c r="O184" t="s">
        <v>5976</v>
      </c>
      <c r="P184" t="s">
        <v>5981</v>
      </c>
    </row>
    <row r="185" spans="1:16" x14ac:dyDescent="0.35">
      <c r="A185" t="s">
        <v>61</v>
      </c>
      <c r="B185" t="s">
        <v>6391</v>
      </c>
      <c r="C185" s="52" t="s">
        <v>924</v>
      </c>
      <c r="D185" t="s">
        <v>6392</v>
      </c>
      <c r="E185" t="s">
        <v>5976</v>
      </c>
      <c r="F185" t="s">
        <v>76</v>
      </c>
      <c r="G185" t="s">
        <v>5423</v>
      </c>
      <c r="H185" t="s">
        <v>5976</v>
      </c>
      <c r="I185" t="s">
        <v>5977</v>
      </c>
      <c r="J185" t="s">
        <v>6011</v>
      </c>
      <c r="K185" t="s">
        <v>5981</v>
      </c>
      <c r="M185" t="s">
        <v>5976</v>
      </c>
      <c r="N185" t="s">
        <v>5976</v>
      </c>
      <c r="O185" t="s">
        <v>5976</v>
      </c>
      <c r="P185" t="s">
        <v>5981</v>
      </c>
    </row>
    <row r="186" spans="1:16" x14ac:dyDescent="0.35">
      <c r="A186" t="s">
        <v>61</v>
      </c>
      <c r="B186" t="s">
        <v>6393</v>
      </c>
      <c r="C186" s="52" t="s">
        <v>550</v>
      </c>
      <c r="D186" t="s">
        <v>6394</v>
      </c>
      <c r="E186" t="s">
        <v>5976</v>
      </c>
      <c r="F186" t="s">
        <v>76</v>
      </c>
      <c r="G186" t="s">
        <v>5423</v>
      </c>
      <c r="H186" t="s">
        <v>2732</v>
      </c>
      <c r="I186" t="s">
        <v>6011</v>
      </c>
      <c r="J186" t="s">
        <v>5981</v>
      </c>
      <c r="K186" t="s">
        <v>5981</v>
      </c>
      <c r="M186" t="s">
        <v>5976</v>
      </c>
      <c r="N186" t="s">
        <v>5976</v>
      </c>
      <c r="O186" t="s">
        <v>5976</v>
      </c>
      <c r="P186" t="s">
        <v>5981</v>
      </c>
    </row>
    <row r="187" spans="1:16" x14ac:dyDescent="0.35">
      <c r="A187" t="s">
        <v>61</v>
      </c>
      <c r="B187" t="s">
        <v>6395</v>
      </c>
      <c r="C187" s="52" t="s">
        <v>548</v>
      </c>
      <c r="D187" t="s">
        <v>6396</v>
      </c>
      <c r="E187" t="s">
        <v>5976</v>
      </c>
      <c r="F187" t="s">
        <v>76</v>
      </c>
      <c r="G187" t="s">
        <v>5423</v>
      </c>
      <c r="H187" t="s">
        <v>2732</v>
      </c>
      <c r="I187" t="s">
        <v>6011</v>
      </c>
      <c r="J187" t="s">
        <v>5981</v>
      </c>
      <c r="K187" t="s">
        <v>5981</v>
      </c>
      <c r="L187">
        <v>46142</v>
      </c>
      <c r="M187" t="s">
        <v>5976</v>
      </c>
      <c r="N187" t="s">
        <v>5976</v>
      </c>
      <c r="O187" t="s">
        <v>5976</v>
      </c>
      <c r="P187" t="s">
        <v>5981</v>
      </c>
    </row>
    <row r="188" spans="1:16" x14ac:dyDescent="0.35">
      <c r="A188" t="s">
        <v>61</v>
      </c>
      <c r="B188" t="s">
        <v>6397</v>
      </c>
      <c r="C188" s="52" t="s">
        <v>563</v>
      </c>
      <c r="D188" t="s">
        <v>6398</v>
      </c>
      <c r="E188" t="s">
        <v>5976</v>
      </c>
      <c r="F188" t="s">
        <v>76</v>
      </c>
      <c r="G188" t="s">
        <v>6300</v>
      </c>
      <c r="H188" t="s">
        <v>2732</v>
      </c>
      <c r="I188" t="s">
        <v>5980</v>
      </c>
      <c r="J188" t="s">
        <v>5980</v>
      </c>
      <c r="K188" t="s">
        <v>5980</v>
      </c>
      <c r="M188" t="s">
        <v>5976</v>
      </c>
      <c r="N188" t="s">
        <v>5976</v>
      </c>
      <c r="O188" t="s">
        <v>5976</v>
      </c>
      <c r="P188" t="s">
        <v>5980</v>
      </c>
    </row>
    <row r="189" spans="1:16" x14ac:dyDescent="0.35">
      <c r="A189" t="s">
        <v>61</v>
      </c>
      <c r="B189" t="s">
        <v>6399</v>
      </c>
      <c r="C189" s="52" t="s">
        <v>758</v>
      </c>
      <c r="D189" t="s">
        <v>6400</v>
      </c>
      <c r="E189" t="s">
        <v>5976</v>
      </c>
      <c r="F189" t="s">
        <v>76</v>
      </c>
      <c r="G189" t="s">
        <v>5423</v>
      </c>
      <c r="H189" t="s">
        <v>2732</v>
      </c>
      <c r="I189" t="s">
        <v>6011</v>
      </c>
      <c r="J189" t="s">
        <v>5981</v>
      </c>
      <c r="K189" t="s">
        <v>5981</v>
      </c>
      <c r="L189">
        <v>46142</v>
      </c>
      <c r="M189" t="s">
        <v>5976</v>
      </c>
      <c r="N189" t="s">
        <v>5976</v>
      </c>
      <c r="O189" t="s">
        <v>5976</v>
      </c>
      <c r="P189" t="s">
        <v>5981</v>
      </c>
    </row>
    <row r="190" spans="1:16" x14ac:dyDescent="0.35">
      <c r="A190" t="s">
        <v>61</v>
      </c>
      <c r="B190" t="s">
        <v>6401</v>
      </c>
      <c r="C190" s="52" t="s">
        <v>908</v>
      </c>
      <c r="D190" t="s">
        <v>6402</v>
      </c>
      <c r="E190" t="s">
        <v>5976</v>
      </c>
      <c r="F190" t="s">
        <v>76</v>
      </c>
      <c r="G190" t="s">
        <v>5423</v>
      </c>
      <c r="H190" t="s">
        <v>2709</v>
      </c>
      <c r="I190" t="s">
        <v>5980</v>
      </c>
      <c r="J190" t="s">
        <v>5981</v>
      </c>
      <c r="K190" t="s">
        <v>5981</v>
      </c>
      <c r="L190">
        <v>46142</v>
      </c>
      <c r="M190" t="s">
        <v>5976</v>
      </c>
      <c r="N190" t="s">
        <v>5976</v>
      </c>
      <c r="O190" t="s">
        <v>5976</v>
      </c>
      <c r="P190" t="s">
        <v>5981</v>
      </c>
    </row>
    <row r="191" spans="1:16" x14ac:dyDescent="0.35">
      <c r="A191" t="s">
        <v>61</v>
      </c>
      <c r="B191" t="s">
        <v>6403</v>
      </c>
      <c r="C191" s="52" t="s">
        <v>675</v>
      </c>
      <c r="D191" t="s">
        <v>6404</v>
      </c>
      <c r="E191" t="s">
        <v>5976</v>
      </c>
      <c r="F191" t="s">
        <v>76</v>
      </c>
      <c r="G191" t="s">
        <v>5423</v>
      </c>
      <c r="H191" t="s">
        <v>5976</v>
      </c>
      <c r="I191" t="s">
        <v>5981</v>
      </c>
      <c r="J191" t="s">
        <v>5981</v>
      </c>
      <c r="K191" t="s">
        <v>5981</v>
      </c>
      <c r="M191" t="s">
        <v>5976</v>
      </c>
      <c r="N191" t="s">
        <v>5976</v>
      </c>
      <c r="O191" t="s">
        <v>5976</v>
      </c>
      <c r="P191" t="s">
        <v>5981</v>
      </c>
    </row>
    <row r="192" spans="1:16" x14ac:dyDescent="0.35">
      <c r="A192" t="s">
        <v>61</v>
      </c>
      <c r="B192" t="s">
        <v>6405</v>
      </c>
      <c r="C192" s="52" t="s">
        <v>495</v>
      </c>
      <c r="D192" t="s">
        <v>6406</v>
      </c>
      <c r="E192" t="s">
        <v>5976</v>
      </c>
      <c r="F192" t="s">
        <v>76</v>
      </c>
      <c r="G192" t="s">
        <v>5423</v>
      </c>
      <c r="H192" t="s">
        <v>2732</v>
      </c>
      <c r="I192" t="s">
        <v>5981</v>
      </c>
      <c r="J192" t="s">
        <v>5981</v>
      </c>
      <c r="K192" t="s">
        <v>5981</v>
      </c>
      <c r="M192" t="s">
        <v>5976</v>
      </c>
      <c r="N192" t="s">
        <v>5976</v>
      </c>
      <c r="O192" t="s">
        <v>5976</v>
      </c>
      <c r="P192" t="s">
        <v>5981</v>
      </c>
    </row>
    <row r="193" spans="1:16" x14ac:dyDescent="0.35">
      <c r="A193" t="s">
        <v>61</v>
      </c>
      <c r="B193" t="s">
        <v>6407</v>
      </c>
      <c r="C193" s="52" t="s">
        <v>1428</v>
      </c>
      <c r="D193" t="s">
        <v>6408</v>
      </c>
      <c r="E193" t="s">
        <v>5976</v>
      </c>
      <c r="F193" t="s">
        <v>76</v>
      </c>
      <c r="G193" t="s">
        <v>5423</v>
      </c>
      <c r="H193" t="s">
        <v>2732</v>
      </c>
      <c r="I193" t="s">
        <v>5981</v>
      </c>
      <c r="J193" t="s">
        <v>5981</v>
      </c>
      <c r="K193" t="s">
        <v>5981</v>
      </c>
      <c r="M193" t="s">
        <v>5976</v>
      </c>
      <c r="N193" t="s">
        <v>5976</v>
      </c>
      <c r="O193" t="s">
        <v>5976</v>
      </c>
      <c r="P193" t="s">
        <v>5981</v>
      </c>
    </row>
    <row r="194" spans="1:16" x14ac:dyDescent="0.35">
      <c r="A194" t="s">
        <v>61</v>
      </c>
      <c r="B194" t="s">
        <v>6409</v>
      </c>
      <c r="C194" s="52" t="s">
        <v>691</v>
      </c>
      <c r="D194" t="s">
        <v>6410</v>
      </c>
      <c r="E194" t="s">
        <v>6411</v>
      </c>
      <c r="F194" t="s">
        <v>76</v>
      </c>
      <c r="G194" t="s">
        <v>5423</v>
      </c>
      <c r="H194" t="s">
        <v>2732</v>
      </c>
      <c r="I194" t="s">
        <v>5977</v>
      </c>
      <c r="J194" t="s">
        <v>5977</v>
      </c>
      <c r="K194" t="s">
        <v>5977</v>
      </c>
      <c r="M194" t="s">
        <v>5976</v>
      </c>
      <c r="N194">
        <v>45992</v>
      </c>
      <c r="O194">
        <v>1</v>
      </c>
      <c r="P194" t="s">
        <v>5977</v>
      </c>
    </row>
    <row r="195" spans="1:16" x14ac:dyDescent="0.35">
      <c r="A195" t="s">
        <v>61</v>
      </c>
      <c r="B195" t="s">
        <v>6412</v>
      </c>
      <c r="C195" s="52" t="s">
        <v>599</v>
      </c>
      <c r="D195" t="s">
        <v>6413</v>
      </c>
      <c r="E195" t="s">
        <v>5976</v>
      </c>
      <c r="F195" t="s">
        <v>76</v>
      </c>
      <c r="G195" t="s">
        <v>5423</v>
      </c>
      <c r="H195" t="s">
        <v>2732</v>
      </c>
      <c r="I195" t="s">
        <v>5977</v>
      </c>
      <c r="J195" t="s">
        <v>5977</v>
      </c>
      <c r="K195" t="s">
        <v>5977</v>
      </c>
      <c r="M195" t="s">
        <v>5976</v>
      </c>
      <c r="N195">
        <v>45992</v>
      </c>
      <c r="O195">
        <v>1</v>
      </c>
      <c r="P195" t="s">
        <v>5977</v>
      </c>
    </row>
    <row r="196" spans="1:16" x14ac:dyDescent="0.35">
      <c r="A196" t="s">
        <v>61</v>
      </c>
      <c r="B196" t="s">
        <v>6414</v>
      </c>
      <c r="C196" s="52" t="s">
        <v>963</v>
      </c>
      <c r="D196" t="s">
        <v>6415</v>
      </c>
      <c r="E196" t="s">
        <v>5976</v>
      </c>
      <c r="F196" t="s">
        <v>76</v>
      </c>
      <c r="G196" t="s">
        <v>5423</v>
      </c>
      <c r="H196" t="s">
        <v>2732</v>
      </c>
      <c r="I196" t="s">
        <v>5977</v>
      </c>
      <c r="J196" t="s">
        <v>5977</v>
      </c>
      <c r="K196" t="s">
        <v>6011</v>
      </c>
      <c r="L196">
        <v>46140</v>
      </c>
      <c r="M196" t="s">
        <v>5976</v>
      </c>
      <c r="N196" t="s">
        <v>5976</v>
      </c>
      <c r="O196" t="s">
        <v>5976</v>
      </c>
      <c r="P196" t="s">
        <v>5981</v>
      </c>
    </row>
    <row r="197" spans="1:16" x14ac:dyDescent="0.35">
      <c r="A197" t="s">
        <v>61</v>
      </c>
      <c r="B197" t="s">
        <v>6416</v>
      </c>
      <c r="C197" s="52" t="s">
        <v>629</v>
      </c>
      <c r="D197" t="s">
        <v>6417</v>
      </c>
      <c r="E197" t="s">
        <v>6418</v>
      </c>
      <c r="F197" t="s">
        <v>76</v>
      </c>
      <c r="G197" t="s">
        <v>5423</v>
      </c>
      <c r="H197" t="s">
        <v>2709</v>
      </c>
      <c r="I197" t="s">
        <v>6011</v>
      </c>
      <c r="J197" t="s">
        <v>5981</v>
      </c>
      <c r="K197" t="s">
        <v>5981</v>
      </c>
      <c r="M197" t="s">
        <v>5976</v>
      </c>
      <c r="N197" t="s">
        <v>5976</v>
      </c>
      <c r="O197" t="s">
        <v>5976</v>
      </c>
      <c r="P197" t="s">
        <v>5981</v>
      </c>
    </row>
    <row r="198" spans="1:16" x14ac:dyDescent="0.35">
      <c r="A198" t="s">
        <v>61</v>
      </c>
      <c r="B198" t="s">
        <v>6419</v>
      </c>
      <c r="C198" s="52" t="s">
        <v>804</v>
      </c>
      <c r="D198" t="s">
        <v>6420</v>
      </c>
      <c r="E198" t="s">
        <v>5976</v>
      </c>
      <c r="F198" t="s">
        <v>76</v>
      </c>
      <c r="G198" t="s">
        <v>5423</v>
      </c>
      <c r="H198" t="s">
        <v>2709</v>
      </c>
      <c r="I198" t="s">
        <v>5981</v>
      </c>
      <c r="J198" t="s">
        <v>5981</v>
      </c>
      <c r="K198" t="s">
        <v>5981</v>
      </c>
      <c r="M198" t="s">
        <v>5976</v>
      </c>
      <c r="N198" t="s">
        <v>5976</v>
      </c>
      <c r="O198" t="s">
        <v>5976</v>
      </c>
      <c r="P198" t="s">
        <v>5981</v>
      </c>
    </row>
    <row r="199" spans="1:16" x14ac:dyDescent="0.35">
      <c r="A199" t="s">
        <v>61</v>
      </c>
      <c r="B199" t="s">
        <v>6421</v>
      </c>
      <c r="C199" s="52" t="s">
        <v>568</v>
      </c>
      <c r="D199" t="s">
        <v>6422</v>
      </c>
      <c r="E199" t="s">
        <v>5976</v>
      </c>
      <c r="F199" t="s">
        <v>76</v>
      </c>
      <c r="G199" t="s">
        <v>5423</v>
      </c>
      <c r="H199" t="s">
        <v>2732</v>
      </c>
      <c r="I199" t="s">
        <v>6011</v>
      </c>
      <c r="J199" t="s">
        <v>5981</v>
      </c>
      <c r="K199" t="s">
        <v>5981</v>
      </c>
      <c r="M199" t="s">
        <v>5976</v>
      </c>
      <c r="N199" t="s">
        <v>5976</v>
      </c>
      <c r="O199" t="s">
        <v>5976</v>
      </c>
      <c r="P199" t="s">
        <v>5981</v>
      </c>
    </row>
    <row r="200" spans="1:16" x14ac:dyDescent="0.35">
      <c r="A200" t="s">
        <v>61</v>
      </c>
      <c r="B200" t="s">
        <v>6423</v>
      </c>
      <c r="C200" s="52" t="s">
        <v>647</v>
      </c>
      <c r="D200" t="s">
        <v>6424</v>
      </c>
      <c r="E200" t="s">
        <v>5976</v>
      </c>
      <c r="F200" t="s">
        <v>76</v>
      </c>
      <c r="G200" t="s">
        <v>5423</v>
      </c>
      <c r="H200" t="s">
        <v>2732</v>
      </c>
      <c r="I200" t="s">
        <v>6011</v>
      </c>
      <c r="J200" t="s">
        <v>5981</v>
      </c>
      <c r="K200" t="s">
        <v>5981</v>
      </c>
      <c r="M200" t="s">
        <v>5976</v>
      </c>
      <c r="N200" t="s">
        <v>5976</v>
      </c>
      <c r="O200" t="s">
        <v>5976</v>
      </c>
      <c r="P200" t="s">
        <v>5981</v>
      </c>
    </row>
    <row r="201" spans="1:16" x14ac:dyDescent="0.35">
      <c r="A201" t="s">
        <v>61</v>
      </c>
      <c r="B201" t="s">
        <v>6425</v>
      </c>
      <c r="C201" s="52" t="s">
        <v>922</v>
      </c>
      <c r="D201" t="s">
        <v>923</v>
      </c>
      <c r="E201" t="s">
        <v>5976</v>
      </c>
      <c r="F201" t="s">
        <v>76</v>
      </c>
      <c r="G201" t="s">
        <v>5423</v>
      </c>
      <c r="H201" t="s">
        <v>2709</v>
      </c>
      <c r="I201" t="s">
        <v>5981</v>
      </c>
      <c r="J201" t="s">
        <v>5981</v>
      </c>
      <c r="K201" t="s">
        <v>5981</v>
      </c>
      <c r="M201" t="s">
        <v>5976</v>
      </c>
      <c r="N201" t="s">
        <v>5976</v>
      </c>
      <c r="O201" t="s">
        <v>5976</v>
      </c>
      <c r="P201" t="s">
        <v>5981</v>
      </c>
    </row>
    <row r="202" spans="1:16" x14ac:dyDescent="0.35">
      <c r="A202" t="s">
        <v>5974</v>
      </c>
      <c r="B202" t="s">
        <v>6426</v>
      </c>
      <c r="C202" s="52" t="s">
        <v>5400</v>
      </c>
      <c r="D202" t="s">
        <v>6427</v>
      </c>
      <c r="E202" t="s">
        <v>6428</v>
      </c>
      <c r="F202" t="s">
        <v>76</v>
      </c>
      <c r="G202" t="s">
        <v>2716</v>
      </c>
      <c r="H202" t="s">
        <v>2709</v>
      </c>
      <c r="I202" t="s">
        <v>6011</v>
      </c>
      <c r="J202" t="s">
        <v>5981</v>
      </c>
      <c r="K202" t="s">
        <v>5981</v>
      </c>
      <c r="L202">
        <v>46157</v>
      </c>
      <c r="M202" t="s">
        <v>5976</v>
      </c>
      <c r="N202" t="s">
        <v>5976</v>
      </c>
      <c r="O202" t="s">
        <v>5976</v>
      </c>
      <c r="P202" t="s">
        <v>5981</v>
      </c>
    </row>
    <row r="203" spans="1:16" x14ac:dyDescent="0.35">
      <c r="A203" t="s">
        <v>5974</v>
      </c>
      <c r="B203" t="s">
        <v>6429</v>
      </c>
      <c r="C203" s="52" t="s">
        <v>2352</v>
      </c>
      <c r="D203" t="s">
        <v>6430</v>
      </c>
      <c r="E203" t="s">
        <v>5976</v>
      </c>
      <c r="F203" t="s">
        <v>76</v>
      </c>
      <c r="G203" t="s">
        <v>2716</v>
      </c>
      <c r="H203" t="s">
        <v>2732</v>
      </c>
      <c r="I203" t="s">
        <v>6011</v>
      </c>
      <c r="J203" t="s">
        <v>5981</v>
      </c>
      <c r="K203" t="s">
        <v>5981</v>
      </c>
      <c r="L203">
        <v>46216</v>
      </c>
      <c r="M203" t="s">
        <v>5976</v>
      </c>
      <c r="N203" t="s">
        <v>5976</v>
      </c>
      <c r="O203" t="s">
        <v>5976</v>
      </c>
      <c r="P203" t="s">
        <v>5981</v>
      </c>
    </row>
    <row r="204" spans="1:16" x14ac:dyDescent="0.35">
      <c r="A204" t="s">
        <v>5974</v>
      </c>
      <c r="B204" t="s">
        <v>6431</v>
      </c>
      <c r="C204" s="52" t="s">
        <v>2350</v>
      </c>
      <c r="D204" t="s">
        <v>6432</v>
      </c>
      <c r="E204" t="s">
        <v>5976</v>
      </c>
      <c r="F204" t="s">
        <v>76</v>
      </c>
      <c r="G204" t="s">
        <v>2716</v>
      </c>
      <c r="H204" t="s">
        <v>2732</v>
      </c>
      <c r="I204" t="s">
        <v>6011</v>
      </c>
      <c r="J204" t="s">
        <v>5981</v>
      </c>
      <c r="K204" t="s">
        <v>5981</v>
      </c>
      <c r="L204">
        <v>46244</v>
      </c>
      <c r="M204" t="s">
        <v>5976</v>
      </c>
      <c r="N204" t="s">
        <v>5976</v>
      </c>
      <c r="O204" t="s">
        <v>5976</v>
      </c>
      <c r="P204" t="s">
        <v>5981</v>
      </c>
    </row>
    <row r="205" spans="1:16" x14ac:dyDescent="0.35">
      <c r="A205" t="s">
        <v>5974</v>
      </c>
      <c r="B205" t="s">
        <v>6269</v>
      </c>
      <c r="C205" s="52" t="s">
        <v>2154</v>
      </c>
      <c r="D205" t="s">
        <v>6433</v>
      </c>
      <c r="E205" t="s">
        <v>6434</v>
      </c>
      <c r="F205" t="s">
        <v>76</v>
      </c>
      <c r="G205" t="s">
        <v>6435</v>
      </c>
      <c r="H205" t="s">
        <v>2732</v>
      </c>
      <c r="I205" t="s">
        <v>5977</v>
      </c>
      <c r="J205" t="s">
        <v>5977</v>
      </c>
      <c r="K205" t="s">
        <v>5977</v>
      </c>
      <c r="L205">
        <v>46112</v>
      </c>
      <c r="M205" t="s">
        <v>5976</v>
      </c>
      <c r="N205" t="s">
        <v>5976</v>
      </c>
      <c r="O205" t="s">
        <v>5976</v>
      </c>
      <c r="P205" t="s">
        <v>6011</v>
      </c>
    </row>
    <row r="206" spans="1:16" x14ac:dyDescent="0.35">
      <c r="A206" t="s">
        <v>5974</v>
      </c>
      <c r="B206" t="s">
        <v>6026</v>
      </c>
      <c r="C206" s="52" t="s">
        <v>74</v>
      </c>
      <c r="D206" t="s">
        <v>6436</v>
      </c>
      <c r="E206" t="s">
        <v>6434</v>
      </c>
      <c r="F206" t="s">
        <v>76</v>
      </c>
      <c r="G206" t="s">
        <v>5423</v>
      </c>
      <c r="H206" t="s">
        <v>2732</v>
      </c>
      <c r="I206" t="s">
        <v>5977</v>
      </c>
      <c r="J206" t="s">
        <v>6011</v>
      </c>
      <c r="K206" t="s">
        <v>5981</v>
      </c>
      <c r="L206">
        <v>46112</v>
      </c>
      <c r="P206" t="s">
        <v>5981</v>
      </c>
    </row>
    <row r="207" spans="1:16" x14ac:dyDescent="0.35">
      <c r="A207" t="s">
        <v>61</v>
      </c>
      <c r="C207" s="52" t="s">
        <v>2152</v>
      </c>
      <c r="D207" t="s">
        <v>6437</v>
      </c>
      <c r="E207" t="s">
        <v>5028</v>
      </c>
      <c r="F207" t="s">
        <v>76</v>
      </c>
      <c r="G207" t="s">
        <v>1794</v>
      </c>
      <c r="H207" t="s">
        <v>2709</v>
      </c>
      <c r="I207" t="s">
        <v>6011</v>
      </c>
      <c r="J207" t="s">
        <v>5981</v>
      </c>
      <c r="K207" t="s">
        <v>5981</v>
      </c>
      <c r="M207" t="s">
        <v>5976</v>
      </c>
      <c r="N207" t="s">
        <v>5976</v>
      </c>
      <c r="O207" t="s">
        <v>5976</v>
      </c>
      <c r="P207" t="s">
        <v>5981</v>
      </c>
    </row>
    <row r="208" spans="1:16" x14ac:dyDescent="0.35">
      <c r="A208" t="s">
        <v>5974</v>
      </c>
      <c r="C208" s="52" t="s">
        <v>3933</v>
      </c>
      <c r="D208" t="s">
        <v>6438</v>
      </c>
      <c r="E208" t="s">
        <v>6439</v>
      </c>
      <c r="F208" t="s">
        <v>76</v>
      </c>
      <c r="G208" t="s">
        <v>2716</v>
      </c>
      <c r="H208" t="s">
        <v>2709</v>
      </c>
      <c r="I208" t="s">
        <v>5981</v>
      </c>
      <c r="J208" t="s">
        <v>5981</v>
      </c>
      <c r="K208" t="s">
        <v>5981</v>
      </c>
      <c r="L208">
        <v>46172</v>
      </c>
      <c r="M208" t="s">
        <v>5976</v>
      </c>
      <c r="N208" t="s">
        <v>5976</v>
      </c>
      <c r="O208" t="s">
        <v>5976</v>
      </c>
      <c r="P208" t="s">
        <v>5981</v>
      </c>
    </row>
    <row r="209" spans="1:16" x14ac:dyDescent="0.35">
      <c r="A209" t="s">
        <v>5974</v>
      </c>
      <c r="C209" s="52" t="s">
        <v>3647</v>
      </c>
      <c r="D209" t="s">
        <v>6440</v>
      </c>
      <c r="E209" t="s">
        <v>6441</v>
      </c>
      <c r="F209" t="s">
        <v>76</v>
      </c>
      <c r="G209" t="s">
        <v>2716</v>
      </c>
      <c r="H209" t="s">
        <v>2709</v>
      </c>
      <c r="I209" t="s">
        <v>5996</v>
      </c>
      <c r="J209" t="s">
        <v>5996</v>
      </c>
      <c r="K209" t="s">
        <v>5996</v>
      </c>
      <c r="P209" t="s">
        <v>5996</v>
      </c>
    </row>
    <row r="210" spans="1:16" x14ac:dyDescent="0.35">
      <c r="A210" t="s">
        <v>61</v>
      </c>
      <c r="C210" s="52" t="s">
        <v>6442</v>
      </c>
      <c r="D210" t="s">
        <v>6443</v>
      </c>
      <c r="E210" t="s">
        <v>2764</v>
      </c>
      <c r="F210" t="s">
        <v>76</v>
      </c>
      <c r="G210" t="s">
        <v>1794</v>
      </c>
      <c r="H210" t="s">
        <v>2732</v>
      </c>
      <c r="I210" t="s">
        <v>6011</v>
      </c>
      <c r="J210" t="s">
        <v>5981</v>
      </c>
      <c r="K210" t="s">
        <v>5981</v>
      </c>
      <c r="P210" t="s">
        <v>5981</v>
      </c>
    </row>
    <row r="211" spans="1:16" x14ac:dyDescent="0.35">
      <c r="A211" t="s">
        <v>5974</v>
      </c>
      <c r="C211" s="52" t="s">
        <v>4372</v>
      </c>
      <c r="D211" t="s">
        <v>6444</v>
      </c>
      <c r="F211" t="s">
        <v>76</v>
      </c>
      <c r="G211" t="s">
        <v>2716</v>
      </c>
      <c r="H211" t="s">
        <v>2732</v>
      </c>
      <c r="I211" t="s">
        <v>5981</v>
      </c>
      <c r="J211" t="s">
        <v>5981</v>
      </c>
      <c r="K211" t="s">
        <v>5981</v>
      </c>
      <c r="L211">
        <v>46222</v>
      </c>
      <c r="P211" t="s">
        <v>5981</v>
      </c>
    </row>
    <row r="212" spans="1:16" x14ac:dyDescent="0.35">
      <c r="A212" t="s">
        <v>61</v>
      </c>
      <c r="C212" s="52" t="s">
        <v>500</v>
      </c>
      <c r="D212" t="s">
        <v>6445</v>
      </c>
      <c r="F212" t="s">
        <v>76</v>
      </c>
      <c r="G212" t="s">
        <v>5423</v>
      </c>
      <c r="H212" t="s">
        <v>2709</v>
      </c>
      <c r="I212" t="s">
        <v>5977</v>
      </c>
      <c r="J212" t="s">
        <v>5977</v>
      </c>
      <c r="K212" t="s">
        <v>5977</v>
      </c>
      <c r="N212">
        <v>45748</v>
      </c>
      <c r="P212" t="s">
        <v>5977</v>
      </c>
    </row>
    <row r="213" spans="1:16" x14ac:dyDescent="0.35">
      <c r="A213" t="s">
        <v>61</v>
      </c>
      <c r="C213" s="52"/>
      <c r="D213" t="s">
        <v>6446</v>
      </c>
      <c r="G213" t="s">
        <v>2716</v>
      </c>
      <c r="H213" t="s">
        <v>2732</v>
      </c>
      <c r="I213" t="s">
        <v>6011</v>
      </c>
      <c r="J213" t="s">
        <v>5981</v>
      </c>
      <c r="K213" t="s">
        <v>5981</v>
      </c>
      <c r="P213" t="s">
        <v>5981</v>
      </c>
    </row>
    <row r="214" spans="1:16" x14ac:dyDescent="0.35">
      <c r="A214" t="s">
        <v>61</v>
      </c>
      <c r="B214" t="s">
        <v>6018</v>
      </c>
      <c r="C214" s="52" t="s">
        <v>1291</v>
      </c>
      <c r="D214" t="s">
        <v>6447</v>
      </c>
      <c r="E214" t="s">
        <v>6448</v>
      </c>
      <c r="F214" t="s">
        <v>62</v>
      </c>
      <c r="G214" t="s">
        <v>6090</v>
      </c>
      <c r="H214" t="s">
        <v>2732</v>
      </c>
      <c r="I214" t="s">
        <v>5977</v>
      </c>
      <c r="J214" t="s">
        <v>5977</v>
      </c>
      <c r="K214" t="s">
        <v>5977</v>
      </c>
      <c r="L214">
        <v>46126</v>
      </c>
      <c r="M214" t="s">
        <v>5976</v>
      </c>
      <c r="N214" t="s">
        <v>5976</v>
      </c>
      <c r="O214">
        <v>0</v>
      </c>
      <c r="P214" t="s">
        <v>6011</v>
      </c>
    </row>
    <row r="215" spans="1:16" x14ac:dyDescent="0.35">
      <c r="A215" t="s">
        <v>5974</v>
      </c>
      <c r="B215" t="s">
        <v>6449</v>
      </c>
      <c r="C215" s="52" t="s">
        <v>290</v>
      </c>
      <c r="D215" t="s">
        <v>6450</v>
      </c>
      <c r="E215" t="s">
        <v>6451</v>
      </c>
      <c r="F215" t="s">
        <v>62</v>
      </c>
      <c r="G215" t="s">
        <v>5423</v>
      </c>
      <c r="H215" t="s">
        <v>2810</v>
      </c>
      <c r="I215" t="s">
        <v>5981</v>
      </c>
      <c r="J215" t="s">
        <v>5981</v>
      </c>
      <c r="K215" t="s">
        <v>5981</v>
      </c>
      <c r="L215" t="s">
        <v>5976</v>
      </c>
      <c r="M215" t="s">
        <v>5976</v>
      </c>
      <c r="N215" t="s">
        <v>5976</v>
      </c>
      <c r="O215" t="s">
        <v>5976</v>
      </c>
      <c r="P215" t="s">
        <v>5981</v>
      </c>
    </row>
    <row r="216" spans="1:16" x14ac:dyDescent="0.35">
      <c r="A216" t="s">
        <v>5974</v>
      </c>
      <c r="B216" t="s">
        <v>6452</v>
      </c>
      <c r="C216" s="52" t="s">
        <v>371</v>
      </c>
      <c r="D216" t="s">
        <v>5901</v>
      </c>
      <c r="E216" t="s">
        <v>6453</v>
      </c>
      <c r="F216" t="s">
        <v>62</v>
      </c>
      <c r="G216" t="s">
        <v>2716</v>
      </c>
      <c r="H216" t="s">
        <v>2732</v>
      </c>
      <c r="I216" t="s">
        <v>6011</v>
      </c>
      <c r="J216" t="s">
        <v>5981</v>
      </c>
      <c r="K216" t="s">
        <v>6011</v>
      </c>
      <c r="L216">
        <v>46167</v>
      </c>
      <c r="M216" t="s">
        <v>5976</v>
      </c>
      <c r="N216" t="s">
        <v>5976</v>
      </c>
      <c r="O216" t="s">
        <v>5976</v>
      </c>
      <c r="P216" t="s">
        <v>5981</v>
      </c>
    </row>
    <row r="217" spans="1:16" x14ac:dyDescent="0.35">
      <c r="A217" t="s">
        <v>5974</v>
      </c>
      <c r="B217" t="s">
        <v>5982</v>
      </c>
      <c r="C217" s="52" t="s">
        <v>3462</v>
      </c>
      <c r="D217" t="s">
        <v>6454</v>
      </c>
      <c r="E217" t="s">
        <v>5976</v>
      </c>
      <c r="F217" t="s">
        <v>62</v>
      </c>
      <c r="G217" t="s">
        <v>2716</v>
      </c>
      <c r="H217" t="s">
        <v>2810</v>
      </c>
      <c r="I217" t="s">
        <v>5981</v>
      </c>
      <c r="J217" t="s">
        <v>5981</v>
      </c>
      <c r="K217" t="s">
        <v>5981</v>
      </c>
      <c r="L217">
        <v>46188</v>
      </c>
      <c r="M217" t="s">
        <v>5976</v>
      </c>
      <c r="N217" t="s">
        <v>5976</v>
      </c>
      <c r="O217" t="s">
        <v>5976</v>
      </c>
      <c r="P217" t="s">
        <v>5981</v>
      </c>
    </row>
    <row r="218" spans="1:16" x14ac:dyDescent="0.35">
      <c r="A218" t="s">
        <v>61</v>
      </c>
      <c r="B218" t="s">
        <v>5983</v>
      </c>
      <c r="C218" s="52" t="s">
        <v>6455</v>
      </c>
      <c r="D218" t="s">
        <v>6456</v>
      </c>
      <c r="E218" t="s">
        <v>5976</v>
      </c>
      <c r="F218" t="s">
        <v>62</v>
      </c>
      <c r="G218" t="s">
        <v>2716</v>
      </c>
      <c r="H218" t="s">
        <v>2709</v>
      </c>
      <c r="I218" t="s">
        <v>6011</v>
      </c>
      <c r="J218" t="s">
        <v>5981</v>
      </c>
      <c r="K218" t="s">
        <v>5981</v>
      </c>
      <c r="L218">
        <v>46139</v>
      </c>
      <c r="M218" t="s">
        <v>5976</v>
      </c>
      <c r="N218" t="s">
        <v>5976</v>
      </c>
      <c r="O218" t="s">
        <v>5976</v>
      </c>
      <c r="P218" t="s">
        <v>5981</v>
      </c>
    </row>
    <row r="219" spans="1:16" x14ac:dyDescent="0.35">
      <c r="A219" t="s">
        <v>5974</v>
      </c>
      <c r="B219" t="s">
        <v>6457</v>
      </c>
      <c r="C219" s="52" t="s">
        <v>250</v>
      </c>
      <c r="D219" t="s">
        <v>6458</v>
      </c>
      <c r="E219" t="s">
        <v>6459</v>
      </c>
      <c r="F219" t="s">
        <v>62</v>
      </c>
      <c r="G219" t="s">
        <v>5423</v>
      </c>
      <c r="H219" t="s">
        <v>2810</v>
      </c>
      <c r="I219" t="s">
        <v>5981</v>
      </c>
      <c r="J219" t="s">
        <v>5981</v>
      </c>
      <c r="K219" t="s">
        <v>5981</v>
      </c>
      <c r="L219" t="s">
        <v>5976</v>
      </c>
      <c r="M219" t="s">
        <v>5976</v>
      </c>
      <c r="N219" t="s">
        <v>5976</v>
      </c>
      <c r="O219" t="s">
        <v>5976</v>
      </c>
      <c r="P219" t="s">
        <v>5981</v>
      </c>
    </row>
    <row r="220" spans="1:16" x14ac:dyDescent="0.35">
      <c r="A220" t="s">
        <v>5974</v>
      </c>
      <c r="B220" t="s">
        <v>6460</v>
      </c>
      <c r="C220" s="52" t="s">
        <v>2296</v>
      </c>
      <c r="D220" t="s">
        <v>6461</v>
      </c>
      <c r="E220" t="s">
        <v>5976</v>
      </c>
      <c r="F220" t="s">
        <v>62</v>
      </c>
      <c r="G220" t="s">
        <v>2716</v>
      </c>
      <c r="H220" t="s">
        <v>2732</v>
      </c>
      <c r="I220" t="s">
        <v>6011</v>
      </c>
      <c r="J220" t="s">
        <v>5981</v>
      </c>
      <c r="K220" t="s">
        <v>5981</v>
      </c>
      <c r="L220">
        <v>46244</v>
      </c>
      <c r="M220" t="s">
        <v>5976</v>
      </c>
      <c r="N220" t="s">
        <v>5976</v>
      </c>
      <c r="O220" t="s">
        <v>5976</v>
      </c>
      <c r="P220" t="s">
        <v>5981</v>
      </c>
    </row>
    <row r="221" spans="1:16" x14ac:dyDescent="0.35">
      <c r="A221" t="s">
        <v>5974</v>
      </c>
      <c r="B221" t="s">
        <v>6462</v>
      </c>
      <c r="C221" s="52" t="s">
        <v>1361</v>
      </c>
      <c r="D221" t="s">
        <v>6463</v>
      </c>
      <c r="E221" t="s">
        <v>6464</v>
      </c>
      <c r="F221" t="s">
        <v>5976</v>
      </c>
      <c r="G221" t="s">
        <v>5976</v>
      </c>
      <c r="H221" t="s">
        <v>5976</v>
      </c>
      <c r="I221" t="s">
        <v>5977</v>
      </c>
      <c r="J221" t="s">
        <v>5977</v>
      </c>
      <c r="K221" t="s">
        <v>5977</v>
      </c>
      <c r="L221" t="s">
        <v>5976</v>
      </c>
      <c r="M221" t="s">
        <v>5976</v>
      </c>
      <c r="N221" t="s">
        <v>5976</v>
      </c>
      <c r="O221" t="s">
        <v>5976</v>
      </c>
      <c r="P221" t="s">
        <v>6011</v>
      </c>
    </row>
    <row r="222" spans="1:16" x14ac:dyDescent="0.35">
      <c r="A222" t="s">
        <v>5974</v>
      </c>
      <c r="B222" t="s">
        <v>6465</v>
      </c>
      <c r="C222" s="52" t="s">
        <v>2158</v>
      </c>
      <c r="D222" t="s">
        <v>6466</v>
      </c>
      <c r="E222" t="s">
        <v>6271</v>
      </c>
      <c r="F222" t="s">
        <v>6467</v>
      </c>
      <c r="G222" t="s">
        <v>2716</v>
      </c>
      <c r="H222" t="s">
        <v>2732</v>
      </c>
      <c r="I222" t="s">
        <v>5977</v>
      </c>
      <c r="J222" t="s">
        <v>5977</v>
      </c>
      <c r="K222" t="s">
        <v>5977</v>
      </c>
      <c r="L222">
        <v>46003</v>
      </c>
      <c r="M222">
        <v>45882</v>
      </c>
      <c r="N222">
        <v>46003</v>
      </c>
      <c r="O222">
        <v>1</v>
      </c>
      <c r="P222" t="s">
        <v>5977</v>
      </c>
    </row>
    <row r="223" spans="1:16" x14ac:dyDescent="0.35">
      <c r="A223" t="s">
        <v>61</v>
      </c>
      <c r="B223" t="s">
        <v>6026</v>
      </c>
      <c r="C223" s="52" t="s">
        <v>2247</v>
      </c>
      <c r="D223" t="s">
        <v>6468</v>
      </c>
      <c r="F223" t="s">
        <v>6467</v>
      </c>
      <c r="G223" t="s">
        <v>2716</v>
      </c>
      <c r="H223" t="s">
        <v>2732</v>
      </c>
      <c r="I223" t="s">
        <v>5977</v>
      </c>
      <c r="J223" t="s">
        <v>5977</v>
      </c>
      <c r="K223" t="s">
        <v>5977</v>
      </c>
      <c r="L223">
        <v>46134</v>
      </c>
      <c r="M223">
        <v>46094</v>
      </c>
      <c r="N223" t="s">
        <v>5976</v>
      </c>
      <c r="O223">
        <v>0.05</v>
      </c>
      <c r="P223" t="s">
        <v>6011</v>
      </c>
    </row>
    <row r="224" spans="1:16" x14ac:dyDescent="0.35">
      <c r="A224" t="s">
        <v>5974</v>
      </c>
      <c r="B224" t="s">
        <v>6391</v>
      </c>
      <c r="C224" s="52" t="s">
        <v>440</v>
      </c>
      <c r="D224" t="s">
        <v>6469</v>
      </c>
      <c r="E224" t="s">
        <v>6470</v>
      </c>
      <c r="F224" t="s">
        <v>6467</v>
      </c>
      <c r="G224" t="s">
        <v>5423</v>
      </c>
      <c r="H224" t="s">
        <v>2732</v>
      </c>
      <c r="I224" t="s">
        <v>5977</v>
      </c>
      <c r="J224" t="s">
        <v>5977</v>
      </c>
      <c r="K224" t="s">
        <v>5977</v>
      </c>
      <c r="L224">
        <v>46137</v>
      </c>
      <c r="M224" t="s">
        <v>5976</v>
      </c>
      <c r="N224" t="s">
        <v>5976</v>
      </c>
      <c r="O224" t="s">
        <v>5976</v>
      </c>
      <c r="P224" t="s">
        <v>5981</v>
      </c>
    </row>
    <row r="225" spans="1:16" x14ac:dyDescent="0.35">
      <c r="A225" t="s">
        <v>61</v>
      </c>
      <c r="B225" t="s">
        <v>6393</v>
      </c>
      <c r="C225" s="52" t="s">
        <v>450</v>
      </c>
      <c r="D225" t="s">
        <v>6471</v>
      </c>
      <c r="E225" t="s">
        <v>6470</v>
      </c>
      <c r="F225" t="s">
        <v>6467</v>
      </c>
      <c r="G225" t="s">
        <v>5423</v>
      </c>
      <c r="H225" t="s">
        <v>2732</v>
      </c>
      <c r="I225" t="s">
        <v>5977</v>
      </c>
      <c r="J225" t="s">
        <v>5977</v>
      </c>
      <c r="K225" t="s">
        <v>5977</v>
      </c>
      <c r="L225">
        <v>46141</v>
      </c>
      <c r="M225">
        <v>46096</v>
      </c>
      <c r="N225" t="s">
        <v>5976</v>
      </c>
      <c r="O225">
        <v>10</v>
      </c>
      <c r="P225" t="s">
        <v>6011</v>
      </c>
    </row>
    <row r="226" spans="1:16" x14ac:dyDescent="0.35">
      <c r="A226" t="s">
        <v>61</v>
      </c>
      <c r="B226" t="s">
        <v>6397</v>
      </c>
      <c r="C226" s="52" t="s">
        <v>448</v>
      </c>
      <c r="D226" t="s">
        <v>6472</v>
      </c>
      <c r="E226" t="s">
        <v>6138</v>
      </c>
      <c r="F226" t="s">
        <v>6467</v>
      </c>
      <c r="G226" t="s">
        <v>5423</v>
      </c>
      <c r="H226" t="s">
        <v>2810</v>
      </c>
      <c r="I226" t="s">
        <v>5977</v>
      </c>
      <c r="J226" t="s">
        <v>5977</v>
      </c>
      <c r="K226" t="s">
        <v>6011</v>
      </c>
      <c r="L226" t="s">
        <v>5976</v>
      </c>
      <c r="M226" t="s">
        <v>5976</v>
      </c>
      <c r="N226" t="s">
        <v>5976</v>
      </c>
      <c r="O226" t="s">
        <v>5976</v>
      </c>
    </row>
    <row r="227" spans="1:16" x14ac:dyDescent="0.35">
      <c r="A227" t="s">
        <v>61</v>
      </c>
      <c r="B227" t="s">
        <v>6399</v>
      </c>
      <c r="C227" s="52" t="s">
        <v>488</v>
      </c>
      <c r="D227" t="s">
        <v>6473</v>
      </c>
      <c r="E227" t="s">
        <v>6474</v>
      </c>
      <c r="F227" t="s">
        <v>6467</v>
      </c>
      <c r="G227" t="s">
        <v>5423</v>
      </c>
      <c r="H227" t="s">
        <v>2709</v>
      </c>
      <c r="I227" t="s">
        <v>5977</v>
      </c>
      <c r="J227" t="s">
        <v>6011</v>
      </c>
      <c r="K227" t="s">
        <v>6011</v>
      </c>
      <c r="L227" t="s">
        <v>5976</v>
      </c>
      <c r="M227" t="s">
        <v>5976</v>
      </c>
      <c r="N227" t="s">
        <v>5976</v>
      </c>
      <c r="O227" t="s">
        <v>5976</v>
      </c>
      <c r="P227" t="s">
        <v>5981</v>
      </c>
    </row>
    <row r="228" spans="1:16" x14ac:dyDescent="0.35">
      <c r="A228" t="s">
        <v>61</v>
      </c>
      <c r="B228" t="s">
        <v>6401</v>
      </c>
      <c r="C228" s="52" t="s">
        <v>645</v>
      </c>
      <c r="D228" t="s">
        <v>6475</v>
      </c>
      <c r="E228" t="s">
        <v>6476</v>
      </c>
      <c r="F228" t="s">
        <v>6467</v>
      </c>
      <c r="G228" t="s">
        <v>5423</v>
      </c>
      <c r="H228" t="s">
        <v>2709</v>
      </c>
      <c r="I228" t="s">
        <v>5977</v>
      </c>
      <c r="J228" t="s">
        <v>6011</v>
      </c>
      <c r="K228" t="s">
        <v>6011</v>
      </c>
      <c r="L228" t="s">
        <v>5976</v>
      </c>
      <c r="M228" t="s">
        <v>5976</v>
      </c>
      <c r="N228" t="s">
        <v>5976</v>
      </c>
      <c r="O228" t="s">
        <v>5976</v>
      </c>
      <c r="P228" t="s">
        <v>5981</v>
      </c>
    </row>
    <row r="229" spans="1:16" x14ac:dyDescent="0.35">
      <c r="A229" t="s">
        <v>61</v>
      </c>
      <c r="B229" t="s">
        <v>6403</v>
      </c>
      <c r="C229" s="52" t="s">
        <v>454</v>
      </c>
      <c r="D229" t="s">
        <v>6477</v>
      </c>
      <c r="E229" t="s">
        <v>6478</v>
      </c>
      <c r="F229" t="s">
        <v>6467</v>
      </c>
      <c r="G229" t="s">
        <v>5423</v>
      </c>
      <c r="H229" t="s">
        <v>2709</v>
      </c>
      <c r="I229" t="s">
        <v>5977</v>
      </c>
      <c r="J229" t="s">
        <v>5977</v>
      </c>
      <c r="K229" t="s">
        <v>5977</v>
      </c>
      <c r="L229">
        <v>46069</v>
      </c>
      <c r="M229">
        <v>46034</v>
      </c>
      <c r="N229">
        <v>46069</v>
      </c>
      <c r="O229">
        <v>1</v>
      </c>
      <c r="P229" t="s">
        <v>5977</v>
      </c>
    </row>
    <row r="230" spans="1:16" x14ac:dyDescent="0.35">
      <c r="A230" t="s">
        <v>61</v>
      </c>
      <c r="B230" t="s">
        <v>6405</v>
      </c>
      <c r="C230" s="52" t="s">
        <v>918</v>
      </c>
      <c r="D230" t="s">
        <v>6479</v>
      </c>
      <c r="E230" t="s">
        <v>6480</v>
      </c>
      <c r="F230" t="s">
        <v>6467</v>
      </c>
      <c r="G230" t="s">
        <v>5423</v>
      </c>
      <c r="H230" t="s">
        <v>2709</v>
      </c>
      <c r="I230" t="s">
        <v>5977</v>
      </c>
      <c r="J230" t="s">
        <v>5977</v>
      </c>
      <c r="K230" t="s">
        <v>5977</v>
      </c>
      <c r="L230">
        <v>46122</v>
      </c>
      <c r="M230" t="s">
        <v>5976</v>
      </c>
      <c r="N230" t="s">
        <v>5976</v>
      </c>
      <c r="O230" t="s">
        <v>5976</v>
      </c>
      <c r="P230" t="s">
        <v>5981</v>
      </c>
    </row>
    <row r="231" spans="1:16" x14ac:dyDescent="0.35">
      <c r="A231" t="s">
        <v>61</v>
      </c>
      <c r="B231" t="s">
        <v>6409</v>
      </c>
      <c r="C231" s="52" t="s">
        <v>1707</v>
      </c>
      <c r="D231" t="s">
        <v>6481</v>
      </c>
      <c r="E231" t="s">
        <v>6482</v>
      </c>
      <c r="F231" t="s">
        <v>6467</v>
      </c>
      <c r="G231" t="s">
        <v>5423</v>
      </c>
      <c r="H231" t="s">
        <v>2732</v>
      </c>
      <c r="I231" t="s">
        <v>5977</v>
      </c>
      <c r="J231" t="s">
        <v>5977</v>
      </c>
      <c r="K231" t="s">
        <v>6011</v>
      </c>
      <c r="L231" t="s">
        <v>5976</v>
      </c>
      <c r="M231" t="s">
        <v>5976</v>
      </c>
      <c r="N231" t="s">
        <v>5976</v>
      </c>
      <c r="O231" t="s">
        <v>5976</v>
      </c>
      <c r="P231" t="s">
        <v>5981</v>
      </c>
    </row>
    <row r="232" spans="1:16" x14ac:dyDescent="0.35">
      <c r="A232" t="s">
        <v>61</v>
      </c>
      <c r="B232" t="s">
        <v>6414</v>
      </c>
      <c r="C232" s="52" t="s">
        <v>943</v>
      </c>
      <c r="D232" t="s">
        <v>6483</v>
      </c>
      <c r="E232" t="s">
        <v>6484</v>
      </c>
      <c r="F232" t="s">
        <v>6467</v>
      </c>
      <c r="G232" t="s">
        <v>5423</v>
      </c>
      <c r="H232" t="s">
        <v>2709</v>
      </c>
      <c r="I232" t="s">
        <v>5977</v>
      </c>
      <c r="J232" t="s">
        <v>5981</v>
      </c>
      <c r="K232" t="s">
        <v>6011</v>
      </c>
      <c r="L232" t="s">
        <v>5976</v>
      </c>
      <c r="M232" t="s">
        <v>5976</v>
      </c>
      <c r="N232">
        <v>45986</v>
      </c>
      <c r="O232" t="s">
        <v>5976</v>
      </c>
      <c r="P232" t="s">
        <v>5981</v>
      </c>
    </row>
    <row r="233" spans="1:16" x14ac:dyDescent="0.35">
      <c r="A233" t="s">
        <v>61</v>
      </c>
      <c r="B233" t="s">
        <v>6416</v>
      </c>
      <c r="C233" s="52" t="s">
        <v>553</v>
      </c>
      <c r="D233" t="s">
        <v>6485</v>
      </c>
      <c r="E233" t="s">
        <v>6486</v>
      </c>
      <c r="F233" t="s">
        <v>6467</v>
      </c>
      <c r="G233" t="s">
        <v>5423</v>
      </c>
      <c r="H233" t="s">
        <v>2732</v>
      </c>
      <c r="I233" t="s">
        <v>5977</v>
      </c>
      <c r="J233" t="s">
        <v>5977</v>
      </c>
      <c r="K233" t="s">
        <v>5996</v>
      </c>
      <c r="L233" t="s">
        <v>5976</v>
      </c>
      <c r="M233" t="s">
        <v>5976</v>
      </c>
      <c r="N233" t="s">
        <v>5976</v>
      </c>
      <c r="O233" t="s">
        <v>5976</v>
      </c>
      <c r="P233" t="s">
        <v>5996</v>
      </c>
    </row>
    <row r="234" spans="1:16" x14ac:dyDescent="0.35">
      <c r="A234" t="s">
        <v>61</v>
      </c>
      <c r="B234" t="s">
        <v>6419</v>
      </c>
      <c r="C234" s="52" t="s">
        <v>1026</v>
      </c>
      <c r="D234" t="s">
        <v>6487</v>
      </c>
      <c r="E234" t="s">
        <v>6488</v>
      </c>
      <c r="F234" t="s">
        <v>6467</v>
      </c>
      <c r="G234" t="s">
        <v>5423</v>
      </c>
      <c r="H234" t="s">
        <v>5976</v>
      </c>
      <c r="I234" t="s">
        <v>5977</v>
      </c>
      <c r="J234" t="s">
        <v>5981</v>
      </c>
      <c r="K234" t="s">
        <v>6011</v>
      </c>
      <c r="L234" t="s">
        <v>5976</v>
      </c>
      <c r="M234" t="s">
        <v>5976</v>
      </c>
      <c r="N234" t="s">
        <v>5976</v>
      </c>
      <c r="O234" t="s">
        <v>5976</v>
      </c>
      <c r="P234" t="s">
        <v>5981</v>
      </c>
    </row>
    <row r="235" spans="1:16" x14ac:dyDescent="0.35">
      <c r="A235" t="s">
        <v>61</v>
      </c>
      <c r="B235" t="s">
        <v>6421</v>
      </c>
      <c r="C235" s="52" t="s">
        <v>677</v>
      </c>
      <c r="D235" t="s">
        <v>6489</v>
      </c>
      <c r="E235" t="s">
        <v>6490</v>
      </c>
      <c r="F235" t="s">
        <v>6467</v>
      </c>
      <c r="G235" t="s">
        <v>5423</v>
      </c>
      <c r="H235" t="s">
        <v>5976</v>
      </c>
      <c r="I235" t="s">
        <v>5977</v>
      </c>
      <c r="J235" t="s">
        <v>5981</v>
      </c>
      <c r="K235" t="s">
        <v>6011</v>
      </c>
      <c r="L235" t="s">
        <v>5976</v>
      </c>
      <c r="M235" t="s">
        <v>5976</v>
      </c>
      <c r="N235" t="s">
        <v>5976</v>
      </c>
      <c r="O235" t="s">
        <v>5976</v>
      </c>
      <c r="P235" t="s">
        <v>5981</v>
      </c>
    </row>
    <row r="236" spans="1:16" x14ac:dyDescent="0.35">
      <c r="A236" t="s">
        <v>61</v>
      </c>
      <c r="B236" t="s">
        <v>6423</v>
      </c>
      <c r="C236" s="52" t="s">
        <v>1139</v>
      </c>
      <c r="D236" t="s">
        <v>6491</v>
      </c>
      <c r="E236" t="s">
        <v>6492</v>
      </c>
      <c r="F236" t="s">
        <v>6467</v>
      </c>
      <c r="G236" t="s">
        <v>5423</v>
      </c>
      <c r="H236" t="s">
        <v>2709</v>
      </c>
      <c r="I236" t="s">
        <v>5977</v>
      </c>
      <c r="J236" t="s">
        <v>5977</v>
      </c>
      <c r="K236" t="s">
        <v>5977</v>
      </c>
      <c r="P236" t="s">
        <v>6011</v>
      </c>
    </row>
    <row r="237" spans="1:16" x14ac:dyDescent="0.35">
      <c r="A237" t="s">
        <v>61</v>
      </c>
      <c r="B237" t="s">
        <v>6425</v>
      </c>
      <c r="C237" s="52" t="s">
        <v>769</v>
      </c>
      <c r="D237" t="s">
        <v>6493</v>
      </c>
      <c r="E237" t="s">
        <v>6492</v>
      </c>
      <c r="F237" t="s">
        <v>6467</v>
      </c>
      <c r="G237" t="s">
        <v>5423</v>
      </c>
      <c r="H237" t="s">
        <v>2709</v>
      </c>
      <c r="I237" t="s">
        <v>5977</v>
      </c>
      <c r="J237" t="s">
        <v>5977</v>
      </c>
      <c r="K237" t="s">
        <v>5977</v>
      </c>
      <c r="P237" t="s">
        <v>6011</v>
      </c>
    </row>
    <row r="238" spans="1:16" x14ac:dyDescent="0.35">
      <c r="A238" t="s">
        <v>61</v>
      </c>
      <c r="B238" t="s">
        <v>6426</v>
      </c>
      <c r="C238" s="52" t="s">
        <v>859</v>
      </c>
      <c r="D238" t="s">
        <v>6494</v>
      </c>
      <c r="F238" t="s">
        <v>6467</v>
      </c>
      <c r="G238" t="s">
        <v>5423</v>
      </c>
      <c r="H238" t="s">
        <v>2709</v>
      </c>
      <c r="I238" t="s">
        <v>5977</v>
      </c>
      <c r="J238" t="s">
        <v>5977</v>
      </c>
      <c r="K238" t="s">
        <v>5977</v>
      </c>
      <c r="L238" t="s">
        <v>5976</v>
      </c>
      <c r="M238" t="s">
        <v>5976</v>
      </c>
      <c r="N238" t="s">
        <v>5976</v>
      </c>
      <c r="O238" t="s">
        <v>5976</v>
      </c>
      <c r="P238" t="s">
        <v>5981</v>
      </c>
    </row>
    <row r="239" spans="1:16" x14ac:dyDescent="0.35">
      <c r="A239" t="s">
        <v>61</v>
      </c>
      <c r="B239" t="s">
        <v>6429</v>
      </c>
      <c r="C239" s="52" t="s">
        <v>1285</v>
      </c>
      <c r="D239" t="s">
        <v>6495</v>
      </c>
      <c r="F239" t="s">
        <v>6467</v>
      </c>
      <c r="G239" t="s">
        <v>5423</v>
      </c>
      <c r="H239" t="s">
        <v>2709</v>
      </c>
      <c r="I239" t="s">
        <v>5996</v>
      </c>
      <c r="J239" t="s">
        <v>5996</v>
      </c>
      <c r="K239" t="s">
        <v>5996</v>
      </c>
      <c r="L239" t="s">
        <v>5976</v>
      </c>
      <c r="M239" t="s">
        <v>5976</v>
      </c>
      <c r="N239" t="s">
        <v>5976</v>
      </c>
      <c r="O239" t="s">
        <v>5976</v>
      </c>
      <c r="P239" t="s">
        <v>5996</v>
      </c>
    </row>
    <row r="240" spans="1:16" x14ac:dyDescent="0.35">
      <c r="A240" t="s">
        <v>61</v>
      </c>
      <c r="B240" t="s">
        <v>6431</v>
      </c>
      <c r="C240" s="52" t="s">
        <v>920</v>
      </c>
      <c r="D240" t="s">
        <v>6496</v>
      </c>
      <c r="F240" t="s">
        <v>6467</v>
      </c>
      <c r="G240" t="s">
        <v>5423</v>
      </c>
      <c r="H240" t="s">
        <v>2732</v>
      </c>
      <c r="I240" t="s">
        <v>5977</v>
      </c>
      <c r="J240" t="s">
        <v>5981</v>
      </c>
      <c r="K240" t="s">
        <v>6011</v>
      </c>
      <c r="L240" t="s">
        <v>5976</v>
      </c>
      <c r="M240" t="s">
        <v>5976</v>
      </c>
      <c r="N240" t="s">
        <v>5976</v>
      </c>
      <c r="O240" t="s">
        <v>5976</v>
      </c>
      <c r="P240" t="s">
        <v>5981</v>
      </c>
    </row>
    <row r="241" spans="1:16" x14ac:dyDescent="0.35">
      <c r="A241" t="s">
        <v>61</v>
      </c>
      <c r="B241" t="s">
        <v>6497</v>
      </c>
      <c r="C241" s="52" t="s">
        <v>643</v>
      </c>
      <c r="D241" t="s">
        <v>6498</v>
      </c>
      <c r="F241" t="s">
        <v>6467</v>
      </c>
      <c r="G241" t="s">
        <v>5423</v>
      </c>
      <c r="H241" t="s">
        <v>2709</v>
      </c>
      <c r="I241" t="s">
        <v>5977</v>
      </c>
      <c r="J241" t="s">
        <v>5981</v>
      </c>
      <c r="K241" t="s">
        <v>5977</v>
      </c>
    </row>
    <row r="242" spans="1:16" x14ac:dyDescent="0.35">
      <c r="A242" t="s">
        <v>61</v>
      </c>
      <c r="B242" t="s">
        <v>6499</v>
      </c>
      <c r="C242" s="52" t="s">
        <v>821</v>
      </c>
      <c r="D242" t="s">
        <v>822</v>
      </c>
      <c r="F242" t="s">
        <v>6467</v>
      </c>
      <c r="G242" t="s">
        <v>5423</v>
      </c>
      <c r="H242" t="s">
        <v>2709</v>
      </c>
      <c r="I242" t="s">
        <v>5996</v>
      </c>
      <c r="J242" t="s">
        <v>5996</v>
      </c>
      <c r="K242" t="s">
        <v>5996</v>
      </c>
      <c r="L242" t="s">
        <v>5976</v>
      </c>
      <c r="M242" t="s">
        <v>5976</v>
      </c>
      <c r="N242" t="s">
        <v>5976</v>
      </c>
      <c r="O242" t="s">
        <v>5976</v>
      </c>
      <c r="P242" t="s">
        <v>5996</v>
      </c>
    </row>
    <row r="243" spans="1:16" x14ac:dyDescent="0.35">
      <c r="A243" t="s">
        <v>61</v>
      </c>
      <c r="B243" t="s">
        <v>6500</v>
      </c>
      <c r="C243" s="52" t="s">
        <v>477</v>
      </c>
      <c r="D243" t="s">
        <v>6501</v>
      </c>
      <c r="E243" t="s">
        <v>6502</v>
      </c>
      <c r="F243" t="s">
        <v>6467</v>
      </c>
      <c r="G243" t="s">
        <v>5423</v>
      </c>
      <c r="H243" t="s">
        <v>2709</v>
      </c>
      <c r="I243" t="s">
        <v>5977</v>
      </c>
      <c r="J243" t="s">
        <v>5977</v>
      </c>
      <c r="K243" t="s">
        <v>5977</v>
      </c>
      <c r="L243">
        <v>46059</v>
      </c>
      <c r="M243">
        <v>46048</v>
      </c>
      <c r="N243">
        <v>46059</v>
      </c>
      <c r="O243">
        <v>1</v>
      </c>
      <c r="P243" t="s">
        <v>5977</v>
      </c>
    </row>
    <row r="244" spans="1:16" x14ac:dyDescent="0.35">
      <c r="A244" t="s">
        <v>61</v>
      </c>
      <c r="B244" t="s">
        <v>6503</v>
      </c>
      <c r="C244" s="52" t="s">
        <v>785</v>
      </c>
      <c r="D244" t="s">
        <v>6504</v>
      </c>
      <c r="E244" t="s">
        <v>6492</v>
      </c>
      <c r="F244" t="s">
        <v>6467</v>
      </c>
      <c r="G244" t="s">
        <v>5423</v>
      </c>
      <c r="H244" t="s">
        <v>2709</v>
      </c>
      <c r="I244" t="s">
        <v>5977</v>
      </c>
      <c r="J244" t="s">
        <v>5977</v>
      </c>
      <c r="K244" t="s">
        <v>5977</v>
      </c>
      <c r="N244" t="s">
        <v>5976</v>
      </c>
      <c r="O244" t="s">
        <v>5976</v>
      </c>
      <c r="P244" t="s">
        <v>6011</v>
      </c>
    </row>
    <row r="245" spans="1:16" x14ac:dyDescent="0.35">
      <c r="A245" t="s">
        <v>61</v>
      </c>
      <c r="B245" t="s">
        <v>6505</v>
      </c>
      <c r="C245" s="52" t="s">
        <v>1386</v>
      </c>
      <c r="D245" t="s">
        <v>6506</v>
      </c>
      <c r="F245" t="s">
        <v>6467</v>
      </c>
      <c r="G245" t="s">
        <v>5423</v>
      </c>
      <c r="H245" t="s">
        <v>2709</v>
      </c>
      <c r="I245" t="s">
        <v>5977</v>
      </c>
      <c r="J245" t="s">
        <v>5981</v>
      </c>
      <c r="K245" t="s">
        <v>5977</v>
      </c>
      <c r="L245">
        <v>46063</v>
      </c>
      <c r="M245">
        <v>46053</v>
      </c>
      <c r="N245">
        <v>46059</v>
      </c>
      <c r="O245">
        <v>1</v>
      </c>
      <c r="P245" t="s">
        <v>5977</v>
      </c>
    </row>
    <row r="246" spans="1:16" x14ac:dyDescent="0.35">
      <c r="A246" t="s">
        <v>61</v>
      </c>
      <c r="B246" t="s">
        <v>6507</v>
      </c>
      <c r="C246" s="52" t="s">
        <v>1479</v>
      </c>
      <c r="D246" t="s">
        <v>6508</v>
      </c>
      <c r="F246" t="s">
        <v>6467</v>
      </c>
      <c r="G246" t="s">
        <v>5423</v>
      </c>
      <c r="H246" t="s">
        <v>2709</v>
      </c>
      <c r="I246" t="s">
        <v>5977</v>
      </c>
      <c r="J246" t="s">
        <v>5981</v>
      </c>
      <c r="K246" t="s">
        <v>5977</v>
      </c>
      <c r="L246">
        <v>46093</v>
      </c>
      <c r="M246">
        <v>46085</v>
      </c>
      <c r="N246">
        <v>46093</v>
      </c>
      <c r="O246">
        <v>1</v>
      </c>
      <c r="P246" t="s">
        <v>5977</v>
      </c>
    </row>
    <row r="247" spans="1:16" x14ac:dyDescent="0.35">
      <c r="A247" t="s">
        <v>61</v>
      </c>
      <c r="B247" t="s">
        <v>6509</v>
      </c>
      <c r="C247" s="52" t="s">
        <v>1151</v>
      </c>
      <c r="D247" t="s">
        <v>6510</v>
      </c>
      <c r="F247" t="s">
        <v>6467</v>
      </c>
      <c r="G247" t="s">
        <v>5423</v>
      </c>
      <c r="H247" t="s">
        <v>2709</v>
      </c>
      <c r="I247" t="s">
        <v>5977</v>
      </c>
      <c r="J247" t="s">
        <v>5977</v>
      </c>
      <c r="K247" t="s">
        <v>5977</v>
      </c>
      <c r="L247">
        <v>46066</v>
      </c>
      <c r="M247">
        <v>46060</v>
      </c>
      <c r="N247">
        <v>46066</v>
      </c>
      <c r="O247">
        <v>1</v>
      </c>
      <c r="P247" t="s">
        <v>5977</v>
      </c>
    </row>
    <row r="248" spans="1:16" x14ac:dyDescent="0.35">
      <c r="A248" t="s">
        <v>61</v>
      </c>
      <c r="B248" t="s">
        <v>6511</v>
      </c>
      <c r="C248" s="52" t="s">
        <v>459</v>
      </c>
      <c r="D248" t="s">
        <v>6512</v>
      </c>
      <c r="E248" t="s">
        <v>6492</v>
      </c>
      <c r="F248" t="s">
        <v>6467</v>
      </c>
      <c r="G248" t="s">
        <v>5423</v>
      </c>
      <c r="H248" t="s">
        <v>2709</v>
      </c>
      <c r="I248" t="s">
        <v>5977</v>
      </c>
      <c r="J248" t="s">
        <v>5977</v>
      </c>
      <c r="K248" t="s">
        <v>5977</v>
      </c>
      <c r="N248" t="s">
        <v>5976</v>
      </c>
      <c r="O248" t="s">
        <v>5976</v>
      </c>
      <c r="P248" t="s">
        <v>6011</v>
      </c>
    </row>
    <row r="249" spans="1:16" x14ac:dyDescent="0.35">
      <c r="A249" t="s">
        <v>61</v>
      </c>
      <c r="B249" t="s">
        <v>6513</v>
      </c>
      <c r="C249" s="52" t="s">
        <v>659</v>
      </c>
      <c r="D249" t="s">
        <v>6514</v>
      </c>
      <c r="E249" t="s">
        <v>6502</v>
      </c>
      <c r="F249" t="s">
        <v>6467</v>
      </c>
      <c r="G249" t="s">
        <v>5423</v>
      </c>
      <c r="H249" t="s">
        <v>2709</v>
      </c>
      <c r="I249" t="s">
        <v>5977</v>
      </c>
      <c r="J249" t="s">
        <v>5977</v>
      </c>
      <c r="K249" t="s">
        <v>5977</v>
      </c>
      <c r="L249">
        <v>46060</v>
      </c>
      <c r="M249">
        <v>46046</v>
      </c>
      <c r="N249">
        <v>46060</v>
      </c>
      <c r="O249">
        <v>1</v>
      </c>
      <c r="P249" t="s">
        <v>5977</v>
      </c>
    </row>
    <row r="250" spans="1:16" x14ac:dyDescent="0.35">
      <c r="A250" t="s">
        <v>61</v>
      </c>
      <c r="B250" t="s">
        <v>6515</v>
      </c>
      <c r="C250" s="52" t="s">
        <v>867</v>
      </c>
      <c r="D250" t="s">
        <v>6516</v>
      </c>
      <c r="E250" t="s">
        <v>6492</v>
      </c>
      <c r="F250" t="s">
        <v>6467</v>
      </c>
      <c r="G250" t="s">
        <v>5423</v>
      </c>
      <c r="H250" t="s">
        <v>2709</v>
      </c>
      <c r="I250" t="s">
        <v>5977</v>
      </c>
      <c r="J250" t="s">
        <v>5977</v>
      </c>
      <c r="K250" t="s">
        <v>5977</v>
      </c>
      <c r="N250" t="s">
        <v>5976</v>
      </c>
      <c r="O250" t="s">
        <v>5976</v>
      </c>
      <c r="P250" t="s">
        <v>6011</v>
      </c>
    </row>
    <row r="251" spans="1:16" x14ac:dyDescent="0.35">
      <c r="A251" t="s">
        <v>61</v>
      </c>
      <c r="B251" t="s">
        <v>6517</v>
      </c>
      <c r="C251" s="52" t="s">
        <v>997</v>
      </c>
      <c r="D251" t="s">
        <v>6518</v>
      </c>
      <c r="F251" t="s">
        <v>6467</v>
      </c>
      <c r="G251" t="s">
        <v>5423</v>
      </c>
      <c r="H251" t="s">
        <v>2709</v>
      </c>
      <c r="I251" t="s">
        <v>5977</v>
      </c>
      <c r="J251" t="s">
        <v>5981</v>
      </c>
      <c r="K251" t="s">
        <v>6011</v>
      </c>
      <c r="L251" t="s">
        <v>5976</v>
      </c>
      <c r="M251" t="s">
        <v>5976</v>
      </c>
      <c r="N251" t="s">
        <v>5976</v>
      </c>
      <c r="O251" t="s">
        <v>5976</v>
      </c>
      <c r="P251" t="s">
        <v>5981</v>
      </c>
    </row>
    <row r="252" spans="1:16" x14ac:dyDescent="0.35">
      <c r="A252" t="s">
        <v>61</v>
      </c>
      <c r="B252" t="s">
        <v>6519</v>
      </c>
      <c r="C252" s="52" t="s">
        <v>1120</v>
      </c>
      <c r="D252" t="s">
        <v>6520</v>
      </c>
      <c r="E252" t="s">
        <v>6492</v>
      </c>
      <c r="F252" t="s">
        <v>6467</v>
      </c>
      <c r="G252" t="s">
        <v>5423</v>
      </c>
      <c r="H252" t="s">
        <v>2709</v>
      </c>
      <c r="I252" t="s">
        <v>5977</v>
      </c>
      <c r="J252" t="s">
        <v>5977</v>
      </c>
      <c r="K252" t="s">
        <v>5977</v>
      </c>
      <c r="P252" t="s">
        <v>6011</v>
      </c>
    </row>
    <row r="253" spans="1:16" x14ac:dyDescent="0.35">
      <c r="A253" t="s">
        <v>61</v>
      </c>
      <c r="B253" t="s">
        <v>6521</v>
      </c>
      <c r="C253" s="52" t="s">
        <v>1264</v>
      </c>
      <c r="D253" t="s">
        <v>6522</v>
      </c>
      <c r="F253" t="s">
        <v>6467</v>
      </c>
      <c r="G253" t="s">
        <v>5423</v>
      </c>
      <c r="H253" t="s">
        <v>2709</v>
      </c>
      <c r="I253" t="s">
        <v>5977</v>
      </c>
      <c r="J253" t="s">
        <v>5981</v>
      </c>
      <c r="K253" t="s">
        <v>5977</v>
      </c>
      <c r="L253">
        <v>46091</v>
      </c>
      <c r="M253">
        <v>46081</v>
      </c>
      <c r="N253">
        <v>46091</v>
      </c>
      <c r="O253">
        <v>1</v>
      </c>
      <c r="P253" t="s">
        <v>5977</v>
      </c>
    </row>
    <row r="254" spans="1:16" x14ac:dyDescent="0.35">
      <c r="A254" t="s">
        <v>61</v>
      </c>
      <c r="B254" t="s">
        <v>6523</v>
      </c>
      <c r="C254" s="52" t="s">
        <v>1247</v>
      </c>
      <c r="D254" t="s">
        <v>6524</v>
      </c>
      <c r="E254" t="s">
        <v>6502</v>
      </c>
      <c r="F254" t="s">
        <v>6467</v>
      </c>
      <c r="G254" t="s">
        <v>5423</v>
      </c>
      <c r="H254" t="s">
        <v>2709</v>
      </c>
      <c r="I254" t="s">
        <v>5977</v>
      </c>
      <c r="J254" t="s">
        <v>5977</v>
      </c>
      <c r="K254" t="s">
        <v>5977</v>
      </c>
      <c r="L254">
        <v>46062</v>
      </c>
      <c r="M254">
        <v>46043</v>
      </c>
      <c r="N254">
        <v>46061</v>
      </c>
      <c r="O254">
        <v>1</v>
      </c>
      <c r="P254" t="s">
        <v>5977</v>
      </c>
    </row>
    <row r="255" spans="1:16" x14ac:dyDescent="0.35">
      <c r="A255" t="s">
        <v>61</v>
      </c>
      <c r="B255" t="s">
        <v>6525</v>
      </c>
      <c r="C255" s="52" t="s">
        <v>452</v>
      </c>
      <c r="D255" t="s">
        <v>6526</v>
      </c>
      <c r="E255" t="s">
        <v>6470</v>
      </c>
      <c r="F255" t="s">
        <v>6467</v>
      </c>
      <c r="G255" t="s">
        <v>5423</v>
      </c>
      <c r="H255" t="s">
        <v>2709</v>
      </c>
      <c r="I255" t="s">
        <v>5977</v>
      </c>
      <c r="J255" t="s">
        <v>5981</v>
      </c>
      <c r="K255" t="s">
        <v>5981</v>
      </c>
      <c r="L255">
        <v>46137</v>
      </c>
      <c r="M255" t="s">
        <v>5976</v>
      </c>
      <c r="N255" t="s">
        <v>5976</v>
      </c>
      <c r="O255" t="s">
        <v>5976</v>
      </c>
      <c r="P255" t="s">
        <v>5981</v>
      </c>
    </row>
    <row r="256" spans="1:16" x14ac:dyDescent="0.35">
      <c r="A256" t="s">
        <v>61</v>
      </c>
      <c r="B256" t="s">
        <v>6527</v>
      </c>
      <c r="C256" s="52" t="s">
        <v>874</v>
      </c>
      <c r="D256" t="s">
        <v>831</v>
      </c>
      <c r="E256" t="s">
        <v>6470</v>
      </c>
      <c r="F256" t="s">
        <v>6467</v>
      </c>
      <c r="G256" t="s">
        <v>5423</v>
      </c>
      <c r="H256" t="s">
        <v>2709</v>
      </c>
      <c r="I256" t="s">
        <v>6011</v>
      </c>
      <c r="J256" t="s">
        <v>5981</v>
      </c>
      <c r="K256" t="s">
        <v>5981</v>
      </c>
      <c r="L256">
        <v>46137</v>
      </c>
      <c r="M256" t="s">
        <v>5976</v>
      </c>
      <c r="N256" t="s">
        <v>5976</v>
      </c>
      <c r="O256" t="s">
        <v>5976</v>
      </c>
      <c r="P256" t="s">
        <v>5981</v>
      </c>
    </row>
    <row r="257" spans="1:16" x14ac:dyDescent="0.35">
      <c r="A257" t="s">
        <v>61</v>
      </c>
      <c r="B257" t="s">
        <v>6528</v>
      </c>
      <c r="C257" s="52" t="s">
        <v>516</v>
      </c>
      <c r="D257" t="s">
        <v>6529</v>
      </c>
      <c r="E257" t="s">
        <v>6470</v>
      </c>
      <c r="F257" t="s">
        <v>6467</v>
      </c>
      <c r="G257" t="s">
        <v>5423</v>
      </c>
      <c r="H257" t="s">
        <v>2732</v>
      </c>
      <c r="I257" t="s">
        <v>5977</v>
      </c>
      <c r="J257" t="s">
        <v>5981</v>
      </c>
      <c r="K257" t="s">
        <v>5981</v>
      </c>
      <c r="L257">
        <v>46137</v>
      </c>
      <c r="M257" t="s">
        <v>5976</v>
      </c>
      <c r="N257" t="s">
        <v>5976</v>
      </c>
      <c r="O257" t="s">
        <v>5976</v>
      </c>
      <c r="P257" t="s">
        <v>5981</v>
      </c>
    </row>
    <row r="258" spans="1:16" x14ac:dyDescent="0.35">
      <c r="A258" t="s">
        <v>61</v>
      </c>
      <c r="B258" t="s">
        <v>6530</v>
      </c>
      <c r="C258" s="52" t="s">
        <v>591</v>
      </c>
      <c r="D258" t="s">
        <v>6531</v>
      </c>
      <c r="E258" t="s">
        <v>6470</v>
      </c>
      <c r="F258" t="s">
        <v>6467</v>
      </c>
      <c r="G258" t="s">
        <v>5423</v>
      </c>
      <c r="H258" t="s">
        <v>2732</v>
      </c>
      <c r="I258" t="s">
        <v>6011</v>
      </c>
      <c r="J258" t="s">
        <v>5981</v>
      </c>
      <c r="K258" t="s">
        <v>5981</v>
      </c>
      <c r="L258">
        <v>46137</v>
      </c>
      <c r="M258" t="s">
        <v>5976</v>
      </c>
      <c r="N258" t="s">
        <v>5976</v>
      </c>
      <c r="O258" t="s">
        <v>5976</v>
      </c>
      <c r="P258" t="s">
        <v>5981</v>
      </c>
    </row>
    <row r="259" spans="1:16" x14ac:dyDescent="0.35">
      <c r="A259" t="s">
        <v>5974</v>
      </c>
      <c r="B259" t="s">
        <v>6532</v>
      </c>
      <c r="C259" s="52" t="s">
        <v>363</v>
      </c>
      <c r="D259" t="s">
        <v>364</v>
      </c>
      <c r="E259" t="s">
        <v>6470</v>
      </c>
      <c r="F259" t="s">
        <v>6467</v>
      </c>
      <c r="G259" t="s">
        <v>5423</v>
      </c>
      <c r="H259" t="s">
        <v>2732</v>
      </c>
      <c r="I259" t="s">
        <v>6011</v>
      </c>
      <c r="J259" t="s">
        <v>5977</v>
      </c>
      <c r="K259" t="s">
        <v>5980</v>
      </c>
      <c r="L259">
        <v>46137</v>
      </c>
      <c r="M259" t="s">
        <v>5976</v>
      </c>
      <c r="N259" t="s">
        <v>5976</v>
      </c>
      <c r="O259" t="s">
        <v>5976</v>
      </c>
      <c r="P259" t="s">
        <v>5981</v>
      </c>
    </row>
    <row r="260" spans="1:16" x14ac:dyDescent="0.35">
      <c r="A260" t="s">
        <v>5974</v>
      </c>
      <c r="B260" t="s">
        <v>6533</v>
      </c>
      <c r="C260" s="52" t="s">
        <v>80</v>
      </c>
      <c r="D260" t="s">
        <v>6534</v>
      </c>
      <c r="E260" t="s">
        <v>6470</v>
      </c>
      <c r="F260" t="s">
        <v>6467</v>
      </c>
      <c r="G260" t="s">
        <v>5423</v>
      </c>
      <c r="H260" t="s">
        <v>2732</v>
      </c>
      <c r="I260" t="s">
        <v>6011</v>
      </c>
      <c r="J260" t="s">
        <v>5981</v>
      </c>
      <c r="K260" t="s">
        <v>5980</v>
      </c>
      <c r="L260">
        <v>46137</v>
      </c>
      <c r="M260" t="s">
        <v>5976</v>
      </c>
      <c r="N260" t="s">
        <v>5976</v>
      </c>
      <c r="O260" t="s">
        <v>5976</v>
      </c>
      <c r="P260" t="s">
        <v>5981</v>
      </c>
    </row>
    <row r="261" spans="1:16" x14ac:dyDescent="0.35">
      <c r="A261" t="s">
        <v>61</v>
      </c>
      <c r="B261" t="s">
        <v>6266</v>
      </c>
      <c r="C261" s="52" t="s">
        <v>5976</v>
      </c>
      <c r="D261" t="s">
        <v>6535</v>
      </c>
      <c r="F261" t="s">
        <v>6467</v>
      </c>
      <c r="G261" t="s">
        <v>2716</v>
      </c>
      <c r="H261" t="s">
        <v>2709</v>
      </c>
      <c r="I261" t="s">
        <v>5996</v>
      </c>
      <c r="J261" t="s">
        <v>5996</v>
      </c>
      <c r="K261" t="s">
        <v>5996</v>
      </c>
      <c r="L261" t="s">
        <v>5976</v>
      </c>
      <c r="M261" t="s">
        <v>5976</v>
      </c>
      <c r="N261" t="s">
        <v>5976</v>
      </c>
      <c r="O261" t="s">
        <v>5976</v>
      </c>
      <c r="P261" t="s">
        <v>5996</v>
      </c>
    </row>
    <row r="262" spans="1:16" x14ac:dyDescent="0.35">
      <c r="A262" t="s">
        <v>61</v>
      </c>
      <c r="B262" t="s">
        <v>6345</v>
      </c>
      <c r="C262" s="52" t="s">
        <v>2261</v>
      </c>
      <c r="D262" t="s">
        <v>6536</v>
      </c>
      <c r="F262" t="s">
        <v>6467</v>
      </c>
      <c r="G262" t="s">
        <v>2716</v>
      </c>
      <c r="H262" t="s">
        <v>2709</v>
      </c>
      <c r="I262" t="s">
        <v>5977</v>
      </c>
      <c r="J262" t="s">
        <v>5977</v>
      </c>
      <c r="K262" t="s">
        <v>5977</v>
      </c>
      <c r="L262">
        <v>46123</v>
      </c>
      <c r="M262">
        <v>46083</v>
      </c>
      <c r="N262" t="s">
        <v>5976</v>
      </c>
      <c r="O262">
        <v>0.4</v>
      </c>
      <c r="P262" t="s">
        <v>6011</v>
      </c>
    </row>
    <row r="263" spans="1:16" x14ac:dyDescent="0.35">
      <c r="A263" t="s">
        <v>5974</v>
      </c>
      <c r="B263" t="s">
        <v>6349</v>
      </c>
      <c r="C263" s="52" t="s">
        <v>2255</v>
      </c>
      <c r="D263" t="s">
        <v>6537</v>
      </c>
      <c r="F263" t="s">
        <v>6467</v>
      </c>
      <c r="G263" t="s">
        <v>2716</v>
      </c>
      <c r="H263" t="s">
        <v>2732</v>
      </c>
      <c r="I263" t="s">
        <v>5996</v>
      </c>
      <c r="J263" t="s">
        <v>5981</v>
      </c>
      <c r="K263" t="s">
        <v>5981</v>
      </c>
      <c r="L263" t="s">
        <v>5976</v>
      </c>
      <c r="M263" t="s">
        <v>5976</v>
      </c>
      <c r="N263" t="s">
        <v>5976</v>
      </c>
      <c r="O263" t="s">
        <v>5976</v>
      </c>
      <c r="P263" t="s">
        <v>5996</v>
      </c>
    </row>
    <row r="264" spans="1:16" x14ac:dyDescent="0.35">
      <c r="A264" t="s">
        <v>61</v>
      </c>
      <c r="B264" t="s">
        <v>6351</v>
      </c>
      <c r="C264" s="52" t="s">
        <v>913</v>
      </c>
      <c r="D264" t="s">
        <v>6538</v>
      </c>
      <c r="E264" t="s">
        <v>6090</v>
      </c>
      <c r="F264" t="s">
        <v>6467</v>
      </c>
      <c r="G264" t="s">
        <v>5423</v>
      </c>
      <c r="H264" t="s">
        <v>2732</v>
      </c>
      <c r="I264" t="s">
        <v>5977</v>
      </c>
      <c r="J264" t="s">
        <v>5981</v>
      </c>
      <c r="K264" t="s">
        <v>6011</v>
      </c>
      <c r="L264" t="s">
        <v>5976</v>
      </c>
      <c r="M264" t="s">
        <v>5976</v>
      </c>
      <c r="N264" t="s">
        <v>5976</v>
      </c>
      <c r="O264" t="s">
        <v>5976</v>
      </c>
      <c r="P264" t="s">
        <v>5981</v>
      </c>
    </row>
    <row r="265" spans="1:16" x14ac:dyDescent="0.35">
      <c r="A265" t="s">
        <v>5974</v>
      </c>
      <c r="B265" t="s">
        <v>5987</v>
      </c>
      <c r="C265" s="52" t="s">
        <v>2265</v>
      </c>
      <c r="D265" t="s">
        <v>6539</v>
      </c>
      <c r="F265" t="s">
        <v>6467</v>
      </c>
      <c r="G265" t="s">
        <v>2716</v>
      </c>
      <c r="H265" t="s">
        <v>2810</v>
      </c>
      <c r="I265" t="s">
        <v>6011</v>
      </c>
      <c r="J265" t="s">
        <v>5981</v>
      </c>
      <c r="K265" t="s">
        <v>5981</v>
      </c>
      <c r="L265">
        <v>46157</v>
      </c>
      <c r="M265" t="s">
        <v>5976</v>
      </c>
      <c r="N265" t="s">
        <v>5976</v>
      </c>
      <c r="O265" t="s">
        <v>5976</v>
      </c>
      <c r="P265" t="s">
        <v>5981</v>
      </c>
    </row>
    <row r="266" spans="1:16" x14ac:dyDescent="0.35">
      <c r="A266" t="s">
        <v>5974</v>
      </c>
      <c r="B266" t="s">
        <v>6354</v>
      </c>
      <c r="C266" s="52" t="s">
        <v>2259</v>
      </c>
      <c r="D266" t="s">
        <v>6540</v>
      </c>
      <c r="F266" t="s">
        <v>6467</v>
      </c>
      <c r="G266" t="s">
        <v>2716</v>
      </c>
      <c r="H266" t="s">
        <v>2732</v>
      </c>
      <c r="I266" t="s">
        <v>6011</v>
      </c>
      <c r="J266" t="s">
        <v>5981</v>
      </c>
      <c r="K266" t="s">
        <v>5981</v>
      </c>
      <c r="L266">
        <v>46216</v>
      </c>
      <c r="M266" t="s">
        <v>5976</v>
      </c>
      <c r="N266" t="s">
        <v>5976</v>
      </c>
      <c r="O266" t="s">
        <v>5976</v>
      </c>
      <c r="P266" t="s">
        <v>5981</v>
      </c>
    </row>
    <row r="267" spans="1:16" x14ac:dyDescent="0.35">
      <c r="A267" t="s">
        <v>5974</v>
      </c>
      <c r="B267" t="s">
        <v>6356</v>
      </c>
      <c r="C267" s="52" t="s">
        <v>2239</v>
      </c>
      <c r="D267" t="s">
        <v>6541</v>
      </c>
      <c r="F267" t="s">
        <v>6467</v>
      </c>
      <c r="G267" t="s">
        <v>2716</v>
      </c>
      <c r="H267" t="s">
        <v>2732</v>
      </c>
      <c r="I267" t="s">
        <v>6011</v>
      </c>
      <c r="J267" t="s">
        <v>6011</v>
      </c>
      <c r="K267" t="s">
        <v>5981</v>
      </c>
      <c r="L267">
        <v>46244</v>
      </c>
      <c r="M267" t="s">
        <v>5976</v>
      </c>
      <c r="N267" t="s">
        <v>5976</v>
      </c>
      <c r="O267" t="s">
        <v>5976</v>
      </c>
      <c r="P267" t="s">
        <v>5981</v>
      </c>
    </row>
    <row r="268" spans="1:16" x14ac:dyDescent="0.35">
      <c r="A268" t="s">
        <v>61</v>
      </c>
      <c r="B268" t="s">
        <v>6511</v>
      </c>
      <c r="C268" s="52" t="s">
        <v>459</v>
      </c>
      <c r="D268" t="s">
        <v>6542</v>
      </c>
      <c r="E268" t="s">
        <v>6543</v>
      </c>
      <c r="F268" t="s">
        <v>6467</v>
      </c>
      <c r="G268" t="s">
        <v>5423</v>
      </c>
      <c r="H268" t="s">
        <v>2709</v>
      </c>
      <c r="I268" t="s">
        <v>5980</v>
      </c>
      <c r="J268" t="s">
        <v>5981</v>
      </c>
      <c r="K268" t="s">
        <v>5981</v>
      </c>
      <c r="L268" t="s">
        <v>5976</v>
      </c>
      <c r="M268" t="s">
        <v>5976</v>
      </c>
      <c r="N268" t="s">
        <v>5976</v>
      </c>
      <c r="O268" t="s">
        <v>5976</v>
      </c>
      <c r="P268" t="s">
        <v>5981</v>
      </c>
    </row>
    <row r="269" spans="1:16" x14ac:dyDescent="0.35">
      <c r="A269" t="s">
        <v>61</v>
      </c>
      <c r="B269" t="s">
        <v>6425</v>
      </c>
      <c r="C269" s="52" t="s">
        <v>769</v>
      </c>
      <c r="D269" t="s">
        <v>6544</v>
      </c>
      <c r="E269" t="s">
        <v>6543</v>
      </c>
      <c r="F269" t="s">
        <v>6467</v>
      </c>
      <c r="G269" t="s">
        <v>5423</v>
      </c>
      <c r="H269" t="s">
        <v>2709</v>
      </c>
      <c r="I269" t="s">
        <v>5981</v>
      </c>
      <c r="J269" t="s">
        <v>5981</v>
      </c>
      <c r="K269" t="s">
        <v>5981</v>
      </c>
      <c r="L269" t="s">
        <v>5976</v>
      </c>
      <c r="M269" t="s">
        <v>5976</v>
      </c>
      <c r="N269" t="s">
        <v>5976</v>
      </c>
      <c r="O269" t="s">
        <v>5976</v>
      </c>
      <c r="P269" t="s">
        <v>5981</v>
      </c>
    </row>
    <row r="270" spans="1:16" x14ac:dyDescent="0.35">
      <c r="A270" t="s">
        <v>61</v>
      </c>
      <c r="B270" t="s">
        <v>6513</v>
      </c>
      <c r="C270" s="52" t="s">
        <v>659</v>
      </c>
      <c r="D270" t="s">
        <v>6545</v>
      </c>
      <c r="E270" t="s">
        <v>6543</v>
      </c>
      <c r="F270" t="s">
        <v>6467</v>
      </c>
      <c r="G270" t="s">
        <v>5423</v>
      </c>
      <c r="H270" t="s">
        <v>2709</v>
      </c>
      <c r="I270" t="s">
        <v>6011</v>
      </c>
      <c r="J270" t="s">
        <v>5981</v>
      </c>
      <c r="K270" t="s">
        <v>5981</v>
      </c>
      <c r="L270" t="s">
        <v>5976</v>
      </c>
      <c r="M270" t="s">
        <v>5976</v>
      </c>
      <c r="N270" t="s">
        <v>5976</v>
      </c>
      <c r="O270" t="s">
        <v>5976</v>
      </c>
      <c r="P270" t="s">
        <v>5981</v>
      </c>
    </row>
    <row r="271" spans="1:16" x14ac:dyDescent="0.35">
      <c r="A271" t="s">
        <v>61</v>
      </c>
      <c r="B271" t="s">
        <v>6500</v>
      </c>
      <c r="C271" s="52" t="s">
        <v>477</v>
      </c>
      <c r="D271" t="s">
        <v>6546</v>
      </c>
      <c r="E271" t="s">
        <v>6543</v>
      </c>
      <c r="F271" t="s">
        <v>6467</v>
      </c>
      <c r="G271" t="s">
        <v>5423</v>
      </c>
      <c r="H271" t="s">
        <v>2709</v>
      </c>
      <c r="I271" t="s">
        <v>6011</v>
      </c>
      <c r="J271" t="s">
        <v>5981</v>
      </c>
      <c r="K271" t="s">
        <v>5981</v>
      </c>
      <c r="L271" t="s">
        <v>5976</v>
      </c>
      <c r="M271" t="s">
        <v>5976</v>
      </c>
      <c r="N271" t="s">
        <v>5976</v>
      </c>
      <c r="O271" t="s">
        <v>5976</v>
      </c>
      <c r="P271" t="s">
        <v>5981</v>
      </c>
    </row>
    <row r="272" spans="1:16" x14ac:dyDescent="0.35">
      <c r="A272" t="s">
        <v>5974</v>
      </c>
      <c r="B272" t="s">
        <v>5976</v>
      </c>
      <c r="C272" s="52"/>
      <c r="D272" t="s">
        <v>6547</v>
      </c>
      <c r="F272" t="s">
        <v>34</v>
      </c>
      <c r="G272" t="s">
        <v>2716</v>
      </c>
      <c r="H272" t="s">
        <v>5976</v>
      </c>
      <c r="J272" t="s">
        <v>5976</v>
      </c>
      <c r="K272" t="s">
        <v>5981</v>
      </c>
      <c r="L272">
        <v>46222</v>
      </c>
      <c r="M272" t="s">
        <v>5976</v>
      </c>
      <c r="N272" t="s">
        <v>5976</v>
      </c>
      <c r="O272" t="s">
        <v>5976</v>
      </c>
    </row>
    <row r="273" spans="1:16" x14ac:dyDescent="0.35">
      <c r="A273" t="s">
        <v>61</v>
      </c>
      <c r="B273" t="s">
        <v>5976</v>
      </c>
      <c r="C273" s="52"/>
      <c r="D273" t="s">
        <v>6548</v>
      </c>
      <c r="F273" t="s">
        <v>34</v>
      </c>
      <c r="H273" t="s">
        <v>5976</v>
      </c>
      <c r="I273" t="s">
        <v>5976</v>
      </c>
      <c r="J273" t="s">
        <v>5976</v>
      </c>
      <c r="K273" t="s">
        <v>5976</v>
      </c>
      <c r="L273" t="s">
        <v>5976</v>
      </c>
      <c r="M273" t="s">
        <v>5976</v>
      </c>
      <c r="N273" t="s">
        <v>5976</v>
      </c>
      <c r="O273" t="s">
        <v>5976</v>
      </c>
    </row>
    <row r="274" spans="1:16" x14ac:dyDescent="0.35">
      <c r="A274" t="s">
        <v>61</v>
      </c>
      <c r="B274" t="s">
        <v>6297</v>
      </c>
      <c r="C274" s="52" t="s">
        <v>2402</v>
      </c>
      <c r="D274" t="s">
        <v>6549</v>
      </c>
      <c r="E274" t="s">
        <v>5976</v>
      </c>
      <c r="F274" t="s">
        <v>2772</v>
      </c>
      <c r="G274" t="s">
        <v>2716</v>
      </c>
      <c r="H274" t="s">
        <v>2732</v>
      </c>
      <c r="I274" t="s">
        <v>5977</v>
      </c>
      <c r="J274" t="s">
        <v>5977</v>
      </c>
      <c r="K274" t="s">
        <v>5977</v>
      </c>
      <c r="L274">
        <v>46139</v>
      </c>
      <c r="M274">
        <v>46094</v>
      </c>
      <c r="N274" t="s">
        <v>5976</v>
      </c>
      <c r="O274">
        <v>0.05</v>
      </c>
      <c r="P274" t="s">
        <v>6011</v>
      </c>
    </row>
    <row r="275" spans="1:16" x14ac:dyDescent="0.35">
      <c r="A275" t="s">
        <v>5974</v>
      </c>
      <c r="B275" t="s">
        <v>6366</v>
      </c>
      <c r="C275" s="52" t="s">
        <v>2160</v>
      </c>
      <c r="D275" t="s">
        <v>5931</v>
      </c>
      <c r="E275" t="s">
        <v>2833</v>
      </c>
      <c r="F275" t="s">
        <v>2772</v>
      </c>
      <c r="G275" t="s">
        <v>1794</v>
      </c>
      <c r="H275" t="s">
        <v>2709</v>
      </c>
      <c r="I275" t="s">
        <v>5977</v>
      </c>
      <c r="J275" t="s">
        <v>5977</v>
      </c>
      <c r="K275" t="s">
        <v>5977</v>
      </c>
      <c r="L275">
        <v>46038</v>
      </c>
      <c r="M275">
        <v>46006</v>
      </c>
      <c r="N275">
        <v>46038</v>
      </c>
      <c r="O275">
        <v>1</v>
      </c>
      <c r="P275" t="s">
        <v>5977</v>
      </c>
    </row>
    <row r="276" spans="1:16" x14ac:dyDescent="0.35">
      <c r="A276" t="s">
        <v>61</v>
      </c>
      <c r="B276" t="s">
        <v>6550</v>
      </c>
      <c r="C276" s="52" t="s">
        <v>6551</v>
      </c>
      <c r="D276" t="s">
        <v>6552</v>
      </c>
      <c r="E276" t="s">
        <v>5976</v>
      </c>
      <c r="F276" t="s">
        <v>2772</v>
      </c>
      <c r="G276" t="s">
        <v>2716</v>
      </c>
      <c r="H276" t="s">
        <v>2732</v>
      </c>
      <c r="I276" t="s">
        <v>6553</v>
      </c>
      <c r="J276" t="s">
        <v>5981</v>
      </c>
      <c r="L276">
        <v>46147</v>
      </c>
      <c r="M276" t="s">
        <v>5976</v>
      </c>
      <c r="O276" t="s">
        <v>5976</v>
      </c>
      <c r="P276" t="s">
        <v>5976</v>
      </c>
    </row>
    <row r="277" spans="1:16" x14ac:dyDescent="0.35">
      <c r="A277" t="s">
        <v>61</v>
      </c>
      <c r="B277" t="s">
        <v>6003</v>
      </c>
      <c r="C277" s="52" t="s">
        <v>756</v>
      </c>
      <c r="D277" t="s">
        <v>6554</v>
      </c>
      <c r="E277" t="s">
        <v>5976</v>
      </c>
      <c r="F277" t="s">
        <v>2772</v>
      </c>
      <c r="G277" t="s">
        <v>5423</v>
      </c>
      <c r="H277" t="s">
        <v>2732</v>
      </c>
      <c r="I277" t="s">
        <v>5977</v>
      </c>
      <c r="J277" t="s">
        <v>5977</v>
      </c>
      <c r="K277" t="s">
        <v>5977</v>
      </c>
      <c r="L277">
        <v>46049</v>
      </c>
      <c r="M277">
        <v>46027</v>
      </c>
      <c r="N277">
        <v>46049</v>
      </c>
      <c r="O277">
        <v>1</v>
      </c>
      <c r="P277" t="s">
        <v>5977</v>
      </c>
    </row>
    <row r="278" spans="1:16" x14ac:dyDescent="0.35">
      <c r="A278" t="s">
        <v>5974</v>
      </c>
      <c r="B278" t="s">
        <v>6006</v>
      </c>
      <c r="C278" s="52" t="s">
        <v>1032</v>
      </c>
      <c r="D278" t="s">
        <v>1033</v>
      </c>
      <c r="E278" t="s">
        <v>6555</v>
      </c>
      <c r="F278" t="s">
        <v>2772</v>
      </c>
      <c r="G278" t="s">
        <v>5423</v>
      </c>
      <c r="H278" t="s">
        <v>2810</v>
      </c>
      <c r="I278" t="s">
        <v>5977</v>
      </c>
      <c r="J278" t="s">
        <v>5977</v>
      </c>
      <c r="L278" t="s">
        <v>5976</v>
      </c>
      <c r="M278" t="s">
        <v>5976</v>
      </c>
      <c r="N278" t="s">
        <v>5976</v>
      </c>
      <c r="O278" t="s">
        <v>5976</v>
      </c>
      <c r="P278" t="s">
        <v>5976</v>
      </c>
    </row>
    <row r="279" spans="1:16" x14ac:dyDescent="0.35">
      <c r="A279" t="s">
        <v>61</v>
      </c>
      <c r="B279" t="s">
        <v>6009</v>
      </c>
      <c r="C279" s="52" t="s">
        <v>2631</v>
      </c>
      <c r="D279" t="s">
        <v>5449</v>
      </c>
      <c r="E279" t="s">
        <v>6556</v>
      </c>
      <c r="F279" t="s">
        <v>2772</v>
      </c>
      <c r="G279" t="s">
        <v>5423</v>
      </c>
      <c r="H279" t="s">
        <v>2732</v>
      </c>
      <c r="I279" t="s">
        <v>5977</v>
      </c>
      <c r="J279" t="s">
        <v>5977</v>
      </c>
      <c r="K279" t="s">
        <v>5977</v>
      </c>
      <c r="L279">
        <v>46121</v>
      </c>
      <c r="M279">
        <v>46101</v>
      </c>
      <c r="N279" t="s">
        <v>5976</v>
      </c>
      <c r="O279">
        <v>0.05</v>
      </c>
      <c r="P279" t="s">
        <v>6011</v>
      </c>
    </row>
    <row r="280" spans="1:16" x14ac:dyDescent="0.35">
      <c r="A280" t="s">
        <v>61</v>
      </c>
      <c r="B280" t="s">
        <v>6013</v>
      </c>
      <c r="C280" s="52" t="s">
        <v>1084</v>
      </c>
      <c r="D280" t="s">
        <v>6557</v>
      </c>
      <c r="E280" t="s">
        <v>5976</v>
      </c>
      <c r="F280" t="s">
        <v>2772</v>
      </c>
      <c r="G280" t="s">
        <v>5423</v>
      </c>
      <c r="H280" t="s">
        <v>2732</v>
      </c>
      <c r="I280" t="s">
        <v>5996</v>
      </c>
      <c r="J280" t="s">
        <v>5981</v>
      </c>
      <c r="K280" t="s">
        <v>5996</v>
      </c>
      <c r="L280">
        <v>46068</v>
      </c>
      <c r="M280">
        <v>46053</v>
      </c>
      <c r="N280">
        <v>46068</v>
      </c>
      <c r="O280">
        <v>1</v>
      </c>
      <c r="P280" t="s">
        <v>5977</v>
      </c>
    </row>
    <row r="281" spans="1:16" x14ac:dyDescent="0.35">
      <c r="A281" t="s">
        <v>5974</v>
      </c>
      <c r="B281" t="s">
        <v>6012</v>
      </c>
      <c r="C281" s="52" t="s">
        <v>424</v>
      </c>
      <c r="D281" t="s">
        <v>425</v>
      </c>
      <c r="E281" t="s">
        <v>5976</v>
      </c>
      <c r="F281" t="s">
        <v>2772</v>
      </c>
      <c r="G281" t="s">
        <v>5423</v>
      </c>
      <c r="H281" t="s">
        <v>2709</v>
      </c>
      <c r="I281" t="s">
        <v>6553</v>
      </c>
      <c r="J281" t="s">
        <v>5977</v>
      </c>
      <c r="K281" t="s">
        <v>5976</v>
      </c>
      <c r="L281" t="s">
        <v>5976</v>
      </c>
      <c r="M281" t="s">
        <v>5976</v>
      </c>
      <c r="N281" t="s">
        <v>5976</v>
      </c>
      <c r="O281" t="s">
        <v>5976</v>
      </c>
      <c r="P281" t="s">
        <v>5976</v>
      </c>
    </row>
    <row r="282" spans="1:16" x14ac:dyDescent="0.35">
      <c r="A282" t="s">
        <v>5974</v>
      </c>
      <c r="B282" t="s">
        <v>6015</v>
      </c>
      <c r="C282" s="52" t="s">
        <v>5338</v>
      </c>
      <c r="D282" t="s">
        <v>5595</v>
      </c>
      <c r="E282" t="s">
        <v>5976</v>
      </c>
      <c r="F282" t="s">
        <v>5976</v>
      </c>
      <c r="G282" t="s">
        <v>2716</v>
      </c>
      <c r="H282" t="s">
        <v>5976</v>
      </c>
      <c r="I282" t="s">
        <v>6553</v>
      </c>
      <c r="J282" t="s">
        <v>5981</v>
      </c>
      <c r="K282" t="s">
        <v>5976</v>
      </c>
      <c r="L282">
        <v>46216</v>
      </c>
      <c r="M282" t="s">
        <v>5976</v>
      </c>
      <c r="N282" t="s">
        <v>5976</v>
      </c>
    </row>
    <row r="283" spans="1:16" x14ac:dyDescent="0.35">
      <c r="A283" t="s">
        <v>5974</v>
      </c>
      <c r="B283" t="s">
        <v>6016</v>
      </c>
      <c r="C283" s="52" t="s">
        <v>2404</v>
      </c>
      <c r="D283" t="s">
        <v>6558</v>
      </c>
      <c r="E283" t="s">
        <v>5976</v>
      </c>
      <c r="F283" t="s">
        <v>5976</v>
      </c>
      <c r="G283" t="s">
        <v>2716</v>
      </c>
      <c r="H283" t="s">
        <v>5976</v>
      </c>
      <c r="I283" t="s">
        <v>6553</v>
      </c>
      <c r="J283" t="s">
        <v>5981</v>
      </c>
      <c r="K283" t="s">
        <v>5976</v>
      </c>
      <c r="L283">
        <v>46244</v>
      </c>
      <c r="M283" t="s">
        <v>5976</v>
      </c>
      <c r="N283" t="s">
        <v>5976</v>
      </c>
      <c r="O283" t="s">
        <v>5976</v>
      </c>
      <c r="P283" t="s">
        <v>5976</v>
      </c>
    </row>
    <row r="284" spans="1:16" x14ac:dyDescent="0.35">
      <c r="A284" t="s">
        <v>5974</v>
      </c>
      <c r="B284" t="s">
        <v>6559</v>
      </c>
      <c r="C284" s="52" t="s">
        <v>1032</v>
      </c>
      <c r="D284" t="s">
        <v>1033</v>
      </c>
      <c r="E284" t="s">
        <v>6560</v>
      </c>
      <c r="F284" t="s">
        <v>2772</v>
      </c>
      <c r="G284" t="s">
        <v>5423</v>
      </c>
      <c r="H284" t="s">
        <v>2810</v>
      </c>
      <c r="I284" t="s">
        <v>5977</v>
      </c>
      <c r="J284" t="s">
        <v>5977</v>
      </c>
      <c r="K284" t="s">
        <v>5977</v>
      </c>
      <c r="L284" t="s">
        <v>5976</v>
      </c>
      <c r="M284" t="s">
        <v>5976</v>
      </c>
      <c r="N284" t="s">
        <v>5976</v>
      </c>
      <c r="O284" t="s">
        <v>5976</v>
      </c>
      <c r="P284" t="s">
        <v>6011</v>
      </c>
    </row>
    <row r="285" spans="1:16" x14ac:dyDescent="0.35">
      <c r="A285" t="s">
        <v>61</v>
      </c>
      <c r="B285" t="s">
        <v>6561</v>
      </c>
      <c r="C285" s="52" t="s">
        <v>1001</v>
      </c>
      <c r="D285" t="s">
        <v>6562</v>
      </c>
      <c r="E285" t="s">
        <v>5976</v>
      </c>
      <c r="F285" t="s">
        <v>5976</v>
      </c>
      <c r="G285" t="s">
        <v>5423</v>
      </c>
      <c r="H285" t="s">
        <v>5976</v>
      </c>
      <c r="I285" t="s">
        <v>6011</v>
      </c>
      <c r="J285" t="s">
        <v>5981</v>
      </c>
      <c r="K285" t="s">
        <v>6011</v>
      </c>
      <c r="L285">
        <v>46112</v>
      </c>
      <c r="M285" t="s">
        <v>5976</v>
      </c>
      <c r="N285" t="s">
        <v>5976</v>
      </c>
      <c r="O285" t="s">
        <v>5976</v>
      </c>
      <c r="P285" t="s">
        <v>5976</v>
      </c>
    </row>
    <row r="286" spans="1:16" x14ac:dyDescent="0.35">
      <c r="A286" t="s">
        <v>61</v>
      </c>
      <c r="B286" t="s">
        <v>6563</v>
      </c>
      <c r="C286" s="52" t="s">
        <v>882</v>
      </c>
      <c r="D286" t="s">
        <v>6564</v>
      </c>
      <c r="E286" t="s">
        <v>6565</v>
      </c>
      <c r="F286" t="s">
        <v>5976</v>
      </c>
      <c r="G286" t="s">
        <v>5423</v>
      </c>
      <c r="H286" t="s">
        <v>5976</v>
      </c>
      <c r="I286" t="s">
        <v>5976</v>
      </c>
      <c r="J286" t="s">
        <v>5981</v>
      </c>
      <c r="K286" t="s">
        <v>5976</v>
      </c>
      <c r="L286" t="s">
        <v>5976</v>
      </c>
      <c r="M286" t="s">
        <v>5976</v>
      </c>
      <c r="N286" t="s">
        <v>5976</v>
      </c>
      <c r="O286" t="s">
        <v>5976</v>
      </c>
      <c r="P286" t="s">
        <v>5976</v>
      </c>
    </row>
    <row r="287" spans="1:16" x14ac:dyDescent="0.35">
      <c r="A287" t="s">
        <v>5974</v>
      </c>
      <c r="B287" t="s">
        <v>6345</v>
      </c>
      <c r="C287" s="52" t="s">
        <v>318</v>
      </c>
      <c r="D287" t="s">
        <v>6566</v>
      </c>
      <c r="E287" t="s">
        <v>5976</v>
      </c>
      <c r="F287" t="s">
        <v>6567</v>
      </c>
      <c r="G287" t="s">
        <v>5423</v>
      </c>
      <c r="H287" t="s">
        <v>5976</v>
      </c>
      <c r="I287" t="s">
        <v>5977</v>
      </c>
      <c r="J287" t="s">
        <v>5977</v>
      </c>
      <c r="K287" t="s">
        <v>5977</v>
      </c>
      <c r="L287">
        <v>46142</v>
      </c>
      <c r="M287" t="s">
        <v>5976</v>
      </c>
      <c r="N287" t="s">
        <v>5976</v>
      </c>
      <c r="P287" t="s">
        <v>6011</v>
      </c>
    </row>
    <row r="288" spans="1:16" x14ac:dyDescent="0.35">
      <c r="A288" t="s">
        <v>5974</v>
      </c>
      <c r="B288" t="s">
        <v>6568</v>
      </c>
      <c r="C288" s="52" t="s">
        <v>67</v>
      </c>
      <c r="D288" t="s">
        <v>6569</v>
      </c>
      <c r="E288" t="s">
        <v>5976</v>
      </c>
      <c r="F288" t="s">
        <v>6570</v>
      </c>
      <c r="G288" t="s">
        <v>5423</v>
      </c>
      <c r="H288" t="s">
        <v>5976</v>
      </c>
      <c r="I288" t="s">
        <v>5977</v>
      </c>
      <c r="J288" t="s">
        <v>5977</v>
      </c>
      <c r="K288" t="s">
        <v>5977</v>
      </c>
      <c r="L288">
        <v>46057</v>
      </c>
      <c r="M288">
        <v>46027</v>
      </c>
      <c r="N288">
        <v>46049</v>
      </c>
      <c r="O288">
        <v>0.95</v>
      </c>
      <c r="P288" t="s">
        <v>5977</v>
      </c>
    </row>
    <row r="289" spans="1:16" x14ac:dyDescent="0.35">
      <c r="A289" t="s">
        <v>61</v>
      </c>
      <c r="B289" t="s">
        <v>6571</v>
      </c>
      <c r="C289" s="52" t="s">
        <v>2653</v>
      </c>
      <c r="D289" t="s">
        <v>6572</v>
      </c>
      <c r="E289" t="s">
        <v>6573</v>
      </c>
      <c r="F289" t="s">
        <v>2023</v>
      </c>
      <c r="G289" t="s">
        <v>5976</v>
      </c>
      <c r="H289" t="s">
        <v>5976</v>
      </c>
      <c r="I289" t="s">
        <v>5977</v>
      </c>
      <c r="J289" t="s">
        <v>6011</v>
      </c>
      <c r="K289" t="s">
        <v>5977</v>
      </c>
      <c r="L289">
        <v>46136</v>
      </c>
      <c r="M289" t="s">
        <v>5976</v>
      </c>
      <c r="N289" t="s">
        <v>5976</v>
      </c>
      <c r="O289">
        <v>0</v>
      </c>
      <c r="P289" t="s">
        <v>6011</v>
      </c>
    </row>
    <row r="290" spans="1:16" x14ac:dyDescent="0.35">
      <c r="A290" t="s">
        <v>61</v>
      </c>
      <c r="B290" t="s">
        <v>6574</v>
      </c>
      <c r="C290" s="52" t="s">
        <v>1660</v>
      </c>
      <c r="D290" t="s">
        <v>6575</v>
      </c>
      <c r="F290" t="s">
        <v>6570</v>
      </c>
      <c r="G290" t="s">
        <v>5423</v>
      </c>
      <c r="H290" t="s">
        <v>5976</v>
      </c>
      <c r="I290" t="s">
        <v>5977</v>
      </c>
      <c r="J290" t="s">
        <v>5977</v>
      </c>
      <c r="K290" t="s">
        <v>5977</v>
      </c>
      <c r="L290">
        <v>46112</v>
      </c>
      <c r="M290">
        <v>46082</v>
      </c>
      <c r="N290" t="s">
        <v>5976</v>
      </c>
      <c r="O290">
        <v>0.6</v>
      </c>
      <c r="P290" t="s">
        <v>6011</v>
      </c>
    </row>
    <row r="291" spans="1:16" x14ac:dyDescent="0.35">
      <c r="A291" t="s">
        <v>61</v>
      </c>
      <c r="B291" t="s">
        <v>6576</v>
      </c>
      <c r="C291" s="52" t="s">
        <v>2626</v>
      </c>
      <c r="D291" t="s">
        <v>5803</v>
      </c>
      <c r="E291" t="s">
        <v>6577</v>
      </c>
      <c r="F291" t="s">
        <v>229</v>
      </c>
      <c r="G291" t="s">
        <v>1794</v>
      </c>
      <c r="H291" t="s">
        <v>5976</v>
      </c>
      <c r="I291" t="s">
        <v>5977</v>
      </c>
      <c r="J291" t="s">
        <v>6011</v>
      </c>
      <c r="K291" t="s">
        <v>5977</v>
      </c>
      <c r="L291">
        <v>46107</v>
      </c>
      <c r="M291">
        <v>46082</v>
      </c>
      <c r="O291">
        <v>0.6</v>
      </c>
      <c r="P291" t="s">
        <v>6011</v>
      </c>
    </row>
    <row r="292" spans="1:16" x14ac:dyDescent="0.35">
      <c r="A292" t="s">
        <v>61</v>
      </c>
      <c r="B292" t="s">
        <v>6578</v>
      </c>
      <c r="C292" s="52" t="s">
        <v>2291</v>
      </c>
      <c r="D292" t="s">
        <v>6579</v>
      </c>
      <c r="E292" t="s">
        <v>5976</v>
      </c>
      <c r="F292" t="s">
        <v>6580</v>
      </c>
      <c r="G292" t="s">
        <v>2716</v>
      </c>
      <c r="H292" t="s">
        <v>2732</v>
      </c>
      <c r="I292" t="s">
        <v>5977</v>
      </c>
      <c r="J292" t="s">
        <v>5977</v>
      </c>
      <c r="K292" t="s">
        <v>5977</v>
      </c>
      <c r="L292">
        <v>46134</v>
      </c>
      <c r="M292">
        <v>46094</v>
      </c>
      <c r="N292" t="s">
        <v>5976</v>
      </c>
      <c r="O292">
        <v>0.05</v>
      </c>
      <c r="P292" t="s">
        <v>6011</v>
      </c>
    </row>
    <row r="293" spans="1:16" x14ac:dyDescent="0.35">
      <c r="A293" t="s">
        <v>5974</v>
      </c>
      <c r="B293" t="s">
        <v>6581</v>
      </c>
      <c r="C293" s="52" t="s">
        <v>1416</v>
      </c>
      <c r="D293" t="s">
        <v>6582</v>
      </c>
      <c r="E293" t="s">
        <v>6583</v>
      </c>
      <c r="F293" t="s">
        <v>71</v>
      </c>
      <c r="G293" t="s">
        <v>1794</v>
      </c>
      <c r="H293" t="s">
        <v>2709</v>
      </c>
      <c r="I293" t="s">
        <v>5977</v>
      </c>
      <c r="J293" t="s">
        <v>5977</v>
      </c>
      <c r="K293" t="s">
        <v>5977</v>
      </c>
      <c r="L293">
        <v>46049</v>
      </c>
      <c r="M293">
        <v>46029</v>
      </c>
      <c r="N293" t="s">
        <v>5976</v>
      </c>
      <c r="O293">
        <v>1</v>
      </c>
      <c r="P293" t="s">
        <v>5977</v>
      </c>
    </row>
    <row r="294" spans="1:16" x14ac:dyDescent="0.35">
      <c r="A294" t="s">
        <v>5974</v>
      </c>
      <c r="B294" t="s">
        <v>6301</v>
      </c>
      <c r="C294" s="52" t="s">
        <v>1584</v>
      </c>
      <c r="D294" t="s">
        <v>6584</v>
      </c>
      <c r="E294" t="s">
        <v>5976</v>
      </c>
      <c r="F294" t="s">
        <v>6585</v>
      </c>
      <c r="G294" t="s">
        <v>5423</v>
      </c>
      <c r="H294" t="s">
        <v>5976</v>
      </c>
      <c r="I294" t="s">
        <v>5977</v>
      </c>
      <c r="J294" t="s">
        <v>5977</v>
      </c>
      <c r="K294" t="s">
        <v>5977</v>
      </c>
      <c r="L294" t="s">
        <v>5976</v>
      </c>
      <c r="M294" t="s">
        <v>5976</v>
      </c>
      <c r="N294" t="s">
        <v>5976</v>
      </c>
      <c r="O294" t="s">
        <v>5976</v>
      </c>
      <c r="P294" t="s">
        <v>6011</v>
      </c>
    </row>
    <row r="295" spans="1:16" x14ac:dyDescent="0.35">
      <c r="A295" t="s">
        <v>5974</v>
      </c>
      <c r="B295" t="s">
        <v>6304</v>
      </c>
      <c r="C295" s="52" t="s">
        <v>114</v>
      </c>
      <c r="D295" t="s">
        <v>115</v>
      </c>
      <c r="E295" t="s">
        <v>5976</v>
      </c>
      <c r="F295" t="s">
        <v>95</v>
      </c>
      <c r="G295" t="s">
        <v>5423</v>
      </c>
      <c r="H295" t="s">
        <v>5976</v>
      </c>
      <c r="I295" t="s">
        <v>5977</v>
      </c>
      <c r="J295" t="s">
        <v>5977</v>
      </c>
      <c r="K295" t="s">
        <v>5977</v>
      </c>
      <c r="L295">
        <v>46129</v>
      </c>
      <c r="M295" t="s">
        <v>5976</v>
      </c>
      <c r="N295" t="s">
        <v>5976</v>
      </c>
      <c r="P295" t="s">
        <v>6011</v>
      </c>
    </row>
    <row r="296" spans="1:16" x14ac:dyDescent="0.35">
      <c r="A296" t="s">
        <v>61</v>
      </c>
      <c r="B296" t="s">
        <v>6307</v>
      </c>
      <c r="C296" s="52" t="s">
        <v>2178</v>
      </c>
      <c r="D296" t="s">
        <v>6586</v>
      </c>
      <c r="E296" t="s">
        <v>6022</v>
      </c>
      <c r="F296" t="s">
        <v>229</v>
      </c>
      <c r="G296" t="s">
        <v>1794</v>
      </c>
      <c r="H296" t="s">
        <v>5976</v>
      </c>
      <c r="I296" t="s">
        <v>5977</v>
      </c>
      <c r="J296" t="s">
        <v>5977</v>
      </c>
      <c r="K296" t="s">
        <v>5977</v>
      </c>
      <c r="L296">
        <v>46068</v>
      </c>
      <c r="M296">
        <v>46053</v>
      </c>
      <c r="N296">
        <v>46068</v>
      </c>
      <c r="O296">
        <v>1</v>
      </c>
      <c r="P296" t="s">
        <v>5977</v>
      </c>
    </row>
    <row r="297" spans="1:16" x14ac:dyDescent="0.35">
      <c r="A297" t="s">
        <v>5974</v>
      </c>
      <c r="B297" t="s">
        <v>6327</v>
      </c>
      <c r="C297" s="52" t="s">
        <v>1607</v>
      </c>
      <c r="D297" t="s">
        <v>1608</v>
      </c>
      <c r="E297" t="s">
        <v>5976</v>
      </c>
      <c r="F297" t="s">
        <v>6587</v>
      </c>
      <c r="G297" t="s">
        <v>5423</v>
      </c>
      <c r="H297" t="s">
        <v>5976</v>
      </c>
      <c r="I297" t="s">
        <v>5977</v>
      </c>
      <c r="J297" t="s">
        <v>5977</v>
      </c>
      <c r="K297" t="s">
        <v>5977</v>
      </c>
      <c r="L297">
        <v>45699</v>
      </c>
      <c r="M297">
        <v>46021</v>
      </c>
      <c r="N297" t="s">
        <v>5976</v>
      </c>
      <c r="O297">
        <v>0.95</v>
      </c>
      <c r="P297" t="s">
        <v>6011</v>
      </c>
    </row>
    <row r="298" spans="1:16" x14ac:dyDescent="0.35">
      <c r="A298" t="s">
        <v>5974</v>
      </c>
      <c r="B298" t="s">
        <v>6329</v>
      </c>
      <c r="C298" s="52" t="s">
        <v>1605</v>
      </c>
      <c r="D298" t="s">
        <v>1606</v>
      </c>
      <c r="E298" t="s">
        <v>5976</v>
      </c>
      <c r="F298" t="s">
        <v>6587</v>
      </c>
      <c r="G298" t="s">
        <v>5423</v>
      </c>
      <c r="H298" t="s">
        <v>5976</v>
      </c>
      <c r="I298" t="s">
        <v>6011</v>
      </c>
      <c r="J298" t="s">
        <v>5981</v>
      </c>
      <c r="K298" t="s">
        <v>5981</v>
      </c>
      <c r="L298" t="s">
        <v>5976</v>
      </c>
      <c r="M298" t="s">
        <v>5976</v>
      </c>
      <c r="N298" t="s">
        <v>5976</v>
      </c>
      <c r="O298" t="s">
        <v>5976</v>
      </c>
      <c r="P298" t="s">
        <v>5976</v>
      </c>
    </row>
    <row r="299" spans="1:16" x14ac:dyDescent="0.35">
      <c r="A299" t="s">
        <v>61</v>
      </c>
      <c r="B299" t="s">
        <v>6363</v>
      </c>
      <c r="C299" s="52" t="s">
        <v>2176</v>
      </c>
      <c r="D299" t="s">
        <v>5840</v>
      </c>
      <c r="E299" t="s">
        <v>5976</v>
      </c>
      <c r="F299" t="s">
        <v>3255</v>
      </c>
      <c r="G299" t="s">
        <v>2716</v>
      </c>
      <c r="H299" t="s">
        <v>5976</v>
      </c>
      <c r="I299" t="s">
        <v>5977</v>
      </c>
      <c r="J299" t="s">
        <v>5977</v>
      </c>
      <c r="K299" t="s">
        <v>5977</v>
      </c>
      <c r="L299">
        <v>46038</v>
      </c>
      <c r="M299">
        <v>46007</v>
      </c>
      <c r="N299">
        <v>46038</v>
      </c>
      <c r="O299">
        <v>1</v>
      </c>
      <c r="P299" t="s">
        <v>5977</v>
      </c>
    </row>
    <row r="300" spans="1:16" x14ac:dyDescent="0.35">
      <c r="A300" t="s">
        <v>6588</v>
      </c>
      <c r="B300" t="s">
        <v>6369</v>
      </c>
      <c r="C300" s="52" t="s">
        <v>6589</v>
      </c>
      <c r="D300" t="s">
        <v>6590</v>
      </c>
      <c r="E300" t="s">
        <v>5976</v>
      </c>
      <c r="F300" t="s">
        <v>6591</v>
      </c>
      <c r="G300" t="s">
        <v>5423</v>
      </c>
      <c r="H300" t="s">
        <v>5976</v>
      </c>
      <c r="I300" t="s">
        <v>5977</v>
      </c>
      <c r="J300" t="s">
        <v>5977</v>
      </c>
      <c r="K300" t="s">
        <v>5977</v>
      </c>
      <c r="L300" t="s">
        <v>5976</v>
      </c>
      <c r="M300" t="s">
        <v>5976</v>
      </c>
      <c r="N300" t="s">
        <v>5976</v>
      </c>
      <c r="O300" t="s">
        <v>5976</v>
      </c>
      <c r="P300" t="s">
        <v>5976</v>
      </c>
    </row>
    <row r="301" spans="1:16" x14ac:dyDescent="0.35">
      <c r="A301" t="s">
        <v>6588</v>
      </c>
      <c r="B301" t="s">
        <v>6371</v>
      </c>
      <c r="C301" s="52" t="s">
        <v>6589</v>
      </c>
      <c r="D301" t="s">
        <v>6592</v>
      </c>
      <c r="E301" t="s">
        <v>5976</v>
      </c>
      <c r="F301" t="s">
        <v>1772</v>
      </c>
      <c r="G301" t="s">
        <v>2716</v>
      </c>
      <c r="H301" t="s">
        <v>5976</v>
      </c>
      <c r="I301" t="s">
        <v>5977</v>
      </c>
      <c r="J301" t="s">
        <v>5981</v>
      </c>
      <c r="K301" t="s">
        <v>5977</v>
      </c>
      <c r="L301" t="s">
        <v>5976</v>
      </c>
      <c r="M301" t="s">
        <v>5976</v>
      </c>
      <c r="N301" t="s">
        <v>5976</v>
      </c>
      <c r="O301" t="s">
        <v>5976</v>
      </c>
      <c r="P301" t="s">
        <v>5996</v>
      </c>
    </row>
    <row r="302" spans="1:16" x14ac:dyDescent="0.35">
      <c r="A302" t="s">
        <v>5974</v>
      </c>
      <c r="B302" t="s">
        <v>6373</v>
      </c>
      <c r="C302" s="52" t="s">
        <v>6593</v>
      </c>
      <c r="D302" t="s">
        <v>6594</v>
      </c>
      <c r="E302" t="s">
        <v>6595</v>
      </c>
      <c r="F302" t="s">
        <v>6585</v>
      </c>
      <c r="G302" t="s">
        <v>2716</v>
      </c>
      <c r="H302" t="s">
        <v>5976</v>
      </c>
      <c r="I302" t="s">
        <v>5977</v>
      </c>
      <c r="J302" t="s">
        <v>5977</v>
      </c>
      <c r="K302" t="s">
        <v>5977</v>
      </c>
      <c r="L302" t="s">
        <v>5976</v>
      </c>
      <c r="M302" t="s">
        <v>5976</v>
      </c>
      <c r="N302" t="s">
        <v>5976</v>
      </c>
      <c r="O302" t="s">
        <v>5976</v>
      </c>
      <c r="P302" t="s">
        <v>6011</v>
      </c>
    </row>
    <row r="303" spans="1:16" x14ac:dyDescent="0.35">
      <c r="A303" t="s">
        <v>5974</v>
      </c>
      <c r="B303" t="s">
        <v>6376</v>
      </c>
      <c r="C303" s="52" t="s">
        <v>6589</v>
      </c>
      <c r="D303" t="s">
        <v>6596</v>
      </c>
      <c r="E303" t="s">
        <v>5976</v>
      </c>
      <c r="F303" t="s">
        <v>6597</v>
      </c>
      <c r="G303" t="s">
        <v>5423</v>
      </c>
      <c r="H303" t="s">
        <v>5976</v>
      </c>
      <c r="I303" t="s">
        <v>5977</v>
      </c>
      <c r="J303" t="s">
        <v>5977</v>
      </c>
      <c r="K303" t="s">
        <v>5980</v>
      </c>
      <c r="L303" t="s">
        <v>5976</v>
      </c>
      <c r="M303" t="s">
        <v>5976</v>
      </c>
      <c r="N303" t="s">
        <v>5976</v>
      </c>
      <c r="O303" t="s">
        <v>5976</v>
      </c>
      <c r="P303" t="s">
        <v>5980</v>
      </c>
    </row>
    <row r="304" spans="1:16" x14ac:dyDescent="0.35">
      <c r="A304" t="s">
        <v>5974</v>
      </c>
      <c r="B304" t="s">
        <v>6598</v>
      </c>
      <c r="C304" s="52" t="s">
        <v>2635</v>
      </c>
      <c r="D304" t="s">
        <v>6599</v>
      </c>
      <c r="E304" t="s">
        <v>6600</v>
      </c>
      <c r="F304" t="s">
        <v>3191</v>
      </c>
      <c r="G304" t="s">
        <v>1794</v>
      </c>
      <c r="H304" t="s">
        <v>5976</v>
      </c>
      <c r="I304" t="s">
        <v>6011</v>
      </c>
      <c r="J304" t="s">
        <v>5981</v>
      </c>
      <c r="K304" t="s">
        <v>5981</v>
      </c>
      <c r="L304" t="s">
        <v>5976</v>
      </c>
      <c r="M304" t="s">
        <v>5976</v>
      </c>
      <c r="N304" t="s">
        <v>5976</v>
      </c>
      <c r="O304" t="s">
        <v>5976</v>
      </c>
      <c r="P304" t="s">
        <v>5976</v>
      </c>
    </row>
    <row r="305" spans="1:16" x14ac:dyDescent="0.35">
      <c r="A305" t="s">
        <v>5974</v>
      </c>
      <c r="B305" t="s">
        <v>6378</v>
      </c>
      <c r="C305" s="52" t="s">
        <v>1664</v>
      </c>
      <c r="D305" t="s">
        <v>6601</v>
      </c>
      <c r="E305" t="s">
        <v>5976</v>
      </c>
      <c r="F305" t="s">
        <v>6602</v>
      </c>
      <c r="G305" t="s">
        <v>6603</v>
      </c>
      <c r="H305" t="s">
        <v>5976</v>
      </c>
      <c r="I305" t="s">
        <v>5977</v>
      </c>
      <c r="J305" t="s">
        <v>5977</v>
      </c>
      <c r="K305" t="s">
        <v>6011</v>
      </c>
      <c r="L305">
        <v>46159</v>
      </c>
      <c r="M305">
        <v>46087</v>
      </c>
      <c r="N305" t="s">
        <v>5976</v>
      </c>
      <c r="O305" t="s">
        <v>5976</v>
      </c>
      <c r="P305" t="s">
        <v>6011</v>
      </c>
    </row>
    <row r="306" spans="1:16" x14ac:dyDescent="0.35">
      <c r="A306" t="s">
        <v>61</v>
      </c>
      <c r="B306" t="s">
        <v>6381</v>
      </c>
      <c r="C306" s="52" t="s">
        <v>5951</v>
      </c>
      <c r="D306" t="s">
        <v>6604</v>
      </c>
      <c r="F306" t="s">
        <v>229</v>
      </c>
      <c r="G306" t="s">
        <v>1794</v>
      </c>
      <c r="H306" t="s">
        <v>5976</v>
      </c>
      <c r="I306" t="s">
        <v>5977</v>
      </c>
      <c r="J306" t="s">
        <v>5977</v>
      </c>
      <c r="K306" t="s">
        <v>5977</v>
      </c>
      <c r="L306">
        <v>46114</v>
      </c>
      <c r="M306">
        <v>46084</v>
      </c>
      <c r="N306" t="s">
        <v>5976</v>
      </c>
      <c r="O306">
        <v>0.4</v>
      </c>
      <c r="P306" t="s">
        <v>6011</v>
      </c>
    </row>
    <row r="307" spans="1:16" x14ac:dyDescent="0.35">
      <c r="A307" t="s">
        <v>61</v>
      </c>
      <c r="B307" t="s">
        <v>6387</v>
      </c>
      <c r="C307" s="52" t="s">
        <v>930</v>
      </c>
      <c r="D307" t="s">
        <v>6605</v>
      </c>
      <c r="E307" t="s">
        <v>6606</v>
      </c>
      <c r="F307" t="s">
        <v>6607</v>
      </c>
      <c r="G307" t="s">
        <v>5423</v>
      </c>
      <c r="H307" t="s">
        <v>5976</v>
      </c>
      <c r="I307" t="s">
        <v>5977</v>
      </c>
      <c r="J307" t="s">
        <v>6011</v>
      </c>
      <c r="K307" t="s">
        <v>5977</v>
      </c>
      <c r="L307" t="s">
        <v>5976</v>
      </c>
      <c r="M307" t="s">
        <v>5976</v>
      </c>
      <c r="N307" t="s">
        <v>5976</v>
      </c>
      <c r="O307" t="s">
        <v>5976</v>
      </c>
      <c r="P307" t="s">
        <v>5976</v>
      </c>
    </row>
    <row r="308" spans="1:16" x14ac:dyDescent="0.35">
      <c r="A308" t="s">
        <v>5974</v>
      </c>
      <c r="B308" t="s">
        <v>6608</v>
      </c>
      <c r="C308" s="52" t="s">
        <v>2202</v>
      </c>
      <c r="D308" t="s">
        <v>2203</v>
      </c>
      <c r="E308" t="s">
        <v>5976</v>
      </c>
      <c r="F308" t="s">
        <v>6597</v>
      </c>
      <c r="G308" t="s">
        <v>2716</v>
      </c>
      <c r="H308" t="s">
        <v>2732</v>
      </c>
      <c r="I308" t="s">
        <v>6011</v>
      </c>
      <c r="J308" t="s">
        <v>5977</v>
      </c>
      <c r="K308" t="s">
        <v>6011</v>
      </c>
      <c r="L308">
        <v>46162</v>
      </c>
      <c r="M308" t="s">
        <v>5976</v>
      </c>
      <c r="N308" t="s">
        <v>5976</v>
      </c>
      <c r="O308" t="s">
        <v>5976</v>
      </c>
      <c r="P308" t="s">
        <v>5976</v>
      </c>
    </row>
    <row r="309" spans="1:16" x14ac:dyDescent="0.35">
      <c r="A309" t="s">
        <v>61</v>
      </c>
      <c r="B309" t="s">
        <v>6609</v>
      </c>
      <c r="C309" s="52" t="s">
        <v>6589</v>
      </c>
      <c r="D309" t="s">
        <v>6610</v>
      </c>
      <c r="E309" t="s">
        <v>5976</v>
      </c>
      <c r="F309" t="s">
        <v>4012</v>
      </c>
      <c r="G309" t="s">
        <v>2716</v>
      </c>
      <c r="H309" t="s">
        <v>2732</v>
      </c>
      <c r="I309" t="s">
        <v>5996</v>
      </c>
      <c r="J309" t="s">
        <v>5996</v>
      </c>
      <c r="K309" t="s">
        <v>5996</v>
      </c>
      <c r="L309" t="s">
        <v>5976</v>
      </c>
      <c r="M309" t="s">
        <v>5976</v>
      </c>
      <c r="N309" t="s">
        <v>5976</v>
      </c>
      <c r="O309" t="s">
        <v>5976</v>
      </c>
      <c r="P309" t="s">
        <v>5976</v>
      </c>
    </row>
    <row r="310" spans="1:16" x14ac:dyDescent="0.35">
      <c r="A310" t="s">
        <v>61</v>
      </c>
      <c r="B310" t="s">
        <v>6611</v>
      </c>
      <c r="C310" s="52" t="s">
        <v>2164</v>
      </c>
      <c r="D310" t="s">
        <v>5911</v>
      </c>
      <c r="E310" t="s">
        <v>5976</v>
      </c>
      <c r="F310" t="s">
        <v>229</v>
      </c>
      <c r="G310" t="s">
        <v>1794</v>
      </c>
      <c r="H310" t="s">
        <v>2732</v>
      </c>
      <c r="I310" t="s">
        <v>5977</v>
      </c>
      <c r="J310" t="s">
        <v>5977</v>
      </c>
      <c r="K310" t="s">
        <v>5977</v>
      </c>
      <c r="L310">
        <v>46044</v>
      </c>
      <c r="M310">
        <v>46021</v>
      </c>
      <c r="N310">
        <v>46044</v>
      </c>
      <c r="O310">
        <v>1</v>
      </c>
      <c r="P310" t="s">
        <v>5977</v>
      </c>
    </row>
    <row r="311" spans="1:16" x14ac:dyDescent="0.35">
      <c r="A311" t="s">
        <v>61</v>
      </c>
      <c r="B311" t="s">
        <v>6612</v>
      </c>
      <c r="C311" s="52" t="s">
        <v>2456</v>
      </c>
      <c r="D311" t="s">
        <v>6613</v>
      </c>
      <c r="E311" t="s">
        <v>6614</v>
      </c>
      <c r="F311" t="s">
        <v>1772</v>
      </c>
      <c r="G311" t="s">
        <v>1794</v>
      </c>
      <c r="H311" t="s">
        <v>2732</v>
      </c>
      <c r="I311" t="s">
        <v>6011</v>
      </c>
      <c r="J311" t="s">
        <v>5981</v>
      </c>
      <c r="K311" t="s">
        <v>5981</v>
      </c>
      <c r="L311">
        <v>46162</v>
      </c>
      <c r="M311" t="s">
        <v>5976</v>
      </c>
      <c r="N311" t="s">
        <v>5976</v>
      </c>
      <c r="O311" t="s">
        <v>5976</v>
      </c>
      <c r="P311" t="s">
        <v>5976</v>
      </c>
    </row>
    <row r="312" spans="1:16" x14ac:dyDescent="0.35">
      <c r="A312" t="s">
        <v>61</v>
      </c>
      <c r="B312" t="s">
        <v>6615</v>
      </c>
      <c r="C312" s="52" t="s">
        <v>2423</v>
      </c>
      <c r="D312" t="s">
        <v>6616</v>
      </c>
      <c r="E312" t="s">
        <v>6002</v>
      </c>
      <c r="F312" t="s">
        <v>25</v>
      </c>
      <c r="G312" t="s">
        <v>2716</v>
      </c>
      <c r="H312" t="s">
        <v>2732</v>
      </c>
      <c r="I312" t="s">
        <v>5981</v>
      </c>
      <c r="J312" t="s">
        <v>5981</v>
      </c>
      <c r="K312" t="s">
        <v>5981</v>
      </c>
      <c r="L312" t="s">
        <v>5976</v>
      </c>
      <c r="M312" t="s">
        <v>5976</v>
      </c>
      <c r="N312" t="s">
        <v>5976</v>
      </c>
      <c r="O312" t="s">
        <v>5976</v>
      </c>
      <c r="P312" t="s">
        <v>5976</v>
      </c>
    </row>
    <row r="313" spans="1:16" x14ac:dyDescent="0.35">
      <c r="A313" t="s">
        <v>61</v>
      </c>
      <c r="B313" t="s">
        <v>6617</v>
      </c>
      <c r="C313" s="52" t="s">
        <v>2289</v>
      </c>
      <c r="D313" t="s">
        <v>6618</v>
      </c>
      <c r="E313" t="s">
        <v>6002</v>
      </c>
      <c r="F313" t="s">
        <v>6580</v>
      </c>
      <c r="G313" t="s">
        <v>2716</v>
      </c>
      <c r="H313" t="s">
        <v>2732</v>
      </c>
      <c r="I313" t="s">
        <v>5981</v>
      </c>
      <c r="J313" t="s">
        <v>5981</v>
      </c>
      <c r="K313" t="s">
        <v>5981</v>
      </c>
      <c r="L313" t="s">
        <v>5976</v>
      </c>
      <c r="M313" t="s">
        <v>5976</v>
      </c>
      <c r="N313" t="s">
        <v>5976</v>
      </c>
      <c r="O313" t="s">
        <v>5976</v>
      </c>
      <c r="P313" t="s">
        <v>5976</v>
      </c>
    </row>
    <row r="314" spans="1:16" x14ac:dyDescent="0.35">
      <c r="A314" t="s">
        <v>61</v>
      </c>
      <c r="B314" t="s">
        <v>6619</v>
      </c>
      <c r="C314" s="52" t="s">
        <v>4690</v>
      </c>
      <c r="D314" t="s">
        <v>6620</v>
      </c>
      <c r="E314" t="s">
        <v>6002</v>
      </c>
      <c r="F314" t="s">
        <v>4012</v>
      </c>
      <c r="G314" t="s">
        <v>2716</v>
      </c>
      <c r="H314" t="s">
        <v>2732</v>
      </c>
      <c r="I314" t="s">
        <v>5981</v>
      </c>
      <c r="J314" t="s">
        <v>5981</v>
      </c>
      <c r="K314" t="s">
        <v>5981</v>
      </c>
      <c r="L314" t="s">
        <v>5976</v>
      </c>
      <c r="M314" t="s">
        <v>5976</v>
      </c>
      <c r="N314" t="s">
        <v>5976</v>
      </c>
      <c r="O314" t="s">
        <v>5976</v>
      </c>
      <c r="P314" t="s">
        <v>5976</v>
      </c>
    </row>
    <row r="315" spans="1:16" x14ac:dyDescent="0.35">
      <c r="A315" t="s">
        <v>61</v>
      </c>
      <c r="B315" t="s">
        <v>6621</v>
      </c>
      <c r="C315" s="52" t="s">
        <v>5053</v>
      </c>
      <c r="D315" t="s">
        <v>6622</v>
      </c>
      <c r="E315" t="s">
        <v>6002</v>
      </c>
      <c r="F315" t="s">
        <v>6567</v>
      </c>
      <c r="G315" t="s">
        <v>2716</v>
      </c>
      <c r="H315" t="s">
        <v>2732</v>
      </c>
      <c r="I315" t="s">
        <v>5981</v>
      </c>
      <c r="J315" t="s">
        <v>5981</v>
      </c>
      <c r="K315" t="s">
        <v>5981</v>
      </c>
      <c r="L315" t="s">
        <v>5976</v>
      </c>
      <c r="M315" t="s">
        <v>5976</v>
      </c>
      <c r="N315" t="s">
        <v>5976</v>
      </c>
      <c r="O315" t="s">
        <v>5976</v>
      </c>
      <c r="P315" t="s">
        <v>5976</v>
      </c>
    </row>
    <row r="316" spans="1:16" x14ac:dyDescent="0.35">
      <c r="A316" t="s">
        <v>61</v>
      </c>
      <c r="B316" t="s">
        <v>6623</v>
      </c>
      <c r="C316" s="52" t="s">
        <v>2455</v>
      </c>
      <c r="D316" t="s">
        <v>6624</v>
      </c>
      <c r="E316" t="s">
        <v>6002</v>
      </c>
      <c r="F316" t="s">
        <v>1772</v>
      </c>
      <c r="G316" t="s">
        <v>2716</v>
      </c>
      <c r="H316" t="s">
        <v>2732</v>
      </c>
      <c r="I316" t="s">
        <v>5981</v>
      </c>
      <c r="J316" t="s">
        <v>5981</v>
      </c>
      <c r="K316" t="s">
        <v>5981</v>
      </c>
      <c r="L316">
        <v>46218</v>
      </c>
      <c r="M316" t="s">
        <v>5976</v>
      </c>
      <c r="N316" t="s">
        <v>5976</v>
      </c>
      <c r="O316" t="s">
        <v>5976</v>
      </c>
      <c r="P316" t="s">
        <v>5976</v>
      </c>
    </row>
    <row r="317" spans="1:16" x14ac:dyDescent="0.35">
      <c r="A317" t="s">
        <v>5974</v>
      </c>
      <c r="B317" t="s">
        <v>6625</v>
      </c>
      <c r="C317" s="52" t="s">
        <v>1416</v>
      </c>
      <c r="D317" t="s">
        <v>6626</v>
      </c>
      <c r="E317" t="s">
        <v>6627</v>
      </c>
      <c r="F317" t="s">
        <v>184</v>
      </c>
      <c r="G317" t="s">
        <v>5423</v>
      </c>
      <c r="H317" t="s">
        <v>2709</v>
      </c>
      <c r="I317" t="s">
        <v>5977</v>
      </c>
      <c r="J317" t="s">
        <v>5977</v>
      </c>
      <c r="K317" t="s">
        <v>5981</v>
      </c>
      <c r="L317" t="s">
        <v>5976</v>
      </c>
      <c r="M317" t="s">
        <v>5976</v>
      </c>
      <c r="N317" t="s">
        <v>5976</v>
      </c>
      <c r="O317" t="s">
        <v>5976</v>
      </c>
      <c r="P317" t="s">
        <v>5976</v>
      </c>
    </row>
    <row r="318" spans="1:16" x14ac:dyDescent="0.35">
      <c r="A318" t="s">
        <v>61</v>
      </c>
      <c r="B318" t="s">
        <v>6309</v>
      </c>
      <c r="C318" s="52" t="s">
        <v>6589</v>
      </c>
      <c r="D318" t="s">
        <v>6628</v>
      </c>
      <c r="E318" t="s">
        <v>5976</v>
      </c>
      <c r="F318" t="s">
        <v>6580</v>
      </c>
      <c r="G318" t="s">
        <v>2716</v>
      </c>
      <c r="H318" t="s">
        <v>2709</v>
      </c>
      <c r="I318" t="s">
        <v>5996</v>
      </c>
      <c r="J318" t="s">
        <v>5996</v>
      </c>
      <c r="K318" t="s">
        <v>5996</v>
      </c>
      <c r="L318" t="s">
        <v>5976</v>
      </c>
      <c r="M318" t="s">
        <v>5976</v>
      </c>
      <c r="N318" t="s">
        <v>5976</v>
      </c>
      <c r="O318" t="s">
        <v>5976</v>
      </c>
      <c r="P318" t="s">
        <v>5976</v>
      </c>
    </row>
    <row r="319" spans="1:16" x14ac:dyDescent="0.35">
      <c r="A319" t="s">
        <v>61</v>
      </c>
      <c r="B319" t="s">
        <v>6311</v>
      </c>
      <c r="C319" s="52" t="s">
        <v>4823</v>
      </c>
      <c r="D319" t="s">
        <v>6629</v>
      </c>
      <c r="E319" t="s">
        <v>5976</v>
      </c>
      <c r="F319" t="s">
        <v>6567</v>
      </c>
      <c r="G319" t="s">
        <v>2716</v>
      </c>
      <c r="H319" t="s">
        <v>2732</v>
      </c>
      <c r="I319" t="s">
        <v>6011</v>
      </c>
      <c r="J319" t="s">
        <v>5981</v>
      </c>
      <c r="K319" t="s">
        <v>5981</v>
      </c>
      <c r="L319">
        <v>46147</v>
      </c>
      <c r="M319" t="s">
        <v>5976</v>
      </c>
      <c r="N319" t="s">
        <v>5976</v>
      </c>
      <c r="O319" t="s">
        <v>5976</v>
      </c>
      <c r="P319" t="s">
        <v>5976</v>
      </c>
    </row>
    <row r="320" spans="1:16" x14ac:dyDescent="0.35">
      <c r="A320" t="s">
        <v>61</v>
      </c>
      <c r="B320" t="s">
        <v>6314</v>
      </c>
      <c r="C320" s="52" t="s">
        <v>4826</v>
      </c>
      <c r="D320" t="s">
        <v>6630</v>
      </c>
      <c r="E320" t="s">
        <v>5976</v>
      </c>
      <c r="F320" t="s">
        <v>1772</v>
      </c>
      <c r="G320" t="s">
        <v>2716</v>
      </c>
      <c r="H320" t="s">
        <v>2732</v>
      </c>
      <c r="I320" t="s">
        <v>6011</v>
      </c>
      <c r="J320" t="s">
        <v>5981</v>
      </c>
      <c r="K320" t="s">
        <v>5981</v>
      </c>
      <c r="L320">
        <v>46147</v>
      </c>
      <c r="M320" t="s">
        <v>5976</v>
      </c>
      <c r="N320" t="s">
        <v>5976</v>
      </c>
      <c r="O320" t="s">
        <v>5976</v>
      </c>
      <c r="P320" t="s">
        <v>5976</v>
      </c>
    </row>
    <row r="321" spans="1:16" x14ac:dyDescent="0.35">
      <c r="A321" t="s">
        <v>5974</v>
      </c>
      <c r="B321" t="s">
        <v>6317</v>
      </c>
      <c r="C321" s="52" t="s">
        <v>2435</v>
      </c>
      <c r="D321" t="s">
        <v>5843</v>
      </c>
      <c r="E321" t="s">
        <v>5976</v>
      </c>
      <c r="F321" t="s">
        <v>6631</v>
      </c>
      <c r="G321" t="s">
        <v>2716</v>
      </c>
      <c r="H321" t="s">
        <v>2732</v>
      </c>
      <c r="I321" t="s">
        <v>5977</v>
      </c>
      <c r="J321" t="s">
        <v>5977</v>
      </c>
      <c r="K321" t="s">
        <v>5977</v>
      </c>
      <c r="L321">
        <v>46120</v>
      </c>
      <c r="M321" t="s">
        <v>5976</v>
      </c>
      <c r="N321" t="s">
        <v>5976</v>
      </c>
      <c r="O321" t="s">
        <v>5976</v>
      </c>
      <c r="P321" t="s">
        <v>6011</v>
      </c>
    </row>
    <row r="322" spans="1:16" x14ac:dyDescent="0.35">
      <c r="A322" t="s">
        <v>5974</v>
      </c>
      <c r="B322" t="s">
        <v>6320</v>
      </c>
      <c r="C322" s="52" t="s">
        <v>2417</v>
      </c>
      <c r="D322" t="s">
        <v>6632</v>
      </c>
      <c r="E322" t="s">
        <v>5976</v>
      </c>
      <c r="F322" t="s">
        <v>25</v>
      </c>
      <c r="G322" t="s">
        <v>2716</v>
      </c>
      <c r="H322" t="s">
        <v>2732</v>
      </c>
      <c r="I322" t="s">
        <v>5996</v>
      </c>
      <c r="J322" t="s">
        <v>5996</v>
      </c>
      <c r="K322" t="s">
        <v>5996</v>
      </c>
      <c r="L322" t="s">
        <v>5976</v>
      </c>
      <c r="M322" t="s">
        <v>5976</v>
      </c>
      <c r="N322" t="s">
        <v>5976</v>
      </c>
      <c r="O322" t="s">
        <v>5976</v>
      </c>
      <c r="P322" t="s">
        <v>5976</v>
      </c>
    </row>
    <row r="323" spans="1:16" x14ac:dyDescent="0.35">
      <c r="A323" t="s">
        <v>5974</v>
      </c>
      <c r="B323" t="s">
        <v>6323</v>
      </c>
      <c r="C323" s="52" t="s">
        <v>2032</v>
      </c>
      <c r="D323" t="s">
        <v>6633</v>
      </c>
      <c r="E323" t="s">
        <v>6634</v>
      </c>
      <c r="F323" t="s">
        <v>6597</v>
      </c>
      <c r="G323" t="s">
        <v>1794</v>
      </c>
      <c r="H323" t="s">
        <v>2732</v>
      </c>
      <c r="I323" t="s">
        <v>5977</v>
      </c>
      <c r="J323" t="s">
        <v>5977</v>
      </c>
      <c r="K323" t="s">
        <v>5977</v>
      </c>
      <c r="L323" t="s">
        <v>5976</v>
      </c>
      <c r="M323" t="s">
        <v>5976</v>
      </c>
      <c r="N323" t="s">
        <v>5976</v>
      </c>
      <c r="O323" t="s">
        <v>5976</v>
      </c>
      <c r="P323" t="s">
        <v>5977</v>
      </c>
    </row>
    <row r="324" spans="1:16" x14ac:dyDescent="0.35">
      <c r="A324" t="s">
        <v>5974</v>
      </c>
      <c r="B324" t="s">
        <v>6325</v>
      </c>
      <c r="C324" s="52" t="s">
        <v>6589</v>
      </c>
      <c r="D324" t="s">
        <v>6635</v>
      </c>
      <c r="E324" t="s">
        <v>5976</v>
      </c>
      <c r="F324" t="s">
        <v>6636</v>
      </c>
      <c r="G324" t="s">
        <v>2716</v>
      </c>
      <c r="H324" t="s">
        <v>2732</v>
      </c>
      <c r="I324" t="s">
        <v>5996</v>
      </c>
      <c r="J324" t="s">
        <v>5996</v>
      </c>
      <c r="K324" t="s">
        <v>5996</v>
      </c>
      <c r="L324" t="s">
        <v>5976</v>
      </c>
      <c r="M324" t="s">
        <v>5976</v>
      </c>
      <c r="N324" t="s">
        <v>5976</v>
      </c>
      <c r="O324" t="s">
        <v>5976</v>
      </c>
      <c r="P324" t="s">
        <v>5976</v>
      </c>
    </row>
    <row r="325" spans="1:16" x14ac:dyDescent="0.35">
      <c r="A325" t="s">
        <v>5974</v>
      </c>
      <c r="B325" t="s">
        <v>6327</v>
      </c>
      <c r="C325" s="52" t="s">
        <v>6589</v>
      </c>
      <c r="D325" t="s">
        <v>6637</v>
      </c>
      <c r="E325" t="s">
        <v>5976</v>
      </c>
      <c r="F325" t="s">
        <v>1772</v>
      </c>
      <c r="G325" t="s">
        <v>2716</v>
      </c>
      <c r="H325" t="s">
        <v>2732</v>
      </c>
      <c r="I325" t="s">
        <v>5996</v>
      </c>
      <c r="J325" t="s">
        <v>5996</v>
      </c>
      <c r="K325" t="s">
        <v>5996</v>
      </c>
      <c r="L325" t="s">
        <v>5976</v>
      </c>
      <c r="M325" t="s">
        <v>5976</v>
      </c>
      <c r="N325" t="s">
        <v>5976</v>
      </c>
      <c r="O325" t="s">
        <v>5976</v>
      </c>
      <c r="P325" t="s">
        <v>5996</v>
      </c>
    </row>
    <row r="326" spans="1:16" x14ac:dyDescent="0.35">
      <c r="A326" t="s">
        <v>61</v>
      </c>
      <c r="B326" t="s">
        <v>6329</v>
      </c>
      <c r="C326" s="52" t="s">
        <v>5951</v>
      </c>
      <c r="D326" t="s">
        <v>6638</v>
      </c>
      <c r="E326" t="s">
        <v>5976</v>
      </c>
      <c r="F326" t="s">
        <v>229</v>
      </c>
      <c r="G326" t="s">
        <v>2716</v>
      </c>
      <c r="H326" t="s">
        <v>2732</v>
      </c>
      <c r="I326" t="s">
        <v>6011</v>
      </c>
      <c r="J326" t="s">
        <v>5981</v>
      </c>
      <c r="K326" t="s">
        <v>5981</v>
      </c>
      <c r="L326">
        <v>46147</v>
      </c>
      <c r="M326" t="s">
        <v>5976</v>
      </c>
      <c r="N326" t="s">
        <v>5976</v>
      </c>
      <c r="O326" t="s">
        <v>5976</v>
      </c>
      <c r="P326" t="s">
        <v>5976</v>
      </c>
    </row>
    <row r="327" spans="1:16" x14ac:dyDescent="0.35">
      <c r="A327" t="s">
        <v>5974</v>
      </c>
      <c r="B327" t="s">
        <v>6331</v>
      </c>
      <c r="C327" s="52" t="s">
        <v>3894</v>
      </c>
      <c r="D327" t="s">
        <v>6639</v>
      </c>
      <c r="E327" t="s">
        <v>5976</v>
      </c>
      <c r="F327" t="s">
        <v>1772</v>
      </c>
      <c r="G327" t="s">
        <v>2716</v>
      </c>
      <c r="H327" t="s">
        <v>2732</v>
      </c>
      <c r="I327" t="s">
        <v>6011</v>
      </c>
      <c r="J327" t="s">
        <v>5981</v>
      </c>
      <c r="K327" t="s">
        <v>5981</v>
      </c>
      <c r="L327">
        <v>46165</v>
      </c>
      <c r="M327" t="s">
        <v>5976</v>
      </c>
      <c r="N327" t="s">
        <v>5976</v>
      </c>
      <c r="O327" t="s">
        <v>5976</v>
      </c>
      <c r="P327" t="s">
        <v>5976</v>
      </c>
    </row>
    <row r="328" spans="1:16" x14ac:dyDescent="0.35">
      <c r="A328" t="s">
        <v>5974</v>
      </c>
      <c r="B328" t="s">
        <v>6333</v>
      </c>
      <c r="C328" s="52" t="s">
        <v>1309</v>
      </c>
      <c r="D328" t="s">
        <v>6640</v>
      </c>
      <c r="E328" t="s">
        <v>5976</v>
      </c>
      <c r="F328" t="s">
        <v>3191</v>
      </c>
      <c r="G328" t="s">
        <v>5423</v>
      </c>
      <c r="H328" t="s">
        <v>2810</v>
      </c>
      <c r="I328" t="s">
        <v>6011</v>
      </c>
      <c r="J328" t="s">
        <v>5981</v>
      </c>
      <c r="K328" t="s">
        <v>5981</v>
      </c>
      <c r="L328" t="s">
        <v>5976</v>
      </c>
      <c r="M328" t="s">
        <v>5976</v>
      </c>
      <c r="N328" t="s">
        <v>5976</v>
      </c>
      <c r="O328" t="s">
        <v>5976</v>
      </c>
      <c r="P328" t="s">
        <v>5976</v>
      </c>
    </row>
    <row r="329" spans="1:16" x14ac:dyDescent="0.35">
      <c r="A329" t="s">
        <v>5974</v>
      </c>
      <c r="B329" t="s">
        <v>6335</v>
      </c>
      <c r="C329" s="52" t="s">
        <v>2217</v>
      </c>
      <c r="D329" t="s">
        <v>6641</v>
      </c>
      <c r="E329" t="s">
        <v>5976</v>
      </c>
      <c r="F329" t="s">
        <v>25</v>
      </c>
      <c r="G329" t="s">
        <v>2716</v>
      </c>
      <c r="H329" t="s">
        <v>2732</v>
      </c>
      <c r="I329" t="s">
        <v>6011</v>
      </c>
      <c r="J329" t="s">
        <v>5977</v>
      </c>
      <c r="K329" t="s">
        <v>6011</v>
      </c>
      <c r="L329">
        <v>46167</v>
      </c>
      <c r="M329" t="s">
        <v>5976</v>
      </c>
      <c r="N329" t="s">
        <v>5976</v>
      </c>
      <c r="O329" t="s">
        <v>5976</v>
      </c>
      <c r="P329" t="s">
        <v>5981</v>
      </c>
    </row>
    <row r="330" spans="1:16" x14ac:dyDescent="0.35">
      <c r="A330" t="s">
        <v>5974</v>
      </c>
      <c r="B330" t="s">
        <v>6337</v>
      </c>
      <c r="C330" s="52" t="s">
        <v>3589</v>
      </c>
      <c r="D330" t="s">
        <v>6642</v>
      </c>
      <c r="E330" t="s">
        <v>5976</v>
      </c>
      <c r="F330" t="s">
        <v>6567</v>
      </c>
      <c r="G330" t="s">
        <v>2716</v>
      </c>
      <c r="H330" t="s">
        <v>2810</v>
      </c>
      <c r="I330" t="s">
        <v>6011</v>
      </c>
      <c r="J330" t="s">
        <v>5981</v>
      </c>
      <c r="K330" t="s">
        <v>5981</v>
      </c>
      <c r="L330">
        <v>46157</v>
      </c>
      <c r="M330" t="s">
        <v>5976</v>
      </c>
      <c r="N330" t="s">
        <v>5976</v>
      </c>
      <c r="O330" t="s">
        <v>5976</v>
      </c>
      <c r="P330" t="s">
        <v>5976</v>
      </c>
    </row>
    <row r="331" spans="1:16" x14ac:dyDescent="0.35">
      <c r="A331" t="s">
        <v>61</v>
      </c>
      <c r="B331" t="s">
        <v>6340</v>
      </c>
      <c r="C331" s="52" t="s">
        <v>621</v>
      </c>
      <c r="D331" t="s">
        <v>6643</v>
      </c>
      <c r="E331" t="s">
        <v>5976</v>
      </c>
      <c r="F331" t="s">
        <v>3255</v>
      </c>
      <c r="G331" t="s">
        <v>5423</v>
      </c>
      <c r="H331" t="s">
        <v>6597</v>
      </c>
      <c r="I331" t="s">
        <v>6644</v>
      </c>
      <c r="J331" t="s">
        <v>5981</v>
      </c>
      <c r="K331" t="s">
        <v>5977</v>
      </c>
      <c r="L331" t="s">
        <v>5976</v>
      </c>
      <c r="M331" t="s">
        <v>5976</v>
      </c>
      <c r="N331" t="s">
        <v>5976</v>
      </c>
      <c r="O331" t="s">
        <v>5976</v>
      </c>
      <c r="P331" t="s">
        <v>5976</v>
      </c>
    </row>
    <row r="332" spans="1:16" x14ac:dyDescent="0.35">
      <c r="A332" t="s">
        <v>5974</v>
      </c>
      <c r="B332" t="s">
        <v>6342</v>
      </c>
      <c r="C332" s="52" t="s">
        <v>6589</v>
      </c>
      <c r="D332" t="s">
        <v>6645</v>
      </c>
      <c r="E332" t="s">
        <v>5976</v>
      </c>
      <c r="F332" t="s">
        <v>6597</v>
      </c>
      <c r="G332" t="s">
        <v>2716</v>
      </c>
      <c r="H332" t="s">
        <v>6597</v>
      </c>
      <c r="I332" t="s">
        <v>5976</v>
      </c>
      <c r="J332" t="s">
        <v>5976</v>
      </c>
      <c r="K332" t="s">
        <v>5976</v>
      </c>
      <c r="L332" t="s">
        <v>5976</v>
      </c>
      <c r="M332" t="s">
        <v>5976</v>
      </c>
      <c r="N332" t="s">
        <v>5976</v>
      </c>
      <c r="O332" t="s">
        <v>5976</v>
      </c>
      <c r="P332" t="s">
        <v>5976</v>
      </c>
    </row>
    <row r="333" spans="1:16" x14ac:dyDescent="0.35">
      <c r="A333" t="s">
        <v>5974</v>
      </c>
      <c r="B333" t="s">
        <v>6266</v>
      </c>
      <c r="C333" s="52" t="s">
        <v>2425</v>
      </c>
      <c r="D333" t="s">
        <v>6646</v>
      </c>
      <c r="E333" t="s">
        <v>5976</v>
      </c>
      <c r="F333" t="s">
        <v>6631</v>
      </c>
      <c r="G333" t="s">
        <v>2716</v>
      </c>
      <c r="H333" t="s">
        <v>2732</v>
      </c>
      <c r="I333" t="s">
        <v>5977</v>
      </c>
      <c r="J333" t="s">
        <v>5977</v>
      </c>
      <c r="K333" t="s">
        <v>5977</v>
      </c>
      <c r="L333">
        <v>46167</v>
      </c>
      <c r="M333" t="s">
        <v>5976</v>
      </c>
      <c r="N333" t="s">
        <v>5976</v>
      </c>
      <c r="O333" t="s">
        <v>5976</v>
      </c>
      <c r="P333" t="s">
        <v>6011</v>
      </c>
    </row>
    <row r="334" spans="1:16" x14ac:dyDescent="0.35">
      <c r="A334" t="s">
        <v>61</v>
      </c>
      <c r="B334" t="s">
        <v>6345</v>
      </c>
      <c r="C334" s="52" t="s">
        <v>1695</v>
      </c>
      <c r="D334" t="s">
        <v>6647</v>
      </c>
      <c r="E334" t="s">
        <v>6648</v>
      </c>
      <c r="F334" t="s">
        <v>6580</v>
      </c>
      <c r="G334" t="s">
        <v>5423</v>
      </c>
      <c r="H334" t="s">
        <v>2709</v>
      </c>
      <c r="I334" t="s">
        <v>5977</v>
      </c>
      <c r="J334" t="s">
        <v>5976</v>
      </c>
      <c r="K334" t="s">
        <v>5976</v>
      </c>
      <c r="L334" t="s">
        <v>5976</v>
      </c>
      <c r="M334" t="s">
        <v>5976</v>
      </c>
      <c r="N334" t="s">
        <v>5976</v>
      </c>
      <c r="O334" t="s">
        <v>5976</v>
      </c>
      <c r="P334" t="s">
        <v>5977</v>
      </c>
    </row>
    <row r="335" spans="1:16" x14ac:dyDescent="0.35">
      <c r="A335" t="s">
        <v>61</v>
      </c>
      <c r="B335" t="s">
        <v>6347</v>
      </c>
      <c r="C335" s="52" t="s">
        <v>2173</v>
      </c>
      <c r="D335" t="s">
        <v>5647</v>
      </c>
      <c r="E335" t="s">
        <v>6649</v>
      </c>
      <c r="F335" t="s">
        <v>3191</v>
      </c>
      <c r="G335" t="s">
        <v>1794</v>
      </c>
      <c r="H335" t="s">
        <v>2709</v>
      </c>
      <c r="I335" t="s">
        <v>5977</v>
      </c>
      <c r="J335" t="s">
        <v>5977</v>
      </c>
      <c r="K335" t="s">
        <v>5977</v>
      </c>
      <c r="L335" t="s">
        <v>5976</v>
      </c>
      <c r="M335" t="s">
        <v>5976</v>
      </c>
      <c r="N335" t="s">
        <v>5976</v>
      </c>
      <c r="O335">
        <v>1</v>
      </c>
      <c r="P335" t="s">
        <v>5977</v>
      </c>
    </row>
    <row r="336" spans="1:16" x14ac:dyDescent="0.35">
      <c r="A336" t="s">
        <v>5974</v>
      </c>
      <c r="B336" t="s">
        <v>6349</v>
      </c>
      <c r="C336" s="52" t="s">
        <v>4124</v>
      </c>
      <c r="D336" t="s">
        <v>6650</v>
      </c>
      <c r="E336" t="s">
        <v>6246</v>
      </c>
      <c r="F336" t="s">
        <v>1772</v>
      </c>
      <c r="G336" t="s">
        <v>2716</v>
      </c>
      <c r="H336" t="s">
        <v>2732</v>
      </c>
      <c r="I336" t="s">
        <v>6011</v>
      </c>
      <c r="J336" t="s">
        <v>5981</v>
      </c>
      <c r="K336" t="s">
        <v>5981</v>
      </c>
      <c r="L336">
        <v>46172</v>
      </c>
      <c r="M336" t="s">
        <v>5976</v>
      </c>
      <c r="N336" t="s">
        <v>5976</v>
      </c>
      <c r="O336" t="s">
        <v>5976</v>
      </c>
      <c r="P336" t="s">
        <v>5976</v>
      </c>
    </row>
    <row r="337" spans="1:16" x14ac:dyDescent="0.35">
      <c r="A337" t="s">
        <v>61</v>
      </c>
      <c r="B337" t="s">
        <v>6351</v>
      </c>
      <c r="C337" s="52" t="s">
        <v>801</v>
      </c>
      <c r="D337" t="s">
        <v>6651</v>
      </c>
      <c r="E337" t="s">
        <v>6652</v>
      </c>
      <c r="F337" t="s">
        <v>6580</v>
      </c>
      <c r="G337" t="s">
        <v>5423</v>
      </c>
      <c r="H337" t="s">
        <v>5976</v>
      </c>
      <c r="I337" t="s">
        <v>5977</v>
      </c>
      <c r="J337" t="s">
        <v>5976</v>
      </c>
      <c r="K337" t="s">
        <v>5977</v>
      </c>
      <c r="L337" t="s">
        <v>5976</v>
      </c>
      <c r="M337" t="s">
        <v>5976</v>
      </c>
      <c r="N337" t="s">
        <v>5976</v>
      </c>
      <c r="O337" t="s">
        <v>5976</v>
      </c>
    </row>
    <row r="338" spans="1:16" x14ac:dyDescent="0.35">
      <c r="A338" t="s">
        <v>5974</v>
      </c>
      <c r="B338" t="s">
        <v>5987</v>
      </c>
      <c r="C338" s="52" t="s">
        <v>6589</v>
      </c>
      <c r="D338" t="s">
        <v>6653</v>
      </c>
      <c r="E338" t="s">
        <v>5976</v>
      </c>
      <c r="F338" t="s">
        <v>6597</v>
      </c>
      <c r="G338" t="s">
        <v>2716</v>
      </c>
      <c r="H338" t="s">
        <v>5976</v>
      </c>
      <c r="I338" t="s">
        <v>6011</v>
      </c>
      <c r="J338" t="s">
        <v>5981</v>
      </c>
      <c r="K338" t="s">
        <v>5977</v>
      </c>
      <c r="L338" t="s">
        <v>5976</v>
      </c>
      <c r="M338" t="s">
        <v>5976</v>
      </c>
      <c r="N338" t="s">
        <v>5976</v>
      </c>
      <c r="O338" t="s">
        <v>5976</v>
      </c>
      <c r="P338" t="s">
        <v>5976</v>
      </c>
    </row>
    <row r="339" spans="1:16" x14ac:dyDescent="0.35">
      <c r="A339" t="s">
        <v>5974</v>
      </c>
      <c r="B339" t="s">
        <v>6354</v>
      </c>
      <c r="C339" s="52" t="s">
        <v>27</v>
      </c>
      <c r="D339" t="s">
        <v>6654</v>
      </c>
      <c r="E339" t="s">
        <v>5976</v>
      </c>
      <c r="F339" t="s">
        <v>25</v>
      </c>
      <c r="G339" t="s">
        <v>5423</v>
      </c>
      <c r="H339" t="s">
        <v>2709</v>
      </c>
      <c r="I339" t="s">
        <v>5981</v>
      </c>
      <c r="J339" t="s">
        <v>5981</v>
      </c>
      <c r="K339" t="s">
        <v>5981</v>
      </c>
      <c r="L339" t="s">
        <v>5976</v>
      </c>
      <c r="M339" t="s">
        <v>5976</v>
      </c>
      <c r="N339" t="s">
        <v>5976</v>
      </c>
      <c r="O339" t="s">
        <v>5976</v>
      </c>
      <c r="P339" t="s">
        <v>5976</v>
      </c>
    </row>
    <row r="340" spans="1:16" x14ac:dyDescent="0.35">
      <c r="A340" t="s">
        <v>5974</v>
      </c>
      <c r="B340" t="s">
        <v>6356</v>
      </c>
      <c r="C340" s="52" t="s">
        <v>30</v>
      </c>
      <c r="D340" t="s">
        <v>6655</v>
      </c>
      <c r="E340" t="s">
        <v>5976</v>
      </c>
      <c r="F340" t="s">
        <v>25</v>
      </c>
      <c r="G340" t="s">
        <v>5423</v>
      </c>
      <c r="H340" t="s">
        <v>2709</v>
      </c>
      <c r="I340" t="s">
        <v>5981</v>
      </c>
      <c r="J340" t="s">
        <v>5981</v>
      </c>
      <c r="K340" t="s">
        <v>5981</v>
      </c>
      <c r="L340" t="s">
        <v>5976</v>
      </c>
      <c r="M340" t="s">
        <v>5976</v>
      </c>
      <c r="N340" t="s">
        <v>5976</v>
      </c>
      <c r="O340" t="s">
        <v>5976</v>
      </c>
      <c r="P340" t="s">
        <v>5976</v>
      </c>
    </row>
    <row r="341" spans="1:16" x14ac:dyDescent="0.35">
      <c r="A341" t="s">
        <v>5974</v>
      </c>
      <c r="B341" t="s">
        <v>6359</v>
      </c>
      <c r="C341" s="52" t="s">
        <v>2036</v>
      </c>
      <c r="D341" t="s">
        <v>2125</v>
      </c>
      <c r="E341" t="s">
        <v>6656</v>
      </c>
      <c r="F341" t="s">
        <v>3191</v>
      </c>
      <c r="G341" t="s">
        <v>5423</v>
      </c>
      <c r="H341" t="s">
        <v>5976</v>
      </c>
      <c r="I341" t="s">
        <v>5976</v>
      </c>
      <c r="J341" t="s">
        <v>5976</v>
      </c>
      <c r="K341" t="s">
        <v>5977</v>
      </c>
      <c r="L341" t="s">
        <v>5976</v>
      </c>
      <c r="M341" t="s">
        <v>5976</v>
      </c>
      <c r="N341" t="s">
        <v>5976</v>
      </c>
      <c r="O341" t="s">
        <v>5976</v>
      </c>
      <c r="P341" t="s">
        <v>5976</v>
      </c>
    </row>
    <row r="342" spans="1:16" x14ac:dyDescent="0.35">
      <c r="A342" t="s">
        <v>5974</v>
      </c>
      <c r="B342" t="s">
        <v>6361</v>
      </c>
      <c r="C342" s="52" t="s">
        <v>1450</v>
      </c>
      <c r="D342" t="s">
        <v>6657</v>
      </c>
      <c r="E342" t="s">
        <v>6658</v>
      </c>
      <c r="F342" t="s">
        <v>1772</v>
      </c>
      <c r="G342" t="s">
        <v>5423</v>
      </c>
      <c r="H342" t="s">
        <v>5976</v>
      </c>
      <c r="I342" t="s">
        <v>5977</v>
      </c>
      <c r="J342" t="s">
        <v>5976</v>
      </c>
      <c r="K342" t="s">
        <v>5977</v>
      </c>
      <c r="L342" t="s">
        <v>5976</v>
      </c>
      <c r="M342" t="s">
        <v>5976</v>
      </c>
      <c r="N342" t="s">
        <v>5976</v>
      </c>
      <c r="O342" t="s">
        <v>5976</v>
      </c>
      <c r="P342" t="s">
        <v>5976</v>
      </c>
    </row>
    <row r="343" spans="1:16" x14ac:dyDescent="0.35">
      <c r="A343" t="s">
        <v>5974</v>
      </c>
      <c r="B343" t="s">
        <v>6363</v>
      </c>
      <c r="C343" s="52" t="s">
        <v>4028</v>
      </c>
      <c r="D343" t="s">
        <v>6659</v>
      </c>
      <c r="F343" t="s">
        <v>1772</v>
      </c>
      <c r="G343" t="s">
        <v>2716</v>
      </c>
      <c r="H343" t="s">
        <v>2732</v>
      </c>
      <c r="I343" t="s">
        <v>6011</v>
      </c>
      <c r="K343" t="s">
        <v>6011</v>
      </c>
      <c r="L343">
        <v>46171</v>
      </c>
    </row>
    <row r="344" spans="1:16" x14ac:dyDescent="0.35">
      <c r="A344" t="s">
        <v>5974</v>
      </c>
      <c r="B344" t="s">
        <v>5990</v>
      </c>
      <c r="C344" s="52" t="s">
        <v>6589</v>
      </c>
      <c r="D344" t="s">
        <v>6660</v>
      </c>
      <c r="E344" t="s">
        <v>6661</v>
      </c>
      <c r="F344" t="s">
        <v>6597</v>
      </c>
      <c r="G344" t="s">
        <v>5423</v>
      </c>
      <c r="H344" t="s">
        <v>6597</v>
      </c>
    </row>
    <row r="345" spans="1:16" x14ac:dyDescent="0.35">
      <c r="A345" t="s">
        <v>5974</v>
      </c>
      <c r="B345" t="s">
        <v>6366</v>
      </c>
      <c r="C345" s="52" t="s">
        <v>2380</v>
      </c>
      <c r="D345" t="s">
        <v>6662</v>
      </c>
      <c r="F345" t="s">
        <v>6636</v>
      </c>
      <c r="H345" t="s">
        <v>2732</v>
      </c>
      <c r="I345" t="s">
        <v>6011</v>
      </c>
      <c r="J345" t="s">
        <v>5977</v>
      </c>
      <c r="K345" t="s">
        <v>5977</v>
      </c>
      <c r="L345">
        <v>46158</v>
      </c>
      <c r="P345" t="s">
        <v>5981</v>
      </c>
    </row>
    <row r="346" spans="1:16" x14ac:dyDescent="0.35">
      <c r="A346" t="s">
        <v>61</v>
      </c>
      <c r="B346" t="s">
        <v>6277</v>
      </c>
      <c r="C346" s="52" t="s">
        <v>5951</v>
      </c>
      <c r="D346" t="s">
        <v>6663</v>
      </c>
      <c r="F346" t="s">
        <v>229</v>
      </c>
      <c r="I346" t="s">
        <v>6011</v>
      </c>
    </row>
    <row r="347" spans="1:16" x14ac:dyDescent="0.35">
      <c r="A347" t="s">
        <v>6588</v>
      </c>
      <c r="C347" s="52" t="s">
        <v>6589</v>
      </c>
      <c r="D347" t="s">
        <v>6664</v>
      </c>
      <c r="F347" t="s">
        <v>6631</v>
      </c>
      <c r="G347" t="s">
        <v>2716</v>
      </c>
    </row>
    <row r="348" spans="1:16" x14ac:dyDescent="0.35">
      <c r="A348" t="s">
        <v>5974</v>
      </c>
      <c r="C348" s="52" t="s">
        <v>4198</v>
      </c>
      <c r="D348" t="s">
        <v>6665</v>
      </c>
      <c r="E348" t="s">
        <v>6666</v>
      </c>
      <c r="F348" t="s">
        <v>6597</v>
      </c>
    </row>
    <row r="349" spans="1:16" x14ac:dyDescent="0.35">
      <c r="A349" t="s">
        <v>5974</v>
      </c>
      <c r="C349" s="52" t="s">
        <v>5940</v>
      </c>
      <c r="D349" t="s">
        <v>6667</v>
      </c>
      <c r="F349" t="s">
        <v>6631</v>
      </c>
      <c r="G349" t="s">
        <v>2716</v>
      </c>
      <c r="H349" t="s">
        <v>2732</v>
      </c>
      <c r="L349">
        <v>46222</v>
      </c>
    </row>
    <row r="350" spans="1:16" x14ac:dyDescent="0.35">
      <c r="A350" t="s">
        <v>61</v>
      </c>
      <c r="C350" s="52" t="s">
        <v>5950</v>
      </c>
      <c r="D350" t="s">
        <v>6668</v>
      </c>
      <c r="E350" t="s">
        <v>6669</v>
      </c>
      <c r="F350" t="s">
        <v>6580</v>
      </c>
      <c r="G350" t="s">
        <v>2716</v>
      </c>
      <c r="K350" t="s">
        <v>6011</v>
      </c>
      <c r="L350">
        <v>46146</v>
      </c>
      <c r="O350">
        <v>0</v>
      </c>
      <c r="P350" t="s">
        <v>6011</v>
      </c>
    </row>
    <row r="351" spans="1:16" x14ac:dyDescent="0.35">
      <c r="A351" t="s">
        <v>5974</v>
      </c>
      <c r="C351" s="52" t="s">
        <v>1717</v>
      </c>
      <c r="D351" t="s">
        <v>6670</v>
      </c>
      <c r="E351" t="s">
        <v>6671</v>
      </c>
      <c r="F351" t="s">
        <v>6597</v>
      </c>
      <c r="G351" t="s">
        <v>6090</v>
      </c>
      <c r="L351">
        <v>46121</v>
      </c>
      <c r="O351">
        <v>0</v>
      </c>
      <c r="P351" t="s">
        <v>6011</v>
      </c>
    </row>
    <row r="352" spans="1:16" x14ac:dyDescent="0.35">
      <c r="A352" t="s">
        <v>5974</v>
      </c>
      <c r="C352" s="52" t="s">
        <v>339</v>
      </c>
      <c r="D352" t="s">
        <v>340</v>
      </c>
      <c r="F352" t="s">
        <v>229</v>
      </c>
      <c r="G352" t="s">
        <v>5423</v>
      </c>
      <c r="L352">
        <v>46163</v>
      </c>
    </row>
    <row r="353" spans="1:12" x14ac:dyDescent="0.35">
      <c r="A353" t="s">
        <v>61</v>
      </c>
      <c r="C353" s="52" t="s">
        <v>2452</v>
      </c>
      <c r="D353" t="s">
        <v>6672</v>
      </c>
      <c r="E353" t="s">
        <v>6673</v>
      </c>
      <c r="F353" t="s">
        <v>1772</v>
      </c>
      <c r="G353" t="s">
        <v>1794</v>
      </c>
      <c r="H353" t="s">
        <v>2732</v>
      </c>
      <c r="L353">
        <v>46163</v>
      </c>
    </row>
    <row r="354" spans="1:12" x14ac:dyDescent="0.35">
      <c r="A354" t="s">
        <v>5974</v>
      </c>
      <c r="C354" s="52" t="s">
        <v>6674</v>
      </c>
      <c r="D354" t="s">
        <v>6675</v>
      </c>
      <c r="F354" t="s">
        <v>6676</v>
      </c>
      <c r="G354" t="s">
        <v>2716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8877-A186-4A2A-8DC1-715C7712717C}">
  <dimension ref="C3:C4"/>
  <sheetViews>
    <sheetView workbookViewId="0">
      <selection activeCell="C5" sqref="C5"/>
    </sheetView>
  </sheetViews>
  <sheetFormatPr defaultRowHeight="14.5" x14ac:dyDescent="0.35"/>
  <cols>
    <col min="3" max="3" width="19.08984375" bestFit="1" customWidth="1"/>
  </cols>
  <sheetData>
    <row r="3" spans="3:3" x14ac:dyDescent="0.35">
      <c r="C3" t="s">
        <v>5936</v>
      </c>
    </row>
    <row r="4" spans="3:3" x14ac:dyDescent="0.35">
      <c r="C4" t="s">
        <v>5937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E1B1-318C-499F-BF8A-ADCCB6DF3A84}">
  <dimension ref="A1:AW402"/>
  <sheetViews>
    <sheetView workbookViewId="0">
      <pane xSplit="2" ySplit="1" topLeftCell="J216" activePane="bottomRight" state="frozen"/>
      <selection pane="topRight" activeCell="C1" sqref="C1"/>
      <selection pane="bottomLeft" activeCell="A2" sqref="A2"/>
      <selection pane="bottomRight" activeCell="P364" sqref="P364"/>
    </sheetView>
  </sheetViews>
  <sheetFormatPr defaultRowHeight="14.5" outlineLevelCol="1" x14ac:dyDescent="0.35"/>
  <cols>
    <col min="1" max="1" width="4.90625" bestFit="1" customWidth="1"/>
    <col min="2" max="2" width="17.54296875" bestFit="1" customWidth="1"/>
    <col min="3" max="3" width="15.6328125" bestFit="1" customWidth="1"/>
    <col min="4" max="4" width="67.6328125" hidden="1" customWidth="1"/>
    <col min="5" max="5" width="14.81640625" bestFit="1" customWidth="1"/>
    <col min="6" max="6" width="14.26953125" bestFit="1" customWidth="1"/>
    <col min="7" max="7" width="16.08984375" bestFit="1" customWidth="1"/>
    <col min="8" max="8" width="25.81640625" bestFit="1" customWidth="1"/>
    <col min="9" max="9" width="25.54296875" bestFit="1" customWidth="1"/>
    <col min="10" max="10" width="7.6328125" bestFit="1" customWidth="1"/>
    <col min="11" max="11" width="7.36328125" bestFit="1" customWidth="1"/>
    <col min="12" max="12" width="15.26953125" bestFit="1" customWidth="1"/>
    <col min="13" max="13" width="14.08984375" bestFit="1" customWidth="1"/>
    <col min="14" max="14" width="19.81640625" bestFit="1" customWidth="1"/>
    <col min="15" max="15" width="16.6328125" bestFit="1" customWidth="1"/>
    <col min="16" max="16" width="38" customWidth="1"/>
    <col min="17" max="17" width="10.6328125" bestFit="1" customWidth="1"/>
    <col min="18" max="18" width="13.1796875" hidden="1" customWidth="1" outlineLevel="1"/>
    <col min="19" max="19" width="20.453125" hidden="1" customWidth="1" outlineLevel="1"/>
    <col min="20" max="20" width="14.36328125" hidden="1" customWidth="1" outlineLevel="1"/>
    <col min="21" max="21" width="20.6328125" hidden="1" customWidth="1" outlineLevel="1"/>
    <col min="22" max="22" width="18.1796875" hidden="1" customWidth="1" outlineLevel="1"/>
    <col min="23" max="23" width="16.81640625" hidden="1" customWidth="1" outlineLevel="1"/>
    <col min="24" max="24" width="80.7265625" hidden="1" customWidth="1" outlineLevel="1"/>
    <col min="25" max="25" width="30.08984375" bestFit="1" customWidth="1" collapsed="1"/>
    <col min="26" max="26" width="25.08984375" hidden="1" customWidth="1" outlineLevel="1"/>
    <col min="27" max="27" width="20.90625" hidden="1" customWidth="1" outlineLevel="1"/>
    <col min="28" max="28" width="20" bestFit="1" customWidth="1" collapsed="1"/>
    <col min="29" max="29" width="14.08984375" bestFit="1" customWidth="1"/>
    <col min="30" max="30" width="12.54296875" customWidth="1" outlineLevel="1"/>
    <col min="31" max="31" width="8.1796875" customWidth="1" outlineLevel="1"/>
    <col min="32" max="32" width="80.7265625" customWidth="1" outlineLevel="1"/>
    <col min="33" max="33" width="28.453125" customWidth="1" outlineLevel="1"/>
    <col min="34" max="34" width="14.81640625" customWidth="1" outlineLevel="1"/>
    <col min="35" max="35" width="7.08984375" customWidth="1" outlineLevel="1"/>
    <col min="36" max="36" width="12.7265625" customWidth="1" outlineLevel="1"/>
    <col min="37" max="37" width="40.6328125" bestFit="1" customWidth="1"/>
    <col min="38" max="38" width="80.7265625" bestFit="1" customWidth="1"/>
    <col min="39" max="39" width="17.54296875" customWidth="1" outlineLevel="1"/>
    <col min="40" max="40" width="25.6328125" customWidth="1" outlineLevel="1"/>
    <col min="41" max="41" width="51.26953125" customWidth="1" outlineLevel="1"/>
    <col min="42" max="42" width="35.453125" customWidth="1" outlineLevel="1"/>
    <col min="43" max="43" width="29.90625" customWidth="1" outlineLevel="1"/>
    <col min="44" max="44" width="30.6328125" customWidth="1" outlineLevel="1"/>
    <col min="45" max="45" width="28.08984375" customWidth="1" outlineLevel="1"/>
    <col min="46" max="46" width="20.54296875" customWidth="1" outlineLevel="1"/>
    <col min="47" max="47" width="28.36328125" customWidth="1" outlineLevel="1"/>
    <col min="48" max="48" width="10.1796875" customWidth="1" outlineLevel="1"/>
    <col min="49" max="49" width="62.36328125" customWidth="1"/>
    <col min="50" max="51" width="80.7265625" bestFit="1" customWidth="1"/>
  </cols>
  <sheetData>
    <row r="1" spans="1:49" x14ac:dyDescent="0.35">
      <c r="A1" t="s">
        <v>2655</v>
      </c>
      <c r="B1" t="s">
        <v>1</v>
      </c>
      <c r="C1" t="s">
        <v>2656</v>
      </c>
      <c r="D1" t="s">
        <v>2657</v>
      </c>
      <c r="E1" t="s">
        <v>2658</v>
      </c>
      <c r="F1" t="s">
        <v>2659</v>
      </c>
      <c r="G1" t="s">
        <v>2660</v>
      </c>
      <c r="H1" t="s">
        <v>2661</v>
      </c>
      <c r="I1" t="s">
        <v>2662</v>
      </c>
      <c r="J1" t="s">
        <v>2663</v>
      </c>
      <c r="K1" t="s">
        <v>2664</v>
      </c>
      <c r="L1" t="s">
        <v>2665</v>
      </c>
      <c r="M1" t="s">
        <v>2666</v>
      </c>
      <c r="N1" t="s">
        <v>2667</v>
      </c>
      <c r="O1" t="s">
        <v>2668</v>
      </c>
      <c r="P1" t="s">
        <v>2669</v>
      </c>
      <c r="Q1" t="s">
        <v>2670</v>
      </c>
      <c r="R1" t="s">
        <v>2671</v>
      </c>
      <c r="S1" t="s">
        <v>2672</v>
      </c>
      <c r="T1" t="s">
        <v>2673</v>
      </c>
      <c r="U1" t="s">
        <v>2674</v>
      </c>
      <c r="V1" t="s">
        <v>2675</v>
      </c>
      <c r="W1" t="s">
        <v>2676</v>
      </c>
      <c r="X1" t="s">
        <v>2677</v>
      </c>
      <c r="Y1" t="s">
        <v>2678</v>
      </c>
      <c r="Z1" t="s">
        <v>2679</v>
      </c>
      <c r="AA1" t="s">
        <v>2680</v>
      </c>
      <c r="AB1" t="s">
        <v>2681</v>
      </c>
      <c r="AC1" t="s">
        <v>2682</v>
      </c>
      <c r="AD1" t="s">
        <v>2683</v>
      </c>
      <c r="AE1" t="s">
        <v>2684</v>
      </c>
      <c r="AF1" t="s">
        <v>2685</v>
      </c>
      <c r="AG1" t="s">
        <v>2686</v>
      </c>
      <c r="AH1" t="s">
        <v>2687</v>
      </c>
      <c r="AI1" t="s">
        <v>2688</v>
      </c>
      <c r="AJ1" t="s">
        <v>2689</v>
      </c>
      <c r="AK1" t="s">
        <v>2690</v>
      </c>
      <c r="AL1" t="s">
        <v>2691</v>
      </c>
      <c r="AM1" t="s">
        <v>2692</v>
      </c>
      <c r="AN1" t="s">
        <v>2693</v>
      </c>
      <c r="AO1" t="s">
        <v>2694</v>
      </c>
      <c r="AP1" t="s">
        <v>2695</v>
      </c>
      <c r="AQ1" t="s">
        <v>2696</v>
      </c>
      <c r="AR1" t="s">
        <v>2697</v>
      </c>
      <c r="AS1" t="s">
        <v>2698</v>
      </c>
      <c r="AT1" t="s">
        <v>2699</v>
      </c>
      <c r="AU1" t="s">
        <v>2700</v>
      </c>
      <c r="AV1" t="s">
        <v>2701</v>
      </c>
      <c r="AW1" t="s">
        <v>6683</v>
      </c>
    </row>
    <row r="2" spans="1:49" hidden="1" x14ac:dyDescent="0.35">
      <c r="A2">
        <v>1</v>
      </c>
      <c r="B2" t="s">
        <v>2376</v>
      </c>
      <c r="C2" t="s">
        <v>2702</v>
      </c>
      <c r="D2" t="s">
        <v>2703</v>
      </c>
      <c r="E2">
        <v>2026</v>
      </c>
      <c r="F2">
        <v>3</v>
      </c>
      <c r="G2">
        <v>8</v>
      </c>
      <c r="H2">
        <v>12</v>
      </c>
      <c r="J2" t="s">
        <v>2244</v>
      </c>
      <c r="K2" t="s">
        <v>2704</v>
      </c>
      <c r="L2" t="s">
        <v>2705</v>
      </c>
      <c r="M2" t="s">
        <v>2706</v>
      </c>
      <c r="N2" t="s">
        <v>2707</v>
      </c>
      <c r="O2" t="s">
        <v>2708</v>
      </c>
      <c r="Q2" t="s">
        <v>2709</v>
      </c>
      <c r="R2">
        <v>8</v>
      </c>
      <c r="S2" t="s">
        <v>2710</v>
      </c>
      <c r="T2" t="s">
        <v>2711</v>
      </c>
      <c r="U2" t="s">
        <v>2712</v>
      </c>
      <c r="V2">
        <v>1</v>
      </c>
      <c r="W2" t="s">
        <v>2713</v>
      </c>
      <c r="X2" t="s">
        <v>2714</v>
      </c>
      <c r="Z2" t="s">
        <v>2715</v>
      </c>
      <c r="AB2" t="s">
        <v>2716</v>
      </c>
      <c r="AC2" t="s">
        <v>2717</v>
      </c>
      <c r="AE2">
        <v>0</v>
      </c>
      <c r="AF2" t="s">
        <v>2718</v>
      </c>
      <c r="AH2" t="s">
        <v>76</v>
      </c>
      <c r="AI2">
        <v>46235</v>
      </c>
      <c r="AJ2">
        <v>8</v>
      </c>
      <c r="AK2" t="s">
        <v>2719</v>
      </c>
      <c r="AL2" t="s">
        <v>2719</v>
      </c>
      <c r="AM2" t="s">
        <v>2720</v>
      </c>
      <c r="AN2" t="s">
        <v>2721</v>
      </c>
      <c r="AO2" t="s">
        <v>2722</v>
      </c>
      <c r="AP2">
        <v>580</v>
      </c>
      <c r="AQ2" t="s">
        <v>2723</v>
      </c>
      <c r="AR2" t="s">
        <v>2724</v>
      </c>
      <c r="AS2">
        <v>144</v>
      </c>
      <c r="AT2" t="s">
        <v>2725</v>
      </c>
      <c r="AW2" t="str">
        <f>Plan_2026[[#This Row],[Tên brand]]&amp;" "&amp;Plan_2026[[#This Row],[Trục đường chính]]&amp;Plan_2026[[#This Row],[Tên mall
(chuẩn hóa)]]&amp;Plan_2026[[#This Row],[Địa chỉ đầy đủ]]</f>
        <v>Gogi House Châu Phú B, Châu Đốc, An Giang</v>
      </c>
    </row>
    <row r="3" spans="1:49" hidden="1" x14ac:dyDescent="0.35">
      <c r="A3">
        <v>2</v>
      </c>
      <c r="B3" t="s">
        <v>2726</v>
      </c>
      <c r="C3" t="s">
        <v>2727</v>
      </c>
      <c r="D3" t="s">
        <v>2728</v>
      </c>
      <c r="E3">
        <v>2026</v>
      </c>
      <c r="F3">
        <v>3</v>
      </c>
      <c r="G3">
        <v>7</v>
      </c>
      <c r="H3">
        <v>11</v>
      </c>
      <c r="J3" t="s">
        <v>2244</v>
      </c>
      <c r="K3" t="s">
        <v>2704</v>
      </c>
      <c r="L3" t="s">
        <v>2705</v>
      </c>
      <c r="M3" t="s">
        <v>2706</v>
      </c>
      <c r="N3" t="s">
        <v>2729</v>
      </c>
      <c r="O3" t="s">
        <v>2730</v>
      </c>
      <c r="P3" t="s">
        <v>2731</v>
      </c>
      <c r="Q3" t="s">
        <v>2732</v>
      </c>
      <c r="R3">
        <v>6</v>
      </c>
      <c r="S3" t="s">
        <v>2733</v>
      </c>
      <c r="T3" t="s">
        <v>2734</v>
      </c>
      <c r="U3" t="s">
        <v>2712</v>
      </c>
      <c r="V3">
        <v>1</v>
      </c>
      <c r="W3" t="s">
        <v>2735</v>
      </c>
      <c r="X3" t="s">
        <v>2736</v>
      </c>
      <c r="Y3" t="s">
        <v>2737</v>
      </c>
      <c r="Z3">
        <v>180</v>
      </c>
      <c r="AB3" t="s">
        <v>2716</v>
      </c>
      <c r="AC3" t="s">
        <v>2738</v>
      </c>
      <c r="AE3">
        <v>0</v>
      </c>
      <c r="AF3" t="s">
        <v>2739</v>
      </c>
      <c r="AH3" t="s">
        <v>1019</v>
      </c>
      <c r="AI3">
        <v>46204</v>
      </c>
      <c r="AJ3">
        <v>7</v>
      </c>
      <c r="AK3" t="s">
        <v>2740</v>
      </c>
      <c r="AL3" t="s">
        <v>2741</v>
      </c>
      <c r="AM3" t="s">
        <v>2742</v>
      </c>
      <c r="AN3" t="s">
        <v>2743</v>
      </c>
      <c r="AO3" t="s">
        <v>2744</v>
      </c>
      <c r="AP3">
        <v>5022</v>
      </c>
      <c r="AQ3" t="s">
        <v>2745</v>
      </c>
      <c r="AR3" t="s">
        <v>2746</v>
      </c>
      <c r="AS3">
        <v>17</v>
      </c>
      <c r="AT3" t="s">
        <v>2747</v>
      </c>
      <c r="AW3" t="str">
        <f>Plan_2026[[#This Row],[Tên brand]]&amp;" "&amp;Plan_2026[[#This Row],[Trục đường chính]]&amp;Plan_2026[[#This Row],[Tên mall
(chuẩn hóa)]]&amp;Plan_2026[[#This Row],[Địa chỉ đầy đủ]]</f>
        <v>CloudPot Số 1242, Đường Trần Hưng ĐạoVincom Plaza Long XuyênSố 1242, Đường Trần Hưng Đạo, Mỹ Bình, Long Xuyên, An Giang</v>
      </c>
    </row>
    <row r="4" spans="1:49" hidden="1" x14ac:dyDescent="0.35">
      <c r="A4">
        <v>3</v>
      </c>
      <c r="B4" t="s">
        <v>2748</v>
      </c>
      <c r="C4" t="s">
        <v>62</v>
      </c>
      <c r="D4" t="s">
        <v>2749</v>
      </c>
      <c r="E4">
        <v>2026</v>
      </c>
      <c r="F4">
        <v>3</v>
      </c>
      <c r="G4">
        <v>7</v>
      </c>
      <c r="H4">
        <v>11</v>
      </c>
      <c r="J4" t="s">
        <v>2244</v>
      </c>
      <c r="K4" t="s">
        <v>2704</v>
      </c>
      <c r="L4" t="s">
        <v>2705</v>
      </c>
      <c r="M4" t="s">
        <v>2706</v>
      </c>
      <c r="N4" t="s">
        <v>2729</v>
      </c>
      <c r="O4" t="s">
        <v>2730</v>
      </c>
      <c r="P4" t="s">
        <v>2750</v>
      </c>
      <c r="Q4" t="s">
        <v>2732</v>
      </c>
      <c r="R4" t="s">
        <v>2751</v>
      </c>
      <c r="S4" t="s">
        <v>2751</v>
      </c>
      <c r="T4" t="s">
        <v>2712</v>
      </c>
      <c r="U4" t="s">
        <v>2712</v>
      </c>
      <c r="V4">
        <v>1</v>
      </c>
      <c r="W4" t="s">
        <v>2735</v>
      </c>
      <c r="X4" t="s">
        <v>2737</v>
      </c>
      <c r="Y4" t="s">
        <v>2737</v>
      </c>
      <c r="Z4">
        <v>300</v>
      </c>
      <c r="AB4" t="s">
        <v>2716</v>
      </c>
      <c r="AC4" t="s">
        <v>2738</v>
      </c>
      <c r="AE4">
        <v>0</v>
      </c>
      <c r="AH4" t="s">
        <v>61</v>
      </c>
      <c r="AI4">
        <v>46204</v>
      </c>
      <c r="AJ4">
        <v>7</v>
      </c>
      <c r="AK4" t="s">
        <v>2740</v>
      </c>
      <c r="AL4" t="s">
        <v>2752</v>
      </c>
      <c r="AM4" t="s">
        <v>2742</v>
      </c>
      <c r="AN4" t="s">
        <v>2753</v>
      </c>
      <c r="AO4" t="s">
        <v>2754</v>
      </c>
      <c r="AP4">
        <v>5022</v>
      </c>
      <c r="AQ4" t="s">
        <v>2745</v>
      </c>
      <c r="AR4" t="s">
        <v>2746</v>
      </c>
      <c r="AS4">
        <v>25</v>
      </c>
      <c r="AT4" t="s">
        <v>2755</v>
      </c>
      <c r="AW4" t="str">
        <f>Plan_2026[[#This Row],[Tên brand]]&amp;" "&amp;Plan_2026[[#This Row],[Trục đường chính]]&amp;Plan_2026[[#This Row],[Tên mall
(chuẩn hóa)]]&amp;Plan_2026[[#This Row],[Địa chỉ đầy đủ]]</f>
        <v>Isushi 1242 Trần Hưng ĐạoVincom Plaza Long Xuyên1242 Trần Hưng Đạo, Mỹ Bình, Long Xuyên, An Giang</v>
      </c>
    </row>
    <row r="5" spans="1:49" hidden="1" x14ac:dyDescent="0.35">
      <c r="A5">
        <v>377</v>
      </c>
      <c r="B5" t="s">
        <v>2756</v>
      </c>
      <c r="C5" t="s">
        <v>2008</v>
      </c>
      <c r="D5" t="s">
        <v>2728</v>
      </c>
      <c r="E5">
        <v>2026</v>
      </c>
      <c r="F5">
        <v>1</v>
      </c>
      <c r="G5">
        <v>2</v>
      </c>
      <c r="H5">
        <v>6</v>
      </c>
      <c r="J5" t="s">
        <v>2244</v>
      </c>
      <c r="K5" t="s">
        <v>2704</v>
      </c>
      <c r="L5" t="s">
        <v>2757</v>
      </c>
      <c r="M5" t="s">
        <v>2758</v>
      </c>
      <c r="N5" t="s">
        <v>2759</v>
      </c>
      <c r="O5" t="s">
        <v>2760</v>
      </c>
      <c r="P5" t="s">
        <v>2761</v>
      </c>
      <c r="Q5" t="s">
        <v>2709</v>
      </c>
      <c r="R5" t="s">
        <v>2751</v>
      </c>
      <c r="S5" t="s">
        <v>2751</v>
      </c>
      <c r="T5">
        <v>300</v>
      </c>
      <c r="U5" t="s">
        <v>2762</v>
      </c>
      <c r="V5">
        <v>1</v>
      </c>
      <c r="W5" t="s">
        <v>2735</v>
      </c>
      <c r="Z5">
        <v>160</v>
      </c>
      <c r="AB5" t="s">
        <v>1794</v>
      </c>
      <c r="AC5" t="s">
        <v>2763</v>
      </c>
      <c r="AE5">
        <v>1</v>
      </c>
      <c r="AF5" t="s">
        <v>2764</v>
      </c>
      <c r="AH5" t="s">
        <v>2044</v>
      </c>
      <c r="AI5">
        <v>46054</v>
      </c>
      <c r="AJ5">
        <v>2</v>
      </c>
      <c r="AK5" t="s">
        <v>2765</v>
      </c>
      <c r="AM5" t="s">
        <v>2766</v>
      </c>
      <c r="AN5" t="s">
        <v>2767</v>
      </c>
      <c r="AO5" t="s">
        <v>2768</v>
      </c>
      <c r="AP5">
        <v>7919</v>
      </c>
      <c r="AQ5" t="s">
        <v>2769</v>
      </c>
      <c r="AR5" t="s">
        <v>2770</v>
      </c>
      <c r="AS5">
        <v>6</v>
      </c>
      <c r="AT5" t="s">
        <v>2771</v>
      </c>
      <c r="AW5" t="str">
        <f>Plan_2026[[#This Row],[Tên brand]]&amp;" "&amp;Plan_2026[[#This Row],[Trục đường chính]]&amp;Plan_2026[[#This Row],[Tên mall
(chuẩn hóa)]]&amp;Plan_2026[[#This Row],[Địa chỉ đầy đủ]]</f>
        <v>Dao Niu Guo 251 – 251A Thống Nhất Mới.</v>
      </c>
    </row>
    <row r="6" spans="1:49" hidden="1" x14ac:dyDescent="0.35">
      <c r="A6">
        <v>4</v>
      </c>
      <c r="B6" t="s">
        <v>2160</v>
      </c>
      <c r="C6" t="s">
        <v>2772</v>
      </c>
      <c r="D6" t="s">
        <v>2773</v>
      </c>
      <c r="E6">
        <v>2025</v>
      </c>
      <c r="F6">
        <v>4</v>
      </c>
      <c r="G6">
        <v>10</v>
      </c>
      <c r="H6">
        <v>2</v>
      </c>
      <c r="I6">
        <v>2</v>
      </c>
      <c r="J6" t="s">
        <v>2241</v>
      </c>
      <c r="K6" t="s">
        <v>2774</v>
      </c>
      <c r="L6" t="s">
        <v>2775</v>
      </c>
      <c r="M6" t="s">
        <v>2776</v>
      </c>
      <c r="N6" t="s">
        <v>2775</v>
      </c>
      <c r="O6" t="s">
        <v>2777</v>
      </c>
      <c r="Q6" t="s">
        <v>2709</v>
      </c>
      <c r="R6" t="s">
        <v>2751</v>
      </c>
      <c r="S6" t="s">
        <v>2751</v>
      </c>
      <c r="T6" t="s">
        <v>2712</v>
      </c>
      <c r="U6" t="s">
        <v>2712</v>
      </c>
      <c r="V6">
        <v>1</v>
      </c>
      <c r="W6" t="s">
        <v>2713</v>
      </c>
      <c r="Z6">
        <v>200</v>
      </c>
      <c r="AB6" t="s">
        <v>1794</v>
      </c>
      <c r="AC6" t="s">
        <v>2778</v>
      </c>
      <c r="AE6">
        <v>0</v>
      </c>
      <c r="AF6" t="s">
        <v>2779</v>
      </c>
      <c r="AH6" t="s">
        <v>112</v>
      </c>
      <c r="AI6">
        <v>45931</v>
      </c>
      <c r="AJ6">
        <v>10</v>
      </c>
      <c r="AK6" t="s">
        <v>2780</v>
      </c>
      <c r="AL6" t="s">
        <v>2780</v>
      </c>
      <c r="AM6" t="s">
        <v>2781</v>
      </c>
      <c r="AN6" t="s">
        <v>2782</v>
      </c>
      <c r="AO6" t="s">
        <v>2783</v>
      </c>
      <c r="AP6">
        <v>8350</v>
      </c>
      <c r="AQ6" t="s">
        <v>2784</v>
      </c>
      <c r="AR6" t="s">
        <v>2785</v>
      </c>
      <c r="AS6">
        <v>55</v>
      </c>
      <c r="AT6" t="s">
        <v>2786</v>
      </c>
      <c r="AW6" t="str">
        <f>Plan_2026[[#This Row],[Tên brand]]&amp;" "&amp;Plan_2026[[#This Row],[Trục đường chính]]&amp;Plan_2026[[#This Row],[Tên mall
(chuẩn hóa)]]&amp;Plan_2026[[#This Row],[Địa chỉ đầy đủ]]</f>
        <v>Manwah Ngô Quyền, Bắc Giang, Bắc Giang</v>
      </c>
    </row>
    <row r="7" spans="1:49" hidden="1" x14ac:dyDescent="0.35">
      <c r="A7">
        <v>5</v>
      </c>
      <c r="B7" t="s">
        <v>2591</v>
      </c>
      <c r="C7" t="s">
        <v>2787</v>
      </c>
      <c r="D7" t="s">
        <v>2788</v>
      </c>
      <c r="E7">
        <v>2026</v>
      </c>
      <c r="F7">
        <v>2</v>
      </c>
      <c r="G7">
        <v>6</v>
      </c>
      <c r="H7">
        <v>10</v>
      </c>
      <c r="J7" t="s">
        <v>2241</v>
      </c>
      <c r="K7" t="s">
        <v>2774</v>
      </c>
      <c r="L7" t="s">
        <v>2775</v>
      </c>
      <c r="M7" t="s">
        <v>2776</v>
      </c>
      <c r="N7" t="s">
        <v>2775</v>
      </c>
      <c r="O7" t="s">
        <v>2777</v>
      </c>
      <c r="P7" t="s">
        <v>2789</v>
      </c>
      <c r="Q7" t="s">
        <v>2709</v>
      </c>
      <c r="R7" t="s">
        <v>2751</v>
      </c>
      <c r="S7" t="s">
        <v>2751</v>
      </c>
      <c r="T7" t="s">
        <v>2790</v>
      </c>
      <c r="U7" t="s">
        <v>2790</v>
      </c>
      <c r="V7">
        <v>1</v>
      </c>
      <c r="W7" t="s">
        <v>2713</v>
      </c>
      <c r="Z7">
        <v>132</v>
      </c>
      <c r="AB7" t="s">
        <v>2716</v>
      </c>
      <c r="AC7" t="s">
        <v>2738</v>
      </c>
      <c r="AE7">
        <v>0</v>
      </c>
      <c r="AF7" t="s">
        <v>2791</v>
      </c>
      <c r="AH7" t="s">
        <v>1788</v>
      </c>
      <c r="AI7">
        <v>46174</v>
      </c>
      <c r="AJ7">
        <v>6</v>
      </c>
      <c r="AK7" t="s">
        <v>2780</v>
      </c>
      <c r="AL7" t="s">
        <v>2792</v>
      </c>
      <c r="AM7" t="s">
        <v>2781</v>
      </c>
      <c r="AN7" t="s">
        <v>2793</v>
      </c>
      <c r="AO7" t="s">
        <v>2794</v>
      </c>
      <c r="AP7">
        <v>8350</v>
      </c>
      <c r="AQ7" t="s">
        <v>2784</v>
      </c>
      <c r="AR7" t="s">
        <v>2785</v>
      </c>
      <c r="AS7">
        <v>81</v>
      </c>
      <c r="AT7" t="s">
        <v>2795</v>
      </c>
      <c r="AW7" t="str">
        <f>Plan_2026[[#This Row],[Tên brand]]&amp;" "&amp;Plan_2026[[#This Row],[Trục đường chính]]&amp;Plan_2026[[#This Row],[Tên mall
(chuẩn hóa)]]&amp;Plan_2026[[#This Row],[Địa chỉ đầy đủ]]</f>
        <v>The Coffee House Ngô Gia Tự, Hùng VươngNgô Gia Tự, Hùng Vương, Ngô Quyền, Bắc Giang, Bắc Giang</v>
      </c>
    </row>
    <row r="8" spans="1:49" hidden="1" x14ac:dyDescent="0.35">
      <c r="A8">
        <v>6</v>
      </c>
      <c r="B8" t="s">
        <v>2575</v>
      </c>
      <c r="C8" t="s">
        <v>2787</v>
      </c>
      <c r="D8" t="s">
        <v>2788</v>
      </c>
      <c r="E8">
        <v>2026</v>
      </c>
      <c r="F8">
        <v>2</v>
      </c>
      <c r="G8">
        <v>5</v>
      </c>
      <c r="H8">
        <v>9</v>
      </c>
      <c r="J8" t="s">
        <v>2241</v>
      </c>
      <c r="K8" t="s">
        <v>2774</v>
      </c>
      <c r="L8" t="s">
        <v>2796</v>
      </c>
      <c r="M8" t="s">
        <v>2797</v>
      </c>
      <c r="N8" t="s">
        <v>2798</v>
      </c>
      <c r="O8" t="s">
        <v>2799</v>
      </c>
      <c r="Q8" t="s">
        <v>2732</v>
      </c>
      <c r="R8" t="s">
        <v>2710</v>
      </c>
      <c r="S8" t="s">
        <v>2710</v>
      </c>
      <c r="T8" t="s">
        <v>2800</v>
      </c>
      <c r="U8" t="s">
        <v>2800</v>
      </c>
      <c r="V8">
        <v>1</v>
      </c>
      <c r="W8" t="s">
        <v>2713</v>
      </c>
      <c r="X8" t="s">
        <v>2576</v>
      </c>
      <c r="Y8" t="s">
        <v>2801</v>
      </c>
      <c r="Z8">
        <v>132</v>
      </c>
      <c r="AB8" t="s">
        <v>2716</v>
      </c>
      <c r="AC8" t="s">
        <v>2738</v>
      </c>
      <c r="AE8">
        <v>0</v>
      </c>
      <c r="AH8" t="s">
        <v>1788</v>
      </c>
      <c r="AI8">
        <v>46143</v>
      </c>
      <c r="AJ8">
        <v>5</v>
      </c>
      <c r="AK8" t="s">
        <v>2802</v>
      </c>
      <c r="AL8" t="s">
        <v>2802</v>
      </c>
      <c r="AM8" t="s">
        <v>2803</v>
      </c>
      <c r="AN8" t="s">
        <v>2804</v>
      </c>
      <c r="AO8" t="s">
        <v>2805</v>
      </c>
      <c r="AP8">
        <v>3923</v>
      </c>
      <c r="AQ8" t="s">
        <v>2806</v>
      </c>
      <c r="AR8" t="s">
        <v>2807</v>
      </c>
      <c r="AS8">
        <v>81</v>
      </c>
      <c r="AT8" t="s">
        <v>2808</v>
      </c>
      <c r="AW8" t="str">
        <f>Plan_2026[[#This Row],[Tên brand]]&amp;" "&amp;Plan_2026[[#This Row],[Trục đường chính]]&amp;Plan_2026[[#This Row],[Tên mall
(chuẩn hóa)]]&amp;Plan_2026[[#This Row],[Địa chỉ đầy đủ]]</f>
        <v>The Coffee House Go! Từ SơnĐông Ngàn, Từ Sơn, Bắc Ninh</v>
      </c>
    </row>
    <row r="9" spans="1:49" hidden="1" x14ac:dyDescent="0.35">
      <c r="A9">
        <v>7</v>
      </c>
      <c r="B9" t="s">
        <v>2470</v>
      </c>
      <c r="C9" t="s">
        <v>2787</v>
      </c>
      <c r="D9" t="s">
        <v>2788</v>
      </c>
      <c r="E9">
        <v>2025</v>
      </c>
      <c r="F9">
        <v>4</v>
      </c>
      <c r="G9">
        <v>12</v>
      </c>
      <c r="H9">
        <v>4</v>
      </c>
      <c r="J9" t="s">
        <v>2241</v>
      </c>
      <c r="K9" t="s">
        <v>2774</v>
      </c>
      <c r="L9" t="s">
        <v>2796</v>
      </c>
      <c r="M9" t="s">
        <v>2797</v>
      </c>
      <c r="N9" t="s">
        <v>2796</v>
      </c>
      <c r="O9" t="s">
        <v>2809</v>
      </c>
      <c r="P9" t="s">
        <v>2471</v>
      </c>
      <c r="Q9" t="s">
        <v>2810</v>
      </c>
      <c r="R9" t="s">
        <v>2710</v>
      </c>
      <c r="S9" t="s">
        <v>2710</v>
      </c>
      <c r="T9" t="s">
        <v>2800</v>
      </c>
      <c r="U9" t="s">
        <v>2800</v>
      </c>
      <c r="V9">
        <v>1</v>
      </c>
      <c r="W9" t="s">
        <v>2735</v>
      </c>
      <c r="Z9">
        <v>132</v>
      </c>
      <c r="AB9" t="s">
        <v>2716</v>
      </c>
      <c r="AC9" t="s">
        <v>2738</v>
      </c>
      <c r="AE9">
        <v>0</v>
      </c>
      <c r="AH9" t="s">
        <v>1788</v>
      </c>
      <c r="AI9">
        <v>45992</v>
      </c>
      <c r="AJ9">
        <v>12</v>
      </c>
      <c r="AK9" t="s">
        <v>2811</v>
      </c>
      <c r="AL9" t="s">
        <v>2812</v>
      </c>
      <c r="AM9" t="s">
        <v>2813</v>
      </c>
      <c r="AN9" t="s">
        <v>2814</v>
      </c>
      <c r="AO9" t="s">
        <v>2815</v>
      </c>
      <c r="AP9">
        <v>2191</v>
      </c>
      <c r="AQ9" t="s">
        <v>2816</v>
      </c>
      <c r="AR9" t="s">
        <v>2817</v>
      </c>
      <c r="AS9">
        <v>81</v>
      </c>
      <c r="AT9" t="s">
        <v>2818</v>
      </c>
      <c r="AW9" t="str">
        <f>Plan_2026[[#This Row],[Tên brand]]&amp;" "&amp;Plan_2026[[#This Row],[Trục đường chính]]&amp;Plan_2026[[#This Row],[Tên mall
(chuẩn hóa)]]&amp;Plan_2026[[#This Row],[Địa chỉ đầy đủ]]</f>
        <v>The Coffee House Lý Thái Tổ (gần Vincom)Lý Thái Tổ (gần Vincom), Đại Phúc, Bắc Ninh, Bắc Ninh</v>
      </c>
    </row>
    <row r="10" spans="1:49" hidden="1" x14ac:dyDescent="0.35">
      <c r="A10">
        <v>8</v>
      </c>
      <c r="B10" t="s">
        <v>2819</v>
      </c>
      <c r="C10" t="s">
        <v>35</v>
      </c>
      <c r="D10" t="s">
        <v>2820</v>
      </c>
      <c r="E10">
        <v>2026</v>
      </c>
      <c r="F10">
        <v>3</v>
      </c>
      <c r="G10">
        <v>8</v>
      </c>
      <c r="H10">
        <v>12</v>
      </c>
      <c r="J10" t="s">
        <v>2241</v>
      </c>
      <c r="K10" t="s">
        <v>2774</v>
      </c>
      <c r="L10" t="s">
        <v>2796</v>
      </c>
      <c r="M10" t="s">
        <v>2797</v>
      </c>
      <c r="N10" t="s">
        <v>2796</v>
      </c>
      <c r="O10" t="s">
        <v>2821</v>
      </c>
      <c r="Q10" t="s">
        <v>2810</v>
      </c>
      <c r="R10" t="s">
        <v>2751</v>
      </c>
      <c r="S10" t="s">
        <v>2751</v>
      </c>
      <c r="T10" t="s">
        <v>2822</v>
      </c>
      <c r="U10" t="s">
        <v>2790</v>
      </c>
      <c r="V10">
        <v>1</v>
      </c>
      <c r="W10" t="s">
        <v>2735</v>
      </c>
      <c r="Z10" t="s">
        <v>2715</v>
      </c>
      <c r="AB10" t="s">
        <v>2716</v>
      </c>
      <c r="AC10" t="s">
        <v>2738</v>
      </c>
      <c r="AE10">
        <v>0</v>
      </c>
      <c r="AF10" t="s">
        <v>2823</v>
      </c>
      <c r="AH10" t="s">
        <v>34</v>
      </c>
      <c r="AI10">
        <v>46235</v>
      </c>
      <c r="AJ10">
        <v>8</v>
      </c>
      <c r="AK10" t="s">
        <v>2824</v>
      </c>
      <c r="AL10" t="s">
        <v>2824</v>
      </c>
      <c r="AM10" t="s">
        <v>2825</v>
      </c>
      <c r="AN10" t="s">
        <v>2826</v>
      </c>
      <c r="AO10" t="s">
        <v>2827</v>
      </c>
      <c r="AP10">
        <v>10189</v>
      </c>
      <c r="AQ10" t="s">
        <v>2828</v>
      </c>
      <c r="AR10" t="s">
        <v>2829</v>
      </c>
      <c r="AS10">
        <v>107</v>
      </c>
      <c r="AT10" t="s">
        <v>2830</v>
      </c>
      <c r="AW10" t="str">
        <f>Plan_2026[[#This Row],[Tên brand]]&amp;" "&amp;Plan_2026[[#This Row],[Trục đường chính]]&amp;Plan_2026[[#This Row],[Tên mall
(chuẩn hóa)]]&amp;Plan_2026[[#This Row],[Địa chỉ đầy đủ]]</f>
        <v>Kichi Kichi Tiền An, Bắc Ninh, Bắc Ninh</v>
      </c>
    </row>
    <row r="11" spans="1:49" hidden="1" x14ac:dyDescent="0.35">
      <c r="A11">
        <v>376</v>
      </c>
      <c r="B11" t="s">
        <v>2831</v>
      </c>
      <c r="C11" t="s">
        <v>2008</v>
      </c>
      <c r="D11" t="s">
        <v>2832</v>
      </c>
      <c r="E11">
        <v>2026</v>
      </c>
      <c r="F11">
        <v>1</v>
      </c>
      <c r="G11">
        <v>2</v>
      </c>
      <c r="H11">
        <v>6</v>
      </c>
      <c r="J11" t="s">
        <v>2241</v>
      </c>
      <c r="K11" t="s">
        <v>2774</v>
      </c>
      <c r="L11" t="s">
        <v>2796</v>
      </c>
      <c r="M11" t="s">
        <v>2797</v>
      </c>
      <c r="N11" t="s">
        <v>2796</v>
      </c>
      <c r="O11" t="s">
        <v>2821</v>
      </c>
      <c r="Q11" t="s">
        <v>2709</v>
      </c>
      <c r="R11" t="s">
        <v>2751</v>
      </c>
      <c r="S11" t="s">
        <v>2751</v>
      </c>
      <c r="T11">
        <v>300</v>
      </c>
      <c r="U11" t="s">
        <v>2762</v>
      </c>
      <c r="V11">
        <v>1</v>
      </c>
      <c r="W11" t="s">
        <v>2735</v>
      </c>
      <c r="Z11">
        <v>160</v>
      </c>
      <c r="AB11" t="s">
        <v>1794</v>
      </c>
      <c r="AC11" t="s">
        <v>2763</v>
      </c>
      <c r="AE11">
        <v>1</v>
      </c>
      <c r="AF11" t="s">
        <v>2833</v>
      </c>
      <c r="AH11" t="s">
        <v>2044</v>
      </c>
      <c r="AI11">
        <v>46054</v>
      </c>
      <c r="AJ11">
        <v>2</v>
      </c>
      <c r="AK11" t="s">
        <v>2824</v>
      </c>
      <c r="AM11" t="s">
        <v>2825</v>
      </c>
      <c r="AN11" t="s">
        <v>2767</v>
      </c>
      <c r="AO11" t="s">
        <v>2834</v>
      </c>
      <c r="AP11">
        <v>10189</v>
      </c>
      <c r="AQ11" t="s">
        <v>2828</v>
      </c>
      <c r="AR11" t="s">
        <v>2829</v>
      </c>
      <c r="AS11">
        <v>6</v>
      </c>
      <c r="AT11" t="s">
        <v>2835</v>
      </c>
      <c r="AW11" t="str">
        <f>Plan_2026[[#This Row],[Tên brand]]&amp;" "&amp;Plan_2026[[#This Row],[Trục đường chính]]&amp;Plan_2026[[#This Row],[Tên mall
(chuẩn hóa)]]&amp;Plan_2026[[#This Row],[Địa chỉ đầy đủ]]</f>
        <v xml:space="preserve">Dao Niu Guo </v>
      </c>
    </row>
    <row r="12" spans="1:49" hidden="1" x14ac:dyDescent="0.35">
      <c r="A12">
        <v>9</v>
      </c>
      <c r="B12" t="s">
        <v>2836</v>
      </c>
      <c r="C12" t="s">
        <v>2787</v>
      </c>
      <c r="D12" t="s">
        <v>2837</v>
      </c>
      <c r="E12">
        <v>2026</v>
      </c>
      <c r="F12">
        <v>3</v>
      </c>
      <c r="G12">
        <v>7</v>
      </c>
      <c r="H12">
        <v>11</v>
      </c>
      <c r="J12" t="s">
        <v>2244</v>
      </c>
      <c r="K12" t="s">
        <v>2704</v>
      </c>
      <c r="L12" t="s">
        <v>2838</v>
      </c>
      <c r="M12" t="s">
        <v>2839</v>
      </c>
      <c r="N12" t="s">
        <v>2840</v>
      </c>
      <c r="O12" t="s">
        <v>2507</v>
      </c>
      <c r="P12" t="s">
        <v>2841</v>
      </c>
      <c r="Q12" t="s">
        <v>2709</v>
      </c>
      <c r="R12" t="s">
        <v>2751</v>
      </c>
      <c r="S12" t="s">
        <v>2751</v>
      </c>
      <c r="T12" t="s">
        <v>2790</v>
      </c>
      <c r="U12" t="s">
        <v>2790</v>
      </c>
      <c r="V12">
        <v>1</v>
      </c>
      <c r="W12" t="s">
        <v>2735</v>
      </c>
      <c r="Z12">
        <v>132</v>
      </c>
      <c r="AB12" t="s">
        <v>2716</v>
      </c>
      <c r="AC12" t="s">
        <v>2738</v>
      </c>
      <c r="AE12">
        <v>0</v>
      </c>
      <c r="AH12" t="s">
        <v>1788</v>
      </c>
      <c r="AI12">
        <v>46204</v>
      </c>
      <c r="AJ12">
        <v>7</v>
      </c>
      <c r="AK12" t="s">
        <v>2842</v>
      </c>
      <c r="AL12" t="s">
        <v>2843</v>
      </c>
      <c r="AM12" t="s">
        <v>2844</v>
      </c>
      <c r="AN12" t="s">
        <v>2793</v>
      </c>
      <c r="AO12" t="s">
        <v>2845</v>
      </c>
      <c r="AP12">
        <v>8740</v>
      </c>
      <c r="AQ12" t="s">
        <v>2846</v>
      </c>
      <c r="AR12" t="s">
        <v>2847</v>
      </c>
      <c r="AS12">
        <v>81</v>
      </c>
      <c r="AT12" t="s">
        <v>2795</v>
      </c>
      <c r="AW12" t="str">
        <f>Plan_2026[[#This Row],[Tên brand]]&amp;" "&amp;Plan_2026[[#This Row],[Trục đường chính]]&amp;Plan_2026[[#This Row],[Tên mall
(chuẩn hóa)]]&amp;Plan_2026[[#This Row],[Địa chỉ đầy đủ]]</f>
        <v>The Coffee House Nguyễn Tất Thành/Nguyễn Trãi/Lê LợiNguyễn Tất Thành/Nguyễn Trãi/Lê Lợi, Lê Lợi, Qui Nhơn, Bình Định</v>
      </c>
    </row>
    <row r="13" spans="1:49" hidden="1" x14ac:dyDescent="0.35">
      <c r="A13">
        <v>10</v>
      </c>
      <c r="B13" t="s">
        <v>2848</v>
      </c>
      <c r="C13" t="s">
        <v>2849</v>
      </c>
      <c r="D13" t="s">
        <v>2850</v>
      </c>
      <c r="E13">
        <v>2026</v>
      </c>
      <c r="F13">
        <v>2</v>
      </c>
      <c r="G13">
        <v>4</v>
      </c>
      <c r="H13">
        <v>8</v>
      </c>
      <c r="J13" t="s">
        <v>2244</v>
      </c>
      <c r="K13" t="s">
        <v>2704</v>
      </c>
      <c r="L13" t="s">
        <v>2851</v>
      </c>
      <c r="M13" t="s">
        <v>2852</v>
      </c>
      <c r="N13" t="s">
        <v>2853</v>
      </c>
      <c r="O13" t="s">
        <v>2854</v>
      </c>
      <c r="P13" t="s">
        <v>2854</v>
      </c>
      <c r="Q13" t="s">
        <v>2732</v>
      </c>
      <c r="R13" t="s">
        <v>2751</v>
      </c>
      <c r="S13" t="s">
        <v>2751</v>
      </c>
      <c r="T13" t="s">
        <v>2790</v>
      </c>
      <c r="U13" t="s">
        <v>2790</v>
      </c>
      <c r="V13">
        <v>1</v>
      </c>
      <c r="W13" t="s">
        <v>2735</v>
      </c>
      <c r="X13" t="s">
        <v>2855</v>
      </c>
      <c r="Y13" t="s">
        <v>2856</v>
      </c>
      <c r="Z13" t="s">
        <v>2715</v>
      </c>
      <c r="AB13" t="s">
        <v>2857</v>
      </c>
      <c r="AC13" t="s">
        <v>2763</v>
      </c>
      <c r="AE13">
        <v>1</v>
      </c>
      <c r="AF13" t="s">
        <v>2858</v>
      </c>
      <c r="AH13" t="s">
        <v>1771</v>
      </c>
      <c r="AI13">
        <v>46113</v>
      </c>
      <c r="AJ13">
        <v>4</v>
      </c>
      <c r="AK13" t="s">
        <v>2859</v>
      </c>
      <c r="AL13" t="s">
        <v>2860</v>
      </c>
      <c r="AM13" t="s">
        <v>2861</v>
      </c>
      <c r="AN13" t="s">
        <v>2862</v>
      </c>
      <c r="AO13" t="s">
        <v>2863</v>
      </c>
      <c r="AP13">
        <v>928</v>
      </c>
      <c r="AQ13" t="s">
        <v>2864</v>
      </c>
      <c r="AR13" t="s">
        <v>2865</v>
      </c>
      <c r="AS13">
        <v>2</v>
      </c>
      <c r="AT13" t="s">
        <v>2866</v>
      </c>
      <c r="AW13" t="str">
        <f>Plan_2026[[#This Row],[Tên brand]]&amp;" "&amp;Plan_2026[[#This Row],[Trục đường chính]]&amp;Plan_2026[[#This Row],[Tên mall
(chuẩn hóa)]]&amp;Plan_2026[[#This Row],[Địa chỉ đầy đủ]]</f>
        <v>Wow!Yakiniku Thuận GiaoAeon Mall Bình Dương CanaryThuận Giao, Thuận Giao, Thuận An, Bình Dương</v>
      </c>
    </row>
    <row r="14" spans="1:49" hidden="1" x14ac:dyDescent="0.35">
      <c r="A14">
        <v>11</v>
      </c>
      <c r="B14" t="s">
        <v>2867</v>
      </c>
      <c r="C14" t="s">
        <v>2772</v>
      </c>
      <c r="D14" t="s">
        <v>2868</v>
      </c>
      <c r="E14">
        <v>2026</v>
      </c>
      <c r="F14">
        <v>1</v>
      </c>
      <c r="G14">
        <v>1</v>
      </c>
      <c r="H14">
        <v>5</v>
      </c>
      <c r="J14" t="s">
        <v>2244</v>
      </c>
      <c r="K14" t="s">
        <v>2704</v>
      </c>
      <c r="L14" t="s">
        <v>2851</v>
      </c>
      <c r="M14" t="s">
        <v>2852</v>
      </c>
      <c r="N14" t="s">
        <v>2869</v>
      </c>
      <c r="O14" t="s">
        <v>2870</v>
      </c>
      <c r="P14" t="s">
        <v>2871</v>
      </c>
      <c r="Q14" t="s">
        <v>2810</v>
      </c>
      <c r="R14" t="s">
        <v>2751</v>
      </c>
      <c r="S14" t="s">
        <v>2751</v>
      </c>
      <c r="T14" t="s">
        <v>2712</v>
      </c>
      <c r="U14" t="s">
        <v>2712</v>
      </c>
      <c r="V14">
        <v>1</v>
      </c>
      <c r="W14" t="s">
        <v>2713</v>
      </c>
      <c r="Z14">
        <v>200</v>
      </c>
      <c r="AB14" t="s">
        <v>2716</v>
      </c>
      <c r="AC14" t="s">
        <v>2738</v>
      </c>
      <c r="AE14">
        <v>0</v>
      </c>
      <c r="AF14" t="s">
        <v>2872</v>
      </c>
      <c r="AH14" t="s">
        <v>112</v>
      </c>
      <c r="AI14">
        <v>46023</v>
      </c>
      <c r="AJ14">
        <v>1</v>
      </c>
      <c r="AK14" t="s">
        <v>2873</v>
      </c>
      <c r="AL14" t="s">
        <v>2874</v>
      </c>
      <c r="AM14" t="s">
        <v>2875</v>
      </c>
      <c r="AN14" t="s">
        <v>2876</v>
      </c>
      <c r="AO14" t="s">
        <v>2877</v>
      </c>
      <c r="AP14">
        <v>2696</v>
      </c>
      <c r="AQ14" t="s">
        <v>2878</v>
      </c>
      <c r="AR14" t="s">
        <v>2879</v>
      </c>
      <c r="AS14">
        <v>55</v>
      </c>
      <c r="AT14" t="s">
        <v>2880</v>
      </c>
      <c r="AW14" t="str">
        <f>Plan_2026[[#This Row],[Tên brand]]&amp;" "&amp;Plan_2026[[#This Row],[Trục đường chính]]&amp;Plan_2026[[#This Row],[Tên mall
(chuẩn hóa)]]&amp;Plan_2026[[#This Row],[Địa chỉ đầy đủ]]</f>
        <v>Manwah Thống NhấtThống Nhất, Đông Hòa, Dĩ An, Bình Dương</v>
      </c>
    </row>
    <row r="15" spans="1:49" hidden="1" x14ac:dyDescent="0.35">
      <c r="A15">
        <v>12</v>
      </c>
      <c r="B15" t="s">
        <v>2145</v>
      </c>
      <c r="C15" t="s">
        <v>229</v>
      </c>
      <c r="D15" t="s">
        <v>2881</v>
      </c>
      <c r="E15">
        <v>2025</v>
      </c>
      <c r="F15">
        <v>4</v>
      </c>
      <c r="G15">
        <v>10</v>
      </c>
      <c r="H15">
        <v>2</v>
      </c>
      <c r="J15" t="s">
        <v>2244</v>
      </c>
      <c r="K15" t="s">
        <v>2704</v>
      </c>
      <c r="L15" t="s">
        <v>2851</v>
      </c>
      <c r="M15" t="s">
        <v>2852</v>
      </c>
      <c r="N15" t="s">
        <v>2869</v>
      </c>
      <c r="O15" t="s">
        <v>2870</v>
      </c>
      <c r="P15" t="s">
        <v>2871</v>
      </c>
      <c r="Q15" t="s">
        <v>2810</v>
      </c>
      <c r="R15">
        <v>8</v>
      </c>
      <c r="S15" t="s">
        <v>2710</v>
      </c>
      <c r="T15" t="s">
        <v>2882</v>
      </c>
      <c r="U15" t="s">
        <v>2800</v>
      </c>
      <c r="V15">
        <v>1</v>
      </c>
      <c r="W15" t="s">
        <v>2735</v>
      </c>
      <c r="X15" t="s">
        <v>2883</v>
      </c>
      <c r="Z15" t="s">
        <v>2715</v>
      </c>
      <c r="AB15" t="s">
        <v>2716</v>
      </c>
      <c r="AC15" t="s">
        <v>2763</v>
      </c>
      <c r="AE15">
        <v>1</v>
      </c>
      <c r="AH15" t="s">
        <v>228</v>
      </c>
      <c r="AI15">
        <v>45931</v>
      </c>
      <c r="AJ15">
        <v>10</v>
      </c>
      <c r="AK15" t="s">
        <v>2873</v>
      </c>
      <c r="AL15" t="s">
        <v>2874</v>
      </c>
      <c r="AM15" t="s">
        <v>2875</v>
      </c>
      <c r="AN15" t="s">
        <v>2884</v>
      </c>
      <c r="AO15" t="s">
        <v>2885</v>
      </c>
      <c r="AP15">
        <v>2696</v>
      </c>
      <c r="AQ15" t="s">
        <v>2878</v>
      </c>
      <c r="AR15" t="s">
        <v>2879</v>
      </c>
      <c r="AS15">
        <v>10</v>
      </c>
      <c r="AT15" t="s">
        <v>2886</v>
      </c>
      <c r="AW15" t="str">
        <f>Plan_2026[[#This Row],[Tên brand]]&amp;" "&amp;Plan_2026[[#This Row],[Trục đường chính]]&amp;Plan_2026[[#This Row],[Tên mall
(chuẩn hóa)]]&amp;Plan_2026[[#This Row],[Địa chỉ đầy đủ]]</f>
        <v>Yutang Thống NhấtThống Nhất, Đông Hòa, Dĩ An, Bình Dương</v>
      </c>
    </row>
    <row r="16" spans="1:49" hidden="1" x14ac:dyDescent="0.35">
      <c r="A16">
        <v>13</v>
      </c>
      <c r="B16" t="s">
        <v>2887</v>
      </c>
      <c r="C16" t="s">
        <v>2787</v>
      </c>
      <c r="D16" t="s">
        <v>2837</v>
      </c>
      <c r="E16">
        <v>2026</v>
      </c>
      <c r="F16">
        <v>3</v>
      </c>
      <c r="G16">
        <v>7</v>
      </c>
      <c r="H16">
        <v>11</v>
      </c>
      <c r="J16" t="s">
        <v>2244</v>
      </c>
      <c r="K16" t="s">
        <v>2704</v>
      </c>
      <c r="L16" t="s">
        <v>2851</v>
      </c>
      <c r="M16" t="s">
        <v>2852</v>
      </c>
      <c r="N16" t="s">
        <v>2869</v>
      </c>
      <c r="O16" t="s">
        <v>2870</v>
      </c>
      <c r="P16" t="s">
        <v>2888</v>
      </c>
      <c r="Q16" t="s">
        <v>2709</v>
      </c>
      <c r="R16" t="s">
        <v>2751</v>
      </c>
      <c r="S16" t="s">
        <v>2751</v>
      </c>
      <c r="T16" t="s">
        <v>2790</v>
      </c>
      <c r="U16" t="s">
        <v>2790</v>
      </c>
      <c r="V16">
        <v>1</v>
      </c>
      <c r="W16" t="s">
        <v>2735</v>
      </c>
      <c r="X16" t="s">
        <v>2883</v>
      </c>
      <c r="Z16">
        <v>132</v>
      </c>
      <c r="AB16" t="s">
        <v>2716</v>
      </c>
      <c r="AC16" t="s">
        <v>2738</v>
      </c>
      <c r="AE16">
        <v>0</v>
      </c>
      <c r="AF16" t="s">
        <v>2889</v>
      </c>
      <c r="AH16" t="s">
        <v>1788</v>
      </c>
      <c r="AI16">
        <v>46204</v>
      </c>
      <c r="AJ16">
        <v>7</v>
      </c>
      <c r="AK16" t="s">
        <v>2873</v>
      </c>
      <c r="AL16" t="s">
        <v>2890</v>
      </c>
      <c r="AM16" t="s">
        <v>2875</v>
      </c>
      <c r="AN16" t="s">
        <v>2793</v>
      </c>
      <c r="AO16" t="s">
        <v>2891</v>
      </c>
      <c r="AP16">
        <v>2696</v>
      </c>
      <c r="AQ16" t="s">
        <v>2878</v>
      </c>
      <c r="AR16" t="s">
        <v>2879</v>
      </c>
      <c r="AS16">
        <v>81</v>
      </c>
      <c r="AT16" t="s">
        <v>2892</v>
      </c>
      <c r="AW16" t="str">
        <f>Plan_2026[[#This Row],[Tên brand]]&amp;" "&amp;Plan_2026[[#This Row],[Trục đường chính]]&amp;Plan_2026[[#This Row],[Tên mall
(chuẩn hóa)]]&amp;Plan_2026[[#This Row],[Địa chỉ đầy đủ]]</f>
        <v>The Coffee House Đường Thống NhấtĐường Thống Nhất, Đông Hòa, Dĩ An, Bình Dương</v>
      </c>
    </row>
    <row r="17" spans="1:49" hidden="1" x14ac:dyDescent="0.35">
      <c r="A17">
        <v>14</v>
      </c>
      <c r="B17" t="s">
        <v>2893</v>
      </c>
      <c r="C17" t="s">
        <v>2702</v>
      </c>
      <c r="D17" t="s">
        <v>2703</v>
      </c>
      <c r="E17">
        <v>2026</v>
      </c>
      <c r="F17">
        <v>3</v>
      </c>
      <c r="G17">
        <v>7</v>
      </c>
      <c r="H17">
        <v>11</v>
      </c>
      <c r="J17" t="s">
        <v>2244</v>
      </c>
      <c r="K17" t="s">
        <v>2704</v>
      </c>
      <c r="L17" t="s">
        <v>2851</v>
      </c>
      <c r="M17" t="s">
        <v>2852</v>
      </c>
      <c r="N17" t="s">
        <v>2250</v>
      </c>
      <c r="O17" t="s">
        <v>2894</v>
      </c>
      <c r="Q17" t="s">
        <v>2709</v>
      </c>
      <c r="R17">
        <v>8</v>
      </c>
      <c r="S17" t="s">
        <v>2710</v>
      </c>
      <c r="T17" t="s">
        <v>2895</v>
      </c>
      <c r="U17" t="s">
        <v>2712</v>
      </c>
      <c r="V17">
        <v>1</v>
      </c>
      <c r="W17" t="s">
        <v>2735</v>
      </c>
      <c r="X17" t="s">
        <v>2896</v>
      </c>
      <c r="Z17" t="s">
        <v>2715</v>
      </c>
      <c r="AA17" t="s">
        <v>2897</v>
      </c>
      <c r="AB17" t="s">
        <v>2716</v>
      </c>
      <c r="AC17" t="s">
        <v>2717</v>
      </c>
      <c r="AE17">
        <v>0</v>
      </c>
      <c r="AF17" t="s">
        <v>2898</v>
      </c>
      <c r="AH17" t="s">
        <v>76</v>
      </c>
      <c r="AI17">
        <v>46204</v>
      </c>
      <c r="AJ17">
        <v>7</v>
      </c>
      <c r="AK17" t="s">
        <v>2899</v>
      </c>
      <c r="AL17" t="s">
        <v>2899</v>
      </c>
      <c r="AM17" t="s">
        <v>2900</v>
      </c>
      <c r="AN17" t="s">
        <v>2721</v>
      </c>
      <c r="AO17" t="s">
        <v>2901</v>
      </c>
      <c r="AP17">
        <v>175</v>
      </c>
      <c r="AQ17" t="s">
        <v>2902</v>
      </c>
      <c r="AR17" t="s">
        <v>2903</v>
      </c>
      <c r="AS17">
        <v>144</v>
      </c>
      <c r="AT17" t="s">
        <v>2904</v>
      </c>
      <c r="AW17" t="str">
        <f>Plan_2026[[#This Row],[Tên brand]]&amp;" "&amp;Plan_2026[[#This Row],[Trục đường chính]]&amp;Plan_2026[[#This Row],[Tên mall
(chuẩn hóa)]]&amp;Plan_2026[[#This Row],[Địa chỉ đầy đủ]]</f>
        <v>Gogi House Khánh Bình, Tân Uyên, Bình Dương</v>
      </c>
    </row>
    <row r="18" spans="1:49" hidden="1" x14ac:dyDescent="0.35">
      <c r="A18">
        <v>15</v>
      </c>
      <c r="B18" t="s">
        <v>2249</v>
      </c>
      <c r="C18" t="s">
        <v>35</v>
      </c>
      <c r="D18" t="s">
        <v>2820</v>
      </c>
      <c r="E18">
        <v>2025</v>
      </c>
      <c r="F18">
        <v>4</v>
      </c>
      <c r="G18">
        <v>12</v>
      </c>
      <c r="H18">
        <v>4</v>
      </c>
      <c r="J18" t="s">
        <v>2244</v>
      </c>
      <c r="K18" t="s">
        <v>2704</v>
      </c>
      <c r="L18" t="s">
        <v>2851</v>
      </c>
      <c r="M18" t="s">
        <v>2852</v>
      </c>
      <c r="N18" t="s">
        <v>2250</v>
      </c>
      <c r="O18" t="s">
        <v>2905</v>
      </c>
      <c r="Q18" t="s">
        <v>2709</v>
      </c>
      <c r="R18" t="s">
        <v>2710</v>
      </c>
      <c r="S18" t="s">
        <v>2710</v>
      </c>
      <c r="T18" t="s">
        <v>2906</v>
      </c>
      <c r="U18" t="s">
        <v>2712</v>
      </c>
      <c r="V18">
        <v>1</v>
      </c>
      <c r="W18" t="s">
        <v>2713</v>
      </c>
      <c r="Z18" t="s">
        <v>2715</v>
      </c>
      <c r="AB18" t="s">
        <v>2716</v>
      </c>
      <c r="AC18" t="s">
        <v>2738</v>
      </c>
      <c r="AE18">
        <v>0</v>
      </c>
      <c r="AF18" t="s">
        <v>2907</v>
      </c>
      <c r="AG18" t="s">
        <v>2908</v>
      </c>
      <c r="AH18" t="s">
        <v>34</v>
      </c>
      <c r="AI18">
        <v>45992</v>
      </c>
      <c r="AJ18">
        <v>12</v>
      </c>
      <c r="AK18" t="s">
        <v>2909</v>
      </c>
      <c r="AL18" t="s">
        <v>2909</v>
      </c>
      <c r="AM18" t="s">
        <v>2910</v>
      </c>
      <c r="AN18" t="s">
        <v>2911</v>
      </c>
      <c r="AO18" t="s">
        <v>2912</v>
      </c>
      <c r="AP18">
        <v>742</v>
      </c>
      <c r="AQ18" t="s">
        <v>2913</v>
      </c>
      <c r="AR18" t="s">
        <v>2914</v>
      </c>
      <c r="AS18">
        <v>107</v>
      </c>
      <c r="AT18" t="s">
        <v>2915</v>
      </c>
      <c r="AW18" t="str">
        <f>Plan_2026[[#This Row],[Tên brand]]&amp;" "&amp;Plan_2026[[#This Row],[Trục đường chính]]&amp;Plan_2026[[#This Row],[Tên mall
(chuẩn hóa)]]&amp;Plan_2026[[#This Row],[Địa chỉ đầy đủ]]</f>
        <v>Kichi Kichi Tân Phước Khánh, Tân Uyên, Bình Dương</v>
      </c>
    </row>
    <row r="19" spans="1:49" hidden="1" x14ac:dyDescent="0.35">
      <c r="A19">
        <v>16</v>
      </c>
      <c r="B19" t="s">
        <v>2916</v>
      </c>
      <c r="C19" t="s">
        <v>2787</v>
      </c>
      <c r="D19" t="s">
        <v>2837</v>
      </c>
      <c r="E19">
        <v>2026</v>
      </c>
      <c r="F19">
        <v>1</v>
      </c>
      <c r="G19">
        <v>1</v>
      </c>
      <c r="H19">
        <v>5</v>
      </c>
      <c r="J19" t="s">
        <v>2244</v>
      </c>
      <c r="K19" t="s">
        <v>2704</v>
      </c>
      <c r="L19" t="s">
        <v>2851</v>
      </c>
      <c r="M19" t="s">
        <v>2852</v>
      </c>
      <c r="N19" t="s">
        <v>2917</v>
      </c>
      <c r="O19" t="s">
        <v>2918</v>
      </c>
      <c r="Q19" t="s">
        <v>2709</v>
      </c>
      <c r="R19" t="s">
        <v>2751</v>
      </c>
      <c r="S19" t="s">
        <v>2751</v>
      </c>
      <c r="T19" t="s">
        <v>2790</v>
      </c>
      <c r="U19" t="s">
        <v>2790</v>
      </c>
      <c r="V19">
        <v>1</v>
      </c>
      <c r="W19" t="s">
        <v>2713</v>
      </c>
      <c r="Z19">
        <v>132</v>
      </c>
      <c r="AB19" t="s">
        <v>2716</v>
      </c>
      <c r="AC19" t="s">
        <v>2738</v>
      </c>
      <c r="AE19">
        <v>0</v>
      </c>
      <c r="AG19" t="s">
        <v>2908</v>
      </c>
      <c r="AH19" t="s">
        <v>1788</v>
      </c>
      <c r="AI19">
        <v>46023</v>
      </c>
      <c r="AJ19">
        <v>1</v>
      </c>
      <c r="AK19" t="s">
        <v>2919</v>
      </c>
      <c r="AL19" t="s">
        <v>2919</v>
      </c>
      <c r="AM19" t="s">
        <v>2920</v>
      </c>
      <c r="AN19" t="s">
        <v>2793</v>
      </c>
      <c r="AO19" t="s">
        <v>2921</v>
      </c>
      <c r="AP19">
        <v>5407</v>
      </c>
      <c r="AQ19" t="s">
        <v>2922</v>
      </c>
      <c r="AR19" t="s">
        <v>2923</v>
      </c>
      <c r="AS19">
        <v>81</v>
      </c>
      <c r="AT19" t="s">
        <v>2924</v>
      </c>
      <c r="AW19" t="str">
        <f>Plan_2026[[#This Row],[Tên brand]]&amp;" "&amp;Plan_2026[[#This Row],[Trục đường chính]]&amp;Plan_2026[[#This Row],[Tên mall
(chuẩn hóa)]]&amp;Plan_2026[[#This Row],[Địa chỉ đầy đủ]]</f>
        <v>The Coffee House Hiệp Thành, Thủ Dầu Một, Bình Dương</v>
      </c>
    </row>
    <row r="20" spans="1:49" hidden="1" x14ac:dyDescent="0.35">
      <c r="A20">
        <v>17</v>
      </c>
      <c r="B20" t="s">
        <v>2925</v>
      </c>
      <c r="C20" t="s">
        <v>35</v>
      </c>
      <c r="D20" t="s">
        <v>2820</v>
      </c>
      <c r="E20">
        <v>2026</v>
      </c>
      <c r="F20">
        <v>3</v>
      </c>
      <c r="G20">
        <v>7</v>
      </c>
      <c r="H20">
        <v>11</v>
      </c>
      <c r="J20" t="s">
        <v>2244</v>
      </c>
      <c r="K20" t="s">
        <v>2704</v>
      </c>
      <c r="L20" t="s">
        <v>2926</v>
      </c>
      <c r="M20" t="s">
        <v>2927</v>
      </c>
      <c r="N20" t="s">
        <v>2928</v>
      </c>
      <c r="O20" t="s">
        <v>2929</v>
      </c>
      <c r="Q20" t="s">
        <v>2709</v>
      </c>
      <c r="R20" t="s">
        <v>2751</v>
      </c>
      <c r="S20" t="s">
        <v>2751</v>
      </c>
      <c r="T20">
        <v>200</v>
      </c>
      <c r="U20" t="s">
        <v>2790</v>
      </c>
      <c r="V20">
        <v>1</v>
      </c>
      <c r="W20" t="s">
        <v>2735</v>
      </c>
      <c r="Z20" t="s">
        <v>2715</v>
      </c>
      <c r="AB20" t="s">
        <v>2716</v>
      </c>
      <c r="AC20" t="s">
        <v>2738</v>
      </c>
      <c r="AE20">
        <v>0</v>
      </c>
      <c r="AG20" t="s">
        <v>2930</v>
      </c>
      <c r="AH20" t="s">
        <v>34</v>
      </c>
      <c r="AI20">
        <v>46204</v>
      </c>
      <c r="AJ20">
        <v>7</v>
      </c>
      <c r="AK20" t="s">
        <v>2931</v>
      </c>
      <c r="AL20" t="s">
        <v>2931</v>
      </c>
      <c r="AM20" t="s">
        <v>2932</v>
      </c>
      <c r="AN20" t="s">
        <v>2911</v>
      </c>
      <c r="AO20" t="s">
        <v>2933</v>
      </c>
      <c r="AP20">
        <v>1522</v>
      </c>
      <c r="AQ20" t="s">
        <v>2934</v>
      </c>
      <c r="AR20" t="s">
        <v>2935</v>
      </c>
      <c r="AS20">
        <v>107</v>
      </c>
      <c r="AT20" t="s">
        <v>2936</v>
      </c>
      <c r="AW20" t="str">
        <f>Plan_2026[[#This Row],[Tên brand]]&amp;" "&amp;Plan_2026[[#This Row],[Trục đường chính]]&amp;Plan_2026[[#This Row],[Tên mall
(chuẩn hóa)]]&amp;Plan_2026[[#This Row],[Địa chỉ đầy đủ]]</f>
        <v>Kichi Kichi Tân Phú, Đồng Xoài, Bình Phước</v>
      </c>
    </row>
    <row r="21" spans="1:49" hidden="1" x14ac:dyDescent="0.35">
      <c r="A21">
        <v>18</v>
      </c>
      <c r="B21" t="s">
        <v>2937</v>
      </c>
      <c r="C21" t="s">
        <v>62</v>
      </c>
      <c r="D21" t="s">
        <v>2749</v>
      </c>
      <c r="E21">
        <v>2026</v>
      </c>
      <c r="F21">
        <v>3</v>
      </c>
      <c r="G21">
        <v>7</v>
      </c>
      <c r="H21">
        <v>11</v>
      </c>
      <c r="J21" t="s">
        <v>2244</v>
      </c>
      <c r="K21" t="s">
        <v>2704</v>
      </c>
      <c r="L21" t="s">
        <v>2938</v>
      </c>
      <c r="M21" t="s">
        <v>2939</v>
      </c>
      <c r="N21" t="s">
        <v>2938</v>
      </c>
      <c r="O21" t="s">
        <v>2940</v>
      </c>
      <c r="Q21" t="s">
        <v>2709</v>
      </c>
      <c r="R21" t="s">
        <v>2751</v>
      </c>
      <c r="S21" t="s">
        <v>2751</v>
      </c>
      <c r="T21" t="s">
        <v>2712</v>
      </c>
      <c r="U21" t="s">
        <v>2712</v>
      </c>
      <c r="V21">
        <v>1</v>
      </c>
      <c r="W21" t="s">
        <v>2735</v>
      </c>
      <c r="Z21">
        <v>300</v>
      </c>
      <c r="AB21" t="s">
        <v>2716</v>
      </c>
      <c r="AC21" t="s">
        <v>2738</v>
      </c>
      <c r="AE21">
        <v>0</v>
      </c>
      <c r="AF21" t="s">
        <v>2941</v>
      </c>
      <c r="AH21" t="s">
        <v>61</v>
      </c>
      <c r="AI21">
        <v>46204</v>
      </c>
      <c r="AJ21">
        <v>7</v>
      </c>
      <c r="AK21" t="s">
        <v>2942</v>
      </c>
      <c r="AL21" t="s">
        <v>2942</v>
      </c>
      <c r="AM21" t="s">
        <v>2943</v>
      </c>
      <c r="AN21" t="s">
        <v>2944</v>
      </c>
      <c r="AO21" t="s">
        <v>2945</v>
      </c>
      <c r="AP21">
        <v>3830</v>
      </c>
      <c r="AQ21" t="s">
        <v>2946</v>
      </c>
      <c r="AR21" t="s">
        <v>2947</v>
      </c>
      <c r="AS21">
        <v>25</v>
      </c>
      <c r="AT21" t="s">
        <v>2948</v>
      </c>
      <c r="AW21" t="str">
        <f>Plan_2026[[#This Row],[Tên brand]]&amp;" "&amp;Plan_2026[[#This Row],[Trục đường chính]]&amp;Plan_2026[[#This Row],[Tên mall
(chuẩn hóa)]]&amp;Plan_2026[[#This Row],[Địa chỉ đầy đủ]]</f>
        <v>Isushi Phường 5, Cà Mau, Cà Mau</v>
      </c>
    </row>
    <row r="22" spans="1:49" hidden="1" x14ac:dyDescent="0.35">
      <c r="A22">
        <v>19</v>
      </c>
      <c r="B22" t="s">
        <v>2949</v>
      </c>
      <c r="C22" t="s">
        <v>2772</v>
      </c>
      <c r="D22" t="s">
        <v>2868</v>
      </c>
      <c r="E22">
        <v>2025</v>
      </c>
      <c r="F22">
        <v>4</v>
      </c>
      <c r="G22">
        <v>10</v>
      </c>
      <c r="H22">
        <v>2</v>
      </c>
      <c r="J22" t="s">
        <v>2244</v>
      </c>
      <c r="K22" t="s">
        <v>2704</v>
      </c>
      <c r="L22" t="s">
        <v>2938</v>
      </c>
      <c r="M22" t="s">
        <v>2939</v>
      </c>
      <c r="N22" t="s">
        <v>2938</v>
      </c>
      <c r="O22" t="s">
        <v>2940</v>
      </c>
      <c r="P22" t="s">
        <v>2950</v>
      </c>
      <c r="Q22" t="s">
        <v>2709</v>
      </c>
      <c r="R22" t="s">
        <v>2751</v>
      </c>
      <c r="S22" t="s">
        <v>2751</v>
      </c>
      <c r="T22" t="s">
        <v>2712</v>
      </c>
      <c r="U22" t="s">
        <v>2712</v>
      </c>
      <c r="V22">
        <v>1</v>
      </c>
      <c r="W22" t="s">
        <v>2735</v>
      </c>
      <c r="X22" t="s">
        <v>2951</v>
      </c>
      <c r="Z22">
        <v>200</v>
      </c>
      <c r="AB22" t="s">
        <v>2716</v>
      </c>
      <c r="AC22" t="s">
        <v>2952</v>
      </c>
      <c r="AE22">
        <v>1</v>
      </c>
      <c r="AF22" t="s">
        <v>2953</v>
      </c>
      <c r="AH22" t="s">
        <v>112</v>
      </c>
      <c r="AI22">
        <v>45931</v>
      </c>
      <c r="AJ22">
        <v>10</v>
      </c>
      <c r="AK22" t="s">
        <v>2942</v>
      </c>
      <c r="AL22" t="s">
        <v>2954</v>
      </c>
      <c r="AM22" t="s">
        <v>2943</v>
      </c>
      <c r="AN22" t="s">
        <v>2782</v>
      </c>
      <c r="AO22" t="s">
        <v>2955</v>
      </c>
      <c r="AP22">
        <v>3830</v>
      </c>
      <c r="AQ22" t="s">
        <v>2946</v>
      </c>
      <c r="AR22" t="s">
        <v>2947</v>
      </c>
      <c r="AS22">
        <v>55</v>
      </c>
      <c r="AT22" t="s">
        <v>2956</v>
      </c>
      <c r="AW22" t="str">
        <f>Plan_2026[[#This Row],[Tên brand]]&amp;" "&amp;Plan_2026[[#This Row],[Trục đường chính]]&amp;Plan_2026[[#This Row],[Tên mall
(chuẩn hóa)]]&amp;Plan_2026[[#This Row],[Địa chỉ đầy đủ]]</f>
        <v>Manwah Trần Hưng ĐạoTrần Hưng Đạo, Phường 5, Cà Mau, Cà Mau</v>
      </c>
    </row>
    <row r="23" spans="1:49" hidden="1" x14ac:dyDescent="0.35">
      <c r="A23">
        <v>20</v>
      </c>
      <c r="B23" t="s">
        <v>2957</v>
      </c>
      <c r="C23" t="s">
        <v>2702</v>
      </c>
      <c r="D23" t="s">
        <v>2703</v>
      </c>
      <c r="E23">
        <v>2026</v>
      </c>
      <c r="F23">
        <v>3</v>
      </c>
      <c r="G23">
        <v>7</v>
      </c>
      <c r="H23">
        <v>11</v>
      </c>
      <c r="J23" t="s">
        <v>2244</v>
      </c>
      <c r="K23" t="s">
        <v>2704</v>
      </c>
      <c r="L23" t="s">
        <v>2958</v>
      </c>
      <c r="M23" t="s">
        <v>2959</v>
      </c>
      <c r="N23" t="s">
        <v>2960</v>
      </c>
      <c r="O23" t="s">
        <v>2961</v>
      </c>
      <c r="Q23" t="s">
        <v>2709</v>
      </c>
      <c r="R23">
        <v>8</v>
      </c>
      <c r="S23" t="s">
        <v>2710</v>
      </c>
      <c r="T23" t="s">
        <v>2711</v>
      </c>
      <c r="U23" t="s">
        <v>2712</v>
      </c>
      <c r="V23">
        <v>1</v>
      </c>
      <c r="W23" t="s">
        <v>2735</v>
      </c>
      <c r="X23" t="s">
        <v>2962</v>
      </c>
      <c r="Z23" t="s">
        <v>2715</v>
      </c>
      <c r="AB23" t="s">
        <v>2716</v>
      </c>
      <c r="AC23" t="s">
        <v>2952</v>
      </c>
      <c r="AE23">
        <v>1</v>
      </c>
      <c r="AF23" t="s">
        <v>2963</v>
      </c>
      <c r="AH23" t="s">
        <v>76</v>
      </c>
      <c r="AI23">
        <v>46204</v>
      </c>
      <c r="AJ23">
        <v>7</v>
      </c>
      <c r="AK23" t="s">
        <v>2964</v>
      </c>
      <c r="AL23" t="s">
        <v>2964</v>
      </c>
      <c r="AM23" t="s">
        <v>2965</v>
      </c>
      <c r="AN23" t="s">
        <v>2721</v>
      </c>
      <c r="AO23" t="s">
        <v>2966</v>
      </c>
      <c r="AP23">
        <v>644</v>
      </c>
      <c r="AQ23" t="s">
        <v>2967</v>
      </c>
      <c r="AR23" t="s">
        <v>2968</v>
      </c>
      <c r="AS23">
        <v>144</v>
      </c>
      <c r="AT23" t="s">
        <v>2969</v>
      </c>
      <c r="AW23" t="str">
        <f>Plan_2026[[#This Row],[Tên brand]]&amp;" "&amp;Plan_2026[[#This Row],[Trục đường chính]]&amp;Plan_2026[[#This Row],[Tên mall
(chuẩn hóa)]]&amp;Plan_2026[[#This Row],[Địa chỉ đầy đủ]]</f>
        <v>Gogi House Châu Văn Liêm, Ô Môn, Cần Thơ</v>
      </c>
    </row>
    <row r="24" spans="1:49" hidden="1" x14ac:dyDescent="0.35">
      <c r="A24">
        <v>21</v>
      </c>
      <c r="B24" t="s">
        <v>2328</v>
      </c>
      <c r="C24" t="s">
        <v>2702</v>
      </c>
      <c r="D24" t="s">
        <v>2703</v>
      </c>
      <c r="E24">
        <v>2026</v>
      </c>
      <c r="F24">
        <v>1</v>
      </c>
      <c r="G24">
        <v>2</v>
      </c>
      <c r="H24">
        <v>6</v>
      </c>
      <c r="J24" t="s">
        <v>2244</v>
      </c>
      <c r="K24" t="s">
        <v>2704</v>
      </c>
      <c r="L24" t="s">
        <v>2958</v>
      </c>
      <c r="M24" t="s">
        <v>2959</v>
      </c>
      <c r="N24" t="s">
        <v>2970</v>
      </c>
      <c r="O24" t="s">
        <v>2971</v>
      </c>
      <c r="P24" t="s">
        <v>2972</v>
      </c>
      <c r="Q24" t="s">
        <v>2732</v>
      </c>
      <c r="R24">
        <v>6</v>
      </c>
      <c r="S24" t="s">
        <v>2733</v>
      </c>
      <c r="T24" t="s">
        <v>2973</v>
      </c>
      <c r="U24" t="s">
        <v>2712</v>
      </c>
      <c r="V24">
        <v>1</v>
      </c>
      <c r="W24" t="s">
        <v>2735</v>
      </c>
      <c r="X24" t="s">
        <v>2974</v>
      </c>
      <c r="Y24" t="s">
        <v>2974</v>
      </c>
      <c r="Z24" t="s">
        <v>2715</v>
      </c>
      <c r="AB24" t="s">
        <v>2716</v>
      </c>
      <c r="AC24" t="s">
        <v>2738</v>
      </c>
      <c r="AE24">
        <v>0</v>
      </c>
      <c r="AF24" t="s">
        <v>2975</v>
      </c>
      <c r="AH24" t="s">
        <v>76</v>
      </c>
      <c r="AI24">
        <v>46054</v>
      </c>
      <c r="AJ24">
        <v>2</v>
      </c>
      <c r="AK24" t="s">
        <v>2976</v>
      </c>
      <c r="AL24" t="s">
        <v>2977</v>
      </c>
      <c r="AM24" t="s">
        <v>2978</v>
      </c>
      <c r="AN24" t="s">
        <v>2979</v>
      </c>
      <c r="AO24" t="s">
        <v>2980</v>
      </c>
      <c r="AP24">
        <v>302</v>
      </c>
      <c r="AQ24" t="s">
        <v>2981</v>
      </c>
      <c r="AR24" t="s">
        <v>2982</v>
      </c>
      <c r="AS24">
        <v>144</v>
      </c>
      <c r="AT24" t="s">
        <v>2983</v>
      </c>
      <c r="AW24" t="str">
        <f>Plan_2026[[#This Row],[Tên brand]]&amp;" "&amp;Plan_2026[[#This Row],[Trục đường chính]]&amp;Plan_2026[[#This Row],[Tên mall
(chuẩn hóa)]]&amp;Plan_2026[[#This Row],[Địa chỉ đầy đủ]]</f>
        <v>Gogi House Võ Văn Kiệt và Lê Phước ThọAeon Mall Cần ThơVõ Văn Kiệt và Lê Phước Thọ, Long Hòa, Bình Thuỷ, Cần Thơ</v>
      </c>
    </row>
    <row r="25" spans="1:49" hidden="1" x14ac:dyDescent="0.35">
      <c r="A25">
        <v>22</v>
      </c>
      <c r="B25" t="s">
        <v>2178</v>
      </c>
      <c r="C25" t="s">
        <v>229</v>
      </c>
      <c r="D25" t="s">
        <v>2881</v>
      </c>
      <c r="E25">
        <v>2025</v>
      </c>
      <c r="F25">
        <v>4</v>
      </c>
      <c r="G25">
        <v>10</v>
      </c>
      <c r="H25">
        <v>2</v>
      </c>
      <c r="J25" t="s">
        <v>2244</v>
      </c>
      <c r="K25" t="s">
        <v>2704</v>
      </c>
      <c r="L25" t="s">
        <v>2958</v>
      </c>
      <c r="M25" t="s">
        <v>2959</v>
      </c>
      <c r="N25" t="s">
        <v>2984</v>
      </c>
      <c r="O25" t="s">
        <v>2985</v>
      </c>
      <c r="Q25" t="s">
        <v>2709</v>
      </c>
      <c r="R25">
        <v>8</v>
      </c>
      <c r="S25" t="s">
        <v>2710</v>
      </c>
      <c r="T25" t="s">
        <v>2882</v>
      </c>
      <c r="U25" t="s">
        <v>2800</v>
      </c>
      <c r="V25">
        <v>1</v>
      </c>
      <c r="W25" t="s">
        <v>2735</v>
      </c>
      <c r="Z25" t="s">
        <v>2715</v>
      </c>
      <c r="AB25" t="s">
        <v>1794</v>
      </c>
      <c r="AC25" t="s">
        <v>2763</v>
      </c>
      <c r="AE25">
        <v>1</v>
      </c>
      <c r="AF25" t="s">
        <v>2986</v>
      </c>
      <c r="AH25" t="s">
        <v>228</v>
      </c>
      <c r="AI25">
        <v>45931</v>
      </c>
      <c r="AJ25">
        <v>10</v>
      </c>
      <c r="AK25" t="s">
        <v>2987</v>
      </c>
      <c r="AL25" t="s">
        <v>2987</v>
      </c>
      <c r="AM25" t="s">
        <v>2988</v>
      </c>
      <c r="AN25" t="s">
        <v>2989</v>
      </c>
      <c r="AO25" t="s">
        <v>2990</v>
      </c>
      <c r="AP25">
        <v>12373</v>
      </c>
      <c r="AQ25" t="s">
        <v>2991</v>
      </c>
      <c r="AR25" t="s">
        <v>2992</v>
      </c>
      <c r="AS25">
        <v>10</v>
      </c>
      <c r="AT25" t="s">
        <v>2993</v>
      </c>
      <c r="AW25" t="str">
        <f>Plan_2026[[#This Row],[Tên brand]]&amp;" "&amp;Plan_2026[[#This Row],[Trục đường chính]]&amp;Plan_2026[[#This Row],[Tên mall
(chuẩn hóa)]]&amp;Plan_2026[[#This Row],[Địa chỉ đầy đủ]]</f>
        <v>Yutang An Phú, Ninh Kiều, Cần Thơ</v>
      </c>
    </row>
    <row r="26" spans="1:49" hidden="1" x14ac:dyDescent="0.35">
      <c r="A26">
        <v>23</v>
      </c>
      <c r="B26" t="s">
        <v>2994</v>
      </c>
      <c r="C26" t="s">
        <v>35</v>
      </c>
      <c r="D26" t="s">
        <v>2820</v>
      </c>
      <c r="E26">
        <v>2026</v>
      </c>
      <c r="F26">
        <v>1</v>
      </c>
      <c r="G26">
        <v>1</v>
      </c>
      <c r="H26">
        <v>5</v>
      </c>
      <c r="J26" t="s">
        <v>2244</v>
      </c>
      <c r="K26" t="s">
        <v>2704</v>
      </c>
      <c r="L26" t="s">
        <v>2958</v>
      </c>
      <c r="M26" t="s">
        <v>2959</v>
      </c>
      <c r="N26" t="s">
        <v>2960</v>
      </c>
      <c r="O26" t="s">
        <v>2961</v>
      </c>
      <c r="Q26" t="s">
        <v>2709</v>
      </c>
      <c r="R26" t="s">
        <v>2710</v>
      </c>
      <c r="S26" t="s">
        <v>2710</v>
      </c>
      <c r="T26" t="s">
        <v>2906</v>
      </c>
      <c r="U26" t="s">
        <v>2790</v>
      </c>
      <c r="V26">
        <v>1</v>
      </c>
      <c r="W26" t="s">
        <v>2735</v>
      </c>
      <c r="X26" t="s">
        <v>2995</v>
      </c>
      <c r="Z26" t="s">
        <v>2715</v>
      </c>
      <c r="AB26" t="s">
        <v>2716</v>
      </c>
      <c r="AC26" t="s">
        <v>2952</v>
      </c>
      <c r="AE26">
        <v>1</v>
      </c>
      <c r="AF26" t="s">
        <v>2996</v>
      </c>
      <c r="AG26" t="s">
        <v>2908</v>
      </c>
      <c r="AH26" t="s">
        <v>34</v>
      </c>
      <c r="AI26">
        <v>46023</v>
      </c>
      <c r="AJ26">
        <v>1</v>
      </c>
      <c r="AK26" t="s">
        <v>2964</v>
      </c>
      <c r="AL26" t="s">
        <v>2964</v>
      </c>
      <c r="AM26" t="s">
        <v>2965</v>
      </c>
      <c r="AN26" t="s">
        <v>2911</v>
      </c>
      <c r="AO26" t="s">
        <v>2997</v>
      </c>
      <c r="AP26">
        <v>644</v>
      </c>
      <c r="AQ26" t="s">
        <v>2967</v>
      </c>
      <c r="AR26" t="s">
        <v>2968</v>
      </c>
      <c r="AS26">
        <v>107</v>
      </c>
      <c r="AT26" t="s">
        <v>2998</v>
      </c>
      <c r="AW26" t="str">
        <f>Plan_2026[[#This Row],[Tên brand]]&amp;" "&amp;Plan_2026[[#This Row],[Trục đường chính]]&amp;Plan_2026[[#This Row],[Tên mall
(chuẩn hóa)]]&amp;Plan_2026[[#This Row],[Địa chỉ đầy đủ]]</f>
        <v>Kichi Kichi Châu Văn Liêm, Ô Môn, Cần Thơ</v>
      </c>
    </row>
    <row r="27" spans="1:49" hidden="1" x14ac:dyDescent="0.35">
      <c r="A27">
        <v>24</v>
      </c>
      <c r="B27" t="s">
        <v>2999</v>
      </c>
      <c r="C27" t="s">
        <v>2787</v>
      </c>
      <c r="D27" t="s">
        <v>2837</v>
      </c>
      <c r="E27">
        <v>2026</v>
      </c>
      <c r="F27">
        <v>1</v>
      </c>
      <c r="G27">
        <v>1</v>
      </c>
      <c r="H27">
        <v>5</v>
      </c>
      <c r="J27" t="s">
        <v>2244</v>
      </c>
      <c r="K27" t="s">
        <v>3000</v>
      </c>
      <c r="L27" t="s">
        <v>3001</v>
      </c>
      <c r="M27" t="s">
        <v>3002</v>
      </c>
      <c r="N27" t="s">
        <v>3003</v>
      </c>
      <c r="O27" t="s">
        <v>3004</v>
      </c>
      <c r="P27" t="s">
        <v>3005</v>
      </c>
      <c r="Q27" t="s">
        <v>2709</v>
      </c>
      <c r="R27" t="s">
        <v>2751</v>
      </c>
      <c r="S27" t="s">
        <v>2751</v>
      </c>
      <c r="T27" t="s">
        <v>2790</v>
      </c>
      <c r="U27" t="s">
        <v>2790</v>
      </c>
      <c r="V27">
        <v>1</v>
      </c>
      <c r="W27" t="s">
        <v>2735</v>
      </c>
      <c r="Z27">
        <v>132</v>
      </c>
      <c r="AB27" t="s">
        <v>2716</v>
      </c>
      <c r="AC27" t="s">
        <v>2738</v>
      </c>
      <c r="AE27">
        <v>0</v>
      </c>
      <c r="AF27" t="s">
        <v>3006</v>
      </c>
      <c r="AH27" t="s">
        <v>1788</v>
      </c>
      <c r="AI27">
        <v>46023</v>
      </c>
      <c r="AJ27">
        <v>1</v>
      </c>
      <c r="AK27" t="s">
        <v>3007</v>
      </c>
      <c r="AL27" t="s">
        <v>3008</v>
      </c>
      <c r="AM27" t="s">
        <v>3009</v>
      </c>
      <c r="AN27" t="s">
        <v>2793</v>
      </c>
      <c r="AO27" t="s">
        <v>3010</v>
      </c>
      <c r="AP27">
        <v>9351</v>
      </c>
      <c r="AQ27" t="s">
        <v>3011</v>
      </c>
      <c r="AR27" t="s">
        <v>3012</v>
      </c>
      <c r="AS27">
        <v>81</v>
      </c>
      <c r="AT27" t="s">
        <v>3013</v>
      </c>
      <c r="AW27" t="str">
        <f>Plan_2026[[#This Row],[Tên brand]]&amp;" "&amp;Plan_2026[[#This Row],[Trục đường chính]]&amp;Plan_2026[[#This Row],[Tên mall
(chuẩn hóa)]]&amp;Plan_2026[[#This Row],[Địa chỉ đầy đủ]]</f>
        <v>The Coffee House Điện Biên Phủ (gần Aeon mall)Điện Biên Phủ (gần Aeon mall), Chính Gián, Thanh Khê, Đà Nẵng</v>
      </c>
    </row>
    <row r="28" spans="1:49" hidden="1" x14ac:dyDescent="0.35">
      <c r="A28">
        <v>25</v>
      </c>
      <c r="B28" t="s">
        <v>2291</v>
      </c>
      <c r="C28" t="s">
        <v>2727</v>
      </c>
      <c r="D28" t="s">
        <v>2728</v>
      </c>
      <c r="E28">
        <v>2026</v>
      </c>
      <c r="F28">
        <v>3</v>
      </c>
      <c r="G28">
        <v>7</v>
      </c>
      <c r="H28">
        <v>11</v>
      </c>
      <c r="J28" t="s">
        <v>2244</v>
      </c>
      <c r="K28" t="s">
        <v>3000</v>
      </c>
      <c r="L28" t="s">
        <v>3001</v>
      </c>
      <c r="M28" t="s">
        <v>3002</v>
      </c>
      <c r="N28" t="s">
        <v>3003</v>
      </c>
      <c r="O28" t="s">
        <v>3004</v>
      </c>
      <c r="P28" t="s">
        <v>3014</v>
      </c>
      <c r="Q28" t="s">
        <v>2732</v>
      </c>
      <c r="R28">
        <v>6</v>
      </c>
      <c r="S28" t="s">
        <v>2733</v>
      </c>
      <c r="T28" t="s">
        <v>2734</v>
      </c>
      <c r="U28" t="s">
        <v>2712</v>
      </c>
      <c r="V28">
        <v>1</v>
      </c>
      <c r="W28" t="s">
        <v>2713</v>
      </c>
      <c r="X28" t="s">
        <v>2301</v>
      </c>
      <c r="Y28" t="s">
        <v>2301</v>
      </c>
      <c r="Z28">
        <v>180</v>
      </c>
      <c r="AB28" t="s">
        <v>2716</v>
      </c>
      <c r="AC28" t="s">
        <v>2763</v>
      </c>
      <c r="AE28">
        <v>1</v>
      </c>
      <c r="AH28" t="s">
        <v>1019</v>
      </c>
      <c r="AI28">
        <v>46204</v>
      </c>
      <c r="AJ28">
        <v>7</v>
      </c>
      <c r="AK28" t="s">
        <v>3007</v>
      </c>
      <c r="AL28" t="s">
        <v>3015</v>
      </c>
      <c r="AM28" t="s">
        <v>3009</v>
      </c>
      <c r="AN28" t="s">
        <v>2743</v>
      </c>
      <c r="AO28" t="s">
        <v>3016</v>
      </c>
      <c r="AP28">
        <v>9351</v>
      </c>
      <c r="AQ28" t="s">
        <v>3011</v>
      </c>
      <c r="AR28" t="s">
        <v>3012</v>
      </c>
      <c r="AS28">
        <v>17</v>
      </c>
      <c r="AT28" t="s">
        <v>3017</v>
      </c>
      <c r="AW28" t="str">
        <f>Plan_2026[[#This Row],[Tên brand]]&amp;" "&amp;Plan_2026[[#This Row],[Trục đường chính]]&amp;Plan_2026[[#This Row],[Tên mall
(chuẩn hóa)]]&amp;Plan_2026[[#This Row],[Địa chỉ đầy đủ]]</f>
        <v>CloudPot 46 Điện Biên PhủAeon Mall Đà Nẵng46 Điện Biên Phủ, Chính Gián, Thanh Khê, Đà Nẵng</v>
      </c>
    </row>
    <row r="29" spans="1:49" hidden="1" x14ac:dyDescent="0.35">
      <c r="A29">
        <v>30</v>
      </c>
      <c r="B29" t="s">
        <v>2354</v>
      </c>
      <c r="C29" t="s">
        <v>2702</v>
      </c>
      <c r="D29" t="s">
        <v>3018</v>
      </c>
      <c r="E29">
        <v>2025</v>
      </c>
      <c r="F29">
        <v>4</v>
      </c>
      <c r="G29">
        <v>10</v>
      </c>
      <c r="H29">
        <v>2</v>
      </c>
      <c r="J29" t="s">
        <v>2244</v>
      </c>
      <c r="K29" t="s">
        <v>3000</v>
      </c>
      <c r="L29" t="s">
        <v>3001</v>
      </c>
      <c r="M29" t="s">
        <v>3002</v>
      </c>
      <c r="N29" t="s">
        <v>3019</v>
      </c>
      <c r="O29" t="s">
        <v>3020</v>
      </c>
      <c r="P29" t="s">
        <v>3021</v>
      </c>
      <c r="Q29" t="s">
        <v>2732</v>
      </c>
      <c r="R29">
        <v>6</v>
      </c>
      <c r="S29" t="s">
        <v>2733</v>
      </c>
      <c r="T29" t="s">
        <v>2973</v>
      </c>
      <c r="U29" t="s">
        <v>2712</v>
      </c>
      <c r="V29">
        <v>1</v>
      </c>
      <c r="W29" t="s">
        <v>2713</v>
      </c>
      <c r="X29" t="s">
        <v>3022</v>
      </c>
      <c r="Y29" t="s">
        <v>3022</v>
      </c>
      <c r="Z29" t="s">
        <v>2715</v>
      </c>
      <c r="AB29" t="s">
        <v>2716</v>
      </c>
      <c r="AC29" t="s">
        <v>2738</v>
      </c>
      <c r="AE29">
        <v>0</v>
      </c>
      <c r="AF29" t="s">
        <v>3023</v>
      </c>
      <c r="AH29" t="s">
        <v>76</v>
      </c>
      <c r="AI29">
        <v>45931</v>
      </c>
      <c r="AJ29">
        <v>10</v>
      </c>
      <c r="AK29" t="s">
        <v>3024</v>
      </c>
      <c r="AL29" t="s">
        <v>3025</v>
      </c>
      <c r="AM29" t="s">
        <v>3026</v>
      </c>
      <c r="AN29" t="s">
        <v>2979</v>
      </c>
      <c r="AO29" t="s">
        <v>3027</v>
      </c>
      <c r="AP29">
        <v>1137</v>
      </c>
      <c r="AQ29" t="s">
        <v>3028</v>
      </c>
      <c r="AR29" t="s">
        <v>3029</v>
      </c>
      <c r="AS29">
        <v>144</v>
      </c>
      <c r="AT29" t="s">
        <v>3030</v>
      </c>
      <c r="AW29" t="str">
        <f>Plan_2026[[#This Row],[Tên brand]]&amp;" "&amp;Plan_2026[[#This Row],[Trục đường chính]]&amp;Plan_2026[[#This Row],[Tên mall
(chuẩn hóa)]]&amp;Plan_2026[[#This Row],[Địa chỉ đầy đủ]]</f>
        <v>Gogi House Nguyễn Sinh SắcMm Mega Market Hòa Khánh NamNguyễn Sinh Sắc, Hòa Khánh Nam, Liên Chiểu, Đà Nẵng</v>
      </c>
    </row>
    <row r="30" spans="1:49" hidden="1" x14ac:dyDescent="0.35">
      <c r="A30">
        <v>27</v>
      </c>
      <c r="B30" t="s">
        <v>2402</v>
      </c>
      <c r="C30" t="s">
        <v>2772</v>
      </c>
      <c r="D30" t="s">
        <v>2868</v>
      </c>
      <c r="E30">
        <v>2026</v>
      </c>
      <c r="F30">
        <v>1</v>
      </c>
      <c r="G30">
        <v>1</v>
      </c>
      <c r="H30">
        <v>5</v>
      </c>
      <c r="J30" t="s">
        <v>2244</v>
      </c>
      <c r="K30" t="s">
        <v>3000</v>
      </c>
      <c r="L30" t="s">
        <v>3001</v>
      </c>
      <c r="M30" t="s">
        <v>3002</v>
      </c>
      <c r="N30" t="s">
        <v>3003</v>
      </c>
      <c r="O30" t="s">
        <v>3004</v>
      </c>
      <c r="P30" t="s">
        <v>3031</v>
      </c>
      <c r="Q30" t="s">
        <v>2732</v>
      </c>
      <c r="R30" t="s">
        <v>2751</v>
      </c>
      <c r="S30" t="s">
        <v>2751</v>
      </c>
      <c r="T30" t="s">
        <v>2712</v>
      </c>
      <c r="U30" t="s">
        <v>2712</v>
      </c>
      <c r="V30">
        <v>1</v>
      </c>
      <c r="W30" t="s">
        <v>2713</v>
      </c>
      <c r="X30" t="s">
        <v>2301</v>
      </c>
      <c r="Y30" t="s">
        <v>2301</v>
      </c>
      <c r="Z30">
        <v>200</v>
      </c>
      <c r="AB30" t="s">
        <v>2716</v>
      </c>
      <c r="AC30" t="s">
        <v>2763</v>
      </c>
      <c r="AE30">
        <v>1</v>
      </c>
      <c r="AH30" t="s">
        <v>112</v>
      </c>
      <c r="AI30">
        <v>46023</v>
      </c>
      <c r="AJ30">
        <v>1</v>
      </c>
      <c r="AK30" t="s">
        <v>3007</v>
      </c>
      <c r="AL30" t="s">
        <v>3032</v>
      </c>
      <c r="AM30" t="s">
        <v>3009</v>
      </c>
      <c r="AN30" t="s">
        <v>3033</v>
      </c>
      <c r="AO30" t="s">
        <v>3034</v>
      </c>
      <c r="AP30">
        <v>9351</v>
      </c>
      <c r="AQ30" t="s">
        <v>3011</v>
      </c>
      <c r="AR30" t="s">
        <v>3012</v>
      </c>
      <c r="AS30">
        <v>55</v>
      </c>
      <c r="AT30" t="s">
        <v>3035</v>
      </c>
      <c r="AW30" t="str">
        <f>Plan_2026[[#This Row],[Tên brand]]&amp;" "&amp;Plan_2026[[#This Row],[Trục đường chính]]&amp;Plan_2026[[#This Row],[Tên mall
(chuẩn hóa)]]&amp;Plan_2026[[#This Row],[Địa chỉ đầy đủ]]</f>
        <v>Manwah 46 Đường Điện Biên PhủAeon Mall Đà Nẵng46 Đường Điện Biên Phủ, Chính Gián, Thanh Khê, Đà Nẵng</v>
      </c>
    </row>
    <row r="31" spans="1:49" hidden="1" x14ac:dyDescent="0.35">
      <c r="A31">
        <v>28</v>
      </c>
      <c r="B31" t="s">
        <v>2247</v>
      </c>
      <c r="C31" t="s">
        <v>35</v>
      </c>
      <c r="D31" t="s">
        <v>2820</v>
      </c>
      <c r="E31">
        <v>2025</v>
      </c>
      <c r="F31">
        <v>4</v>
      </c>
      <c r="G31">
        <v>12</v>
      </c>
      <c r="H31">
        <v>4</v>
      </c>
      <c r="I31">
        <v>5</v>
      </c>
      <c r="J31" t="s">
        <v>2244</v>
      </c>
      <c r="K31" t="s">
        <v>3000</v>
      </c>
      <c r="L31" t="s">
        <v>3001</v>
      </c>
      <c r="M31" t="s">
        <v>3002</v>
      </c>
      <c r="N31" t="s">
        <v>3003</v>
      </c>
      <c r="O31" t="s">
        <v>3004</v>
      </c>
      <c r="P31" t="s">
        <v>3031</v>
      </c>
      <c r="Q31" t="s">
        <v>2732</v>
      </c>
      <c r="R31" t="s">
        <v>2751</v>
      </c>
      <c r="S31" t="s">
        <v>2751</v>
      </c>
      <c r="T31">
        <v>200</v>
      </c>
      <c r="U31" t="s">
        <v>2712</v>
      </c>
      <c r="V31">
        <v>1</v>
      </c>
      <c r="W31" t="s">
        <v>2713</v>
      </c>
      <c r="X31" t="s">
        <v>2301</v>
      </c>
      <c r="Y31" t="s">
        <v>2301</v>
      </c>
      <c r="Z31" t="s">
        <v>2715</v>
      </c>
      <c r="AB31" t="s">
        <v>2716</v>
      </c>
      <c r="AC31" t="s">
        <v>2763</v>
      </c>
      <c r="AE31">
        <v>1</v>
      </c>
      <c r="AH31" t="s">
        <v>34</v>
      </c>
      <c r="AI31">
        <v>45992</v>
      </c>
      <c r="AJ31">
        <v>12</v>
      </c>
      <c r="AK31" t="s">
        <v>3007</v>
      </c>
      <c r="AL31" t="s">
        <v>3032</v>
      </c>
      <c r="AM31" t="s">
        <v>3009</v>
      </c>
      <c r="AN31" t="s">
        <v>3036</v>
      </c>
      <c r="AO31" t="s">
        <v>3037</v>
      </c>
      <c r="AP31">
        <v>9351</v>
      </c>
      <c r="AQ31" t="s">
        <v>3011</v>
      </c>
      <c r="AR31" t="s">
        <v>3012</v>
      </c>
      <c r="AS31">
        <v>107</v>
      </c>
      <c r="AT31" t="s">
        <v>2830</v>
      </c>
      <c r="AW31" t="str">
        <f>Plan_2026[[#This Row],[Tên brand]]&amp;" "&amp;Plan_2026[[#This Row],[Trục đường chính]]&amp;Plan_2026[[#This Row],[Tên mall
(chuẩn hóa)]]&amp;Plan_2026[[#This Row],[Địa chỉ đầy đủ]]</f>
        <v>Kichi Kichi 46 Đường Điện Biên PhủAeon Mall Đà Nẵng46 Đường Điện Biên Phủ, Chính Gián, Thanh Khê, Đà Nẵng</v>
      </c>
    </row>
    <row r="32" spans="1:49" hidden="1" x14ac:dyDescent="0.35">
      <c r="A32">
        <v>29</v>
      </c>
      <c r="B32" t="s">
        <v>2300</v>
      </c>
      <c r="C32" t="s">
        <v>62</v>
      </c>
      <c r="D32" t="s">
        <v>3038</v>
      </c>
      <c r="E32">
        <v>2026</v>
      </c>
      <c r="F32">
        <v>3</v>
      </c>
      <c r="G32">
        <v>7</v>
      </c>
      <c r="H32">
        <v>11</v>
      </c>
      <c r="J32" t="s">
        <v>2244</v>
      </c>
      <c r="K32" t="s">
        <v>3000</v>
      </c>
      <c r="L32" t="s">
        <v>3001</v>
      </c>
      <c r="M32" t="s">
        <v>3002</v>
      </c>
      <c r="N32" t="s">
        <v>3039</v>
      </c>
      <c r="O32" t="s">
        <v>3040</v>
      </c>
      <c r="P32" t="s">
        <v>3041</v>
      </c>
      <c r="Q32" t="s">
        <v>2709</v>
      </c>
      <c r="R32" t="s">
        <v>2751</v>
      </c>
      <c r="S32" t="s">
        <v>2751</v>
      </c>
      <c r="T32" t="s">
        <v>2712</v>
      </c>
      <c r="U32" t="s">
        <v>2712</v>
      </c>
      <c r="V32">
        <v>1</v>
      </c>
      <c r="W32" t="s">
        <v>2713</v>
      </c>
      <c r="X32" t="s">
        <v>3042</v>
      </c>
      <c r="Z32">
        <v>300</v>
      </c>
      <c r="AA32" t="s">
        <v>3043</v>
      </c>
      <c r="AB32" t="s">
        <v>2716</v>
      </c>
      <c r="AC32" t="s">
        <v>2763</v>
      </c>
      <c r="AE32">
        <v>1</v>
      </c>
      <c r="AH32" t="s">
        <v>61</v>
      </c>
      <c r="AI32">
        <v>46204</v>
      </c>
      <c r="AJ32">
        <v>7</v>
      </c>
      <c r="AK32" t="s">
        <v>3044</v>
      </c>
      <c r="AL32" t="s">
        <v>3045</v>
      </c>
      <c r="AM32" t="s">
        <v>3046</v>
      </c>
      <c r="AN32" t="s">
        <v>2944</v>
      </c>
      <c r="AO32" t="s">
        <v>3047</v>
      </c>
      <c r="AP32">
        <v>9947</v>
      </c>
      <c r="AQ32" t="s">
        <v>3048</v>
      </c>
      <c r="AR32" t="s">
        <v>3049</v>
      </c>
      <c r="AS32">
        <v>25</v>
      </c>
      <c r="AT32" t="s">
        <v>3050</v>
      </c>
      <c r="AW32" t="str">
        <f>Plan_2026[[#This Row],[Tên brand]]&amp;" "&amp;Plan_2026[[#This Row],[Trục đường chính]]&amp;Plan_2026[[#This Row],[Tên mall
(chuẩn hóa)]]&amp;Plan_2026[[#This Row],[Địa chỉ đầy đủ]]</f>
        <v>Isushi 2 tháng 92 tháng 9, Bình Thuận, Hải Châu, Đà Nẵng</v>
      </c>
    </row>
    <row r="33" spans="1:49" hidden="1" x14ac:dyDescent="0.35">
      <c r="A33">
        <v>198</v>
      </c>
      <c r="B33" t="s">
        <v>2326</v>
      </c>
      <c r="C33" t="s">
        <v>2702</v>
      </c>
      <c r="D33" t="s">
        <v>3051</v>
      </c>
      <c r="E33">
        <v>2026</v>
      </c>
      <c r="F33">
        <v>1</v>
      </c>
      <c r="G33">
        <v>2</v>
      </c>
      <c r="H33">
        <v>6</v>
      </c>
      <c r="J33" t="s">
        <v>350</v>
      </c>
      <c r="K33" t="s">
        <v>2704</v>
      </c>
      <c r="L33" t="s">
        <v>3052</v>
      </c>
      <c r="M33" t="s">
        <v>3053</v>
      </c>
      <c r="N33" t="s">
        <v>3054</v>
      </c>
      <c r="O33" t="s">
        <v>2399</v>
      </c>
      <c r="P33" t="s">
        <v>3055</v>
      </c>
      <c r="Q33" t="s">
        <v>2732</v>
      </c>
      <c r="R33">
        <v>6</v>
      </c>
      <c r="S33" t="s">
        <v>2733</v>
      </c>
      <c r="T33" t="s">
        <v>2973</v>
      </c>
      <c r="U33" t="s">
        <v>2712</v>
      </c>
      <c r="V33">
        <v>1</v>
      </c>
      <c r="W33" t="s">
        <v>2713</v>
      </c>
      <c r="X33" t="s">
        <v>3056</v>
      </c>
      <c r="Y33" t="s">
        <v>3056</v>
      </c>
      <c r="Z33" t="s">
        <v>2715</v>
      </c>
      <c r="AB33" t="s">
        <v>2716</v>
      </c>
      <c r="AC33" t="s">
        <v>2738</v>
      </c>
      <c r="AE33">
        <v>0</v>
      </c>
      <c r="AH33" t="s">
        <v>76</v>
      </c>
      <c r="AI33">
        <v>46054</v>
      </c>
      <c r="AJ33">
        <v>2</v>
      </c>
      <c r="AK33" t="s">
        <v>3057</v>
      </c>
      <c r="AL33" t="s">
        <v>3058</v>
      </c>
      <c r="AM33" t="s">
        <v>3059</v>
      </c>
      <c r="AN33" t="s">
        <v>2979</v>
      </c>
      <c r="AO33" t="s">
        <v>3060</v>
      </c>
      <c r="AP33">
        <v>15403</v>
      </c>
      <c r="AQ33" t="s">
        <v>3061</v>
      </c>
      <c r="AR33" t="s">
        <v>3062</v>
      </c>
      <c r="AS33">
        <v>144</v>
      </c>
      <c r="AT33" t="s">
        <v>3063</v>
      </c>
      <c r="AW33" t="str">
        <f>Plan_2026[[#This Row],[Tên brand]]&amp;" "&amp;Plan_2026[[#This Row],[Trục đường chính]]&amp;Plan_2026[[#This Row],[Tên mall
(chuẩn hóa)]]&amp;Plan_2026[[#This Row],[Địa chỉ đầy đủ]]</f>
        <v>Gogi House 235 Nguyễn Văn CừNowzone235 Nguyễn Văn Cừ, Nguyễn Cư Trinh, Quận 1, Hồ Chí Minh</v>
      </c>
    </row>
    <row r="34" spans="1:49" hidden="1" x14ac:dyDescent="0.35">
      <c r="A34">
        <v>31</v>
      </c>
      <c r="B34" t="s">
        <v>2245</v>
      </c>
      <c r="C34" t="s">
        <v>35</v>
      </c>
      <c r="D34" t="s">
        <v>2820</v>
      </c>
      <c r="E34">
        <v>2025</v>
      </c>
      <c r="F34">
        <v>4</v>
      </c>
      <c r="G34">
        <v>12</v>
      </c>
      <c r="H34">
        <v>4</v>
      </c>
      <c r="J34" t="s">
        <v>2244</v>
      </c>
      <c r="K34" t="s">
        <v>3000</v>
      </c>
      <c r="L34" t="s">
        <v>3001</v>
      </c>
      <c r="M34" t="s">
        <v>3002</v>
      </c>
      <c r="N34" t="s">
        <v>3019</v>
      </c>
      <c r="O34" t="s">
        <v>3020</v>
      </c>
      <c r="P34" t="s">
        <v>3021</v>
      </c>
      <c r="Q34" t="s">
        <v>2732</v>
      </c>
      <c r="R34" t="s">
        <v>2751</v>
      </c>
      <c r="S34" t="s">
        <v>2751</v>
      </c>
      <c r="T34">
        <v>200</v>
      </c>
      <c r="U34" t="s">
        <v>2712</v>
      </c>
      <c r="V34">
        <v>1</v>
      </c>
      <c r="W34" t="s">
        <v>2713</v>
      </c>
      <c r="X34" t="s">
        <v>3064</v>
      </c>
      <c r="Y34" t="s">
        <v>3064</v>
      </c>
      <c r="Z34" t="s">
        <v>2715</v>
      </c>
      <c r="AB34" t="s">
        <v>2716</v>
      </c>
      <c r="AC34" t="s">
        <v>2738</v>
      </c>
      <c r="AE34">
        <v>0</v>
      </c>
      <c r="AF34" t="s">
        <v>3065</v>
      </c>
      <c r="AH34" t="s">
        <v>34</v>
      </c>
      <c r="AI34">
        <v>45992</v>
      </c>
      <c r="AJ34">
        <v>12</v>
      </c>
      <c r="AK34" t="s">
        <v>3024</v>
      </c>
      <c r="AL34" t="s">
        <v>3025</v>
      </c>
      <c r="AM34" t="s">
        <v>3026</v>
      </c>
      <c r="AN34" t="s">
        <v>3036</v>
      </c>
      <c r="AO34" t="s">
        <v>3066</v>
      </c>
      <c r="AP34">
        <v>1137</v>
      </c>
      <c r="AQ34" t="s">
        <v>3028</v>
      </c>
      <c r="AR34" t="s">
        <v>3029</v>
      </c>
      <c r="AS34">
        <v>107</v>
      </c>
      <c r="AT34" t="s">
        <v>3067</v>
      </c>
      <c r="AW34" t="str">
        <f>Plan_2026[[#This Row],[Tên brand]]&amp;" "&amp;Plan_2026[[#This Row],[Trục đường chính]]&amp;Plan_2026[[#This Row],[Tên mall
(chuẩn hóa)]]&amp;Plan_2026[[#This Row],[Địa chỉ đầy đủ]]</f>
        <v>Kichi Kichi Nguyễn Sinh SắcMM SupercenterNguyễn Sinh Sắc, Hòa Khánh Nam, Liên Chiểu, Đà Nẵng</v>
      </c>
    </row>
    <row r="35" spans="1:49" hidden="1" x14ac:dyDescent="0.35">
      <c r="A35">
        <v>32</v>
      </c>
      <c r="B35" t="s">
        <v>2545</v>
      </c>
      <c r="C35" t="s">
        <v>2787</v>
      </c>
      <c r="D35" t="s">
        <v>2837</v>
      </c>
      <c r="E35">
        <v>2026</v>
      </c>
      <c r="F35">
        <v>1</v>
      </c>
      <c r="G35">
        <v>3</v>
      </c>
      <c r="H35">
        <v>7</v>
      </c>
      <c r="J35" t="s">
        <v>2244</v>
      </c>
      <c r="K35" t="s">
        <v>3000</v>
      </c>
      <c r="L35" t="s">
        <v>3001</v>
      </c>
      <c r="M35" t="s">
        <v>3002</v>
      </c>
      <c r="N35" t="s">
        <v>3039</v>
      </c>
      <c r="O35" t="s">
        <v>3040</v>
      </c>
      <c r="P35" t="s">
        <v>2546</v>
      </c>
      <c r="Q35" t="s">
        <v>2709</v>
      </c>
      <c r="R35" t="s">
        <v>2710</v>
      </c>
      <c r="S35" t="s">
        <v>2710</v>
      </c>
      <c r="T35" t="s">
        <v>2800</v>
      </c>
      <c r="U35" t="s">
        <v>2800</v>
      </c>
      <c r="V35">
        <v>1</v>
      </c>
      <c r="W35" t="s">
        <v>2735</v>
      </c>
      <c r="Z35">
        <v>132</v>
      </c>
      <c r="AB35" t="s">
        <v>2716</v>
      </c>
      <c r="AC35" t="s">
        <v>2738</v>
      </c>
      <c r="AE35">
        <v>0</v>
      </c>
      <c r="AF35" t="s">
        <v>3006</v>
      </c>
      <c r="AH35" t="s">
        <v>1788</v>
      </c>
      <c r="AI35">
        <v>46082</v>
      </c>
      <c r="AJ35">
        <v>3</v>
      </c>
      <c r="AK35" t="s">
        <v>3044</v>
      </c>
      <c r="AL35" t="s">
        <v>3068</v>
      </c>
      <c r="AM35" t="s">
        <v>3046</v>
      </c>
      <c r="AN35" t="s">
        <v>2793</v>
      </c>
      <c r="AO35" t="s">
        <v>3069</v>
      </c>
      <c r="AP35">
        <v>9947</v>
      </c>
      <c r="AQ35" t="s">
        <v>3048</v>
      </c>
      <c r="AR35" t="s">
        <v>3049</v>
      </c>
      <c r="AS35">
        <v>81</v>
      </c>
      <c r="AT35" t="s">
        <v>3070</v>
      </c>
      <c r="AW35" t="str">
        <f>Plan_2026[[#This Row],[Tên brand]]&amp;" "&amp;Plan_2026[[#This Row],[Trục đường chính]]&amp;Plan_2026[[#This Row],[Tên mall
(chuẩn hóa)]]&amp;Plan_2026[[#This Row],[Địa chỉ đầy đủ]]</f>
        <v>The Coffee House Nguyễn Văn Linh, giao với 2 tháng 9Nguyễn Văn Linh, giao với 2 tháng 9, Bình Thuận, Hải Châu, Đà Nẵng</v>
      </c>
    </row>
    <row r="36" spans="1:49" hidden="1" x14ac:dyDescent="0.35">
      <c r="A36">
        <v>33</v>
      </c>
      <c r="B36" t="s">
        <v>2577</v>
      </c>
      <c r="C36" t="s">
        <v>2787</v>
      </c>
      <c r="D36" t="s">
        <v>2837</v>
      </c>
      <c r="E36">
        <v>2026</v>
      </c>
      <c r="F36">
        <v>2</v>
      </c>
      <c r="G36">
        <v>5</v>
      </c>
      <c r="H36">
        <v>9</v>
      </c>
      <c r="J36" t="s">
        <v>2244</v>
      </c>
      <c r="K36" t="s">
        <v>3000</v>
      </c>
      <c r="L36" t="s">
        <v>3001</v>
      </c>
      <c r="M36" t="s">
        <v>3002</v>
      </c>
      <c r="N36" t="s">
        <v>3003</v>
      </c>
      <c r="O36" t="s">
        <v>3071</v>
      </c>
      <c r="Q36" t="s">
        <v>2732</v>
      </c>
      <c r="R36" t="s">
        <v>2710</v>
      </c>
      <c r="S36" t="s">
        <v>2710</v>
      </c>
      <c r="T36" t="s">
        <v>2800</v>
      </c>
      <c r="U36" t="s">
        <v>2800</v>
      </c>
      <c r="V36">
        <v>1</v>
      </c>
      <c r="W36" t="s">
        <v>2735</v>
      </c>
      <c r="X36" t="s">
        <v>2578</v>
      </c>
      <c r="Z36">
        <v>132</v>
      </c>
      <c r="AB36" t="s">
        <v>2716</v>
      </c>
      <c r="AC36" t="s">
        <v>2738</v>
      </c>
      <c r="AE36">
        <v>0</v>
      </c>
      <c r="AG36" t="s">
        <v>2930</v>
      </c>
      <c r="AH36" t="s">
        <v>1788</v>
      </c>
      <c r="AI36">
        <v>46143</v>
      </c>
      <c r="AJ36">
        <v>5</v>
      </c>
      <c r="AK36" t="s">
        <v>3072</v>
      </c>
      <c r="AL36" t="s">
        <v>3072</v>
      </c>
      <c r="AM36" t="s">
        <v>3073</v>
      </c>
      <c r="AN36" t="s">
        <v>2804</v>
      </c>
      <c r="AO36" t="s">
        <v>2787</v>
      </c>
      <c r="AP36">
        <v>13534</v>
      </c>
      <c r="AQ36" t="s">
        <v>3074</v>
      </c>
      <c r="AR36" t="s">
        <v>3075</v>
      </c>
      <c r="AS36">
        <v>81</v>
      </c>
      <c r="AT36" t="s">
        <v>3076</v>
      </c>
      <c r="AW36" t="str">
        <f>Plan_2026[[#This Row],[Tên brand]]&amp;" "&amp;Plan_2026[[#This Row],[Trục đường chính]]&amp;Plan_2026[[#This Row],[Tên mall
(chuẩn hóa)]]&amp;Plan_2026[[#This Row],[Địa chỉ đầy đủ]]</f>
        <v>The Coffee House Tân Chính, Thanh Khê, Đà Nẵng</v>
      </c>
    </row>
    <row r="37" spans="1:49" hidden="1" x14ac:dyDescent="0.35">
      <c r="A37">
        <v>34</v>
      </c>
      <c r="B37" t="s">
        <v>3077</v>
      </c>
      <c r="C37" t="s">
        <v>2008</v>
      </c>
      <c r="D37" t="s">
        <v>2728</v>
      </c>
      <c r="E37">
        <v>2026</v>
      </c>
      <c r="F37">
        <v>1</v>
      </c>
      <c r="G37">
        <v>1</v>
      </c>
      <c r="H37">
        <v>5</v>
      </c>
      <c r="J37" t="s">
        <v>2244</v>
      </c>
      <c r="K37" t="s">
        <v>3000</v>
      </c>
      <c r="L37" t="s">
        <v>3001</v>
      </c>
      <c r="M37" t="s">
        <v>3002</v>
      </c>
      <c r="N37" t="s">
        <v>3039</v>
      </c>
      <c r="O37" t="s">
        <v>3040</v>
      </c>
      <c r="P37" t="s">
        <v>3041</v>
      </c>
      <c r="Q37" t="s">
        <v>2709</v>
      </c>
      <c r="R37" t="s">
        <v>2751</v>
      </c>
      <c r="S37" t="s">
        <v>2751</v>
      </c>
      <c r="T37">
        <v>300</v>
      </c>
      <c r="U37" t="s">
        <v>2762</v>
      </c>
      <c r="V37">
        <v>1</v>
      </c>
      <c r="W37" t="s">
        <v>2735</v>
      </c>
      <c r="X37" t="s">
        <v>3042</v>
      </c>
      <c r="Z37">
        <v>160</v>
      </c>
      <c r="AB37" t="s">
        <v>2716</v>
      </c>
      <c r="AC37" t="s">
        <v>2763</v>
      </c>
      <c r="AE37">
        <v>1</v>
      </c>
      <c r="AH37" t="s">
        <v>2044</v>
      </c>
      <c r="AI37">
        <v>46023</v>
      </c>
      <c r="AJ37">
        <v>1</v>
      </c>
      <c r="AK37" t="s">
        <v>3044</v>
      </c>
      <c r="AL37" t="s">
        <v>3045</v>
      </c>
      <c r="AM37" t="s">
        <v>3046</v>
      </c>
      <c r="AN37" t="s">
        <v>2767</v>
      </c>
      <c r="AO37" t="s">
        <v>3078</v>
      </c>
      <c r="AP37">
        <v>9947</v>
      </c>
      <c r="AQ37" t="s">
        <v>3048</v>
      </c>
      <c r="AR37" t="s">
        <v>3049</v>
      </c>
      <c r="AS37">
        <v>6</v>
      </c>
      <c r="AT37" t="s">
        <v>2835</v>
      </c>
      <c r="AW37" t="str">
        <f>Plan_2026[[#This Row],[Tên brand]]&amp;" "&amp;Plan_2026[[#This Row],[Trục đường chính]]&amp;Plan_2026[[#This Row],[Tên mall
(chuẩn hóa)]]&amp;Plan_2026[[#This Row],[Địa chỉ đầy đủ]]</f>
        <v>Dao Niu Guo 2 tháng 92 tháng 9, Bình Thuận, Hải Châu, Đà Nẵng</v>
      </c>
    </row>
    <row r="38" spans="1:49" hidden="1" x14ac:dyDescent="0.35">
      <c r="A38">
        <v>35</v>
      </c>
      <c r="B38" t="s">
        <v>3079</v>
      </c>
      <c r="C38" t="s">
        <v>35</v>
      </c>
      <c r="D38" t="s">
        <v>2820</v>
      </c>
      <c r="E38">
        <v>2026</v>
      </c>
      <c r="F38">
        <v>3</v>
      </c>
      <c r="G38">
        <v>7</v>
      </c>
      <c r="H38">
        <v>11</v>
      </c>
      <c r="J38" t="s">
        <v>2244</v>
      </c>
      <c r="K38" t="s">
        <v>2704</v>
      </c>
      <c r="L38" t="s">
        <v>3080</v>
      </c>
      <c r="M38" t="s">
        <v>3081</v>
      </c>
      <c r="N38" t="s">
        <v>3082</v>
      </c>
      <c r="O38" t="s">
        <v>3083</v>
      </c>
      <c r="P38" t="s">
        <v>3084</v>
      </c>
      <c r="Q38" t="s">
        <v>2709</v>
      </c>
      <c r="R38" t="s">
        <v>2751</v>
      </c>
      <c r="S38" t="s">
        <v>2751</v>
      </c>
      <c r="T38">
        <v>200</v>
      </c>
      <c r="U38" t="s">
        <v>2790</v>
      </c>
      <c r="V38">
        <v>1</v>
      </c>
      <c r="W38" t="s">
        <v>2735</v>
      </c>
      <c r="Z38" t="s">
        <v>2715</v>
      </c>
      <c r="AB38" t="s">
        <v>2716</v>
      </c>
      <c r="AC38" t="s">
        <v>2738</v>
      </c>
      <c r="AE38">
        <v>0</v>
      </c>
      <c r="AF38" t="s">
        <v>3085</v>
      </c>
      <c r="AG38" t="s">
        <v>2908</v>
      </c>
      <c r="AH38" t="s">
        <v>34</v>
      </c>
      <c r="AI38">
        <v>46204</v>
      </c>
      <c r="AJ38">
        <v>7</v>
      </c>
      <c r="AK38" t="s">
        <v>3086</v>
      </c>
      <c r="AL38" t="s">
        <v>3087</v>
      </c>
      <c r="AM38" t="s">
        <v>3088</v>
      </c>
      <c r="AN38" t="s">
        <v>2911</v>
      </c>
      <c r="AO38" t="s">
        <v>3089</v>
      </c>
      <c r="AP38">
        <v>4368</v>
      </c>
      <c r="AQ38" t="s">
        <v>3090</v>
      </c>
      <c r="AR38" t="s">
        <v>3091</v>
      </c>
      <c r="AS38">
        <v>107</v>
      </c>
      <c r="AT38" t="s">
        <v>3092</v>
      </c>
      <c r="AW38" t="str">
        <f>Plan_2026[[#This Row],[Tên brand]]&amp;" "&amp;Plan_2026[[#This Row],[Trục đường chính]]&amp;Plan_2026[[#This Row],[Tên mall
(chuẩn hóa)]]&amp;Plan_2026[[#This Row],[Địa chỉ đầy đủ]]</f>
        <v>Kichi Kichi Long Thành/Long KhánhLong Thành/Long Khánh, Xuân An, Long Khánh, Đồng Nai</v>
      </c>
    </row>
    <row r="39" spans="1:49" hidden="1" x14ac:dyDescent="0.35">
      <c r="A39">
        <v>36</v>
      </c>
      <c r="B39" t="s">
        <v>3093</v>
      </c>
      <c r="C39" t="s">
        <v>2849</v>
      </c>
      <c r="D39" t="s">
        <v>2850</v>
      </c>
      <c r="E39">
        <v>2025</v>
      </c>
      <c r="F39">
        <v>4</v>
      </c>
      <c r="G39">
        <v>10</v>
      </c>
      <c r="H39">
        <v>2</v>
      </c>
      <c r="J39" t="s">
        <v>2244</v>
      </c>
      <c r="K39" t="s">
        <v>2704</v>
      </c>
      <c r="L39" t="s">
        <v>3080</v>
      </c>
      <c r="M39" t="s">
        <v>3081</v>
      </c>
      <c r="N39" t="s">
        <v>3094</v>
      </c>
      <c r="O39" t="s">
        <v>2871</v>
      </c>
      <c r="Q39" t="s">
        <v>2709</v>
      </c>
      <c r="R39" t="s">
        <v>2751</v>
      </c>
      <c r="S39" t="s">
        <v>2751</v>
      </c>
      <c r="T39" t="s">
        <v>2790</v>
      </c>
      <c r="U39" t="s">
        <v>2790</v>
      </c>
      <c r="V39">
        <v>1</v>
      </c>
      <c r="W39" t="s">
        <v>2735</v>
      </c>
      <c r="Z39" t="s">
        <v>2715</v>
      </c>
      <c r="AB39" t="s">
        <v>2716</v>
      </c>
      <c r="AC39" t="s">
        <v>2952</v>
      </c>
      <c r="AE39">
        <v>1</v>
      </c>
      <c r="AF39" t="s">
        <v>3095</v>
      </c>
      <c r="AH39" t="s">
        <v>1771</v>
      </c>
      <c r="AI39">
        <v>45931</v>
      </c>
      <c r="AJ39">
        <v>10</v>
      </c>
      <c r="AK39" t="s">
        <v>3096</v>
      </c>
      <c r="AL39" t="s">
        <v>3096</v>
      </c>
      <c r="AM39" t="s">
        <v>3097</v>
      </c>
      <c r="AN39" t="s">
        <v>3098</v>
      </c>
      <c r="AO39" t="s">
        <v>3099</v>
      </c>
      <c r="AP39">
        <v>3387</v>
      </c>
      <c r="AQ39" t="s">
        <v>3100</v>
      </c>
      <c r="AR39" t="s">
        <v>3101</v>
      </c>
      <c r="AS39">
        <v>2</v>
      </c>
      <c r="AT39" t="s">
        <v>2866</v>
      </c>
      <c r="AW39" t="str">
        <f>Plan_2026[[#This Row],[Tên brand]]&amp;" "&amp;Plan_2026[[#This Row],[Trục đường chính]]&amp;Plan_2026[[#This Row],[Tên mall
(chuẩn hóa)]]&amp;Plan_2026[[#This Row],[Địa chỉ đầy đủ]]</f>
        <v>Wow!Yakiniku Thống Nhất, Biên Hòa, Đồng Nai</v>
      </c>
    </row>
    <row r="40" spans="1:49" hidden="1" x14ac:dyDescent="0.35">
      <c r="A40">
        <v>37</v>
      </c>
      <c r="B40" t="s">
        <v>3102</v>
      </c>
      <c r="C40" t="s">
        <v>2727</v>
      </c>
      <c r="D40" t="s">
        <v>2728</v>
      </c>
      <c r="E40">
        <v>2026</v>
      </c>
      <c r="F40">
        <v>3</v>
      </c>
      <c r="G40">
        <v>7</v>
      </c>
      <c r="H40">
        <v>11</v>
      </c>
      <c r="J40" t="s">
        <v>2244</v>
      </c>
      <c r="K40" t="s">
        <v>2704</v>
      </c>
      <c r="L40" t="s">
        <v>3080</v>
      </c>
      <c r="M40" t="s">
        <v>3081</v>
      </c>
      <c r="N40" t="s">
        <v>3094</v>
      </c>
      <c r="O40" t="s">
        <v>2871</v>
      </c>
      <c r="P40" t="s">
        <v>3103</v>
      </c>
      <c r="Q40" t="s">
        <v>2709</v>
      </c>
      <c r="R40">
        <v>6</v>
      </c>
      <c r="S40" t="s">
        <v>2733</v>
      </c>
      <c r="T40" t="s">
        <v>2734</v>
      </c>
      <c r="U40" t="s">
        <v>2712</v>
      </c>
      <c r="V40">
        <v>1</v>
      </c>
      <c r="W40" t="s">
        <v>2735</v>
      </c>
      <c r="X40" t="s">
        <v>3104</v>
      </c>
      <c r="Z40">
        <v>180</v>
      </c>
      <c r="AB40" t="s">
        <v>2716</v>
      </c>
      <c r="AC40" t="s">
        <v>2717</v>
      </c>
      <c r="AE40">
        <v>0</v>
      </c>
      <c r="AF40" t="s">
        <v>3105</v>
      </c>
      <c r="AH40" t="s">
        <v>1019</v>
      </c>
      <c r="AI40">
        <v>46204</v>
      </c>
      <c r="AJ40">
        <v>7</v>
      </c>
      <c r="AK40" t="s">
        <v>3096</v>
      </c>
      <c r="AL40" t="s">
        <v>3106</v>
      </c>
      <c r="AM40" t="s">
        <v>3097</v>
      </c>
      <c r="AN40" t="s">
        <v>3107</v>
      </c>
      <c r="AO40" t="s">
        <v>3108</v>
      </c>
      <c r="AP40">
        <v>3387</v>
      </c>
      <c r="AQ40" t="s">
        <v>3100</v>
      </c>
      <c r="AR40" t="s">
        <v>3101</v>
      </c>
      <c r="AS40">
        <v>17</v>
      </c>
      <c r="AT40" t="s">
        <v>3109</v>
      </c>
      <c r="AW40" t="str">
        <f>Plan_2026[[#This Row],[Tên brand]]&amp;" "&amp;Plan_2026[[#This Row],[Trục đường chính]]&amp;Plan_2026[[#This Row],[Tên mall
(chuẩn hóa)]]&amp;Plan_2026[[#This Row],[Địa chỉ đầy đủ]]</f>
        <v>CloudPot Võ Thị SáuVõ Thị Sáu, Thống Nhất, Biên Hòa, Đồng Nai</v>
      </c>
    </row>
    <row r="41" spans="1:49" hidden="1" x14ac:dyDescent="0.35">
      <c r="A41">
        <v>395</v>
      </c>
      <c r="B41" t="s">
        <v>3110</v>
      </c>
      <c r="C41" t="s">
        <v>2787</v>
      </c>
      <c r="D41" t="s">
        <v>3111</v>
      </c>
      <c r="E41">
        <v>2026</v>
      </c>
      <c r="F41">
        <v>3</v>
      </c>
      <c r="G41">
        <v>7</v>
      </c>
      <c r="H41">
        <v>11</v>
      </c>
      <c r="J41" t="s">
        <v>2244</v>
      </c>
      <c r="K41" t="s">
        <v>2704</v>
      </c>
      <c r="L41" t="s">
        <v>3080</v>
      </c>
      <c r="M41" t="s">
        <v>3081</v>
      </c>
      <c r="N41" t="s">
        <v>3094</v>
      </c>
      <c r="O41" t="s">
        <v>3112</v>
      </c>
      <c r="P41" t="s">
        <v>3113</v>
      </c>
      <c r="Q41" t="s">
        <v>2810</v>
      </c>
      <c r="R41" t="s">
        <v>2710</v>
      </c>
      <c r="S41" t="s">
        <v>2710</v>
      </c>
      <c r="T41" t="s">
        <v>2800</v>
      </c>
      <c r="U41" t="s">
        <v>2800</v>
      </c>
      <c r="V41">
        <v>1</v>
      </c>
      <c r="W41" t="s">
        <v>3114</v>
      </c>
      <c r="X41" t="s">
        <v>3095</v>
      </c>
      <c r="Z41">
        <v>132</v>
      </c>
      <c r="AB41" t="s">
        <v>2716</v>
      </c>
      <c r="AC41" t="s">
        <v>3115</v>
      </c>
      <c r="AE41">
        <v>1</v>
      </c>
      <c r="AH41" t="s">
        <v>1788</v>
      </c>
      <c r="AI41">
        <v>46204</v>
      </c>
      <c r="AJ41">
        <v>7</v>
      </c>
      <c r="AK41" t="s">
        <v>3116</v>
      </c>
      <c r="AM41" t="s">
        <v>3117</v>
      </c>
      <c r="AN41" t="s">
        <v>2814</v>
      </c>
      <c r="AO41" t="s">
        <v>3118</v>
      </c>
      <c r="AP41">
        <v>8477</v>
      </c>
      <c r="AQ41" t="s">
        <v>3119</v>
      </c>
      <c r="AR41" t="s">
        <v>3120</v>
      </c>
      <c r="AS41">
        <v>81</v>
      </c>
      <c r="AT41" t="s">
        <v>2795</v>
      </c>
      <c r="AW41" t="str">
        <f>Plan_2026[[#This Row],[Tên brand]]&amp;" "&amp;Plan_2026[[#This Row],[Trục đường chính]]&amp;Plan_2026[[#This Row],[Tên mall
(chuẩn hóa)]]&amp;Plan_2026[[#This Row],[Địa chỉ đầy đủ]]</f>
        <v>The Coffee House Nguyễn Ái Quốc</v>
      </c>
    </row>
    <row r="42" spans="1:49" hidden="1" x14ac:dyDescent="0.35">
      <c r="A42">
        <v>395</v>
      </c>
      <c r="B42" t="s">
        <v>3121</v>
      </c>
      <c r="C42" t="s">
        <v>229</v>
      </c>
      <c r="D42" t="s">
        <v>2881</v>
      </c>
      <c r="E42">
        <v>2026</v>
      </c>
      <c r="F42">
        <v>3</v>
      </c>
      <c r="G42">
        <v>7</v>
      </c>
      <c r="H42">
        <v>11</v>
      </c>
      <c r="J42" t="s">
        <v>2244</v>
      </c>
      <c r="K42" t="s">
        <v>2704</v>
      </c>
      <c r="L42" t="s">
        <v>3080</v>
      </c>
      <c r="M42" t="s">
        <v>3081</v>
      </c>
      <c r="N42" t="s">
        <v>3094</v>
      </c>
      <c r="O42" t="s">
        <v>3122</v>
      </c>
      <c r="P42" t="s">
        <v>3123</v>
      </c>
      <c r="Q42" t="s">
        <v>2732</v>
      </c>
      <c r="R42">
        <v>8</v>
      </c>
      <c r="S42" t="s">
        <v>2710</v>
      </c>
      <c r="T42" t="s">
        <v>2882</v>
      </c>
      <c r="U42" t="s">
        <v>2800</v>
      </c>
      <c r="V42">
        <v>1</v>
      </c>
      <c r="W42" t="s">
        <v>3114</v>
      </c>
      <c r="X42" t="s">
        <v>3123</v>
      </c>
      <c r="Z42" t="s">
        <v>2715</v>
      </c>
      <c r="AB42" t="s">
        <v>2716</v>
      </c>
      <c r="AC42" t="s">
        <v>2952</v>
      </c>
      <c r="AE42">
        <v>1</v>
      </c>
      <c r="AF42" t="s">
        <v>3124</v>
      </c>
      <c r="AH42" t="s">
        <v>228</v>
      </c>
      <c r="AI42">
        <v>46204</v>
      </c>
      <c r="AJ42">
        <v>7</v>
      </c>
      <c r="AK42" t="s">
        <v>3125</v>
      </c>
      <c r="AM42" t="s">
        <v>3126</v>
      </c>
      <c r="AN42" t="s">
        <v>3127</v>
      </c>
      <c r="AO42" t="s">
        <v>229</v>
      </c>
      <c r="AP42">
        <v>1549</v>
      </c>
      <c r="AQ42" t="s">
        <v>3128</v>
      </c>
      <c r="AR42" t="s">
        <v>3129</v>
      </c>
      <c r="AS42">
        <v>10</v>
      </c>
      <c r="AT42" t="s">
        <v>3130</v>
      </c>
      <c r="AW42" t="str">
        <f>Plan_2026[[#This Row],[Tên brand]]&amp;" "&amp;Plan_2026[[#This Row],[Trục đường chính]]&amp;Plan_2026[[#This Row],[Tên mall
(chuẩn hóa)]]&amp;Plan_2026[[#This Row],[Địa chỉ đầy đủ]]</f>
        <v>Yutang Go Đồng Nai</v>
      </c>
    </row>
    <row r="43" spans="1:49" hidden="1" x14ac:dyDescent="0.35">
      <c r="A43">
        <v>38</v>
      </c>
      <c r="B43" t="s">
        <v>3131</v>
      </c>
      <c r="C43" t="s">
        <v>35</v>
      </c>
      <c r="D43" t="s">
        <v>3132</v>
      </c>
      <c r="E43">
        <v>2026</v>
      </c>
      <c r="F43">
        <v>3</v>
      </c>
      <c r="G43">
        <v>7</v>
      </c>
      <c r="H43">
        <v>11</v>
      </c>
      <c r="J43" t="s">
        <v>23</v>
      </c>
      <c r="K43" t="s">
        <v>2774</v>
      </c>
      <c r="L43" t="s">
        <v>3133</v>
      </c>
      <c r="M43" t="s">
        <v>3134</v>
      </c>
      <c r="N43" t="s">
        <v>3135</v>
      </c>
      <c r="O43" t="s">
        <v>3136</v>
      </c>
      <c r="P43" t="s">
        <v>3137</v>
      </c>
      <c r="Q43" t="s">
        <v>2810</v>
      </c>
      <c r="R43" t="s">
        <v>2751</v>
      </c>
      <c r="S43" t="s">
        <v>2751</v>
      </c>
      <c r="T43">
        <v>200</v>
      </c>
      <c r="U43" t="s">
        <v>2712</v>
      </c>
      <c r="V43">
        <v>1</v>
      </c>
      <c r="W43" t="s">
        <v>2735</v>
      </c>
      <c r="Z43" t="s">
        <v>2715</v>
      </c>
      <c r="AA43" t="s">
        <v>3138</v>
      </c>
      <c r="AB43" t="s">
        <v>2716</v>
      </c>
      <c r="AC43" t="s">
        <v>2778</v>
      </c>
      <c r="AE43">
        <v>0</v>
      </c>
      <c r="AF43" t="s">
        <v>3139</v>
      </c>
      <c r="AH43" t="s">
        <v>34</v>
      </c>
      <c r="AI43">
        <v>46204</v>
      </c>
      <c r="AJ43">
        <v>7</v>
      </c>
      <c r="AK43" t="s">
        <v>3140</v>
      </c>
      <c r="AL43" t="s">
        <v>3141</v>
      </c>
      <c r="AM43" t="s">
        <v>3142</v>
      </c>
      <c r="AN43" t="s">
        <v>2826</v>
      </c>
      <c r="AO43" t="s">
        <v>3143</v>
      </c>
      <c r="AP43">
        <v>22853</v>
      </c>
      <c r="AQ43" t="s">
        <v>3144</v>
      </c>
      <c r="AR43" t="s">
        <v>3145</v>
      </c>
      <c r="AS43">
        <v>107</v>
      </c>
      <c r="AT43" t="s">
        <v>3146</v>
      </c>
      <c r="AW43" t="str">
        <f>Plan_2026[[#This Row],[Tên brand]]&amp;" "&amp;Plan_2026[[#This Row],[Trục đường chính]]&amp;Plan_2026[[#This Row],[Tên mall
(chuẩn hóa)]]&amp;Plan_2026[[#This Row],[Địa chỉ đầy đủ]]</f>
        <v>Kichi Kichi PCC1 - 44 Triều Khúc, Thanh XuânPCC1 - 44 Triều Khúc, Thanh Xuân, Thanh Xuân Bắc, Thanh Xuân, Hà Nội</v>
      </c>
    </row>
    <row r="44" spans="1:49" hidden="1" x14ac:dyDescent="0.35">
      <c r="A44">
        <v>39</v>
      </c>
      <c r="B44" t="s">
        <v>3147</v>
      </c>
      <c r="C44" t="s">
        <v>2008</v>
      </c>
      <c r="D44" t="s">
        <v>2832</v>
      </c>
      <c r="E44">
        <v>2026</v>
      </c>
      <c r="F44">
        <v>3</v>
      </c>
      <c r="G44">
        <v>7</v>
      </c>
      <c r="H44">
        <v>11</v>
      </c>
      <c r="J44" t="s">
        <v>23</v>
      </c>
      <c r="K44" t="s">
        <v>2774</v>
      </c>
      <c r="L44" t="s">
        <v>3133</v>
      </c>
      <c r="M44" t="s">
        <v>3134</v>
      </c>
      <c r="N44" t="s">
        <v>3148</v>
      </c>
      <c r="O44" t="s">
        <v>2552</v>
      </c>
      <c r="P44" t="s">
        <v>3149</v>
      </c>
      <c r="Q44" t="s">
        <v>2709</v>
      </c>
      <c r="R44" t="s">
        <v>2751</v>
      </c>
      <c r="S44" t="s">
        <v>2751</v>
      </c>
      <c r="T44">
        <v>300</v>
      </c>
      <c r="U44" t="s">
        <v>2762</v>
      </c>
      <c r="V44">
        <v>1</v>
      </c>
      <c r="W44" t="s">
        <v>2735</v>
      </c>
      <c r="X44" t="s">
        <v>3149</v>
      </c>
      <c r="Z44">
        <v>160</v>
      </c>
      <c r="AB44" t="s">
        <v>2716</v>
      </c>
      <c r="AC44" t="s">
        <v>2778</v>
      </c>
      <c r="AE44">
        <v>0</v>
      </c>
      <c r="AF44" t="s">
        <v>3150</v>
      </c>
      <c r="AH44" t="s">
        <v>2044</v>
      </c>
      <c r="AI44">
        <v>46204</v>
      </c>
      <c r="AJ44">
        <v>7</v>
      </c>
      <c r="AK44" t="s">
        <v>3151</v>
      </c>
      <c r="AL44" t="s">
        <v>3152</v>
      </c>
      <c r="AM44" t="s">
        <v>3153</v>
      </c>
      <c r="AN44" t="s">
        <v>2767</v>
      </c>
      <c r="AO44" t="s">
        <v>3154</v>
      </c>
      <c r="AP44">
        <v>21722</v>
      </c>
      <c r="AQ44" t="s">
        <v>3155</v>
      </c>
      <c r="AR44" t="s">
        <v>3156</v>
      </c>
      <c r="AS44">
        <v>6</v>
      </c>
      <c r="AT44" t="s">
        <v>3157</v>
      </c>
      <c r="AW44" t="str">
        <f>Plan_2026[[#This Row],[Tên brand]]&amp;" "&amp;Plan_2026[[#This Row],[Trục đường chính]]&amp;Plan_2026[[#This Row],[Tên mall
(chuẩn hóa)]]&amp;Plan_2026[[#This Row],[Địa chỉ đầy đủ]]</f>
        <v>Dao Niu Guo Huỳnh Thúc KhángHuỳnh Thúc Kháng, Láng Hạ, Đống Đa, Hà Nội</v>
      </c>
    </row>
    <row r="45" spans="1:49" hidden="1" x14ac:dyDescent="0.35">
      <c r="A45">
        <v>40</v>
      </c>
      <c r="B45" t="s">
        <v>2551</v>
      </c>
      <c r="C45" t="s">
        <v>2787</v>
      </c>
      <c r="D45" t="s">
        <v>2788</v>
      </c>
      <c r="E45">
        <v>2026</v>
      </c>
      <c r="F45">
        <v>1</v>
      </c>
      <c r="G45">
        <v>3</v>
      </c>
      <c r="H45">
        <v>7</v>
      </c>
      <c r="J45" t="s">
        <v>23</v>
      </c>
      <c r="K45" t="s">
        <v>2774</v>
      </c>
      <c r="L45" t="s">
        <v>3133</v>
      </c>
      <c r="M45" t="s">
        <v>3134</v>
      </c>
      <c r="N45" t="s">
        <v>3148</v>
      </c>
      <c r="O45" t="s">
        <v>2552</v>
      </c>
      <c r="P45" t="s">
        <v>2552</v>
      </c>
      <c r="Q45" t="s">
        <v>2709</v>
      </c>
      <c r="R45" t="s">
        <v>2751</v>
      </c>
      <c r="S45" t="s">
        <v>2751</v>
      </c>
      <c r="T45" t="s">
        <v>2790</v>
      </c>
      <c r="U45" t="s">
        <v>2790</v>
      </c>
      <c r="V45">
        <v>1</v>
      </c>
      <c r="W45" t="s">
        <v>2713</v>
      </c>
      <c r="X45" t="s">
        <v>3158</v>
      </c>
      <c r="Z45">
        <v>132</v>
      </c>
      <c r="AB45" t="s">
        <v>2716</v>
      </c>
      <c r="AC45" t="s">
        <v>2717</v>
      </c>
      <c r="AE45">
        <v>0</v>
      </c>
      <c r="AF45" t="s">
        <v>3159</v>
      </c>
      <c r="AH45" t="s">
        <v>1788</v>
      </c>
      <c r="AI45">
        <v>46082</v>
      </c>
      <c r="AJ45">
        <v>3</v>
      </c>
      <c r="AK45" t="s">
        <v>3151</v>
      </c>
      <c r="AL45" t="s">
        <v>3160</v>
      </c>
      <c r="AM45" t="s">
        <v>3153</v>
      </c>
      <c r="AN45" t="s">
        <v>2793</v>
      </c>
      <c r="AO45" t="s">
        <v>3161</v>
      </c>
      <c r="AP45">
        <v>21722</v>
      </c>
      <c r="AQ45" t="s">
        <v>3155</v>
      </c>
      <c r="AR45" t="s">
        <v>3156</v>
      </c>
      <c r="AS45">
        <v>81</v>
      </c>
      <c r="AT45" t="s">
        <v>3162</v>
      </c>
      <c r="AW45" t="str">
        <f>Plan_2026[[#This Row],[Tên brand]]&amp;" "&amp;Plan_2026[[#This Row],[Trục đường chính]]&amp;Plan_2026[[#This Row],[Tên mall
(chuẩn hóa)]]&amp;Plan_2026[[#This Row],[Địa chỉ đầy đủ]]</f>
        <v>The Coffee House Láng HạLáng Hạ, Láng Hạ, Đống Đa, Hà Nội</v>
      </c>
    </row>
    <row r="46" spans="1:49" hidden="1" x14ac:dyDescent="0.35">
      <c r="A46">
        <v>41</v>
      </c>
      <c r="B46" t="s">
        <v>3163</v>
      </c>
      <c r="C46" t="s">
        <v>2702</v>
      </c>
      <c r="D46" t="s">
        <v>3164</v>
      </c>
      <c r="E46">
        <v>2026</v>
      </c>
      <c r="F46">
        <v>1</v>
      </c>
      <c r="G46">
        <v>1</v>
      </c>
      <c r="H46">
        <v>5</v>
      </c>
      <c r="J46" t="s">
        <v>23</v>
      </c>
      <c r="K46" t="s">
        <v>2774</v>
      </c>
      <c r="L46" t="s">
        <v>3133</v>
      </c>
      <c r="M46" t="s">
        <v>3134</v>
      </c>
      <c r="N46" t="s">
        <v>3165</v>
      </c>
      <c r="O46" t="s">
        <v>3166</v>
      </c>
      <c r="P46" t="s">
        <v>3167</v>
      </c>
      <c r="Q46" t="s">
        <v>2709</v>
      </c>
      <c r="R46">
        <v>8</v>
      </c>
      <c r="S46" t="s">
        <v>2710</v>
      </c>
      <c r="T46">
        <v>220</v>
      </c>
      <c r="U46" t="s">
        <v>2712</v>
      </c>
      <c r="V46">
        <v>1</v>
      </c>
      <c r="W46" t="s">
        <v>2735</v>
      </c>
      <c r="X46" t="s">
        <v>3168</v>
      </c>
      <c r="Z46" t="s">
        <v>2715</v>
      </c>
      <c r="AB46" t="s">
        <v>2716</v>
      </c>
      <c r="AC46" t="s">
        <v>2763</v>
      </c>
      <c r="AE46">
        <v>1</v>
      </c>
      <c r="AF46" t="s">
        <v>3169</v>
      </c>
      <c r="AH46" t="s">
        <v>76</v>
      </c>
      <c r="AI46">
        <v>46023</v>
      </c>
      <c r="AJ46">
        <v>1</v>
      </c>
      <c r="AK46" t="s">
        <v>3170</v>
      </c>
      <c r="AL46" t="s">
        <v>3171</v>
      </c>
      <c r="AM46" t="s">
        <v>3172</v>
      </c>
      <c r="AN46" t="s">
        <v>2721</v>
      </c>
      <c r="AO46" t="s">
        <v>3173</v>
      </c>
      <c r="AP46">
        <v>20240</v>
      </c>
      <c r="AQ46" t="s">
        <v>3174</v>
      </c>
      <c r="AR46" t="s">
        <v>3175</v>
      </c>
      <c r="AS46">
        <v>144</v>
      </c>
      <c r="AT46" t="s">
        <v>3176</v>
      </c>
      <c r="AW46" t="str">
        <f>Plan_2026[[#This Row],[Tên brand]]&amp;" "&amp;Plan_2026[[#This Row],[Trục đường chính]]&amp;Plan_2026[[#This Row],[Tên mall
(chuẩn hóa)]]&amp;Plan_2026[[#This Row],[Địa chỉ đầy đủ]]</f>
        <v>Gogi House Hàng BúnHàng Bún, Nguyễn Trung Trực, Ba Đình, Hà Nội</v>
      </c>
    </row>
    <row r="47" spans="1:49" hidden="1" x14ac:dyDescent="0.35">
      <c r="A47">
        <v>42</v>
      </c>
      <c r="B47" t="s">
        <v>2637</v>
      </c>
      <c r="C47" t="s">
        <v>2008</v>
      </c>
      <c r="D47" t="s">
        <v>2832</v>
      </c>
      <c r="E47">
        <v>2026</v>
      </c>
      <c r="F47">
        <v>1</v>
      </c>
      <c r="G47">
        <v>1</v>
      </c>
      <c r="H47">
        <v>5</v>
      </c>
      <c r="I47">
        <v>5</v>
      </c>
      <c r="J47" t="s">
        <v>23</v>
      </c>
      <c r="K47" t="s">
        <v>2774</v>
      </c>
      <c r="L47" t="s">
        <v>3133</v>
      </c>
      <c r="M47" t="s">
        <v>3134</v>
      </c>
      <c r="N47" t="s">
        <v>3148</v>
      </c>
      <c r="O47" t="s">
        <v>3177</v>
      </c>
      <c r="P47" t="s">
        <v>3178</v>
      </c>
      <c r="Q47" t="s">
        <v>2709</v>
      </c>
      <c r="R47" t="s">
        <v>2751</v>
      </c>
      <c r="S47" t="s">
        <v>2751</v>
      </c>
      <c r="T47" t="s">
        <v>3179</v>
      </c>
      <c r="U47" t="s">
        <v>3179</v>
      </c>
      <c r="V47">
        <v>1</v>
      </c>
      <c r="W47" t="s">
        <v>2713</v>
      </c>
      <c r="Z47">
        <v>160</v>
      </c>
      <c r="AB47" t="s">
        <v>1794</v>
      </c>
      <c r="AC47" t="s">
        <v>2763</v>
      </c>
      <c r="AE47">
        <v>1</v>
      </c>
      <c r="AF47" t="s">
        <v>3180</v>
      </c>
      <c r="AH47" t="s">
        <v>2044</v>
      </c>
      <c r="AI47">
        <v>46023</v>
      </c>
      <c r="AJ47">
        <v>1</v>
      </c>
      <c r="AK47" t="s">
        <v>3181</v>
      </c>
      <c r="AL47" t="s">
        <v>3182</v>
      </c>
      <c r="AM47" t="s">
        <v>3183</v>
      </c>
      <c r="AN47" t="s">
        <v>2767</v>
      </c>
      <c r="AO47" t="s">
        <v>3184</v>
      </c>
      <c r="AP47">
        <v>20220</v>
      </c>
      <c r="AQ47" t="s">
        <v>3185</v>
      </c>
      <c r="AR47" t="s">
        <v>3186</v>
      </c>
      <c r="AS47">
        <v>6</v>
      </c>
      <c r="AT47" t="s">
        <v>3157</v>
      </c>
      <c r="AW47" t="str">
        <f>Plan_2026[[#This Row],[Tên brand]]&amp;" "&amp;Plan_2026[[#This Row],[Trục đường chính]]&amp;Plan_2026[[#This Row],[Tên mall
(chuẩn hóa)]]&amp;Plan_2026[[#This Row],[Địa chỉ đầy đủ]]</f>
        <v>Dao Niu Guo Số 1 Thái HàSố 1 Thái Hà, Trung Liệt, Đống Đa, Hà Nội</v>
      </c>
    </row>
    <row r="48" spans="1:49" hidden="1" x14ac:dyDescent="0.35">
      <c r="A48">
        <v>43</v>
      </c>
      <c r="B48" t="s">
        <v>2474</v>
      </c>
      <c r="C48" t="s">
        <v>2787</v>
      </c>
      <c r="D48" t="s">
        <v>2788</v>
      </c>
      <c r="E48">
        <v>2025</v>
      </c>
      <c r="F48">
        <v>4</v>
      </c>
      <c r="G48">
        <v>12</v>
      </c>
      <c r="H48">
        <v>4</v>
      </c>
      <c r="J48" t="s">
        <v>23</v>
      </c>
      <c r="K48" t="s">
        <v>2774</v>
      </c>
      <c r="L48" t="s">
        <v>3133</v>
      </c>
      <c r="M48" t="s">
        <v>3134</v>
      </c>
      <c r="N48" t="s">
        <v>3148</v>
      </c>
      <c r="O48" t="s">
        <v>3177</v>
      </c>
      <c r="P48" t="s">
        <v>2475</v>
      </c>
      <c r="Q48" t="s">
        <v>2709</v>
      </c>
      <c r="R48" t="s">
        <v>2710</v>
      </c>
      <c r="S48" t="s">
        <v>2710</v>
      </c>
      <c r="T48" t="s">
        <v>2800</v>
      </c>
      <c r="U48" t="s">
        <v>2800</v>
      </c>
      <c r="V48">
        <v>1</v>
      </c>
      <c r="W48" t="s">
        <v>2713</v>
      </c>
      <c r="Z48">
        <v>132</v>
      </c>
      <c r="AB48" t="s">
        <v>2716</v>
      </c>
      <c r="AC48" t="s">
        <v>2952</v>
      </c>
      <c r="AE48">
        <v>1</v>
      </c>
      <c r="AF48" t="s">
        <v>3187</v>
      </c>
      <c r="AH48" t="s">
        <v>1788</v>
      </c>
      <c r="AI48">
        <v>45992</v>
      </c>
      <c r="AJ48">
        <v>12</v>
      </c>
      <c r="AK48" t="s">
        <v>3181</v>
      </c>
      <c r="AL48" t="s">
        <v>3188</v>
      </c>
      <c r="AM48" t="s">
        <v>3183</v>
      </c>
      <c r="AN48" t="s">
        <v>2793</v>
      </c>
      <c r="AO48" t="s">
        <v>3189</v>
      </c>
      <c r="AP48">
        <v>20220</v>
      </c>
      <c r="AQ48" t="s">
        <v>3185</v>
      </c>
      <c r="AR48" t="s">
        <v>3186</v>
      </c>
      <c r="AS48">
        <v>81</v>
      </c>
      <c r="AT48" t="s">
        <v>3190</v>
      </c>
      <c r="AW48" t="str">
        <f>Plan_2026[[#This Row],[Tên brand]]&amp;" "&amp;Plan_2026[[#This Row],[Trục đường chính]]&amp;Plan_2026[[#This Row],[Tên mall
(chuẩn hóa)]]&amp;Plan_2026[[#This Row],[Địa chỉ đầy đủ]]</f>
        <v>The Coffee House Thái Hà, Tây Sơn, Nguyễn Lương Bằng (thay thế cho TCH Thái Hà)Thái Hà, Tây Sơn, Nguyễn Lương Bằng (thay thế cho TCH Thái Hà), Trung Liệt, Đống Đa, Hà Nội</v>
      </c>
    </row>
    <row r="49" spans="1:49" hidden="1" x14ac:dyDescent="0.35">
      <c r="A49">
        <v>44</v>
      </c>
      <c r="B49" t="s">
        <v>2635</v>
      </c>
      <c r="C49" t="s">
        <v>3191</v>
      </c>
      <c r="D49" t="s">
        <v>3192</v>
      </c>
      <c r="E49">
        <v>2025</v>
      </c>
      <c r="F49">
        <v>3</v>
      </c>
      <c r="G49">
        <v>9</v>
      </c>
      <c r="H49">
        <v>1</v>
      </c>
      <c r="I49">
        <v>2</v>
      </c>
      <c r="J49" t="s">
        <v>23</v>
      </c>
      <c r="K49" t="s">
        <v>2774</v>
      </c>
      <c r="L49" t="s">
        <v>3133</v>
      </c>
      <c r="M49" t="s">
        <v>3134</v>
      </c>
      <c r="N49" t="s">
        <v>3148</v>
      </c>
      <c r="O49" t="s">
        <v>3177</v>
      </c>
      <c r="P49" t="s">
        <v>3193</v>
      </c>
      <c r="Q49" t="s">
        <v>2709</v>
      </c>
      <c r="R49" t="s">
        <v>2751</v>
      </c>
      <c r="S49" t="s">
        <v>2751</v>
      </c>
      <c r="T49" t="s">
        <v>2712</v>
      </c>
      <c r="U49" t="s">
        <v>2712</v>
      </c>
      <c r="V49">
        <v>1</v>
      </c>
      <c r="W49" t="s">
        <v>2713</v>
      </c>
      <c r="Z49">
        <v>200</v>
      </c>
      <c r="AB49" t="s">
        <v>1794</v>
      </c>
      <c r="AC49" t="s">
        <v>2763</v>
      </c>
      <c r="AE49">
        <v>1</v>
      </c>
      <c r="AF49" t="s">
        <v>3194</v>
      </c>
      <c r="AH49" t="s">
        <v>1311</v>
      </c>
      <c r="AI49">
        <v>45901</v>
      </c>
      <c r="AJ49">
        <v>9</v>
      </c>
      <c r="AK49" t="s">
        <v>3181</v>
      </c>
      <c r="AL49" t="s">
        <v>3195</v>
      </c>
      <c r="AM49" t="s">
        <v>3183</v>
      </c>
      <c r="AN49" t="s">
        <v>3196</v>
      </c>
      <c r="AO49" t="s">
        <v>3197</v>
      </c>
      <c r="AP49">
        <v>20220</v>
      </c>
      <c r="AQ49" t="s">
        <v>3185</v>
      </c>
      <c r="AR49" t="s">
        <v>3186</v>
      </c>
      <c r="AS49">
        <v>5</v>
      </c>
      <c r="AT49" t="s">
        <v>3198</v>
      </c>
      <c r="AW49" t="str">
        <f>Plan_2026[[#This Row],[Tên brand]]&amp;" "&amp;Plan_2026[[#This Row],[Trục đường chính]]&amp;Plan_2026[[#This Row],[Tên mall
(chuẩn hóa)]]&amp;Plan_2026[[#This Row],[Địa chỉ đầy đủ]]</f>
        <v>Union Pizza Số 1-2 Thái HàSố 1-2 Thái Hà, Trung Liệt, Đống Đa, Hà Nội</v>
      </c>
    </row>
    <row r="50" spans="1:49" hidden="1" x14ac:dyDescent="0.35">
      <c r="A50">
        <v>45</v>
      </c>
      <c r="B50" t="s">
        <v>2368</v>
      </c>
      <c r="C50" t="s">
        <v>2702</v>
      </c>
      <c r="D50" t="s">
        <v>3164</v>
      </c>
      <c r="E50">
        <v>2026</v>
      </c>
      <c r="F50">
        <v>3</v>
      </c>
      <c r="G50">
        <v>8</v>
      </c>
      <c r="H50">
        <v>12</v>
      </c>
      <c r="J50" t="s">
        <v>23</v>
      </c>
      <c r="K50" t="s">
        <v>2774</v>
      </c>
      <c r="L50" t="s">
        <v>3133</v>
      </c>
      <c r="M50" t="s">
        <v>3134</v>
      </c>
      <c r="N50" t="s">
        <v>3135</v>
      </c>
      <c r="O50" t="s">
        <v>3199</v>
      </c>
      <c r="P50" t="s">
        <v>3200</v>
      </c>
      <c r="Q50" t="s">
        <v>2709</v>
      </c>
      <c r="R50">
        <v>8</v>
      </c>
      <c r="S50" t="s">
        <v>2710</v>
      </c>
      <c r="T50">
        <v>220</v>
      </c>
      <c r="U50" t="s">
        <v>2712</v>
      </c>
      <c r="V50">
        <v>1</v>
      </c>
      <c r="W50" t="s">
        <v>2713</v>
      </c>
      <c r="Z50" t="s">
        <v>2715</v>
      </c>
      <c r="AB50" t="s">
        <v>2716</v>
      </c>
      <c r="AC50" t="s">
        <v>2738</v>
      </c>
      <c r="AE50">
        <v>0</v>
      </c>
      <c r="AH50" t="s">
        <v>76</v>
      </c>
      <c r="AI50">
        <v>46235</v>
      </c>
      <c r="AJ50">
        <v>8</v>
      </c>
      <c r="AK50" t="s">
        <v>3201</v>
      </c>
      <c r="AL50" t="s">
        <v>3202</v>
      </c>
      <c r="AM50" t="s">
        <v>3203</v>
      </c>
      <c r="AN50" t="s">
        <v>2721</v>
      </c>
      <c r="AO50" t="s">
        <v>3204</v>
      </c>
      <c r="AP50">
        <v>20201</v>
      </c>
      <c r="AQ50" t="s">
        <v>3205</v>
      </c>
      <c r="AR50" t="s">
        <v>3206</v>
      </c>
      <c r="AS50">
        <v>144</v>
      </c>
      <c r="AT50" t="s">
        <v>3176</v>
      </c>
      <c r="AW50" t="str">
        <f>Plan_2026[[#This Row],[Tên brand]]&amp;" "&amp;Plan_2026[[#This Row],[Trục đường chính]]&amp;Plan_2026[[#This Row],[Tên mall
(chuẩn hóa)]]&amp;Plan_2026[[#This Row],[Địa chỉ đầy đủ]]</f>
        <v>Gogi House Thanh Xuân, Triều Khúc, Tân TriềuThanh Xuân, Triều Khúc, Tân Triều, Thanh Xuân Trung, Thanh Xuân, Hà Nội</v>
      </c>
    </row>
    <row r="51" spans="1:49" hidden="1" x14ac:dyDescent="0.35">
      <c r="A51">
        <v>46</v>
      </c>
      <c r="B51" t="s">
        <v>3207</v>
      </c>
      <c r="C51" t="s">
        <v>3208</v>
      </c>
      <c r="D51" t="s">
        <v>3209</v>
      </c>
      <c r="E51">
        <v>2026</v>
      </c>
      <c r="F51">
        <v>3</v>
      </c>
      <c r="G51">
        <v>7</v>
      </c>
      <c r="H51">
        <v>11</v>
      </c>
      <c r="J51" t="s">
        <v>23</v>
      </c>
      <c r="K51" t="s">
        <v>2774</v>
      </c>
      <c r="L51" t="s">
        <v>3133</v>
      </c>
      <c r="M51" t="s">
        <v>3134</v>
      </c>
      <c r="N51" t="s">
        <v>3135</v>
      </c>
      <c r="O51" t="s">
        <v>3199</v>
      </c>
      <c r="P51" t="s">
        <v>3210</v>
      </c>
      <c r="Q51" t="s">
        <v>2709</v>
      </c>
      <c r="R51" t="s">
        <v>2710</v>
      </c>
      <c r="S51" t="s">
        <v>2710</v>
      </c>
      <c r="T51" t="s">
        <v>3211</v>
      </c>
      <c r="U51" t="s">
        <v>2712</v>
      </c>
      <c r="V51">
        <v>1</v>
      </c>
      <c r="W51" t="s">
        <v>2735</v>
      </c>
      <c r="Z51" t="s">
        <v>2715</v>
      </c>
      <c r="AB51" t="s">
        <v>2716</v>
      </c>
      <c r="AC51" t="s">
        <v>2738</v>
      </c>
      <c r="AE51">
        <v>0</v>
      </c>
      <c r="AH51" t="s">
        <v>51</v>
      </c>
      <c r="AI51">
        <v>46204</v>
      </c>
      <c r="AJ51">
        <v>7</v>
      </c>
      <c r="AK51" t="s">
        <v>3201</v>
      </c>
      <c r="AL51" t="s">
        <v>3212</v>
      </c>
      <c r="AM51" t="s">
        <v>3203</v>
      </c>
      <c r="AN51" t="s">
        <v>3213</v>
      </c>
      <c r="AO51" t="s">
        <v>3214</v>
      </c>
      <c r="AP51">
        <v>20201</v>
      </c>
      <c r="AQ51" t="s">
        <v>3205</v>
      </c>
      <c r="AR51" t="s">
        <v>3206</v>
      </c>
      <c r="AS51">
        <v>11</v>
      </c>
      <c r="AT51" t="s">
        <v>3215</v>
      </c>
      <c r="AW51" t="str">
        <f>Plan_2026[[#This Row],[Tên brand]]&amp;" "&amp;Plan_2026[[#This Row],[Trục đường chính]]&amp;Plan_2026[[#This Row],[Tên mall
(chuẩn hóa)]]&amp;Plan_2026[[#This Row],[Địa chỉ đầy đủ]]</f>
        <v>Sumogoya Lê Trọng Tấn/Vũ Trọng PhụngLê Trọng Tấn/Vũ Trọng Phụng, Thanh Xuân Trung, Thanh Xuân, Hà Nội</v>
      </c>
    </row>
    <row r="52" spans="1:49" hidden="1" x14ac:dyDescent="0.35">
      <c r="A52">
        <v>47</v>
      </c>
      <c r="B52" t="s">
        <v>2547</v>
      </c>
      <c r="C52" t="s">
        <v>2787</v>
      </c>
      <c r="D52" t="s">
        <v>2788</v>
      </c>
      <c r="E52">
        <v>2026</v>
      </c>
      <c r="F52">
        <v>1</v>
      </c>
      <c r="G52">
        <v>3</v>
      </c>
      <c r="H52">
        <v>7</v>
      </c>
      <c r="J52" t="s">
        <v>23</v>
      </c>
      <c r="K52" t="s">
        <v>2774</v>
      </c>
      <c r="L52" t="s">
        <v>3133</v>
      </c>
      <c r="M52" t="s">
        <v>3134</v>
      </c>
      <c r="N52" t="s">
        <v>2299</v>
      </c>
      <c r="O52" t="s">
        <v>3216</v>
      </c>
      <c r="P52" t="s">
        <v>2548</v>
      </c>
      <c r="Q52" t="s">
        <v>2709</v>
      </c>
      <c r="R52" t="s">
        <v>2710</v>
      </c>
      <c r="S52" t="s">
        <v>2710</v>
      </c>
      <c r="T52" t="s">
        <v>2800</v>
      </c>
      <c r="U52" t="s">
        <v>2800</v>
      </c>
      <c r="V52">
        <v>1</v>
      </c>
      <c r="W52" t="s">
        <v>2713</v>
      </c>
      <c r="Z52">
        <v>132</v>
      </c>
      <c r="AB52" t="s">
        <v>2716</v>
      </c>
      <c r="AC52" t="s">
        <v>2738</v>
      </c>
      <c r="AE52">
        <v>0</v>
      </c>
      <c r="AH52" t="s">
        <v>1788</v>
      </c>
      <c r="AI52">
        <v>46082</v>
      </c>
      <c r="AJ52">
        <v>3</v>
      </c>
      <c r="AK52" t="s">
        <v>3217</v>
      </c>
      <c r="AL52" t="s">
        <v>3218</v>
      </c>
      <c r="AM52" t="s">
        <v>3219</v>
      </c>
      <c r="AN52" t="s">
        <v>2793</v>
      </c>
      <c r="AO52" t="s">
        <v>3220</v>
      </c>
      <c r="AP52">
        <v>20017</v>
      </c>
      <c r="AQ52" t="s">
        <v>3221</v>
      </c>
      <c r="AR52" t="s">
        <v>3222</v>
      </c>
      <c r="AS52">
        <v>81</v>
      </c>
      <c r="AT52" t="s">
        <v>3223</v>
      </c>
      <c r="AW52" t="str">
        <f>Plan_2026[[#This Row],[Tên brand]]&amp;" "&amp;Plan_2026[[#This Row],[Trục đường chính]]&amp;Plan_2026[[#This Row],[Tên mall
(chuẩn hóa)]]&amp;Plan_2026[[#This Row],[Địa chỉ đầy đủ]]</f>
        <v>The Coffee House Phan Đình Phùng, Hàng Cót, Hàng Điếu, Đường ThànhPhan Đình Phùng, Hàng Cót, Hàng Điếu, Đường Thành, Hàng Mã, Hoàn Kiếm, Hà Nội</v>
      </c>
    </row>
    <row r="53" spans="1:49" hidden="1" x14ac:dyDescent="0.35">
      <c r="A53">
        <v>48</v>
      </c>
      <c r="B53" t="s">
        <v>3224</v>
      </c>
      <c r="C53" t="s">
        <v>3225</v>
      </c>
      <c r="D53" t="s">
        <v>3226</v>
      </c>
      <c r="E53">
        <v>2026</v>
      </c>
      <c r="F53">
        <v>3</v>
      </c>
      <c r="G53">
        <v>7</v>
      </c>
      <c r="H53">
        <v>11</v>
      </c>
      <c r="J53" t="s">
        <v>23</v>
      </c>
      <c r="K53" t="s">
        <v>2774</v>
      </c>
      <c r="L53" t="s">
        <v>3133</v>
      </c>
      <c r="M53" t="s">
        <v>3134</v>
      </c>
      <c r="N53" t="s">
        <v>3165</v>
      </c>
      <c r="O53" t="s">
        <v>3227</v>
      </c>
      <c r="P53" t="s">
        <v>3228</v>
      </c>
      <c r="Q53" t="s">
        <v>2732</v>
      </c>
      <c r="R53" t="s">
        <v>2710</v>
      </c>
      <c r="S53" t="s">
        <v>2710</v>
      </c>
      <c r="T53" t="s">
        <v>3229</v>
      </c>
      <c r="U53" t="s">
        <v>3229</v>
      </c>
      <c r="V53">
        <v>1</v>
      </c>
      <c r="W53" t="s">
        <v>2735</v>
      </c>
      <c r="X53" t="s">
        <v>3230</v>
      </c>
      <c r="Y53" t="s">
        <v>3231</v>
      </c>
      <c r="Z53" t="s">
        <v>2715</v>
      </c>
      <c r="AB53" t="s">
        <v>2716</v>
      </c>
      <c r="AC53" t="s">
        <v>3232</v>
      </c>
      <c r="AE53">
        <v>0</v>
      </c>
      <c r="AF53" t="s">
        <v>3233</v>
      </c>
      <c r="AG53" t="s">
        <v>2908</v>
      </c>
      <c r="AH53" t="s">
        <v>1319</v>
      </c>
      <c r="AI53">
        <v>46204</v>
      </c>
      <c r="AJ53">
        <v>7</v>
      </c>
      <c r="AK53" t="s">
        <v>3234</v>
      </c>
      <c r="AL53" t="s">
        <v>3235</v>
      </c>
      <c r="AM53" t="s">
        <v>3236</v>
      </c>
      <c r="AN53" t="s">
        <v>3237</v>
      </c>
      <c r="AO53" t="s">
        <v>3238</v>
      </c>
      <c r="AP53">
        <v>16398</v>
      </c>
      <c r="AQ53" t="s">
        <v>3239</v>
      </c>
      <c r="AR53" t="s">
        <v>3240</v>
      </c>
      <c r="AS53">
        <v>3</v>
      </c>
      <c r="AT53" t="s">
        <v>3241</v>
      </c>
      <c r="AW53" t="str">
        <f>Plan_2026[[#This Row],[Tên brand]]&amp;" "&amp;Plan_2026[[#This Row],[Trục đường chính]]&amp;Plan_2026[[#This Row],[Tên mall
(chuẩn hóa)]]&amp;Plan_2026[[#This Row],[Địa chỉ đầy đủ]]</f>
        <v>Chix Max 175 Nguyễn Thái HọcHanoi Centre175 Nguyễn Thái Học, Giảng Võ, Ba Đình, Hà Nội</v>
      </c>
    </row>
    <row r="54" spans="1:49" hidden="1" x14ac:dyDescent="0.35">
      <c r="A54">
        <v>49</v>
      </c>
      <c r="B54" t="s">
        <v>3242</v>
      </c>
      <c r="C54" t="s">
        <v>2727</v>
      </c>
      <c r="D54" t="s">
        <v>3243</v>
      </c>
      <c r="E54">
        <v>2026</v>
      </c>
      <c r="F54">
        <v>3</v>
      </c>
      <c r="G54">
        <v>7</v>
      </c>
      <c r="H54">
        <v>11</v>
      </c>
      <c r="J54" t="s">
        <v>23</v>
      </c>
      <c r="K54" t="s">
        <v>2774</v>
      </c>
      <c r="L54" t="s">
        <v>3133</v>
      </c>
      <c r="M54" t="s">
        <v>3134</v>
      </c>
      <c r="N54" t="s">
        <v>3148</v>
      </c>
      <c r="O54" t="s">
        <v>3244</v>
      </c>
      <c r="P54" t="s">
        <v>3245</v>
      </c>
      <c r="Q54" t="s">
        <v>2732</v>
      </c>
      <c r="R54">
        <v>6</v>
      </c>
      <c r="S54" t="s">
        <v>2733</v>
      </c>
      <c r="T54" t="s">
        <v>2734</v>
      </c>
      <c r="U54" t="s">
        <v>2712</v>
      </c>
      <c r="V54">
        <v>1</v>
      </c>
      <c r="W54" t="s">
        <v>2735</v>
      </c>
      <c r="X54" t="s">
        <v>3230</v>
      </c>
      <c r="Y54" t="s">
        <v>3231</v>
      </c>
      <c r="Z54">
        <v>180</v>
      </c>
      <c r="AB54" t="s">
        <v>2716</v>
      </c>
      <c r="AC54" t="s">
        <v>3232</v>
      </c>
      <c r="AE54">
        <v>0</v>
      </c>
      <c r="AF54" t="s">
        <v>3246</v>
      </c>
      <c r="AH54" t="s">
        <v>1019</v>
      </c>
      <c r="AI54">
        <v>46204</v>
      </c>
      <c r="AJ54">
        <v>7</v>
      </c>
      <c r="AK54" t="s">
        <v>3247</v>
      </c>
      <c r="AL54" t="s">
        <v>3248</v>
      </c>
      <c r="AM54" t="s">
        <v>3249</v>
      </c>
      <c r="AN54" t="s">
        <v>2743</v>
      </c>
      <c r="AO54" t="s">
        <v>3250</v>
      </c>
      <c r="AP54">
        <v>19500</v>
      </c>
      <c r="AQ54" t="s">
        <v>3251</v>
      </c>
      <c r="AR54" t="s">
        <v>3252</v>
      </c>
      <c r="AS54">
        <v>17</v>
      </c>
      <c r="AT54" t="s">
        <v>3253</v>
      </c>
      <c r="AW54" t="str">
        <f>Plan_2026[[#This Row],[Tên brand]]&amp;" "&amp;Plan_2026[[#This Row],[Trục đường chính]]&amp;Plan_2026[[#This Row],[Tên mall
(chuẩn hóa)]]&amp;Plan_2026[[#This Row],[Địa chỉ đầy đủ]]</f>
        <v>CloudPot Nguyễn Thái HọcHanoi CentreNguyễn Thái Học, Ô Chợ Dừa, Đống Đa, Hà Nội</v>
      </c>
    </row>
    <row r="55" spans="1:49" hidden="1" x14ac:dyDescent="0.35">
      <c r="A55">
        <v>50</v>
      </c>
      <c r="B55" t="s">
        <v>3254</v>
      </c>
      <c r="C55" t="s">
        <v>3255</v>
      </c>
      <c r="D55" t="s">
        <v>3192</v>
      </c>
      <c r="E55">
        <v>2026</v>
      </c>
      <c r="F55">
        <v>3</v>
      </c>
      <c r="G55">
        <v>7</v>
      </c>
      <c r="H55">
        <v>11</v>
      </c>
      <c r="J55" t="s">
        <v>23</v>
      </c>
      <c r="K55" t="s">
        <v>2774</v>
      </c>
      <c r="L55" t="s">
        <v>3133</v>
      </c>
      <c r="M55" t="s">
        <v>3134</v>
      </c>
      <c r="N55" t="s">
        <v>3148</v>
      </c>
      <c r="O55" t="s">
        <v>3244</v>
      </c>
      <c r="P55" t="s">
        <v>3228</v>
      </c>
      <c r="Q55" t="s">
        <v>2732</v>
      </c>
      <c r="R55" t="s">
        <v>2751</v>
      </c>
      <c r="S55" t="s">
        <v>2751</v>
      </c>
      <c r="T55" t="s">
        <v>2712</v>
      </c>
      <c r="U55" t="s">
        <v>2712</v>
      </c>
      <c r="V55">
        <v>1</v>
      </c>
      <c r="W55" t="s">
        <v>2735</v>
      </c>
      <c r="X55" t="s">
        <v>3230</v>
      </c>
      <c r="Y55" t="s">
        <v>3231</v>
      </c>
      <c r="Z55">
        <v>220</v>
      </c>
      <c r="AB55" t="s">
        <v>2716</v>
      </c>
      <c r="AC55" t="s">
        <v>2952</v>
      </c>
      <c r="AE55">
        <v>1</v>
      </c>
      <c r="AH55" t="s">
        <v>379</v>
      </c>
      <c r="AI55">
        <v>46204</v>
      </c>
      <c r="AJ55">
        <v>7</v>
      </c>
      <c r="AK55" t="s">
        <v>3247</v>
      </c>
      <c r="AL55" t="s">
        <v>3256</v>
      </c>
      <c r="AM55" t="s">
        <v>3249</v>
      </c>
      <c r="AN55" t="s">
        <v>3257</v>
      </c>
      <c r="AO55" t="s">
        <v>3258</v>
      </c>
      <c r="AP55">
        <v>19500</v>
      </c>
      <c r="AQ55" t="s">
        <v>3251</v>
      </c>
      <c r="AR55" t="s">
        <v>3252</v>
      </c>
      <c r="AS55">
        <v>8</v>
      </c>
      <c r="AT55" t="s">
        <v>3259</v>
      </c>
      <c r="AW55" t="str">
        <f>Plan_2026[[#This Row],[Tên brand]]&amp;" "&amp;Plan_2026[[#This Row],[Trục đường chính]]&amp;Plan_2026[[#This Row],[Tên mall
(chuẩn hóa)]]&amp;Plan_2026[[#This Row],[Địa chỉ đầy đủ]]</f>
        <v>Crystal Jade 175 Nguyễn Thái HọcHanoi Centre175 Nguyễn Thái Học, Ô Chợ Dừa, Đống Đa, Hà Nội</v>
      </c>
    </row>
    <row r="56" spans="1:49" hidden="1" x14ac:dyDescent="0.35">
      <c r="A56">
        <v>51</v>
      </c>
      <c r="B56" t="s">
        <v>3260</v>
      </c>
      <c r="C56" t="s">
        <v>3208</v>
      </c>
      <c r="D56" t="s">
        <v>3209</v>
      </c>
      <c r="E56">
        <v>2026</v>
      </c>
      <c r="F56">
        <v>3</v>
      </c>
      <c r="G56">
        <v>7</v>
      </c>
      <c r="H56">
        <v>11</v>
      </c>
      <c r="J56" t="s">
        <v>23</v>
      </c>
      <c r="K56" t="s">
        <v>2774</v>
      </c>
      <c r="L56" t="s">
        <v>3133</v>
      </c>
      <c r="M56" t="s">
        <v>3134</v>
      </c>
      <c r="N56" t="s">
        <v>3165</v>
      </c>
      <c r="O56" t="s">
        <v>3227</v>
      </c>
      <c r="P56" t="s">
        <v>3261</v>
      </c>
      <c r="Q56" t="s">
        <v>2732</v>
      </c>
      <c r="R56" t="s">
        <v>2710</v>
      </c>
      <c r="S56" t="s">
        <v>2710</v>
      </c>
      <c r="T56" t="s">
        <v>2712</v>
      </c>
      <c r="U56" t="s">
        <v>2712</v>
      </c>
      <c r="V56">
        <v>1</v>
      </c>
      <c r="W56" t="s">
        <v>2735</v>
      </c>
      <c r="X56" t="s">
        <v>3230</v>
      </c>
      <c r="Y56" t="s">
        <v>3231</v>
      </c>
      <c r="Z56" t="s">
        <v>2715</v>
      </c>
      <c r="AB56" t="s">
        <v>2716</v>
      </c>
      <c r="AC56" t="s">
        <v>3232</v>
      </c>
      <c r="AE56">
        <v>0</v>
      </c>
      <c r="AF56" t="s">
        <v>3262</v>
      </c>
      <c r="AG56" t="s">
        <v>2908</v>
      </c>
      <c r="AH56" t="s">
        <v>51</v>
      </c>
      <c r="AI56">
        <v>46204</v>
      </c>
      <c r="AJ56">
        <v>7</v>
      </c>
      <c r="AK56" t="s">
        <v>3234</v>
      </c>
      <c r="AL56" t="s">
        <v>3263</v>
      </c>
      <c r="AM56" t="s">
        <v>3236</v>
      </c>
      <c r="AN56" t="s">
        <v>3264</v>
      </c>
      <c r="AO56" t="s">
        <v>3265</v>
      </c>
      <c r="AP56">
        <v>16398</v>
      </c>
      <c r="AQ56" t="s">
        <v>3239</v>
      </c>
      <c r="AR56" t="s">
        <v>3240</v>
      </c>
      <c r="AS56">
        <v>11</v>
      </c>
      <c r="AT56" t="s">
        <v>3266</v>
      </c>
      <c r="AW56" t="str">
        <f>Plan_2026[[#This Row],[Tên brand]]&amp;" "&amp;Plan_2026[[#This Row],[Trục đường chính]]&amp;Plan_2026[[#This Row],[Tên mall
(chuẩn hóa)]]&amp;Plan_2026[[#This Row],[Địa chỉ đầy đủ]]</f>
        <v>Sumogoya 175 Phố Nguyễn Thái HọcHanoi Centre175 Phố Nguyễn Thái Học, Giảng Võ, Ba Đình, Hà Nội</v>
      </c>
    </row>
    <row r="57" spans="1:49" hidden="1" x14ac:dyDescent="0.35">
      <c r="A57">
        <v>342</v>
      </c>
      <c r="B57" t="s">
        <v>3267</v>
      </c>
      <c r="C57" t="s">
        <v>2702</v>
      </c>
      <c r="D57" t="s">
        <v>3018</v>
      </c>
      <c r="E57">
        <v>2026</v>
      </c>
      <c r="F57">
        <v>3</v>
      </c>
      <c r="G57">
        <v>8</v>
      </c>
      <c r="H57">
        <v>12</v>
      </c>
      <c r="J57" t="s">
        <v>2244</v>
      </c>
      <c r="K57" t="s">
        <v>3000</v>
      </c>
      <c r="L57" t="s">
        <v>3268</v>
      </c>
      <c r="M57" t="s">
        <v>3269</v>
      </c>
      <c r="N57" t="s">
        <v>3270</v>
      </c>
      <c r="O57" t="s">
        <v>3271</v>
      </c>
      <c r="P57" t="s">
        <v>3272</v>
      </c>
      <c r="Q57" t="s">
        <v>2732</v>
      </c>
      <c r="R57">
        <v>6</v>
      </c>
      <c r="S57" t="s">
        <v>2733</v>
      </c>
      <c r="T57" t="s">
        <v>2973</v>
      </c>
      <c r="U57" t="s">
        <v>2712</v>
      </c>
      <c r="V57">
        <v>1</v>
      </c>
      <c r="W57" t="s">
        <v>2735</v>
      </c>
      <c r="X57" t="s">
        <v>3273</v>
      </c>
      <c r="Y57" t="s">
        <v>3273</v>
      </c>
      <c r="Z57" t="s">
        <v>2715</v>
      </c>
      <c r="AB57" t="s">
        <v>2716</v>
      </c>
      <c r="AC57" t="s">
        <v>2738</v>
      </c>
      <c r="AE57">
        <v>0</v>
      </c>
      <c r="AF57" t="s">
        <v>3274</v>
      </c>
      <c r="AH57" t="s">
        <v>76</v>
      </c>
      <c r="AI57">
        <v>46235</v>
      </c>
      <c r="AJ57">
        <v>8</v>
      </c>
      <c r="AK57" t="s">
        <v>3275</v>
      </c>
      <c r="AM57" t="s">
        <v>3276</v>
      </c>
      <c r="AN57" t="s">
        <v>2979</v>
      </c>
      <c r="AO57" t="s">
        <v>3277</v>
      </c>
      <c r="AP57">
        <v>436</v>
      </c>
      <c r="AQ57" t="s">
        <v>3278</v>
      </c>
      <c r="AR57" t="s">
        <v>3279</v>
      </c>
      <c r="AS57">
        <v>144</v>
      </c>
      <c r="AT57" t="s">
        <v>3280</v>
      </c>
      <c r="AW57" t="str">
        <f>Plan_2026[[#This Row],[Tên brand]]&amp;" "&amp;Plan_2026[[#This Row],[Trục đường chính]]&amp;Plan_2026[[#This Row],[Tên mall
(chuẩn hóa)]]&amp;Plan_2026[[#This Row],[Địa chỉ đầy đủ]]</f>
        <v>Gogi House 280 Trần PhúBao Loc Center</v>
      </c>
    </row>
    <row r="58" spans="1:49" hidden="1" x14ac:dyDescent="0.35">
      <c r="A58">
        <v>53</v>
      </c>
      <c r="B58" t="s">
        <v>3281</v>
      </c>
      <c r="C58" t="s">
        <v>3282</v>
      </c>
      <c r="D58" t="s">
        <v>3209</v>
      </c>
      <c r="E58">
        <v>2026</v>
      </c>
      <c r="F58">
        <v>3</v>
      </c>
      <c r="G58">
        <v>7</v>
      </c>
      <c r="H58">
        <v>11</v>
      </c>
      <c r="J58" t="s">
        <v>23</v>
      </c>
      <c r="K58" t="s">
        <v>2774</v>
      </c>
      <c r="L58" t="s">
        <v>3133</v>
      </c>
      <c r="M58" t="s">
        <v>3134</v>
      </c>
      <c r="N58" t="s">
        <v>3165</v>
      </c>
      <c r="O58" t="s">
        <v>3283</v>
      </c>
      <c r="P58" t="s">
        <v>3284</v>
      </c>
      <c r="Q58" t="s">
        <v>2709</v>
      </c>
      <c r="R58" t="s">
        <v>3285</v>
      </c>
      <c r="S58" t="s">
        <v>2733</v>
      </c>
      <c r="T58">
        <v>50</v>
      </c>
      <c r="U58" t="s">
        <v>3286</v>
      </c>
      <c r="V58">
        <v>1</v>
      </c>
      <c r="W58" t="s">
        <v>2735</v>
      </c>
      <c r="X58" t="s">
        <v>3287</v>
      </c>
      <c r="Z58" t="s">
        <v>2715</v>
      </c>
      <c r="AA58" t="s">
        <v>3288</v>
      </c>
      <c r="AB58" t="s">
        <v>2716</v>
      </c>
      <c r="AC58" t="s">
        <v>2952</v>
      </c>
      <c r="AE58">
        <v>1</v>
      </c>
      <c r="AH58" t="s">
        <v>3289</v>
      </c>
      <c r="AI58">
        <v>46204</v>
      </c>
      <c r="AJ58">
        <v>7</v>
      </c>
      <c r="AK58" t="s">
        <v>3290</v>
      </c>
      <c r="AL58" t="s">
        <v>3291</v>
      </c>
      <c r="AM58" t="s">
        <v>3292</v>
      </c>
      <c r="AN58" t="s">
        <v>3293</v>
      </c>
      <c r="AO58" t="s">
        <v>3294</v>
      </c>
      <c r="AP58">
        <v>19336</v>
      </c>
      <c r="AQ58" t="s">
        <v>3295</v>
      </c>
      <c r="AR58" t="s">
        <v>3296</v>
      </c>
      <c r="AS58">
        <v>0</v>
      </c>
      <c r="AT58" t="s">
        <v>3297</v>
      </c>
      <c r="AW58" t="str">
        <f>Plan_2026[[#This Row],[Tên brand]]&amp;" "&amp;Plan_2026[[#This Row],[Trục đường chính]]&amp;Plan_2026[[#This Row],[Tên mall
(chuẩn hóa)]]&amp;Plan_2026[[#This Row],[Địa chỉ đầy đủ]]</f>
        <v>Ngonya Linh Lang/Phan Kế Bính/Kim Mã ThượngLinh Lang/Phan Kế Bính/Kim Mã Thượng, Cống Vị, Ba Đình, Hà Nội</v>
      </c>
    </row>
    <row r="59" spans="1:49" hidden="1" x14ac:dyDescent="0.35">
      <c r="A59">
        <v>54</v>
      </c>
      <c r="B59" t="s">
        <v>2390</v>
      </c>
      <c r="C59" t="s">
        <v>184</v>
      </c>
      <c r="D59" t="s">
        <v>3298</v>
      </c>
      <c r="E59">
        <v>2026</v>
      </c>
      <c r="F59">
        <v>2</v>
      </c>
      <c r="G59">
        <v>6</v>
      </c>
      <c r="H59">
        <v>10</v>
      </c>
      <c r="J59" t="s">
        <v>23</v>
      </c>
      <c r="K59" t="s">
        <v>2774</v>
      </c>
      <c r="L59" t="s">
        <v>3133</v>
      </c>
      <c r="M59" t="s">
        <v>3134</v>
      </c>
      <c r="N59" t="s">
        <v>3165</v>
      </c>
      <c r="O59" t="s">
        <v>3283</v>
      </c>
      <c r="P59" t="s">
        <v>3299</v>
      </c>
      <c r="Q59" t="s">
        <v>2709</v>
      </c>
      <c r="R59" t="s">
        <v>2710</v>
      </c>
      <c r="S59" t="s">
        <v>2710</v>
      </c>
      <c r="T59" t="s">
        <v>2790</v>
      </c>
      <c r="U59" t="s">
        <v>2790</v>
      </c>
      <c r="V59">
        <v>1</v>
      </c>
      <c r="W59" t="s">
        <v>2713</v>
      </c>
      <c r="X59" t="s">
        <v>3287</v>
      </c>
      <c r="Z59">
        <v>220</v>
      </c>
      <c r="AB59" t="s">
        <v>2716</v>
      </c>
      <c r="AC59" t="s">
        <v>2717</v>
      </c>
      <c r="AE59">
        <v>0</v>
      </c>
      <c r="AF59" t="s">
        <v>3300</v>
      </c>
      <c r="AH59" t="s">
        <v>183</v>
      </c>
      <c r="AI59">
        <v>46174</v>
      </c>
      <c r="AJ59">
        <v>6</v>
      </c>
      <c r="AK59" t="s">
        <v>3290</v>
      </c>
      <c r="AL59" t="s">
        <v>3301</v>
      </c>
      <c r="AM59" t="s">
        <v>3292</v>
      </c>
      <c r="AN59" t="s">
        <v>3302</v>
      </c>
      <c r="AO59" t="s">
        <v>3303</v>
      </c>
      <c r="AP59">
        <v>19336</v>
      </c>
      <c r="AQ59" t="s">
        <v>3295</v>
      </c>
      <c r="AR59" t="s">
        <v>3296</v>
      </c>
      <c r="AS59">
        <v>10</v>
      </c>
      <c r="AT59" t="s">
        <v>3304</v>
      </c>
      <c r="AW59" t="str">
        <f>Plan_2026[[#This Row],[Tên brand]]&amp;" "&amp;Plan_2026[[#This Row],[Trục đường chính]]&amp;Plan_2026[[#This Row],[Tên mall
(chuẩn hóa)]]&amp;Plan_2026[[#This Row],[Địa chỉ đầy đủ]]</f>
        <v>Shogun Linh Lang/Phan Kế BínhLinh Lang/Phan Kế Bính, Cống Vị, Ba Đình, Hà Nội</v>
      </c>
    </row>
    <row r="60" spans="1:49" hidden="1" x14ac:dyDescent="0.35">
      <c r="A60">
        <v>55</v>
      </c>
      <c r="B60" t="s">
        <v>2549</v>
      </c>
      <c r="C60" t="s">
        <v>2787</v>
      </c>
      <c r="D60" t="s">
        <v>2788</v>
      </c>
      <c r="E60">
        <v>2026</v>
      </c>
      <c r="F60">
        <v>1</v>
      </c>
      <c r="G60">
        <v>3</v>
      </c>
      <c r="H60">
        <v>7</v>
      </c>
      <c r="J60" t="s">
        <v>23</v>
      </c>
      <c r="K60" t="s">
        <v>2774</v>
      </c>
      <c r="L60" t="s">
        <v>3133</v>
      </c>
      <c r="M60" t="s">
        <v>3134</v>
      </c>
      <c r="N60" t="s">
        <v>3148</v>
      </c>
      <c r="O60" t="s">
        <v>3305</v>
      </c>
      <c r="P60" t="s">
        <v>2550</v>
      </c>
      <c r="Q60" t="s">
        <v>2732</v>
      </c>
      <c r="R60" t="s">
        <v>2710</v>
      </c>
      <c r="S60" t="s">
        <v>2710</v>
      </c>
      <c r="T60" t="s">
        <v>2800</v>
      </c>
      <c r="U60" t="s">
        <v>2800</v>
      </c>
      <c r="V60">
        <v>1</v>
      </c>
      <c r="W60" t="s">
        <v>2713</v>
      </c>
      <c r="X60" t="s">
        <v>3306</v>
      </c>
      <c r="Y60" t="s">
        <v>3307</v>
      </c>
      <c r="Z60">
        <v>132</v>
      </c>
      <c r="AB60" t="s">
        <v>2716</v>
      </c>
      <c r="AC60" t="s">
        <v>2738</v>
      </c>
      <c r="AE60">
        <v>0</v>
      </c>
      <c r="AF60" t="s">
        <v>2550</v>
      </c>
      <c r="AH60" t="s">
        <v>1788</v>
      </c>
      <c r="AI60">
        <v>46082</v>
      </c>
      <c r="AJ60">
        <v>3</v>
      </c>
      <c r="AK60" t="s">
        <v>3308</v>
      </c>
      <c r="AL60" t="s">
        <v>3309</v>
      </c>
      <c r="AM60" t="s">
        <v>3310</v>
      </c>
      <c r="AN60" t="s">
        <v>2804</v>
      </c>
      <c r="AO60" t="s">
        <v>3311</v>
      </c>
      <c r="AP60">
        <v>17710</v>
      </c>
      <c r="AQ60" t="s">
        <v>3312</v>
      </c>
      <c r="AR60" t="s">
        <v>3313</v>
      </c>
      <c r="AS60">
        <v>81</v>
      </c>
      <c r="AT60" t="s">
        <v>3314</v>
      </c>
      <c r="AW60" t="str">
        <f>Plan_2026[[#This Row],[Tên brand]]&amp;" "&amp;Plan_2026[[#This Row],[Trục đường chính]]&amp;Plan_2026[[#This Row],[Tên mall
(chuẩn hóa)]]&amp;Plan_2026[[#This Row],[Địa chỉ đầy đủ]]</f>
        <v>The Coffee House Vincom Nguyễn Chí Thanh (trệt)Vincom Center Nguyễn Chí ThanhVincom Nguyễn Chí Thanh (trệt), Láng Thượng, Đống Đa, Hà Nội</v>
      </c>
    </row>
    <row r="61" spans="1:49" hidden="1" x14ac:dyDescent="0.35">
      <c r="A61">
        <v>56</v>
      </c>
      <c r="B61" t="s">
        <v>2271</v>
      </c>
      <c r="C61" t="s">
        <v>35</v>
      </c>
      <c r="D61" t="s">
        <v>3132</v>
      </c>
      <c r="E61">
        <v>2026</v>
      </c>
      <c r="F61">
        <v>1</v>
      </c>
      <c r="G61">
        <v>3</v>
      </c>
      <c r="H61">
        <v>7</v>
      </c>
      <c r="J61" t="s">
        <v>23</v>
      </c>
      <c r="K61" t="s">
        <v>2774</v>
      </c>
      <c r="L61" t="s">
        <v>3133</v>
      </c>
      <c r="M61" t="s">
        <v>3134</v>
      </c>
      <c r="N61" t="s">
        <v>3148</v>
      </c>
      <c r="O61" t="s">
        <v>3315</v>
      </c>
      <c r="P61" t="s">
        <v>3316</v>
      </c>
      <c r="Q61" t="s">
        <v>2709</v>
      </c>
      <c r="R61" t="s">
        <v>2710</v>
      </c>
      <c r="S61" t="s">
        <v>2710</v>
      </c>
      <c r="T61" t="s">
        <v>2882</v>
      </c>
      <c r="U61" t="s">
        <v>2712</v>
      </c>
      <c r="V61">
        <v>1</v>
      </c>
      <c r="W61" t="s">
        <v>2713</v>
      </c>
      <c r="X61" t="s">
        <v>2272</v>
      </c>
      <c r="Z61" t="s">
        <v>2715</v>
      </c>
      <c r="AA61" t="s">
        <v>3317</v>
      </c>
      <c r="AB61" t="s">
        <v>2716</v>
      </c>
      <c r="AC61" t="s">
        <v>2717</v>
      </c>
      <c r="AE61">
        <v>0</v>
      </c>
      <c r="AF61" t="s">
        <v>3318</v>
      </c>
      <c r="AH61" t="s">
        <v>34</v>
      </c>
      <c r="AI61">
        <v>46082</v>
      </c>
      <c r="AJ61">
        <v>3</v>
      </c>
      <c r="AK61" t="s">
        <v>3319</v>
      </c>
      <c r="AL61" t="s">
        <v>3320</v>
      </c>
      <c r="AM61" t="s">
        <v>3321</v>
      </c>
      <c r="AN61" t="s">
        <v>2911</v>
      </c>
      <c r="AO61" t="s">
        <v>3322</v>
      </c>
      <c r="AP61">
        <v>17190</v>
      </c>
      <c r="AQ61" t="s">
        <v>3323</v>
      </c>
      <c r="AR61" t="s">
        <v>3324</v>
      </c>
      <c r="AS61">
        <v>107</v>
      </c>
      <c r="AT61" t="s">
        <v>3325</v>
      </c>
      <c r="AW61" t="str">
        <f>Plan_2026[[#This Row],[Tên brand]]&amp;" "&amp;Plan_2026[[#This Row],[Trục đường chính]]&amp;Plan_2026[[#This Row],[Tên mall
(chuẩn hóa)]]&amp;Plan_2026[[#This Row],[Địa chỉ đầy đủ]]</f>
        <v>Kichi Kichi 102 Thái Thịnh102 Thái Thịnh, Ngã Tư Sở, Đống Đa, Hà Nội</v>
      </c>
    </row>
    <row r="62" spans="1:49" hidden="1" x14ac:dyDescent="0.35">
      <c r="A62">
        <v>57</v>
      </c>
      <c r="B62" t="s">
        <v>3326</v>
      </c>
      <c r="C62" t="s">
        <v>2135</v>
      </c>
      <c r="D62" t="s">
        <v>3327</v>
      </c>
      <c r="E62">
        <v>2026</v>
      </c>
      <c r="F62">
        <v>2</v>
      </c>
      <c r="G62">
        <v>6</v>
      </c>
      <c r="H62">
        <v>10</v>
      </c>
      <c r="J62" t="s">
        <v>23</v>
      </c>
      <c r="K62" t="s">
        <v>2774</v>
      </c>
      <c r="L62" t="s">
        <v>3133</v>
      </c>
      <c r="M62" t="s">
        <v>3134</v>
      </c>
      <c r="N62" t="s">
        <v>3148</v>
      </c>
      <c r="O62" t="s">
        <v>3328</v>
      </c>
      <c r="P62" t="s">
        <v>3329</v>
      </c>
      <c r="Q62" t="s">
        <v>2732</v>
      </c>
      <c r="R62" t="s">
        <v>2751</v>
      </c>
      <c r="S62" t="s">
        <v>2751</v>
      </c>
      <c r="T62" t="s">
        <v>2800</v>
      </c>
      <c r="U62" t="s">
        <v>2800</v>
      </c>
      <c r="V62">
        <v>1</v>
      </c>
      <c r="W62" t="s">
        <v>2735</v>
      </c>
      <c r="X62" t="s">
        <v>3330</v>
      </c>
      <c r="Y62" t="s">
        <v>3330</v>
      </c>
      <c r="Z62" t="s">
        <v>3331</v>
      </c>
      <c r="AB62" t="s">
        <v>2716</v>
      </c>
      <c r="AC62" t="s">
        <v>2717</v>
      </c>
      <c r="AE62">
        <v>0</v>
      </c>
      <c r="AF62" t="s">
        <v>3332</v>
      </c>
      <c r="AH62" t="s">
        <v>1446</v>
      </c>
      <c r="AI62">
        <v>46174</v>
      </c>
      <c r="AJ62">
        <v>6</v>
      </c>
      <c r="AK62" t="s">
        <v>3333</v>
      </c>
      <c r="AL62" t="s">
        <v>3334</v>
      </c>
      <c r="AM62" t="s">
        <v>3335</v>
      </c>
      <c r="AN62" t="s">
        <v>3336</v>
      </c>
      <c r="AO62" t="s">
        <v>3337</v>
      </c>
      <c r="AP62">
        <v>16783</v>
      </c>
      <c r="AQ62" t="s">
        <v>3338</v>
      </c>
      <c r="AR62" t="s">
        <v>3339</v>
      </c>
      <c r="AS62">
        <v>16</v>
      </c>
      <c r="AT62" t="s">
        <v>3340</v>
      </c>
      <c r="AW62" t="str">
        <f>Plan_2026[[#This Row],[Tên brand]]&amp;" "&amp;Plan_2026[[#This Row],[Trục đường chính]]&amp;Plan_2026[[#This Row],[Tên mall
(chuẩn hóa)]]&amp;Plan_2026[[#This Row],[Địa chỉ đầy đủ]]</f>
        <v>Universal Tea 2 Đường Phạm Ngọc ThạchVincom Center Phạm Ngọc Thạch2 Đường Phạm Ngọc Thạch, Trung Tự, Đống Đa, Hà Nội</v>
      </c>
    </row>
    <row r="63" spans="1:49" hidden="1" x14ac:dyDescent="0.35">
      <c r="A63">
        <v>58</v>
      </c>
      <c r="B63" t="s">
        <v>2171</v>
      </c>
      <c r="C63" t="s">
        <v>2008</v>
      </c>
      <c r="D63" t="s">
        <v>2832</v>
      </c>
      <c r="E63">
        <v>2026</v>
      </c>
      <c r="F63">
        <v>1</v>
      </c>
      <c r="G63">
        <v>1</v>
      </c>
      <c r="H63">
        <v>5</v>
      </c>
      <c r="J63" t="s">
        <v>23</v>
      </c>
      <c r="K63" t="s">
        <v>2774</v>
      </c>
      <c r="L63" t="s">
        <v>3133</v>
      </c>
      <c r="M63" t="s">
        <v>3134</v>
      </c>
      <c r="N63" t="s">
        <v>3165</v>
      </c>
      <c r="O63" t="s">
        <v>3227</v>
      </c>
      <c r="P63" t="s">
        <v>3341</v>
      </c>
      <c r="Q63" t="s">
        <v>2709</v>
      </c>
      <c r="R63" t="s">
        <v>2751</v>
      </c>
      <c r="S63" t="s">
        <v>2751</v>
      </c>
      <c r="T63" t="s">
        <v>2712</v>
      </c>
      <c r="U63" t="s">
        <v>2712</v>
      </c>
      <c r="V63">
        <v>1</v>
      </c>
      <c r="W63" t="s">
        <v>2713</v>
      </c>
      <c r="Z63">
        <v>160</v>
      </c>
      <c r="AB63" t="s">
        <v>1794</v>
      </c>
      <c r="AC63" t="s">
        <v>2763</v>
      </c>
      <c r="AE63">
        <v>1</v>
      </c>
      <c r="AF63" t="s">
        <v>3342</v>
      </c>
      <c r="AH63" t="s">
        <v>2044</v>
      </c>
      <c r="AI63">
        <v>46023</v>
      </c>
      <c r="AJ63">
        <v>1</v>
      </c>
      <c r="AK63" t="s">
        <v>3234</v>
      </c>
      <c r="AL63" t="s">
        <v>3343</v>
      </c>
      <c r="AM63" t="s">
        <v>3236</v>
      </c>
      <c r="AN63" t="s">
        <v>2767</v>
      </c>
      <c r="AO63" t="s">
        <v>3344</v>
      </c>
      <c r="AP63">
        <v>16398</v>
      </c>
      <c r="AQ63" t="s">
        <v>3239</v>
      </c>
      <c r="AR63" t="s">
        <v>3240</v>
      </c>
      <c r="AS63">
        <v>6</v>
      </c>
      <c r="AT63" t="s">
        <v>3345</v>
      </c>
      <c r="AW63" t="str">
        <f>Plan_2026[[#This Row],[Tên brand]]&amp;" "&amp;Plan_2026[[#This Row],[Trục đường chính]]&amp;Plan_2026[[#This Row],[Tên mall
(chuẩn hóa)]]&amp;Plan_2026[[#This Row],[Địa chỉ đầy đủ]]</f>
        <v>Dao Niu Guo DNG Trần Huy LiệuDNG Trần Huy Liệu, Giảng Võ, Ba Đình, Hà Nội</v>
      </c>
    </row>
    <row r="64" spans="1:49" hidden="1" x14ac:dyDescent="0.35">
      <c r="A64">
        <v>59</v>
      </c>
      <c r="B64" t="s">
        <v>3346</v>
      </c>
      <c r="C64" t="s">
        <v>2702</v>
      </c>
      <c r="D64" t="s">
        <v>3164</v>
      </c>
      <c r="E64">
        <v>2026</v>
      </c>
      <c r="F64">
        <v>2</v>
      </c>
      <c r="G64">
        <v>5</v>
      </c>
      <c r="H64">
        <v>9</v>
      </c>
      <c r="J64" t="s">
        <v>23</v>
      </c>
      <c r="K64" t="s">
        <v>2774</v>
      </c>
      <c r="L64" t="s">
        <v>3133</v>
      </c>
      <c r="M64" t="s">
        <v>3134</v>
      </c>
      <c r="N64" t="s">
        <v>3165</v>
      </c>
      <c r="O64" t="s">
        <v>3227</v>
      </c>
      <c r="P64" t="s">
        <v>3347</v>
      </c>
      <c r="Q64" t="s">
        <v>2709</v>
      </c>
      <c r="R64">
        <v>8</v>
      </c>
      <c r="S64" t="s">
        <v>2710</v>
      </c>
      <c r="T64" t="s">
        <v>2711</v>
      </c>
      <c r="U64" t="s">
        <v>2712</v>
      </c>
      <c r="V64">
        <v>1</v>
      </c>
      <c r="W64" t="s">
        <v>2735</v>
      </c>
      <c r="Z64" t="s">
        <v>2715</v>
      </c>
      <c r="AB64" t="s">
        <v>2716</v>
      </c>
      <c r="AC64" t="s">
        <v>2738</v>
      </c>
      <c r="AE64">
        <v>0</v>
      </c>
      <c r="AF64" t="s">
        <v>3348</v>
      </c>
      <c r="AH64" t="s">
        <v>76</v>
      </c>
      <c r="AI64">
        <v>46143</v>
      </c>
      <c r="AJ64">
        <v>5</v>
      </c>
      <c r="AK64" t="s">
        <v>3234</v>
      </c>
      <c r="AL64" t="s">
        <v>3349</v>
      </c>
      <c r="AM64" t="s">
        <v>3236</v>
      </c>
      <c r="AN64" t="s">
        <v>2721</v>
      </c>
      <c r="AO64" t="s">
        <v>3350</v>
      </c>
      <c r="AP64">
        <v>16398</v>
      </c>
      <c r="AQ64" t="s">
        <v>3239</v>
      </c>
      <c r="AR64" t="s">
        <v>3240</v>
      </c>
      <c r="AS64">
        <v>144</v>
      </c>
      <c r="AT64" t="s">
        <v>3351</v>
      </c>
      <c r="AW64" t="str">
        <f>Plan_2026[[#This Row],[Tên brand]]&amp;" "&amp;Plan_2026[[#This Row],[Trục đường chính]]&amp;Plan_2026[[#This Row],[Tên mall
(chuẩn hóa)]]&amp;Plan_2026[[#This Row],[Địa chỉ đầy đủ]]</f>
        <v>Gogi House Ngọc KhánhNgọc Khánh, Giảng Võ, Ba Đình, Hà Nội</v>
      </c>
    </row>
    <row r="65" spans="1:49" hidden="1" x14ac:dyDescent="0.35">
      <c r="A65">
        <v>60</v>
      </c>
      <c r="B65" t="s">
        <v>3352</v>
      </c>
      <c r="C65" t="s">
        <v>2135</v>
      </c>
      <c r="D65" t="s">
        <v>3327</v>
      </c>
      <c r="E65">
        <v>2026</v>
      </c>
      <c r="F65">
        <v>1</v>
      </c>
      <c r="G65">
        <v>2</v>
      </c>
      <c r="H65">
        <v>6</v>
      </c>
      <c r="J65" t="s">
        <v>23</v>
      </c>
      <c r="K65" t="s">
        <v>2774</v>
      </c>
      <c r="L65" t="s">
        <v>3133</v>
      </c>
      <c r="M65" t="s">
        <v>3134</v>
      </c>
      <c r="N65" t="s">
        <v>3353</v>
      </c>
      <c r="O65" t="s">
        <v>3354</v>
      </c>
      <c r="P65" t="s">
        <v>3355</v>
      </c>
      <c r="Q65" t="s">
        <v>2709</v>
      </c>
      <c r="R65" t="s">
        <v>3356</v>
      </c>
      <c r="S65" t="s">
        <v>3357</v>
      </c>
      <c r="T65" t="s">
        <v>2790</v>
      </c>
      <c r="U65" t="s">
        <v>2790</v>
      </c>
      <c r="V65">
        <v>1</v>
      </c>
      <c r="W65" t="s">
        <v>2735</v>
      </c>
      <c r="Z65" t="s">
        <v>3331</v>
      </c>
      <c r="AB65" t="s">
        <v>2716</v>
      </c>
      <c r="AC65" t="s">
        <v>2778</v>
      </c>
      <c r="AE65">
        <v>0</v>
      </c>
      <c r="AH65" t="s">
        <v>1446</v>
      </c>
      <c r="AI65">
        <v>46054</v>
      </c>
      <c r="AJ65">
        <v>2</v>
      </c>
      <c r="AK65" t="s">
        <v>3358</v>
      </c>
      <c r="AL65" t="s">
        <v>3359</v>
      </c>
      <c r="AM65" t="s">
        <v>3360</v>
      </c>
      <c r="AN65" t="s">
        <v>3361</v>
      </c>
      <c r="AO65" t="s">
        <v>3362</v>
      </c>
      <c r="AP65">
        <v>16052</v>
      </c>
      <c r="AQ65" t="s">
        <v>3363</v>
      </c>
      <c r="AR65" t="s">
        <v>3364</v>
      </c>
      <c r="AS65">
        <v>16</v>
      </c>
      <c r="AT65" t="s">
        <v>3365</v>
      </c>
      <c r="AW65" t="str">
        <f>Plan_2026[[#This Row],[Tên brand]]&amp;" "&amp;Plan_2026[[#This Row],[Trục đường chính]]&amp;Plan_2026[[#This Row],[Tên mall
(chuẩn hóa)]]&amp;Plan_2026[[#This Row],[Địa chỉ đầy đủ]]</f>
        <v>Universal Tea Nguyễn Văn LộcNguyễn Văn Lộc, Mộ Lao, Hà Đông, Hà Nội</v>
      </c>
    </row>
    <row r="66" spans="1:49" hidden="1" x14ac:dyDescent="0.35">
      <c r="A66">
        <v>61</v>
      </c>
      <c r="B66" t="s">
        <v>3366</v>
      </c>
      <c r="C66" t="s">
        <v>3208</v>
      </c>
      <c r="D66" t="s">
        <v>3209</v>
      </c>
      <c r="E66">
        <v>2026</v>
      </c>
      <c r="F66">
        <v>3</v>
      </c>
      <c r="G66">
        <v>7</v>
      </c>
      <c r="H66">
        <v>11</v>
      </c>
      <c r="J66" t="s">
        <v>23</v>
      </c>
      <c r="K66" t="s">
        <v>2774</v>
      </c>
      <c r="L66" t="s">
        <v>3133</v>
      </c>
      <c r="M66" t="s">
        <v>3134</v>
      </c>
      <c r="N66" t="s">
        <v>3367</v>
      </c>
      <c r="O66" t="s">
        <v>3368</v>
      </c>
      <c r="P66" t="s">
        <v>3369</v>
      </c>
      <c r="Q66" t="s">
        <v>2709</v>
      </c>
      <c r="R66" t="s">
        <v>2710</v>
      </c>
      <c r="S66" t="s">
        <v>2710</v>
      </c>
      <c r="T66" t="s">
        <v>3211</v>
      </c>
      <c r="U66" t="s">
        <v>2712</v>
      </c>
      <c r="V66">
        <v>1</v>
      </c>
      <c r="W66" t="s">
        <v>2735</v>
      </c>
      <c r="Z66" t="s">
        <v>2715</v>
      </c>
      <c r="AB66" t="s">
        <v>2716</v>
      </c>
      <c r="AC66" t="s">
        <v>2738</v>
      </c>
      <c r="AE66">
        <v>0</v>
      </c>
      <c r="AH66" t="s">
        <v>51</v>
      </c>
      <c r="AI66">
        <v>46204</v>
      </c>
      <c r="AJ66">
        <v>7</v>
      </c>
      <c r="AK66" t="s">
        <v>3370</v>
      </c>
      <c r="AL66" t="s">
        <v>3371</v>
      </c>
      <c r="AM66" t="s">
        <v>3372</v>
      </c>
      <c r="AN66" t="s">
        <v>3213</v>
      </c>
      <c r="AO66" t="s">
        <v>3373</v>
      </c>
      <c r="AP66">
        <v>15551</v>
      </c>
      <c r="AQ66" t="s">
        <v>3374</v>
      </c>
      <c r="AR66" t="s">
        <v>3375</v>
      </c>
      <c r="AS66">
        <v>11</v>
      </c>
      <c r="AT66" t="s">
        <v>3266</v>
      </c>
      <c r="AW66" t="str">
        <f>Plan_2026[[#This Row],[Tên brand]]&amp;" "&amp;Plan_2026[[#This Row],[Trục đường chính]]&amp;Plan_2026[[#This Row],[Tên mall
(chuẩn hóa)]]&amp;Plan_2026[[#This Row],[Địa chỉ đầy đủ]]</f>
        <v>Sumogoya Tô Hiến Thành/Ngô Thì NhậmTô Hiến Thành/Ngô Thì Nhậm, Phạm Đình Hổ, Hai Bà Trưng, Hà Nội</v>
      </c>
    </row>
    <row r="67" spans="1:49" hidden="1" x14ac:dyDescent="0.35">
      <c r="A67">
        <v>62</v>
      </c>
      <c r="B67" t="s">
        <v>2269</v>
      </c>
      <c r="C67" t="s">
        <v>35</v>
      </c>
      <c r="D67" t="s">
        <v>3132</v>
      </c>
      <c r="E67">
        <v>2026</v>
      </c>
      <c r="F67">
        <v>1</v>
      </c>
      <c r="G67">
        <v>3</v>
      </c>
      <c r="H67">
        <v>7</v>
      </c>
      <c r="J67" t="s">
        <v>23</v>
      </c>
      <c r="K67" t="s">
        <v>2774</v>
      </c>
      <c r="L67" t="s">
        <v>3133</v>
      </c>
      <c r="M67" t="s">
        <v>3134</v>
      </c>
      <c r="N67" t="s">
        <v>3376</v>
      </c>
      <c r="O67" t="s">
        <v>3377</v>
      </c>
      <c r="P67" t="s">
        <v>3378</v>
      </c>
      <c r="Q67" t="s">
        <v>2709</v>
      </c>
      <c r="R67" t="s">
        <v>2710</v>
      </c>
      <c r="S67" t="s">
        <v>2710</v>
      </c>
      <c r="T67" t="s">
        <v>2882</v>
      </c>
      <c r="U67" t="s">
        <v>2712</v>
      </c>
      <c r="V67">
        <v>1</v>
      </c>
      <c r="W67" t="s">
        <v>2713</v>
      </c>
      <c r="X67" t="s">
        <v>2270</v>
      </c>
      <c r="Z67" t="s">
        <v>2715</v>
      </c>
      <c r="AA67" t="s">
        <v>3317</v>
      </c>
      <c r="AB67" t="s">
        <v>2716</v>
      </c>
      <c r="AC67" t="s">
        <v>2738</v>
      </c>
      <c r="AE67">
        <v>0</v>
      </c>
      <c r="AH67" t="s">
        <v>34</v>
      </c>
      <c r="AI67">
        <v>46082</v>
      </c>
      <c r="AJ67">
        <v>3</v>
      </c>
      <c r="AK67" t="s">
        <v>3379</v>
      </c>
      <c r="AL67" t="s">
        <v>3380</v>
      </c>
      <c r="AM67" t="s">
        <v>3381</v>
      </c>
      <c r="AN67" t="s">
        <v>2911</v>
      </c>
      <c r="AO67" t="s">
        <v>3382</v>
      </c>
      <c r="AP67">
        <v>14831</v>
      </c>
      <c r="AQ67" t="s">
        <v>3383</v>
      </c>
      <c r="AR67" t="s">
        <v>3384</v>
      </c>
      <c r="AS67">
        <v>107</v>
      </c>
      <c r="AT67" t="s">
        <v>3385</v>
      </c>
      <c r="AW67" t="str">
        <f>Plan_2026[[#This Row],[Tên brand]]&amp;" "&amp;Plan_2026[[#This Row],[Trục đường chính]]&amp;Plan_2026[[#This Row],[Tên mall
(chuẩn hóa)]]&amp;Plan_2026[[#This Row],[Địa chỉ đầy đủ]]</f>
        <v>Kichi Kichi 56 Vũ Phạm Hàm 56 Vũ Phạm Hàm , Yên Hoà, Cầu Giấy, Hà Nội</v>
      </c>
    </row>
    <row r="68" spans="1:49" hidden="1" x14ac:dyDescent="0.35">
      <c r="A68">
        <v>63</v>
      </c>
      <c r="B68" t="s">
        <v>2472</v>
      </c>
      <c r="C68" t="s">
        <v>2787</v>
      </c>
      <c r="D68" t="s">
        <v>2788</v>
      </c>
      <c r="E68">
        <v>2025</v>
      </c>
      <c r="F68">
        <v>4</v>
      </c>
      <c r="G68">
        <v>12</v>
      </c>
      <c r="H68">
        <v>4</v>
      </c>
      <c r="J68" t="s">
        <v>23</v>
      </c>
      <c r="K68" t="s">
        <v>2774</v>
      </c>
      <c r="L68" t="s">
        <v>3133</v>
      </c>
      <c r="M68" t="s">
        <v>3134</v>
      </c>
      <c r="N68" t="s">
        <v>3135</v>
      </c>
      <c r="O68" t="s">
        <v>3386</v>
      </c>
      <c r="P68" t="s">
        <v>3387</v>
      </c>
      <c r="Q68" t="s">
        <v>2709</v>
      </c>
      <c r="R68" t="s">
        <v>2751</v>
      </c>
      <c r="S68" t="s">
        <v>2751</v>
      </c>
      <c r="T68" t="s">
        <v>2790</v>
      </c>
      <c r="U68" t="s">
        <v>2790</v>
      </c>
      <c r="V68">
        <v>1</v>
      </c>
      <c r="W68" t="s">
        <v>2713</v>
      </c>
      <c r="X68" t="s">
        <v>3388</v>
      </c>
      <c r="Z68">
        <v>132</v>
      </c>
      <c r="AB68" t="s">
        <v>2716</v>
      </c>
      <c r="AC68" t="s">
        <v>2952</v>
      </c>
      <c r="AE68">
        <v>1</v>
      </c>
      <c r="AF68" t="s">
        <v>3389</v>
      </c>
      <c r="AH68" t="s">
        <v>1788</v>
      </c>
      <c r="AI68">
        <v>45992</v>
      </c>
      <c r="AJ68">
        <v>12</v>
      </c>
      <c r="AK68" t="s">
        <v>3390</v>
      </c>
      <c r="AL68" t="s">
        <v>3391</v>
      </c>
      <c r="AM68" t="s">
        <v>3392</v>
      </c>
      <c r="AN68" t="s">
        <v>2793</v>
      </c>
      <c r="AO68" t="s">
        <v>3393</v>
      </c>
      <c r="AP68">
        <v>14584</v>
      </c>
      <c r="AQ68" t="s">
        <v>3394</v>
      </c>
      <c r="AR68" t="s">
        <v>3395</v>
      </c>
      <c r="AS68">
        <v>81</v>
      </c>
      <c r="AT68" t="s">
        <v>3076</v>
      </c>
      <c r="AW68" t="str">
        <f>Plan_2026[[#This Row],[Tên brand]]&amp;" "&amp;Plan_2026[[#This Row],[Trục đường chính]]&amp;Plan_2026[[#This Row],[Tên mall
(chuẩn hóa)]]&amp;Plan_2026[[#This Row],[Địa chỉ đầy đủ]]</f>
        <v>The Coffee House Vương Thừa VũVương Thừa Vũ, Khương Đình, Thanh Xuân, Hà Nội</v>
      </c>
    </row>
    <row r="69" spans="1:49" hidden="1" x14ac:dyDescent="0.35">
      <c r="A69">
        <v>64</v>
      </c>
      <c r="B69" t="s">
        <v>3396</v>
      </c>
      <c r="C69" t="s">
        <v>3397</v>
      </c>
      <c r="D69" t="s">
        <v>2832</v>
      </c>
      <c r="E69">
        <v>2026</v>
      </c>
      <c r="F69">
        <v>3</v>
      </c>
      <c r="G69">
        <v>7</v>
      </c>
      <c r="H69">
        <v>11</v>
      </c>
      <c r="J69" t="s">
        <v>23</v>
      </c>
      <c r="K69" t="s">
        <v>2774</v>
      </c>
      <c r="L69" t="s">
        <v>3133</v>
      </c>
      <c r="M69" t="s">
        <v>3134</v>
      </c>
      <c r="N69" t="s">
        <v>3148</v>
      </c>
      <c r="O69" t="s">
        <v>3398</v>
      </c>
      <c r="P69" t="s">
        <v>3228</v>
      </c>
      <c r="Q69" t="s">
        <v>2732</v>
      </c>
      <c r="R69" t="s">
        <v>2751</v>
      </c>
      <c r="S69" t="s">
        <v>2751</v>
      </c>
      <c r="T69" t="s">
        <v>2712</v>
      </c>
      <c r="U69" t="s">
        <v>2712</v>
      </c>
      <c r="V69">
        <v>1</v>
      </c>
      <c r="W69" t="s">
        <v>2735</v>
      </c>
      <c r="X69" t="s">
        <v>3230</v>
      </c>
      <c r="Y69" t="s">
        <v>3231</v>
      </c>
      <c r="Z69" t="s">
        <v>2715</v>
      </c>
      <c r="AB69" t="s">
        <v>2716</v>
      </c>
      <c r="AC69" t="s">
        <v>2738</v>
      </c>
      <c r="AE69">
        <v>0</v>
      </c>
      <c r="AF69" t="s">
        <v>3399</v>
      </c>
      <c r="AG69" t="s">
        <v>2908</v>
      </c>
      <c r="AH69" t="s">
        <v>1561</v>
      </c>
      <c r="AI69">
        <v>46204</v>
      </c>
      <c r="AJ69">
        <v>7</v>
      </c>
      <c r="AK69" t="s">
        <v>3400</v>
      </c>
      <c r="AL69" t="s">
        <v>3401</v>
      </c>
      <c r="AM69" t="s">
        <v>3402</v>
      </c>
      <c r="AN69" t="s">
        <v>3403</v>
      </c>
      <c r="AO69" t="s">
        <v>3404</v>
      </c>
      <c r="AP69">
        <v>14390</v>
      </c>
      <c r="AQ69" t="s">
        <v>3405</v>
      </c>
      <c r="AR69" t="s">
        <v>3406</v>
      </c>
      <c r="AS69">
        <v>4</v>
      </c>
      <c r="AT69" t="s">
        <v>3407</v>
      </c>
      <c r="AW69" t="str">
        <f>Plan_2026[[#This Row],[Tên brand]]&amp;" "&amp;Plan_2026[[#This Row],[Trục đường chính]]&amp;Plan_2026[[#This Row],[Tên mall
(chuẩn hóa)]]&amp;Plan_2026[[#This Row],[Địa chỉ đầy đủ]]</f>
        <v>Man Tang Guo 175 Nguyễn Thái HọcHanoi Centre175 Nguyễn Thái Học, Cát Linh, Đống Đa, Hà Nội</v>
      </c>
    </row>
    <row r="70" spans="1:49" hidden="1" x14ac:dyDescent="0.35">
      <c r="A70">
        <v>65</v>
      </c>
      <c r="B70" t="s">
        <v>3408</v>
      </c>
      <c r="C70" t="s">
        <v>184</v>
      </c>
      <c r="D70" t="s">
        <v>3298</v>
      </c>
      <c r="E70">
        <v>2026</v>
      </c>
      <c r="F70">
        <v>3</v>
      </c>
      <c r="G70">
        <v>7</v>
      </c>
      <c r="H70">
        <v>11</v>
      </c>
      <c r="J70" t="s">
        <v>23</v>
      </c>
      <c r="K70" t="s">
        <v>2774</v>
      </c>
      <c r="L70" t="s">
        <v>3133</v>
      </c>
      <c r="M70" t="s">
        <v>3134</v>
      </c>
      <c r="N70" t="s">
        <v>3148</v>
      </c>
      <c r="O70" t="s">
        <v>3398</v>
      </c>
      <c r="P70" t="s">
        <v>3261</v>
      </c>
      <c r="Q70" t="s">
        <v>2732</v>
      </c>
      <c r="R70" t="s">
        <v>2710</v>
      </c>
      <c r="S70" t="s">
        <v>2710</v>
      </c>
      <c r="T70" t="s">
        <v>2790</v>
      </c>
      <c r="U70" t="s">
        <v>2790</v>
      </c>
      <c r="V70">
        <v>1</v>
      </c>
      <c r="W70" t="s">
        <v>2735</v>
      </c>
      <c r="X70" t="s">
        <v>3230</v>
      </c>
      <c r="Y70" t="s">
        <v>3231</v>
      </c>
      <c r="Z70">
        <v>220</v>
      </c>
      <c r="AB70" t="s">
        <v>2716</v>
      </c>
      <c r="AC70" t="s">
        <v>3232</v>
      </c>
      <c r="AE70">
        <v>0</v>
      </c>
      <c r="AF70" t="s">
        <v>3409</v>
      </c>
      <c r="AG70" t="s">
        <v>2908</v>
      </c>
      <c r="AH70" t="s">
        <v>183</v>
      </c>
      <c r="AI70">
        <v>46204</v>
      </c>
      <c r="AJ70">
        <v>7</v>
      </c>
      <c r="AK70" t="s">
        <v>3400</v>
      </c>
      <c r="AL70" t="s">
        <v>3410</v>
      </c>
      <c r="AM70" t="s">
        <v>3402</v>
      </c>
      <c r="AN70" t="s">
        <v>3411</v>
      </c>
      <c r="AO70" t="s">
        <v>3412</v>
      </c>
      <c r="AP70">
        <v>14390</v>
      </c>
      <c r="AQ70" t="s">
        <v>3405</v>
      </c>
      <c r="AR70" t="s">
        <v>3406</v>
      </c>
      <c r="AS70">
        <v>10</v>
      </c>
      <c r="AT70" t="s">
        <v>3413</v>
      </c>
      <c r="AW70" t="str">
        <f>Plan_2026[[#This Row],[Tên brand]]&amp;" "&amp;Plan_2026[[#This Row],[Trục đường chính]]&amp;Plan_2026[[#This Row],[Tên mall
(chuẩn hóa)]]&amp;Plan_2026[[#This Row],[Địa chỉ đầy đủ]]</f>
        <v>Shogun 175 Phố Nguyễn Thái HọcHanoi Centre175 Phố Nguyễn Thái Học, Cát Linh, Đống Đa, Hà Nội</v>
      </c>
    </row>
    <row r="71" spans="1:49" hidden="1" x14ac:dyDescent="0.35">
      <c r="A71">
        <v>66</v>
      </c>
      <c r="B71" t="s">
        <v>3414</v>
      </c>
      <c r="C71" t="s">
        <v>3415</v>
      </c>
      <c r="D71" t="s">
        <v>3416</v>
      </c>
      <c r="E71">
        <v>2026</v>
      </c>
      <c r="F71">
        <v>2</v>
      </c>
      <c r="G71">
        <v>5</v>
      </c>
      <c r="H71">
        <v>9</v>
      </c>
      <c r="J71" t="s">
        <v>23</v>
      </c>
      <c r="K71" t="s">
        <v>2774</v>
      </c>
      <c r="L71" t="s">
        <v>3133</v>
      </c>
      <c r="M71" t="s">
        <v>3134</v>
      </c>
      <c r="N71" t="s">
        <v>3367</v>
      </c>
      <c r="O71" t="s">
        <v>3417</v>
      </c>
      <c r="P71" t="s">
        <v>3418</v>
      </c>
      <c r="Q71" t="s">
        <v>2709</v>
      </c>
      <c r="R71" t="s">
        <v>2751</v>
      </c>
      <c r="S71" t="s">
        <v>2751</v>
      </c>
      <c r="T71" t="s">
        <v>2790</v>
      </c>
      <c r="U71" t="s">
        <v>2790</v>
      </c>
      <c r="V71">
        <v>1</v>
      </c>
      <c r="W71" t="s">
        <v>2735</v>
      </c>
      <c r="Z71" t="s">
        <v>3331</v>
      </c>
      <c r="AA71" t="s">
        <v>3419</v>
      </c>
      <c r="AB71" t="s">
        <v>2716</v>
      </c>
      <c r="AC71" t="s">
        <v>2738</v>
      </c>
      <c r="AE71">
        <v>0</v>
      </c>
      <c r="AF71" t="s">
        <v>3420</v>
      </c>
      <c r="AH71" t="s">
        <v>1611</v>
      </c>
      <c r="AI71">
        <v>46143</v>
      </c>
      <c r="AJ71">
        <v>5</v>
      </c>
      <c r="AK71" t="s">
        <v>3421</v>
      </c>
      <c r="AL71" t="s">
        <v>3422</v>
      </c>
      <c r="AM71" t="s">
        <v>3423</v>
      </c>
      <c r="AN71" t="s">
        <v>3424</v>
      </c>
      <c r="AO71" t="s">
        <v>3425</v>
      </c>
      <c r="AP71">
        <v>12645</v>
      </c>
      <c r="AQ71" t="s">
        <v>3426</v>
      </c>
      <c r="AR71" t="s">
        <v>3427</v>
      </c>
      <c r="AS71">
        <v>0</v>
      </c>
      <c r="AT71" t="s">
        <v>3297</v>
      </c>
      <c r="AW71" t="str">
        <f>Plan_2026[[#This Row],[Tên brand]]&amp;" "&amp;Plan_2026[[#This Row],[Trục đường chính]]&amp;Plan_2026[[#This Row],[Tên mall
(chuẩn hóa)]]&amp;Plan_2026[[#This Row],[Địa chỉ đầy đủ]]</f>
        <v>Mama's Bakery Bách - Kinh - XâyBách - Kinh - Xây, Bách Khoa, Hai Bà Trưng, Hà Nội</v>
      </c>
    </row>
    <row r="72" spans="1:49" hidden="1" x14ac:dyDescent="0.35">
      <c r="A72">
        <v>67</v>
      </c>
      <c r="B72" t="s">
        <v>3428</v>
      </c>
      <c r="C72" t="s">
        <v>2135</v>
      </c>
      <c r="D72" t="s">
        <v>3327</v>
      </c>
      <c r="E72">
        <v>2026</v>
      </c>
      <c r="F72">
        <v>2</v>
      </c>
      <c r="G72">
        <v>4</v>
      </c>
      <c r="H72">
        <v>8</v>
      </c>
      <c r="J72" t="s">
        <v>23</v>
      </c>
      <c r="K72" t="s">
        <v>2774</v>
      </c>
      <c r="L72" t="s">
        <v>3133</v>
      </c>
      <c r="M72" t="s">
        <v>3134</v>
      </c>
      <c r="N72" t="s">
        <v>3367</v>
      </c>
      <c r="O72" t="s">
        <v>3417</v>
      </c>
      <c r="Q72" t="s">
        <v>2709</v>
      </c>
      <c r="R72" t="s">
        <v>2710</v>
      </c>
      <c r="S72" t="s">
        <v>2710</v>
      </c>
      <c r="T72" t="s">
        <v>2800</v>
      </c>
      <c r="U72" t="s">
        <v>2800</v>
      </c>
      <c r="V72">
        <v>1</v>
      </c>
      <c r="W72" t="s">
        <v>2735</v>
      </c>
      <c r="Z72" t="s">
        <v>3331</v>
      </c>
      <c r="AB72" t="s">
        <v>2716</v>
      </c>
      <c r="AC72" t="s">
        <v>2778</v>
      </c>
      <c r="AE72">
        <v>0</v>
      </c>
      <c r="AH72" t="s">
        <v>1446</v>
      </c>
      <c r="AI72">
        <v>46113</v>
      </c>
      <c r="AJ72">
        <v>4</v>
      </c>
      <c r="AK72" t="s">
        <v>3421</v>
      </c>
      <c r="AL72" t="s">
        <v>3421</v>
      </c>
      <c r="AM72" t="s">
        <v>3423</v>
      </c>
      <c r="AN72" t="s">
        <v>3361</v>
      </c>
      <c r="AO72" t="s">
        <v>3429</v>
      </c>
      <c r="AP72">
        <v>12645</v>
      </c>
      <c r="AQ72" t="s">
        <v>3426</v>
      </c>
      <c r="AR72" t="s">
        <v>3427</v>
      </c>
      <c r="AS72">
        <v>16</v>
      </c>
      <c r="AT72" t="s">
        <v>3430</v>
      </c>
      <c r="AW72" t="str">
        <f>Plan_2026[[#This Row],[Tên brand]]&amp;" "&amp;Plan_2026[[#This Row],[Trục đường chính]]&amp;Plan_2026[[#This Row],[Tên mall
(chuẩn hóa)]]&amp;Plan_2026[[#This Row],[Địa chỉ đầy đủ]]</f>
        <v>Universal Tea Bách Khoa, Hai Bà Trưng, Hà Nội</v>
      </c>
    </row>
    <row r="73" spans="1:49" hidden="1" x14ac:dyDescent="0.35">
      <c r="A73">
        <v>68</v>
      </c>
      <c r="B73" t="s">
        <v>2417</v>
      </c>
      <c r="C73" t="s">
        <v>25</v>
      </c>
      <c r="D73" t="s">
        <v>3431</v>
      </c>
      <c r="E73">
        <v>2026</v>
      </c>
      <c r="F73">
        <v>1</v>
      </c>
      <c r="G73">
        <v>1</v>
      </c>
      <c r="H73">
        <v>5</v>
      </c>
      <c r="I73">
        <v>5</v>
      </c>
      <c r="J73" t="s">
        <v>23</v>
      </c>
      <c r="K73" t="s">
        <v>2774</v>
      </c>
      <c r="L73" t="s">
        <v>3133</v>
      </c>
      <c r="M73" t="s">
        <v>3134</v>
      </c>
      <c r="N73" t="s">
        <v>3165</v>
      </c>
      <c r="O73" t="s">
        <v>3347</v>
      </c>
      <c r="P73" t="s">
        <v>3432</v>
      </c>
      <c r="Q73" t="s">
        <v>2732</v>
      </c>
      <c r="R73" t="s">
        <v>2751</v>
      </c>
      <c r="S73" t="s">
        <v>2751</v>
      </c>
      <c r="T73" t="s">
        <v>2712</v>
      </c>
      <c r="U73" t="s">
        <v>2712</v>
      </c>
      <c r="V73">
        <v>1</v>
      </c>
      <c r="W73" t="s">
        <v>2713</v>
      </c>
      <c r="X73" t="s">
        <v>3433</v>
      </c>
      <c r="Y73" t="s">
        <v>3433</v>
      </c>
      <c r="Z73" t="s">
        <v>2715</v>
      </c>
      <c r="AB73" t="s">
        <v>2716</v>
      </c>
      <c r="AC73" t="s">
        <v>2717</v>
      </c>
      <c r="AE73">
        <v>0</v>
      </c>
      <c r="AF73" t="s">
        <v>3434</v>
      </c>
      <c r="AH73" t="s">
        <v>24</v>
      </c>
      <c r="AI73">
        <v>46023</v>
      </c>
      <c r="AJ73">
        <v>1</v>
      </c>
      <c r="AK73" t="s">
        <v>3435</v>
      </c>
      <c r="AL73" t="s">
        <v>3436</v>
      </c>
      <c r="AM73" t="s">
        <v>3437</v>
      </c>
      <c r="AN73" t="s">
        <v>3438</v>
      </c>
      <c r="AO73" t="s">
        <v>3439</v>
      </c>
      <c r="AP73">
        <v>11584</v>
      </c>
      <c r="AQ73" t="s">
        <v>3440</v>
      </c>
      <c r="AR73" t="s">
        <v>3441</v>
      </c>
      <c r="AS73">
        <v>9</v>
      </c>
      <c r="AT73" t="s">
        <v>3442</v>
      </c>
      <c r="AW73" t="str">
        <f>Plan_2026[[#This Row],[Tên brand]]&amp;" "&amp;Plan_2026[[#This Row],[Trục đường chính]]&amp;Plan_2026[[#This Row],[Tên mall
(chuẩn hóa)]]&amp;Plan_2026[[#This Row],[Địa chỉ đầy đủ]]</f>
        <v>Ashima 29 Liễu GiaiVincom Center Metropolis29 Liễu Giai, Ngọc Khánh, Ba Đình, Hà Nội</v>
      </c>
    </row>
    <row r="74" spans="1:49" hidden="1" x14ac:dyDescent="0.35">
      <c r="A74">
        <v>69</v>
      </c>
      <c r="B74" t="s">
        <v>2255</v>
      </c>
      <c r="C74" t="s">
        <v>35</v>
      </c>
      <c r="D74" t="s">
        <v>3132</v>
      </c>
      <c r="E74">
        <v>2025</v>
      </c>
      <c r="F74">
        <v>3</v>
      </c>
      <c r="G74">
        <v>9</v>
      </c>
      <c r="H74">
        <v>1</v>
      </c>
      <c r="I74">
        <v>3</v>
      </c>
      <c r="J74" t="s">
        <v>23</v>
      </c>
      <c r="K74" t="s">
        <v>2774</v>
      </c>
      <c r="L74" t="s">
        <v>3133</v>
      </c>
      <c r="M74" t="s">
        <v>3134</v>
      </c>
      <c r="N74" t="s">
        <v>3165</v>
      </c>
      <c r="O74" t="s">
        <v>3347</v>
      </c>
      <c r="P74" t="s">
        <v>3432</v>
      </c>
      <c r="Q74" t="s">
        <v>2732</v>
      </c>
      <c r="R74" t="s">
        <v>2710</v>
      </c>
      <c r="S74" t="s">
        <v>2710</v>
      </c>
      <c r="T74">
        <v>200</v>
      </c>
      <c r="U74" t="s">
        <v>2712</v>
      </c>
      <c r="V74">
        <v>1</v>
      </c>
      <c r="W74" t="s">
        <v>2713</v>
      </c>
      <c r="X74" t="s">
        <v>3433</v>
      </c>
      <c r="Y74" t="s">
        <v>3433</v>
      </c>
      <c r="Z74" t="s">
        <v>2715</v>
      </c>
      <c r="AB74" t="s">
        <v>2716</v>
      </c>
      <c r="AC74" t="s">
        <v>2717</v>
      </c>
      <c r="AE74">
        <v>0</v>
      </c>
      <c r="AF74" t="s">
        <v>3443</v>
      </c>
      <c r="AH74" t="s">
        <v>34</v>
      </c>
      <c r="AI74">
        <v>45901</v>
      </c>
      <c r="AJ74">
        <v>9</v>
      </c>
      <c r="AK74" t="s">
        <v>3435</v>
      </c>
      <c r="AL74" t="s">
        <v>3436</v>
      </c>
      <c r="AM74" t="s">
        <v>3437</v>
      </c>
      <c r="AN74" t="s">
        <v>3036</v>
      </c>
      <c r="AO74" t="s">
        <v>3444</v>
      </c>
      <c r="AP74">
        <v>11584</v>
      </c>
      <c r="AQ74" t="s">
        <v>3440</v>
      </c>
      <c r="AR74" t="s">
        <v>3441</v>
      </c>
      <c r="AS74">
        <v>107</v>
      </c>
      <c r="AT74" t="s">
        <v>3445</v>
      </c>
      <c r="AW74" t="str">
        <f>Plan_2026[[#This Row],[Tên brand]]&amp;" "&amp;Plan_2026[[#This Row],[Trục đường chính]]&amp;Plan_2026[[#This Row],[Tên mall
(chuẩn hóa)]]&amp;Plan_2026[[#This Row],[Địa chỉ đầy đủ]]</f>
        <v>Kichi Kichi 29 Liễu GiaiVincom Center Metropolis29 Liễu Giai, Ngọc Khánh, Ba Đình, Hà Nội</v>
      </c>
    </row>
    <row r="75" spans="1:49" hidden="1" x14ac:dyDescent="0.35">
      <c r="A75">
        <v>70</v>
      </c>
      <c r="B75" t="s">
        <v>2392</v>
      </c>
      <c r="C75" t="s">
        <v>2772</v>
      </c>
      <c r="D75" t="s">
        <v>2773</v>
      </c>
      <c r="E75">
        <v>2026</v>
      </c>
      <c r="F75">
        <v>1</v>
      </c>
      <c r="G75">
        <v>1</v>
      </c>
      <c r="H75">
        <v>5</v>
      </c>
      <c r="J75" t="s">
        <v>23</v>
      </c>
      <c r="K75" t="s">
        <v>2774</v>
      </c>
      <c r="L75" t="s">
        <v>3133</v>
      </c>
      <c r="M75" t="s">
        <v>3134</v>
      </c>
      <c r="N75" t="s">
        <v>3165</v>
      </c>
      <c r="O75" t="s">
        <v>3347</v>
      </c>
      <c r="P75" t="s">
        <v>2393</v>
      </c>
      <c r="Q75" t="s">
        <v>2709</v>
      </c>
      <c r="R75" t="s">
        <v>2751</v>
      </c>
      <c r="S75" t="s">
        <v>2751</v>
      </c>
      <c r="T75" t="s">
        <v>2762</v>
      </c>
      <c r="U75" t="s">
        <v>2762</v>
      </c>
      <c r="V75">
        <v>1</v>
      </c>
      <c r="W75" t="s">
        <v>2713</v>
      </c>
      <c r="Z75">
        <v>200</v>
      </c>
      <c r="AB75" t="s">
        <v>2716</v>
      </c>
      <c r="AC75" t="s">
        <v>2738</v>
      </c>
      <c r="AE75">
        <v>0</v>
      </c>
      <c r="AH75" t="s">
        <v>112</v>
      </c>
      <c r="AI75">
        <v>46023</v>
      </c>
      <c r="AJ75">
        <v>1</v>
      </c>
      <c r="AK75" t="s">
        <v>3435</v>
      </c>
      <c r="AL75" t="s">
        <v>3446</v>
      </c>
      <c r="AM75" t="s">
        <v>3437</v>
      </c>
      <c r="AN75" t="s">
        <v>2782</v>
      </c>
      <c r="AO75" t="s">
        <v>3447</v>
      </c>
      <c r="AP75">
        <v>11584</v>
      </c>
      <c r="AQ75" t="s">
        <v>3440</v>
      </c>
      <c r="AR75" t="s">
        <v>3441</v>
      </c>
      <c r="AS75">
        <v>55</v>
      </c>
      <c r="AT75" t="s">
        <v>3448</v>
      </c>
      <c r="AW75" t="str">
        <f>Plan_2026[[#This Row],[Tên brand]]&amp;" "&amp;Plan_2026[[#This Row],[Trục đường chính]]&amp;Plan_2026[[#This Row],[Tên mall
(chuẩn hóa)]]&amp;Plan_2026[[#This Row],[Địa chỉ đầy đủ]]</f>
        <v>Manwah Nguyễn Chí ThanhNguyễn Chí Thanh, Ngọc Khánh, Ba Đình, Hà Nội</v>
      </c>
    </row>
    <row r="76" spans="1:49" hidden="1" x14ac:dyDescent="0.35">
      <c r="A76">
        <v>71</v>
      </c>
      <c r="B76" t="s">
        <v>3449</v>
      </c>
      <c r="C76" t="s">
        <v>3450</v>
      </c>
      <c r="D76" t="s">
        <v>3209</v>
      </c>
      <c r="E76">
        <v>2026</v>
      </c>
      <c r="F76">
        <v>3</v>
      </c>
      <c r="G76">
        <v>7</v>
      </c>
      <c r="H76">
        <v>11</v>
      </c>
      <c r="J76" t="s">
        <v>23</v>
      </c>
      <c r="K76" t="s">
        <v>2774</v>
      </c>
      <c r="L76" t="s">
        <v>3133</v>
      </c>
      <c r="M76" t="s">
        <v>3134</v>
      </c>
      <c r="N76" t="s">
        <v>2299</v>
      </c>
      <c r="O76" t="s">
        <v>3451</v>
      </c>
      <c r="P76" t="s">
        <v>3452</v>
      </c>
      <c r="Q76" t="s">
        <v>2709</v>
      </c>
      <c r="R76" t="s">
        <v>2710</v>
      </c>
      <c r="S76" t="s">
        <v>2710</v>
      </c>
      <c r="T76" t="s">
        <v>3453</v>
      </c>
      <c r="U76" t="s">
        <v>3229</v>
      </c>
      <c r="V76">
        <v>1</v>
      </c>
      <c r="W76" t="s">
        <v>2735</v>
      </c>
      <c r="Z76">
        <v>100</v>
      </c>
      <c r="AA76" t="s">
        <v>3454</v>
      </c>
      <c r="AB76" t="s">
        <v>2716</v>
      </c>
      <c r="AC76" t="s">
        <v>2738</v>
      </c>
      <c r="AE76">
        <v>0</v>
      </c>
      <c r="AH76" t="s">
        <v>1506</v>
      </c>
      <c r="AI76">
        <v>46204</v>
      </c>
      <c r="AJ76">
        <v>7</v>
      </c>
      <c r="AK76" t="s">
        <v>3455</v>
      </c>
      <c r="AL76" t="s">
        <v>3456</v>
      </c>
      <c r="AM76" t="s">
        <v>3457</v>
      </c>
      <c r="AN76" t="s">
        <v>3458</v>
      </c>
      <c r="AO76" t="s">
        <v>3459</v>
      </c>
      <c r="AP76">
        <v>10805</v>
      </c>
      <c r="AQ76" t="s">
        <v>3460</v>
      </c>
      <c r="AR76" t="s">
        <v>3461</v>
      </c>
      <c r="AS76">
        <v>2</v>
      </c>
      <c r="AT76" t="s">
        <v>2866</v>
      </c>
      <c r="AW76" t="str">
        <f>Plan_2026[[#This Row],[Tên brand]]&amp;" "&amp;Plan_2026[[#This Row],[Trục đường chính]]&amp;Plan_2026[[#This Row],[Tên mall
(chuẩn hóa)]]&amp;Plan_2026[[#This Row],[Địa chỉ đầy đủ]]</f>
        <v>Chibo Nguyễn Hữu HuânNguyễn Hữu Huân, Lý Thái Tổ, Hoàn Kiếm, Hà Nội</v>
      </c>
    </row>
    <row r="77" spans="1:49" hidden="1" x14ac:dyDescent="0.35">
      <c r="A77">
        <v>72</v>
      </c>
      <c r="B77" t="s">
        <v>3462</v>
      </c>
      <c r="C77" t="s">
        <v>62</v>
      </c>
      <c r="D77" t="s">
        <v>3463</v>
      </c>
      <c r="E77">
        <v>2026</v>
      </c>
      <c r="F77">
        <v>1</v>
      </c>
      <c r="G77">
        <v>1</v>
      </c>
      <c r="H77">
        <v>5</v>
      </c>
      <c r="J77" t="s">
        <v>23</v>
      </c>
      <c r="K77" t="s">
        <v>2774</v>
      </c>
      <c r="L77" t="s">
        <v>3133</v>
      </c>
      <c r="M77" t="s">
        <v>3134</v>
      </c>
      <c r="N77" t="s">
        <v>3376</v>
      </c>
      <c r="O77" t="s">
        <v>3464</v>
      </c>
      <c r="P77" t="s">
        <v>3465</v>
      </c>
      <c r="Q77" t="s">
        <v>2709</v>
      </c>
      <c r="R77" t="s">
        <v>2751</v>
      </c>
      <c r="S77" t="s">
        <v>2751</v>
      </c>
      <c r="T77" t="s">
        <v>2712</v>
      </c>
      <c r="U77" t="s">
        <v>2712</v>
      </c>
      <c r="V77">
        <v>1</v>
      </c>
      <c r="W77" t="s">
        <v>2735</v>
      </c>
      <c r="X77" t="s">
        <v>3465</v>
      </c>
      <c r="Z77">
        <v>300</v>
      </c>
      <c r="AA77" t="s">
        <v>3466</v>
      </c>
      <c r="AB77" t="s">
        <v>2716</v>
      </c>
      <c r="AC77" t="s">
        <v>2763</v>
      </c>
      <c r="AE77">
        <v>1</v>
      </c>
      <c r="AH77" t="s">
        <v>61</v>
      </c>
      <c r="AI77">
        <v>46023</v>
      </c>
      <c r="AJ77">
        <v>1</v>
      </c>
      <c r="AK77" t="s">
        <v>3467</v>
      </c>
      <c r="AL77" t="s">
        <v>3468</v>
      </c>
      <c r="AM77" t="s">
        <v>3469</v>
      </c>
      <c r="AN77" t="s">
        <v>2944</v>
      </c>
      <c r="AO77" t="s">
        <v>3470</v>
      </c>
      <c r="AP77">
        <v>10745</v>
      </c>
      <c r="AQ77" t="s">
        <v>3471</v>
      </c>
      <c r="AR77" t="s">
        <v>3472</v>
      </c>
      <c r="AS77">
        <v>25</v>
      </c>
      <c r="AT77" t="s">
        <v>3050</v>
      </c>
      <c r="AW77" t="str">
        <f>Plan_2026[[#This Row],[Tên brand]]&amp;" "&amp;Plan_2026[[#This Row],[Trục đường chính]]&amp;Plan_2026[[#This Row],[Tên mall
(chuẩn hóa)]]&amp;Plan_2026[[#This Row],[Địa chỉ đầy đủ]]</f>
        <v>Isushi 90 Trần Thái Tông90 Trần Thái Tông, Dịch Vọng Hậu, Cầu Giấy, Hà Nội</v>
      </c>
    </row>
    <row r="78" spans="1:49" hidden="1" x14ac:dyDescent="0.35">
      <c r="A78">
        <v>73</v>
      </c>
      <c r="B78" t="s">
        <v>3473</v>
      </c>
      <c r="C78" t="s">
        <v>3208</v>
      </c>
      <c r="D78" t="s">
        <v>3209</v>
      </c>
      <c r="E78">
        <v>2026</v>
      </c>
      <c r="F78">
        <v>3</v>
      </c>
      <c r="G78">
        <v>7</v>
      </c>
      <c r="H78">
        <v>11</v>
      </c>
      <c r="J78" t="s">
        <v>23</v>
      </c>
      <c r="K78" t="s">
        <v>2774</v>
      </c>
      <c r="L78" t="s">
        <v>3133</v>
      </c>
      <c r="M78" t="s">
        <v>3134</v>
      </c>
      <c r="N78" t="s">
        <v>3376</v>
      </c>
      <c r="O78" t="s">
        <v>3464</v>
      </c>
      <c r="P78" t="s">
        <v>3474</v>
      </c>
      <c r="Q78" t="s">
        <v>2732</v>
      </c>
      <c r="R78" t="s">
        <v>2710</v>
      </c>
      <c r="S78" t="s">
        <v>2710</v>
      </c>
      <c r="T78" t="s">
        <v>2712</v>
      </c>
      <c r="U78" t="s">
        <v>2712</v>
      </c>
      <c r="V78">
        <v>1</v>
      </c>
      <c r="W78" t="s">
        <v>2735</v>
      </c>
      <c r="X78" t="s">
        <v>3475</v>
      </c>
      <c r="Y78" t="s">
        <v>3476</v>
      </c>
      <c r="Z78" t="s">
        <v>2715</v>
      </c>
      <c r="AB78" t="s">
        <v>2716</v>
      </c>
      <c r="AC78" t="s">
        <v>2778</v>
      </c>
      <c r="AE78">
        <v>0</v>
      </c>
      <c r="AF78" t="s">
        <v>3477</v>
      </c>
      <c r="AH78" t="s">
        <v>51</v>
      </c>
      <c r="AI78">
        <v>46204</v>
      </c>
      <c r="AJ78">
        <v>7</v>
      </c>
      <c r="AK78" t="s">
        <v>3467</v>
      </c>
      <c r="AL78" t="s">
        <v>3478</v>
      </c>
      <c r="AM78" t="s">
        <v>3469</v>
      </c>
      <c r="AN78" t="s">
        <v>3264</v>
      </c>
      <c r="AO78" t="s">
        <v>3479</v>
      </c>
      <c r="AP78">
        <v>10745</v>
      </c>
      <c r="AQ78" t="s">
        <v>3471</v>
      </c>
      <c r="AR78" t="s">
        <v>3472</v>
      </c>
      <c r="AS78">
        <v>11</v>
      </c>
      <c r="AT78" t="s">
        <v>3480</v>
      </c>
      <c r="AW78" t="str">
        <f>Plan_2026[[#This Row],[Tên brand]]&amp;" "&amp;Plan_2026[[#This Row],[Trục đường chính]]&amp;Plan_2026[[#This Row],[Tên mall
(chuẩn hóa)]]&amp;Plan_2026[[#This Row],[Địa chỉ đầy đủ]]</f>
        <v>Sumogoya 241 Đường Xuân ThủyIndochina Plaza Hanoi241 Đường Xuân Thủy, Dịch Vọng Hậu, Cầu Giấy, Hà Nội</v>
      </c>
    </row>
    <row r="79" spans="1:49" hidden="1" x14ac:dyDescent="0.35">
      <c r="A79">
        <v>74</v>
      </c>
      <c r="B79" t="s">
        <v>3481</v>
      </c>
      <c r="C79" t="s">
        <v>2135</v>
      </c>
      <c r="D79" t="s">
        <v>3327</v>
      </c>
      <c r="E79">
        <v>2026</v>
      </c>
      <c r="F79">
        <v>1</v>
      </c>
      <c r="G79">
        <v>1</v>
      </c>
      <c r="H79">
        <v>5</v>
      </c>
      <c r="J79" t="s">
        <v>23</v>
      </c>
      <c r="K79" t="s">
        <v>2774</v>
      </c>
      <c r="L79" t="s">
        <v>3133</v>
      </c>
      <c r="M79" t="s">
        <v>3134</v>
      </c>
      <c r="N79" t="s">
        <v>3376</v>
      </c>
      <c r="O79" t="s">
        <v>3464</v>
      </c>
      <c r="Q79" t="s">
        <v>2709</v>
      </c>
      <c r="R79" t="s">
        <v>2710</v>
      </c>
      <c r="S79" t="s">
        <v>2710</v>
      </c>
      <c r="T79" t="s">
        <v>3229</v>
      </c>
      <c r="U79" t="s">
        <v>3229</v>
      </c>
      <c r="V79">
        <v>1</v>
      </c>
      <c r="W79" t="s">
        <v>2735</v>
      </c>
      <c r="Z79" t="s">
        <v>3331</v>
      </c>
      <c r="AB79" t="s">
        <v>2716</v>
      </c>
      <c r="AC79" t="s">
        <v>2778</v>
      </c>
      <c r="AE79">
        <v>0</v>
      </c>
      <c r="AH79" t="s">
        <v>1446</v>
      </c>
      <c r="AI79">
        <v>46023</v>
      </c>
      <c r="AJ79">
        <v>1</v>
      </c>
      <c r="AK79" t="s">
        <v>3467</v>
      </c>
      <c r="AL79" t="s">
        <v>3467</v>
      </c>
      <c r="AM79" t="s">
        <v>3469</v>
      </c>
      <c r="AN79" t="s">
        <v>3361</v>
      </c>
      <c r="AO79" t="s">
        <v>3482</v>
      </c>
      <c r="AP79">
        <v>10745</v>
      </c>
      <c r="AQ79" t="s">
        <v>3471</v>
      </c>
      <c r="AR79" t="s">
        <v>3472</v>
      </c>
      <c r="AS79">
        <v>16</v>
      </c>
      <c r="AT79" t="s">
        <v>3483</v>
      </c>
      <c r="AW79" t="str">
        <f>Plan_2026[[#This Row],[Tên brand]]&amp;" "&amp;Plan_2026[[#This Row],[Trục đường chính]]&amp;Plan_2026[[#This Row],[Tên mall
(chuẩn hóa)]]&amp;Plan_2026[[#This Row],[Địa chỉ đầy đủ]]</f>
        <v>Universal Tea Dịch Vọng Hậu, Cầu Giấy, Hà Nội</v>
      </c>
    </row>
    <row r="80" spans="1:49" hidden="1" x14ac:dyDescent="0.35">
      <c r="A80">
        <v>75</v>
      </c>
      <c r="B80" t="s">
        <v>2267</v>
      </c>
      <c r="C80" t="s">
        <v>35</v>
      </c>
      <c r="D80" t="s">
        <v>3132</v>
      </c>
      <c r="E80">
        <v>2025</v>
      </c>
      <c r="F80">
        <v>4</v>
      </c>
      <c r="G80">
        <v>12</v>
      </c>
      <c r="H80">
        <v>4</v>
      </c>
      <c r="J80" t="s">
        <v>23</v>
      </c>
      <c r="K80" t="s">
        <v>2774</v>
      </c>
      <c r="L80" t="s">
        <v>3133</v>
      </c>
      <c r="M80" t="s">
        <v>3134</v>
      </c>
      <c r="N80" t="s">
        <v>3376</v>
      </c>
      <c r="O80" t="s">
        <v>3484</v>
      </c>
      <c r="P80" t="s">
        <v>3485</v>
      </c>
      <c r="Q80" t="s">
        <v>2709</v>
      </c>
      <c r="R80" t="s">
        <v>2710</v>
      </c>
      <c r="S80" t="s">
        <v>2710</v>
      </c>
      <c r="T80" t="s">
        <v>2882</v>
      </c>
      <c r="U80" t="s">
        <v>2712</v>
      </c>
      <c r="V80">
        <v>1</v>
      </c>
      <c r="W80" t="s">
        <v>2713</v>
      </c>
      <c r="X80" t="s">
        <v>3486</v>
      </c>
      <c r="Z80" t="s">
        <v>2715</v>
      </c>
      <c r="AA80" t="s">
        <v>3317</v>
      </c>
      <c r="AB80" t="s">
        <v>2716</v>
      </c>
      <c r="AC80" t="s">
        <v>2717</v>
      </c>
      <c r="AE80">
        <v>0</v>
      </c>
      <c r="AF80" t="s">
        <v>3487</v>
      </c>
      <c r="AH80" t="s">
        <v>34</v>
      </c>
      <c r="AI80">
        <v>45992</v>
      </c>
      <c r="AJ80">
        <v>12</v>
      </c>
      <c r="AK80" t="s">
        <v>3488</v>
      </c>
      <c r="AL80" t="s">
        <v>3489</v>
      </c>
      <c r="AM80" t="s">
        <v>3490</v>
      </c>
      <c r="AN80" t="s">
        <v>2911</v>
      </c>
      <c r="AO80" t="s">
        <v>3491</v>
      </c>
      <c r="AP80">
        <v>10351</v>
      </c>
      <c r="AQ80" t="s">
        <v>3492</v>
      </c>
      <c r="AR80" t="s">
        <v>3493</v>
      </c>
      <c r="AS80">
        <v>107</v>
      </c>
      <c r="AT80" t="s">
        <v>3494</v>
      </c>
      <c r="AW80" t="str">
        <f>Plan_2026[[#This Row],[Tên brand]]&amp;" "&amp;Plan_2026[[#This Row],[Trục đường chính]]&amp;Plan_2026[[#This Row],[Tên mall
(chuẩn hóa)]]&amp;Plan_2026[[#This Row],[Địa chỉ đầy đủ]]</f>
        <v>Kichi Kichi 30 Phạm Văn Đồng30 Phạm Văn Đồng, Mai Dịch, Cầu Giấy, Hà Nội</v>
      </c>
    </row>
    <row r="81" spans="1:49" hidden="1" x14ac:dyDescent="0.35">
      <c r="A81">
        <v>76</v>
      </c>
      <c r="B81" t="s">
        <v>3495</v>
      </c>
      <c r="C81" t="s">
        <v>2135</v>
      </c>
      <c r="D81" t="s">
        <v>3327</v>
      </c>
      <c r="E81">
        <v>2026</v>
      </c>
      <c r="F81">
        <v>1</v>
      </c>
      <c r="G81">
        <v>1</v>
      </c>
      <c r="H81">
        <v>5</v>
      </c>
      <c r="J81" t="s">
        <v>23</v>
      </c>
      <c r="K81" t="s">
        <v>2774</v>
      </c>
      <c r="L81" t="s">
        <v>3133</v>
      </c>
      <c r="M81" t="s">
        <v>3134</v>
      </c>
      <c r="N81" t="s">
        <v>3376</v>
      </c>
      <c r="O81" t="s">
        <v>3484</v>
      </c>
      <c r="P81" t="s">
        <v>3496</v>
      </c>
      <c r="Q81" t="s">
        <v>2810</v>
      </c>
      <c r="R81" t="s">
        <v>2710</v>
      </c>
      <c r="S81" t="s">
        <v>2710</v>
      </c>
      <c r="T81" t="s">
        <v>2800</v>
      </c>
      <c r="U81" t="s">
        <v>2800</v>
      </c>
      <c r="V81">
        <v>1</v>
      </c>
      <c r="W81" t="s">
        <v>2735</v>
      </c>
      <c r="X81" t="s">
        <v>3497</v>
      </c>
      <c r="Y81" t="s">
        <v>3498</v>
      </c>
      <c r="Z81" t="s">
        <v>3331</v>
      </c>
      <c r="AB81" t="s">
        <v>2716</v>
      </c>
      <c r="AC81" t="s">
        <v>2778</v>
      </c>
      <c r="AE81">
        <v>0</v>
      </c>
      <c r="AH81" t="s">
        <v>1446</v>
      </c>
      <c r="AI81">
        <v>46023</v>
      </c>
      <c r="AJ81">
        <v>1</v>
      </c>
      <c r="AK81" t="s">
        <v>3488</v>
      </c>
      <c r="AL81" t="s">
        <v>3499</v>
      </c>
      <c r="AM81" t="s">
        <v>3490</v>
      </c>
      <c r="AN81" t="s">
        <v>3500</v>
      </c>
      <c r="AO81" t="s">
        <v>3501</v>
      </c>
      <c r="AP81">
        <v>10351</v>
      </c>
      <c r="AQ81" t="s">
        <v>3492</v>
      </c>
      <c r="AR81" t="s">
        <v>3493</v>
      </c>
      <c r="AS81">
        <v>16</v>
      </c>
      <c r="AT81" t="s">
        <v>3483</v>
      </c>
      <c r="AW81" t="str">
        <f>Plan_2026[[#This Row],[Tên brand]]&amp;" "&amp;Plan_2026[[#This Row],[Trục đường chính]]&amp;Plan_2026[[#This Row],[Tên mall
(chuẩn hóa)]]&amp;Plan_2026[[#This Row],[Địa chỉ đầy đủ]]</f>
        <v>Universal Tea Lê Đức ThọThe Zei Lê Đức ThọLê Đức Thọ, Mai Dịch, Cầu Giấy, Hà Nội</v>
      </c>
    </row>
    <row r="82" spans="1:49" hidden="1" x14ac:dyDescent="0.35">
      <c r="A82">
        <v>77</v>
      </c>
      <c r="B82" t="s">
        <v>3502</v>
      </c>
      <c r="C82" t="s">
        <v>2702</v>
      </c>
      <c r="D82" t="s">
        <v>3164</v>
      </c>
      <c r="E82">
        <v>2026</v>
      </c>
      <c r="F82">
        <v>2</v>
      </c>
      <c r="G82">
        <v>4</v>
      </c>
      <c r="H82">
        <v>8</v>
      </c>
      <c r="J82" t="s">
        <v>23</v>
      </c>
      <c r="K82" t="s">
        <v>2774</v>
      </c>
      <c r="L82" t="s">
        <v>3133</v>
      </c>
      <c r="M82" t="s">
        <v>3134</v>
      </c>
      <c r="N82" t="s">
        <v>3503</v>
      </c>
      <c r="O82" t="s">
        <v>3504</v>
      </c>
      <c r="P82" t="s">
        <v>3505</v>
      </c>
      <c r="Q82" t="s">
        <v>2709</v>
      </c>
      <c r="R82">
        <v>8</v>
      </c>
      <c r="S82" t="s">
        <v>2710</v>
      </c>
      <c r="T82" t="s">
        <v>2711</v>
      </c>
      <c r="U82" t="s">
        <v>2712</v>
      </c>
      <c r="V82">
        <v>1</v>
      </c>
      <c r="W82" t="s">
        <v>2735</v>
      </c>
      <c r="Z82" t="s">
        <v>2715</v>
      </c>
      <c r="AB82" t="s">
        <v>2716</v>
      </c>
      <c r="AC82" t="s">
        <v>3232</v>
      </c>
      <c r="AE82">
        <v>0</v>
      </c>
      <c r="AF82" t="s">
        <v>3506</v>
      </c>
      <c r="AG82" t="s">
        <v>2908</v>
      </c>
      <c r="AH82" t="s">
        <v>76</v>
      </c>
      <c r="AI82">
        <v>46113</v>
      </c>
      <c r="AJ82">
        <v>4</v>
      </c>
      <c r="AK82" t="s">
        <v>3507</v>
      </c>
      <c r="AL82" t="s">
        <v>3508</v>
      </c>
      <c r="AM82" t="s">
        <v>3509</v>
      </c>
      <c r="AN82" t="s">
        <v>2721</v>
      </c>
      <c r="AO82" t="s">
        <v>3510</v>
      </c>
      <c r="AP82">
        <v>7970</v>
      </c>
      <c r="AQ82" t="s">
        <v>3511</v>
      </c>
      <c r="AR82" t="s">
        <v>3512</v>
      </c>
      <c r="AS82">
        <v>144</v>
      </c>
      <c r="AT82" t="s">
        <v>3513</v>
      </c>
      <c r="AW82" t="str">
        <f>Plan_2026[[#This Row],[Tên brand]]&amp;" "&amp;Plan_2026[[#This Row],[Trục đường chính]]&amp;Plan_2026[[#This Row],[Tên mall
(chuẩn hóa)]]&amp;Plan_2026[[#This Row],[Địa chỉ đầy đủ]]</f>
        <v>Gogi House Hồ Tùng MậuHồ Tùng Mậu, Phú Diễn, Bắc Từ Liêm, Hà Nội</v>
      </c>
    </row>
    <row r="83" spans="1:49" hidden="1" x14ac:dyDescent="0.35">
      <c r="A83">
        <v>78</v>
      </c>
      <c r="B83" t="s">
        <v>2593</v>
      </c>
      <c r="C83" t="s">
        <v>2787</v>
      </c>
      <c r="D83" t="s">
        <v>2788</v>
      </c>
      <c r="E83">
        <v>2026</v>
      </c>
      <c r="F83">
        <v>2</v>
      </c>
      <c r="G83">
        <v>6</v>
      </c>
      <c r="H83">
        <v>10</v>
      </c>
      <c r="J83" t="s">
        <v>23</v>
      </c>
      <c r="K83" t="s">
        <v>2774</v>
      </c>
      <c r="L83" t="s">
        <v>3133</v>
      </c>
      <c r="M83" t="s">
        <v>3134</v>
      </c>
      <c r="N83" t="s">
        <v>3514</v>
      </c>
      <c r="O83" t="s">
        <v>3515</v>
      </c>
      <c r="P83" t="s">
        <v>2594</v>
      </c>
      <c r="Q83" t="s">
        <v>2709</v>
      </c>
      <c r="R83" t="s">
        <v>2751</v>
      </c>
      <c r="S83" t="s">
        <v>2751</v>
      </c>
      <c r="T83" t="s">
        <v>2790</v>
      </c>
      <c r="U83" t="s">
        <v>2790</v>
      </c>
      <c r="V83">
        <v>1</v>
      </c>
      <c r="W83" t="s">
        <v>2713</v>
      </c>
      <c r="X83" t="s">
        <v>3516</v>
      </c>
      <c r="Z83">
        <v>132</v>
      </c>
      <c r="AB83" t="s">
        <v>2716</v>
      </c>
      <c r="AC83" t="s">
        <v>2717</v>
      </c>
      <c r="AE83">
        <v>0</v>
      </c>
      <c r="AF83" t="s">
        <v>3517</v>
      </c>
      <c r="AH83" t="s">
        <v>1788</v>
      </c>
      <c r="AI83">
        <v>46174</v>
      </c>
      <c r="AJ83">
        <v>6</v>
      </c>
      <c r="AK83" t="s">
        <v>3518</v>
      </c>
      <c r="AL83" t="s">
        <v>3519</v>
      </c>
      <c r="AM83" t="s">
        <v>3520</v>
      </c>
      <c r="AN83" t="s">
        <v>2793</v>
      </c>
      <c r="AO83" t="s">
        <v>3521</v>
      </c>
      <c r="AP83">
        <v>10285</v>
      </c>
      <c r="AQ83" t="s">
        <v>3522</v>
      </c>
      <c r="AR83" t="s">
        <v>3523</v>
      </c>
      <c r="AS83">
        <v>81</v>
      </c>
      <c r="AT83" t="s">
        <v>3524</v>
      </c>
      <c r="AW83" t="str">
        <f>Plan_2026[[#This Row],[Tên brand]]&amp;" "&amp;Plan_2026[[#This Row],[Trục đường chính]]&amp;Plan_2026[[#This Row],[Tên mall
(chuẩn hóa)]]&amp;Plan_2026[[#This Row],[Địa chỉ đầy đủ]]</f>
        <v>The Coffee House Nguyễn Cơ Thạch, Hàm Nghi, Vincom GardeniaNguyễn Cơ Thạch, Hàm Nghi, Vincom Gardenia, Cầu Diễn, Nam Từ Liêm, Hà Nội</v>
      </c>
    </row>
    <row r="84" spans="1:49" hidden="1" x14ac:dyDescent="0.35">
      <c r="A84">
        <v>79</v>
      </c>
      <c r="B84" t="s">
        <v>2298</v>
      </c>
      <c r="C84" t="s">
        <v>62</v>
      </c>
      <c r="D84" t="s">
        <v>3463</v>
      </c>
      <c r="E84">
        <v>2026</v>
      </c>
      <c r="F84">
        <v>3</v>
      </c>
      <c r="G84">
        <v>7</v>
      </c>
      <c r="H84">
        <v>11</v>
      </c>
      <c r="J84" t="s">
        <v>23</v>
      </c>
      <c r="K84" t="s">
        <v>2774</v>
      </c>
      <c r="L84" t="s">
        <v>3133</v>
      </c>
      <c r="M84" t="s">
        <v>3134</v>
      </c>
      <c r="N84" t="s">
        <v>2299</v>
      </c>
      <c r="O84" t="s">
        <v>3525</v>
      </c>
      <c r="P84" t="s">
        <v>3526</v>
      </c>
      <c r="Q84" t="s">
        <v>2709</v>
      </c>
      <c r="R84" t="s">
        <v>2710</v>
      </c>
      <c r="S84" t="s">
        <v>2710</v>
      </c>
      <c r="T84" t="s">
        <v>2712</v>
      </c>
      <c r="U84" t="s">
        <v>2712</v>
      </c>
      <c r="V84">
        <v>1</v>
      </c>
      <c r="W84" t="s">
        <v>2713</v>
      </c>
      <c r="Z84">
        <v>300</v>
      </c>
      <c r="AA84" t="s">
        <v>3527</v>
      </c>
      <c r="AB84" t="s">
        <v>2716</v>
      </c>
      <c r="AC84" t="s">
        <v>2738</v>
      </c>
      <c r="AE84">
        <v>0</v>
      </c>
      <c r="AH84" t="s">
        <v>61</v>
      </c>
      <c r="AI84">
        <v>46204</v>
      </c>
      <c r="AJ84">
        <v>7</v>
      </c>
      <c r="AK84" t="s">
        <v>3528</v>
      </c>
      <c r="AL84" t="s">
        <v>3529</v>
      </c>
      <c r="AM84" t="s">
        <v>3530</v>
      </c>
      <c r="AN84" t="s">
        <v>2944</v>
      </c>
      <c r="AO84" t="s">
        <v>3531</v>
      </c>
      <c r="AP84">
        <v>9088</v>
      </c>
      <c r="AQ84" t="s">
        <v>3532</v>
      </c>
      <c r="AR84" t="s">
        <v>3533</v>
      </c>
      <c r="AS84">
        <v>25</v>
      </c>
      <c r="AT84" t="s">
        <v>3534</v>
      </c>
      <c r="AW84" t="str">
        <f>Plan_2026[[#This Row],[Tên brand]]&amp;" "&amp;Plan_2026[[#This Row],[Trục đường chính]]&amp;Plan_2026[[#This Row],[Tên mall
(chuẩn hóa)]]&amp;Plan_2026[[#This Row],[Địa chỉ đầy đủ]]</f>
        <v>Isushi Hai Bà Trưng, 
Hàng BàiHai Bà Trưng, 
Hàng Bài, Tràng Tiền, Hoàn Kiếm, Hà Nội</v>
      </c>
    </row>
    <row r="85" spans="1:49" hidden="1" x14ac:dyDescent="0.35">
      <c r="A85">
        <v>80</v>
      </c>
      <c r="B85" t="s">
        <v>3535</v>
      </c>
      <c r="C85" t="s">
        <v>2702</v>
      </c>
      <c r="D85" t="s">
        <v>3164</v>
      </c>
      <c r="E85">
        <v>2026</v>
      </c>
      <c r="F85">
        <v>2</v>
      </c>
      <c r="G85">
        <v>4</v>
      </c>
      <c r="H85">
        <v>8</v>
      </c>
      <c r="J85" t="s">
        <v>23</v>
      </c>
      <c r="K85" t="s">
        <v>2774</v>
      </c>
      <c r="L85" t="s">
        <v>3133</v>
      </c>
      <c r="M85" t="s">
        <v>3134</v>
      </c>
      <c r="N85" t="s">
        <v>3536</v>
      </c>
      <c r="O85" t="s">
        <v>3537</v>
      </c>
      <c r="P85" t="s">
        <v>3538</v>
      </c>
      <c r="Q85" t="s">
        <v>2709</v>
      </c>
      <c r="R85">
        <v>8</v>
      </c>
      <c r="S85" t="s">
        <v>2710</v>
      </c>
      <c r="T85" t="s">
        <v>2711</v>
      </c>
      <c r="U85" t="s">
        <v>2712</v>
      </c>
      <c r="V85">
        <v>1</v>
      </c>
      <c r="W85" t="s">
        <v>2735</v>
      </c>
      <c r="Z85" t="s">
        <v>2715</v>
      </c>
      <c r="AB85" t="s">
        <v>2716</v>
      </c>
      <c r="AC85" t="s">
        <v>2738</v>
      </c>
      <c r="AE85">
        <v>0</v>
      </c>
      <c r="AF85" t="s">
        <v>3539</v>
      </c>
      <c r="AH85" t="s">
        <v>76</v>
      </c>
      <c r="AI85">
        <v>46113</v>
      </c>
      <c r="AJ85">
        <v>4</v>
      </c>
      <c r="AK85" t="s">
        <v>3540</v>
      </c>
      <c r="AL85" t="s">
        <v>3541</v>
      </c>
      <c r="AM85" t="s">
        <v>3542</v>
      </c>
      <c r="AN85" t="s">
        <v>2721</v>
      </c>
      <c r="AO85" t="s">
        <v>3543</v>
      </c>
      <c r="AP85">
        <v>8872</v>
      </c>
      <c r="AQ85" t="s">
        <v>3544</v>
      </c>
      <c r="AR85" t="s">
        <v>3545</v>
      </c>
      <c r="AS85">
        <v>144</v>
      </c>
      <c r="AT85" t="s">
        <v>3546</v>
      </c>
      <c r="AW85" t="str">
        <f>Plan_2026[[#This Row],[Tên brand]]&amp;" "&amp;Plan_2026[[#This Row],[Trục đường chính]]&amp;Plan_2026[[#This Row],[Tên mall
(chuẩn hóa)]]&amp;Plan_2026[[#This Row],[Địa chỉ đầy đủ]]</f>
        <v>Gogi House Hồ Linh Đàm, Nguyễn Cảnh DịHồ Linh Đàm, Nguyễn Cảnh Dị, Hoàng Liệt, Hoàng Mai, Hà Nội</v>
      </c>
    </row>
    <row r="86" spans="1:49" hidden="1" x14ac:dyDescent="0.35">
      <c r="A86">
        <v>81</v>
      </c>
      <c r="B86" t="s">
        <v>3547</v>
      </c>
      <c r="C86" t="s">
        <v>3208</v>
      </c>
      <c r="D86" t="s">
        <v>3209</v>
      </c>
      <c r="E86">
        <v>2026</v>
      </c>
      <c r="F86">
        <v>3</v>
      </c>
      <c r="G86">
        <v>7</v>
      </c>
      <c r="H86">
        <v>11</v>
      </c>
      <c r="J86" t="s">
        <v>23</v>
      </c>
      <c r="K86" t="s">
        <v>2774</v>
      </c>
      <c r="L86" t="s">
        <v>3133</v>
      </c>
      <c r="M86" t="s">
        <v>3134</v>
      </c>
      <c r="N86" t="s">
        <v>3536</v>
      </c>
      <c r="O86" t="s">
        <v>3537</v>
      </c>
      <c r="P86" t="s">
        <v>3548</v>
      </c>
      <c r="Q86" t="s">
        <v>2709</v>
      </c>
      <c r="R86" t="s">
        <v>2710</v>
      </c>
      <c r="S86" t="s">
        <v>2710</v>
      </c>
      <c r="T86" t="s">
        <v>3211</v>
      </c>
      <c r="U86" t="s">
        <v>2712</v>
      </c>
      <c r="V86">
        <v>1</v>
      </c>
      <c r="W86" t="s">
        <v>2735</v>
      </c>
      <c r="Z86" t="s">
        <v>2715</v>
      </c>
      <c r="AB86" t="s">
        <v>2716</v>
      </c>
      <c r="AC86" t="s">
        <v>2738</v>
      </c>
      <c r="AE86">
        <v>0</v>
      </c>
      <c r="AH86" t="s">
        <v>51</v>
      </c>
      <c r="AI86">
        <v>46204</v>
      </c>
      <c r="AJ86">
        <v>7</v>
      </c>
      <c r="AK86" t="s">
        <v>3540</v>
      </c>
      <c r="AL86" t="s">
        <v>3549</v>
      </c>
      <c r="AM86" t="s">
        <v>3542</v>
      </c>
      <c r="AN86" t="s">
        <v>3213</v>
      </c>
      <c r="AO86" t="s">
        <v>3550</v>
      </c>
      <c r="AP86">
        <v>8872</v>
      </c>
      <c r="AQ86" t="s">
        <v>3544</v>
      </c>
      <c r="AR86" t="s">
        <v>3545</v>
      </c>
      <c r="AS86">
        <v>11</v>
      </c>
      <c r="AT86" t="s">
        <v>3551</v>
      </c>
      <c r="AW86" t="str">
        <f>Plan_2026[[#This Row],[Tên brand]]&amp;" "&amp;Plan_2026[[#This Row],[Trục đường chính]]&amp;Plan_2026[[#This Row],[Tên mall
(chuẩn hóa)]]&amp;Plan_2026[[#This Row],[Địa chỉ đầy đủ]]</f>
        <v>Sumogoya Linh Đàm: Văn TânLinh Đàm: Văn Tân, Hoàng Liệt, Hoàng Mai, Hà Nội</v>
      </c>
    </row>
    <row r="87" spans="1:49" hidden="1" x14ac:dyDescent="0.35">
      <c r="A87">
        <v>82</v>
      </c>
      <c r="B87" t="s">
        <v>2457</v>
      </c>
      <c r="C87" t="s">
        <v>2849</v>
      </c>
      <c r="D87" t="s">
        <v>3552</v>
      </c>
      <c r="E87">
        <v>2026</v>
      </c>
      <c r="F87">
        <v>1</v>
      </c>
      <c r="G87">
        <v>3</v>
      </c>
      <c r="H87">
        <v>7</v>
      </c>
      <c r="J87" t="s">
        <v>23</v>
      </c>
      <c r="K87" t="s">
        <v>2774</v>
      </c>
      <c r="L87" t="s">
        <v>3133</v>
      </c>
      <c r="M87" t="s">
        <v>3134</v>
      </c>
      <c r="N87" t="s">
        <v>3536</v>
      </c>
      <c r="O87" t="s">
        <v>3537</v>
      </c>
      <c r="P87" t="s">
        <v>2458</v>
      </c>
      <c r="Q87" t="s">
        <v>2810</v>
      </c>
      <c r="R87" t="s">
        <v>2751</v>
      </c>
      <c r="S87" t="s">
        <v>2751</v>
      </c>
      <c r="T87" t="s">
        <v>2800</v>
      </c>
      <c r="U87" t="s">
        <v>2800</v>
      </c>
      <c r="V87">
        <v>1</v>
      </c>
      <c r="W87" t="s">
        <v>2713</v>
      </c>
      <c r="Z87" t="s">
        <v>2715</v>
      </c>
      <c r="AB87" t="s">
        <v>2716</v>
      </c>
      <c r="AC87" t="s">
        <v>2738</v>
      </c>
      <c r="AE87">
        <v>0</v>
      </c>
      <c r="AF87" t="s">
        <v>3553</v>
      </c>
      <c r="AH87" t="s">
        <v>1771</v>
      </c>
      <c r="AI87">
        <v>46082</v>
      </c>
      <c r="AJ87">
        <v>3</v>
      </c>
      <c r="AK87" t="s">
        <v>3540</v>
      </c>
      <c r="AL87" t="s">
        <v>3554</v>
      </c>
      <c r="AM87" t="s">
        <v>3542</v>
      </c>
      <c r="AN87" t="s">
        <v>3555</v>
      </c>
      <c r="AO87" t="s">
        <v>3556</v>
      </c>
      <c r="AP87">
        <v>8872</v>
      </c>
      <c r="AQ87" t="s">
        <v>3544</v>
      </c>
      <c r="AR87" t="s">
        <v>3545</v>
      </c>
      <c r="AS87">
        <v>2</v>
      </c>
      <c r="AT87" t="s">
        <v>2866</v>
      </c>
      <c r="AW87" t="str">
        <f>Plan_2026[[#This Row],[Tên brand]]&amp;" "&amp;Plan_2026[[#This Row],[Trục đường chính]]&amp;Plan_2026[[#This Row],[Tên mall
(chuẩn hóa)]]&amp;Plan_2026[[#This Row],[Địa chỉ đầy đủ]]</f>
        <v>Wow!Yakiniku Linh Đàm Hoàng Mai HNLinh Đàm Hoàng Mai HN, Hoàng Liệt, Hoàng Mai, Hà Nội</v>
      </c>
    </row>
    <row r="88" spans="1:49" hidden="1" x14ac:dyDescent="0.35">
      <c r="A88">
        <v>83</v>
      </c>
      <c r="B88" t="s">
        <v>3557</v>
      </c>
      <c r="C88" t="s">
        <v>184</v>
      </c>
      <c r="D88" t="s">
        <v>3298</v>
      </c>
      <c r="E88">
        <v>2026</v>
      </c>
      <c r="F88">
        <v>3</v>
      </c>
      <c r="G88">
        <v>7</v>
      </c>
      <c r="H88">
        <v>11</v>
      </c>
      <c r="J88" t="s">
        <v>23</v>
      </c>
      <c r="K88" t="s">
        <v>2774</v>
      </c>
      <c r="L88" t="s">
        <v>3133</v>
      </c>
      <c r="M88" t="s">
        <v>3134</v>
      </c>
      <c r="N88" t="s">
        <v>3558</v>
      </c>
      <c r="O88" t="s">
        <v>3559</v>
      </c>
      <c r="P88" t="s">
        <v>3560</v>
      </c>
      <c r="Q88" t="s">
        <v>2709</v>
      </c>
      <c r="R88" t="s">
        <v>2710</v>
      </c>
      <c r="S88" t="s">
        <v>2710</v>
      </c>
      <c r="T88" t="s">
        <v>2790</v>
      </c>
      <c r="U88" t="s">
        <v>2790</v>
      </c>
      <c r="V88">
        <v>1</v>
      </c>
      <c r="W88" t="s">
        <v>2713</v>
      </c>
      <c r="Z88">
        <v>220</v>
      </c>
      <c r="AB88" t="s">
        <v>2716</v>
      </c>
      <c r="AC88" t="s">
        <v>2738</v>
      </c>
      <c r="AE88">
        <v>0</v>
      </c>
      <c r="AH88" t="s">
        <v>183</v>
      </c>
      <c r="AI88">
        <v>46204</v>
      </c>
      <c r="AJ88">
        <v>7</v>
      </c>
      <c r="AK88" t="s">
        <v>3561</v>
      </c>
      <c r="AL88" t="s">
        <v>3562</v>
      </c>
      <c r="AM88" t="s">
        <v>3563</v>
      </c>
      <c r="AN88" t="s">
        <v>3302</v>
      </c>
      <c r="AO88" t="s">
        <v>3564</v>
      </c>
      <c r="AP88">
        <v>8382</v>
      </c>
      <c r="AQ88" t="s">
        <v>3565</v>
      </c>
      <c r="AR88" t="s">
        <v>3566</v>
      </c>
      <c r="AS88">
        <v>10</v>
      </c>
      <c r="AT88" t="s">
        <v>3567</v>
      </c>
      <c r="AW88" t="str">
        <f>Plan_2026[[#This Row],[Tên brand]]&amp;" "&amp;Plan_2026[[#This Row],[Trục đường chính]]&amp;Plan_2026[[#This Row],[Tên mall
(chuẩn hóa)]]&amp;Plan_2026[[#This Row],[Địa chỉ đầy đủ]]</f>
        <v>Shogun Trích SàiTrích Sài, Bưởi, Tây Hồ, Hà Nội</v>
      </c>
    </row>
    <row r="89" spans="1:49" hidden="1" x14ac:dyDescent="0.35">
      <c r="A89">
        <v>84</v>
      </c>
      <c r="B89" t="s">
        <v>2468</v>
      </c>
      <c r="C89" t="s">
        <v>2787</v>
      </c>
      <c r="D89" t="s">
        <v>2788</v>
      </c>
      <c r="E89">
        <v>2025</v>
      </c>
      <c r="F89">
        <v>3</v>
      </c>
      <c r="G89">
        <v>9</v>
      </c>
      <c r="H89">
        <v>1</v>
      </c>
      <c r="J89" t="s">
        <v>23</v>
      </c>
      <c r="K89" t="s">
        <v>2774</v>
      </c>
      <c r="L89" t="s">
        <v>3133</v>
      </c>
      <c r="M89" t="s">
        <v>3134</v>
      </c>
      <c r="N89" t="s">
        <v>3503</v>
      </c>
      <c r="O89" t="s">
        <v>3504</v>
      </c>
      <c r="P89" t="s">
        <v>2469</v>
      </c>
      <c r="Q89" t="s">
        <v>2810</v>
      </c>
      <c r="R89" t="s">
        <v>2710</v>
      </c>
      <c r="S89" t="s">
        <v>2710</v>
      </c>
      <c r="T89" t="s">
        <v>2800</v>
      </c>
      <c r="U89" t="s">
        <v>2800</v>
      </c>
      <c r="V89">
        <v>1</v>
      </c>
      <c r="W89" t="s">
        <v>2713</v>
      </c>
      <c r="X89" t="s">
        <v>3568</v>
      </c>
      <c r="Z89">
        <v>132</v>
      </c>
      <c r="AB89" t="s">
        <v>2716</v>
      </c>
      <c r="AC89" t="s">
        <v>3115</v>
      </c>
      <c r="AE89">
        <v>1</v>
      </c>
      <c r="AF89" t="s">
        <v>3569</v>
      </c>
      <c r="AH89" t="s">
        <v>1788</v>
      </c>
      <c r="AI89">
        <v>45901</v>
      </c>
      <c r="AJ89">
        <v>9</v>
      </c>
      <c r="AK89" t="s">
        <v>3507</v>
      </c>
      <c r="AL89" t="s">
        <v>3570</v>
      </c>
      <c r="AM89" t="s">
        <v>3509</v>
      </c>
      <c r="AN89" t="s">
        <v>2814</v>
      </c>
      <c r="AO89" t="s">
        <v>3571</v>
      </c>
      <c r="AP89">
        <v>7970</v>
      </c>
      <c r="AQ89" t="s">
        <v>3511</v>
      </c>
      <c r="AR89" t="s">
        <v>3512</v>
      </c>
      <c r="AS89">
        <v>81</v>
      </c>
      <c r="AT89" t="s">
        <v>3572</v>
      </c>
      <c r="AW89" t="str">
        <f>Plan_2026[[#This Row],[Tên brand]]&amp;" "&amp;Plan_2026[[#This Row],[Trục đường chính]]&amp;Plan_2026[[#This Row],[Tên mall
(chuẩn hóa)]]&amp;Plan_2026[[#This Row],[Địa chỉ đầy đủ]]</f>
        <v>The Coffee House 136 Đường Hồ Tùng Mậu136 Đường Hồ Tùng Mậu, Phú Diễn, Bắc Từ Liêm, Hà Nội</v>
      </c>
    </row>
    <row r="90" spans="1:49" hidden="1" x14ac:dyDescent="0.35">
      <c r="A90">
        <v>85</v>
      </c>
      <c r="B90" t="s">
        <v>2360</v>
      </c>
      <c r="C90" t="s">
        <v>2702</v>
      </c>
      <c r="D90" t="s">
        <v>3164</v>
      </c>
      <c r="E90">
        <v>2026</v>
      </c>
      <c r="F90">
        <v>3</v>
      </c>
      <c r="G90">
        <v>8</v>
      </c>
      <c r="H90">
        <v>12</v>
      </c>
      <c r="J90" t="s">
        <v>23</v>
      </c>
      <c r="K90" t="s">
        <v>2774</v>
      </c>
      <c r="L90" t="s">
        <v>3133</v>
      </c>
      <c r="M90" t="s">
        <v>3134</v>
      </c>
      <c r="N90" t="s">
        <v>3353</v>
      </c>
      <c r="O90" t="s">
        <v>3573</v>
      </c>
      <c r="P90" t="s">
        <v>3574</v>
      </c>
      <c r="Q90" t="s">
        <v>2709</v>
      </c>
      <c r="R90">
        <v>8</v>
      </c>
      <c r="S90" t="s">
        <v>2710</v>
      </c>
      <c r="T90" t="s">
        <v>2711</v>
      </c>
      <c r="U90" t="s">
        <v>2712</v>
      </c>
      <c r="V90">
        <v>1</v>
      </c>
      <c r="W90" t="s">
        <v>2713</v>
      </c>
      <c r="X90" t="s">
        <v>3575</v>
      </c>
      <c r="Z90" t="s">
        <v>2715</v>
      </c>
      <c r="AB90" t="s">
        <v>2716</v>
      </c>
      <c r="AC90" t="s">
        <v>3576</v>
      </c>
      <c r="AE90">
        <v>0</v>
      </c>
      <c r="AF90" t="s">
        <v>3577</v>
      </c>
      <c r="AH90" t="s">
        <v>76</v>
      </c>
      <c r="AI90">
        <v>46235</v>
      </c>
      <c r="AJ90">
        <v>8</v>
      </c>
      <c r="AK90" t="s">
        <v>3578</v>
      </c>
      <c r="AL90" t="s">
        <v>3579</v>
      </c>
      <c r="AM90" t="s">
        <v>3580</v>
      </c>
      <c r="AN90" t="s">
        <v>2721</v>
      </c>
      <c r="AO90" t="s">
        <v>3581</v>
      </c>
      <c r="AP90">
        <v>7576</v>
      </c>
      <c r="AQ90" t="s">
        <v>3582</v>
      </c>
      <c r="AR90" t="s">
        <v>3583</v>
      </c>
      <c r="AS90">
        <v>144</v>
      </c>
      <c r="AT90" t="s">
        <v>3584</v>
      </c>
      <c r="AW90" t="str">
        <f>Plan_2026[[#This Row],[Tên brand]]&amp;" "&amp;Plan_2026[[#This Row],[Trục đường chính]]&amp;Plan_2026[[#This Row],[Tên mall
(chuẩn hóa)]]&amp;Plan_2026[[#This Row],[Địa chỉ đầy đủ]]</f>
        <v>Gogi House KĐT Văn PhúKĐT Văn Phú, Phú La, Hà Đông, Hà Nội</v>
      </c>
    </row>
    <row r="91" spans="1:49" hidden="1" x14ac:dyDescent="0.35">
      <c r="A91">
        <v>86</v>
      </c>
      <c r="B91" t="s">
        <v>2265</v>
      </c>
      <c r="C91" t="s">
        <v>35</v>
      </c>
      <c r="D91" t="s">
        <v>3132</v>
      </c>
      <c r="E91">
        <v>2026</v>
      </c>
      <c r="F91">
        <v>3</v>
      </c>
      <c r="G91">
        <v>7</v>
      </c>
      <c r="H91">
        <v>11</v>
      </c>
      <c r="J91" t="s">
        <v>23</v>
      </c>
      <c r="K91" t="s">
        <v>2774</v>
      </c>
      <c r="L91" t="s">
        <v>3133</v>
      </c>
      <c r="M91" t="s">
        <v>3134</v>
      </c>
      <c r="N91" t="s">
        <v>3353</v>
      </c>
      <c r="O91" t="s">
        <v>3573</v>
      </c>
      <c r="P91" t="s">
        <v>3574</v>
      </c>
      <c r="Q91" t="s">
        <v>2709</v>
      </c>
      <c r="R91" t="s">
        <v>2751</v>
      </c>
      <c r="S91" t="s">
        <v>2751</v>
      </c>
      <c r="T91">
        <v>200</v>
      </c>
      <c r="U91" t="s">
        <v>2712</v>
      </c>
      <c r="V91">
        <v>1</v>
      </c>
      <c r="W91" t="s">
        <v>2735</v>
      </c>
      <c r="X91" t="s">
        <v>3575</v>
      </c>
      <c r="Z91" t="s">
        <v>2715</v>
      </c>
      <c r="AA91" t="s">
        <v>3585</v>
      </c>
      <c r="AB91" t="s">
        <v>2716</v>
      </c>
      <c r="AC91" t="s">
        <v>3115</v>
      </c>
      <c r="AE91">
        <v>1</v>
      </c>
      <c r="AF91" t="s">
        <v>3586</v>
      </c>
      <c r="AH91" t="s">
        <v>34</v>
      </c>
      <c r="AI91">
        <v>46204</v>
      </c>
      <c r="AJ91">
        <v>7</v>
      </c>
      <c r="AK91" t="s">
        <v>3578</v>
      </c>
      <c r="AL91" t="s">
        <v>3579</v>
      </c>
      <c r="AM91" t="s">
        <v>3580</v>
      </c>
      <c r="AN91" t="s">
        <v>2911</v>
      </c>
      <c r="AO91" t="s">
        <v>3587</v>
      </c>
      <c r="AP91">
        <v>7576</v>
      </c>
      <c r="AQ91" t="s">
        <v>3582</v>
      </c>
      <c r="AR91" t="s">
        <v>3583</v>
      </c>
      <c r="AS91">
        <v>107</v>
      </c>
      <c r="AT91" t="s">
        <v>3588</v>
      </c>
      <c r="AW91" t="str">
        <f>Plan_2026[[#This Row],[Tên brand]]&amp;" "&amp;Plan_2026[[#This Row],[Trục đường chính]]&amp;Plan_2026[[#This Row],[Tên mall
(chuẩn hóa)]]&amp;Plan_2026[[#This Row],[Địa chỉ đầy đủ]]</f>
        <v>Kichi Kichi KĐT Văn PhúKĐT Văn Phú, Phú La, Hà Đông, Hà Nội</v>
      </c>
    </row>
    <row r="92" spans="1:49" hidden="1" x14ac:dyDescent="0.35">
      <c r="A92">
        <v>87</v>
      </c>
      <c r="B92" t="s">
        <v>3589</v>
      </c>
      <c r="C92" t="s">
        <v>3208</v>
      </c>
      <c r="D92" t="s">
        <v>3209</v>
      </c>
      <c r="E92">
        <v>2026</v>
      </c>
      <c r="F92">
        <v>3</v>
      </c>
      <c r="G92">
        <v>8</v>
      </c>
      <c r="H92">
        <v>12</v>
      </c>
      <c r="J92" t="s">
        <v>23</v>
      </c>
      <c r="K92" t="s">
        <v>2774</v>
      </c>
      <c r="L92" t="s">
        <v>3133</v>
      </c>
      <c r="M92" t="s">
        <v>3134</v>
      </c>
      <c r="N92" t="s">
        <v>3353</v>
      </c>
      <c r="O92" t="s">
        <v>3573</v>
      </c>
      <c r="P92" t="s">
        <v>3574</v>
      </c>
      <c r="Q92" t="s">
        <v>2709</v>
      </c>
      <c r="R92" t="s">
        <v>2710</v>
      </c>
      <c r="S92" t="s">
        <v>2710</v>
      </c>
      <c r="T92" t="s">
        <v>2712</v>
      </c>
      <c r="U92" t="s">
        <v>2712</v>
      </c>
      <c r="V92">
        <v>1</v>
      </c>
      <c r="W92" t="s">
        <v>2735</v>
      </c>
      <c r="X92" t="s">
        <v>3590</v>
      </c>
      <c r="Z92" t="s">
        <v>2715</v>
      </c>
      <c r="AB92" t="s">
        <v>2716</v>
      </c>
      <c r="AC92" t="s">
        <v>2952</v>
      </c>
      <c r="AE92">
        <v>1</v>
      </c>
      <c r="AH92" t="s">
        <v>51</v>
      </c>
      <c r="AI92">
        <v>46235</v>
      </c>
      <c r="AJ92">
        <v>8</v>
      </c>
      <c r="AK92" t="s">
        <v>3578</v>
      </c>
      <c r="AL92" t="s">
        <v>3579</v>
      </c>
      <c r="AM92" t="s">
        <v>3580</v>
      </c>
      <c r="AN92" t="s">
        <v>3213</v>
      </c>
      <c r="AO92" t="s">
        <v>3591</v>
      </c>
      <c r="AP92">
        <v>7576</v>
      </c>
      <c r="AQ92" t="s">
        <v>3582</v>
      </c>
      <c r="AR92" t="s">
        <v>3583</v>
      </c>
      <c r="AS92">
        <v>11</v>
      </c>
      <c r="AT92" t="s">
        <v>3551</v>
      </c>
      <c r="AW92" t="str">
        <f>Plan_2026[[#This Row],[Tên brand]]&amp;" "&amp;Plan_2026[[#This Row],[Trục đường chính]]&amp;Plan_2026[[#This Row],[Tên mall
(chuẩn hóa)]]&amp;Plan_2026[[#This Row],[Địa chỉ đầy đủ]]</f>
        <v>Sumogoya KĐT Văn PhúKĐT Văn Phú, Phú La, Hà Đông, Hà Nội</v>
      </c>
    </row>
    <row r="93" spans="1:49" hidden="1" x14ac:dyDescent="0.35">
      <c r="A93">
        <v>88</v>
      </c>
      <c r="B93" t="s">
        <v>2364</v>
      </c>
      <c r="C93" t="s">
        <v>2702</v>
      </c>
      <c r="D93" t="s">
        <v>3164</v>
      </c>
      <c r="E93">
        <v>2026</v>
      </c>
      <c r="F93">
        <v>3</v>
      </c>
      <c r="G93">
        <v>8</v>
      </c>
      <c r="H93">
        <v>12</v>
      </c>
      <c r="J93" t="s">
        <v>23</v>
      </c>
      <c r="K93" t="s">
        <v>2774</v>
      </c>
      <c r="L93" t="s">
        <v>3133</v>
      </c>
      <c r="M93" t="s">
        <v>3134</v>
      </c>
      <c r="N93" t="s">
        <v>3514</v>
      </c>
      <c r="O93" t="s">
        <v>3592</v>
      </c>
      <c r="P93" t="s">
        <v>3593</v>
      </c>
      <c r="Q93" t="s">
        <v>2709</v>
      </c>
      <c r="R93">
        <v>8</v>
      </c>
      <c r="S93" t="s">
        <v>2710</v>
      </c>
      <c r="T93">
        <v>220</v>
      </c>
      <c r="U93" t="s">
        <v>2712</v>
      </c>
      <c r="V93">
        <v>1</v>
      </c>
      <c r="W93" t="s">
        <v>2713</v>
      </c>
      <c r="X93" t="s">
        <v>3594</v>
      </c>
      <c r="Z93" t="s">
        <v>2715</v>
      </c>
      <c r="AB93" t="s">
        <v>2716</v>
      </c>
      <c r="AC93" t="s">
        <v>2717</v>
      </c>
      <c r="AE93">
        <v>0</v>
      </c>
      <c r="AF93" t="s">
        <v>3595</v>
      </c>
      <c r="AH93" t="s">
        <v>76</v>
      </c>
      <c r="AI93">
        <v>46235</v>
      </c>
      <c r="AJ93">
        <v>8</v>
      </c>
      <c r="AK93" t="s">
        <v>3596</v>
      </c>
      <c r="AL93" t="s">
        <v>3597</v>
      </c>
      <c r="AM93" t="s">
        <v>3598</v>
      </c>
      <c r="AN93" t="s">
        <v>2721</v>
      </c>
      <c r="AO93" t="s">
        <v>3599</v>
      </c>
      <c r="AP93">
        <v>7556</v>
      </c>
      <c r="AQ93" t="s">
        <v>3600</v>
      </c>
      <c r="AR93" t="s">
        <v>3601</v>
      </c>
      <c r="AS93">
        <v>144</v>
      </c>
      <c r="AT93" t="s">
        <v>3584</v>
      </c>
      <c r="AW93" t="str">
        <f>Plan_2026[[#This Row],[Tên brand]]&amp;" "&amp;Plan_2026[[#This Row],[Trục đường chính]]&amp;Plan_2026[[#This Row],[Tên mall
(chuẩn hóa)]]&amp;Plan_2026[[#This Row],[Địa chỉ đầy đủ]]</f>
        <v>Gogi House Nguyễn Cơ Thạch phía sau
mạn Nollowa
cuối Hàm NghiNguyễn Cơ Thạch phía sau
mạn Nollowa
cuối Hàm Nghi, Mỹ Đình 1, Nam Từ Liêm, Hà Nội</v>
      </c>
    </row>
    <row r="94" spans="1:49" hidden="1" x14ac:dyDescent="0.35">
      <c r="A94">
        <v>89</v>
      </c>
      <c r="B94" t="s">
        <v>2396</v>
      </c>
      <c r="C94" t="s">
        <v>2772</v>
      </c>
      <c r="D94" t="s">
        <v>2773</v>
      </c>
      <c r="E94">
        <v>2026</v>
      </c>
      <c r="F94">
        <v>1</v>
      </c>
      <c r="G94">
        <v>1</v>
      </c>
      <c r="H94">
        <v>5</v>
      </c>
      <c r="J94" t="s">
        <v>23</v>
      </c>
      <c r="K94" t="s">
        <v>2774</v>
      </c>
      <c r="L94" t="s">
        <v>3133</v>
      </c>
      <c r="M94" t="s">
        <v>3134</v>
      </c>
      <c r="N94" t="s">
        <v>3514</v>
      </c>
      <c r="O94" t="s">
        <v>3592</v>
      </c>
      <c r="P94" t="s">
        <v>3602</v>
      </c>
      <c r="Q94" t="s">
        <v>2709</v>
      </c>
      <c r="R94" t="s">
        <v>2751</v>
      </c>
      <c r="S94" t="s">
        <v>2751</v>
      </c>
      <c r="T94" t="s">
        <v>2712</v>
      </c>
      <c r="U94" t="s">
        <v>2712</v>
      </c>
      <c r="V94">
        <v>1</v>
      </c>
      <c r="W94" t="s">
        <v>2713</v>
      </c>
      <c r="Z94">
        <v>200</v>
      </c>
      <c r="AB94" t="s">
        <v>2716</v>
      </c>
      <c r="AC94" t="s">
        <v>2738</v>
      </c>
      <c r="AE94">
        <v>0</v>
      </c>
      <c r="AF94" t="s">
        <v>3603</v>
      </c>
      <c r="AH94" t="s">
        <v>112</v>
      </c>
      <c r="AI94">
        <v>46023</v>
      </c>
      <c r="AJ94">
        <v>1</v>
      </c>
      <c r="AK94" t="s">
        <v>3596</v>
      </c>
      <c r="AL94" t="s">
        <v>3604</v>
      </c>
      <c r="AM94" t="s">
        <v>3598</v>
      </c>
      <c r="AN94" t="s">
        <v>2782</v>
      </c>
      <c r="AO94" t="s">
        <v>3605</v>
      </c>
      <c r="AP94">
        <v>7556</v>
      </c>
      <c r="AQ94" t="s">
        <v>3600</v>
      </c>
      <c r="AR94" t="s">
        <v>3601</v>
      </c>
      <c r="AS94">
        <v>55</v>
      </c>
      <c r="AT94" t="s">
        <v>3606</v>
      </c>
      <c r="AW94" t="str">
        <f>Plan_2026[[#This Row],[Tên brand]]&amp;" "&amp;Plan_2026[[#This Row],[Trục đường chính]]&amp;Plan_2026[[#This Row],[Tên mall
(chuẩn hóa)]]&amp;Plan_2026[[#This Row],[Địa chỉ đầy đủ]]</f>
        <v>Manwah Lê Đức Thọ/Hàm nghiLê Đức Thọ/Hàm nghi, Mỹ Đình 1, Nam Từ Liêm, Hà Nội</v>
      </c>
    </row>
    <row r="95" spans="1:49" hidden="1" x14ac:dyDescent="0.35">
      <c r="A95">
        <v>90</v>
      </c>
      <c r="B95" t="s">
        <v>3607</v>
      </c>
      <c r="C95" t="s">
        <v>2135</v>
      </c>
      <c r="D95" t="s">
        <v>3327</v>
      </c>
      <c r="E95">
        <v>2026</v>
      </c>
      <c r="F95">
        <v>1</v>
      </c>
      <c r="G95">
        <v>3</v>
      </c>
      <c r="H95">
        <v>7</v>
      </c>
      <c r="J95" t="s">
        <v>23</v>
      </c>
      <c r="K95" t="s">
        <v>2774</v>
      </c>
      <c r="L95" t="s">
        <v>3133</v>
      </c>
      <c r="M95" t="s">
        <v>3134</v>
      </c>
      <c r="N95" t="s">
        <v>3514</v>
      </c>
      <c r="O95" t="s">
        <v>3592</v>
      </c>
      <c r="P95" t="s">
        <v>2564</v>
      </c>
      <c r="Q95" t="s">
        <v>2810</v>
      </c>
      <c r="R95" t="s">
        <v>2751</v>
      </c>
      <c r="S95" t="s">
        <v>2751</v>
      </c>
      <c r="T95" t="s">
        <v>2800</v>
      </c>
      <c r="U95" t="s">
        <v>2800</v>
      </c>
      <c r="V95">
        <v>1</v>
      </c>
      <c r="W95" t="s">
        <v>2735</v>
      </c>
      <c r="X95" t="s">
        <v>3608</v>
      </c>
      <c r="Z95" t="s">
        <v>3331</v>
      </c>
      <c r="AB95" t="s">
        <v>2716</v>
      </c>
      <c r="AC95" t="s">
        <v>2778</v>
      </c>
      <c r="AE95">
        <v>0</v>
      </c>
      <c r="AH95" t="s">
        <v>1446</v>
      </c>
      <c r="AI95">
        <v>46082</v>
      </c>
      <c r="AJ95">
        <v>3</v>
      </c>
      <c r="AK95" t="s">
        <v>3596</v>
      </c>
      <c r="AL95" t="s">
        <v>3609</v>
      </c>
      <c r="AM95" t="s">
        <v>3598</v>
      </c>
      <c r="AN95" t="s">
        <v>3500</v>
      </c>
      <c r="AO95" t="s">
        <v>3610</v>
      </c>
      <c r="AP95">
        <v>7556</v>
      </c>
      <c r="AQ95" t="s">
        <v>3600</v>
      </c>
      <c r="AR95" t="s">
        <v>3601</v>
      </c>
      <c r="AS95">
        <v>16</v>
      </c>
      <c r="AT95" t="s">
        <v>3483</v>
      </c>
      <c r="AW95" t="str">
        <f>Plan_2026[[#This Row],[Tên brand]]&amp;" "&amp;Plan_2026[[#This Row],[Trục đường chính]]&amp;Plan_2026[[#This Row],[Tên mall
(chuẩn hóa)]]&amp;Plan_2026[[#This Row],[Địa chỉ đầy đủ]]</f>
        <v>Universal Tea Mễ TrìMễ Trì, Mỹ Đình 1, Nam Từ Liêm, Hà Nội</v>
      </c>
    </row>
    <row r="96" spans="1:49" hidden="1" x14ac:dyDescent="0.35">
      <c r="A96">
        <v>91</v>
      </c>
      <c r="B96" t="s">
        <v>2595</v>
      </c>
      <c r="C96" t="s">
        <v>2787</v>
      </c>
      <c r="D96" t="s">
        <v>2788</v>
      </c>
      <c r="E96">
        <v>2026</v>
      </c>
      <c r="F96">
        <v>2</v>
      </c>
      <c r="G96">
        <v>6</v>
      </c>
      <c r="H96">
        <v>10</v>
      </c>
      <c r="J96" t="s">
        <v>23</v>
      </c>
      <c r="K96" t="s">
        <v>2774</v>
      </c>
      <c r="L96" t="s">
        <v>3133</v>
      </c>
      <c r="M96" t="s">
        <v>3134</v>
      </c>
      <c r="N96" t="s">
        <v>3514</v>
      </c>
      <c r="O96" t="s">
        <v>3592</v>
      </c>
      <c r="P96" t="s">
        <v>3611</v>
      </c>
      <c r="Q96" t="s">
        <v>2732</v>
      </c>
      <c r="R96" t="s">
        <v>2710</v>
      </c>
      <c r="S96" t="s">
        <v>2710</v>
      </c>
      <c r="T96" t="s">
        <v>2800</v>
      </c>
      <c r="U96" t="s">
        <v>2800</v>
      </c>
      <c r="V96">
        <v>1</v>
      </c>
      <c r="W96" t="s">
        <v>2713</v>
      </c>
      <c r="X96" t="s">
        <v>3612</v>
      </c>
      <c r="Y96" t="s">
        <v>3613</v>
      </c>
      <c r="Z96">
        <v>132</v>
      </c>
      <c r="AB96" t="s">
        <v>2716</v>
      </c>
      <c r="AC96" t="s">
        <v>2738</v>
      </c>
      <c r="AE96">
        <v>0</v>
      </c>
      <c r="AH96" t="s">
        <v>1788</v>
      </c>
      <c r="AI96">
        <v>46174</v>
      </c>
      <c r="AJ96">
        <v>6</v>
      </c>
      <c r="AK96" t="s">
        <v>3596</v>
      </c>
      <c r="AL96" t="s">
        <v>3614</v>
      </c>
      <c r="AM96" t="s">
        <v>3598</v>
      </c>
      <c r="AN96" t="s">
        <v>2804</v>
      </c>
      <c r="AO96" t="s">
        <v>3615</v>
      </c>
      <c r="AP96">
        <v>7556</v>
      </c>
      <c r="AQ96" t="s">
        <v>3600</v>
      </c>
      <c r="AR96" t="s">
        <v>3601</v>
      </c>
      <c r="AS96">
        <v>81</v>
      </c>
      <c r="AT96" t="s">
        <v>3616</v>
      </c>
      <c r="AW96" t="str">
        <f>Plan_2026[[#This Row],[Tên brand]]&amp;" "&amp;Plan_2026[[#This Row],[Trục đường chính]]&amp;Plan_2026[[#This Row],[Tên mall
(chuẩn hóa)]]&amp;Plan_2026[[#This Row],[Địa chỉ đầy đủ]]</f>
        <v>The Coffee House Khu đô thị The Manor, Đường Mễ TrìThe Garden Shopping CenterKhu đô thị The Manor, Đường Mễ Trì, Mỹ Đình 1, Nam Từ Liêm, Hà Nội</v>
      </c>
    </row>
    <row r="97" spans="1:49" hidden="1" x14ac:dyDescent="0.35">
      <c r="A97">
        <v>92</v>
      </c>
      <c r="B97" t="s">
        <v>2609</v>
      </c>
      <c r="C97" t="s">
        <v>2787</v>
      </c>
      <c r="D97" t="s">
        <v>2788</v>
      </c>
      <c r="E97">
        <v>2026</v>
      </c>
      <c r="F97">
        <v>3</v>
      </c>
      <c r="G97">
        <v>7</v>
      </c>
      <c r="H97">
        <v>11</v>
      </c>
      <c r="J97" t="s">
        <v>23</v>
      </c>
      <c r="K97" t="s">
        <v>2774</v>
      </c>
      <c r="L97" t="s">
        <v>3133</v>
      </c>
      <c r="M97" t="s">
        <v>3134</v>
      </c>
      <c r="N97" t="s">
        <v>3514</v>
      </c>
      <c r="O97" t="s">
        <v>3592</v>
      </c>
      <c r="P97" t="s">
        <v>2610</v>
      </c>
      <c r="Q97" t="s">
        <v>2810</v>
      </c>
      <c r="R97" t="s">
        <v>2710</v>
      </c>
      <c r="S97" t="s">
        <v>2710</v>
      </c>
      <c r="T97" t="s">
        <v>2800</v>
      </c>
      <c r="U97" t="s">
        <v>2800</v>
      </c>
      <c r="V97">
        <v>1</v>
      </c>
      <c r="W97" t="s">
        <v>2713</v>
      </c>
      <c r="X97" t="s">
        <v>3617</v>
      </c>
      <c r="Z97">
        <v>132</v>
      </c>
      <c r="AB97" t="s">
        <v>2716</v>
      </c>
      <c r="AC97" t="s">
        <v>2738</v>
      </c>
      <c r="AE97">
        <v>0</v>
      </c>
      <c r="AH97" t="s">
        <v>1788</v>
      </c>
      <c r="AI97">
        <v>46204</v>
      </c>
      <c r="AJ97">
        <v>7</v>
      </c>
      <c r="AK97" t="s">
        <v>3596</v>
      </c>
      <c r="AL97" t="s">
        <v>3618</v>
      </c>
      <c r="AM97" t="s">
        <v>3598</v>
      </c>
      <c r="AN97" t="s">
        <v>2814</v>
      </c>
      <c r="AO97" t="s">
        <v>3619</v>
      </c>
      <c r="AP97">
        <v>7556</v>
      </c>
      <c r="AQ97" t="s">
        <v>3600</v>
      </c>
      <c r="AR97" t="s">
        <v>3601</v>
      </c>
      <c r="AS97">
        <v>81</v>
      </c>
      <c r="AT97" t="s">
        <v>3616</v>
      </c>
      <c r="AW97" t="str">
        <f>Plan_2026[[#This Row],[Tên brand]]&amp;" "&amp;Plan_2026[[#This Row],[Trục đường chính]]&amp;Plan_2026[[#This Row],[Tên mall
(chuẩn hóa)]]&amp;Plan_2026[[#This Row],[Địa chỉ đầy đủ]]</f>
        <v>The Coffee House 16 Phạm Hùng16 Phạm Hùng, Mỹ Đình 1, Nam Từ Liêm, Hà Nội</v>
      </c>
    </row>
    <row r="98" spans="1:49" hidden="1" x14ac:dyDescent="0.35">
      <c r="A98">
        <v>93</v>
      </c>
      <c r="B98" t="s">
        <v>3620</v>
      </c>
      <c r="C98" t="s">
        <v>2008</v>
      </c>
      <c r="D98" t="s">
        <v>2832</v>
      </c>
      <c r="E98">
        <v>2026</v>
      </c>
      <c r="F98">
        <v>3</v>
      </c>
      <c r="G98">
        <v>7</v>
      </c>
      <c r="H98">
        <v>11</v>
      </c>
      <c r="J98" t="s">
        <v>23</v>
      </c>
      <c r="K98" t="s">
        <v>2774</v>
      </c>
      <c r="L98" t="s">
        <v>3133</v>
      </c>
      <c r="M98" t="s">
        <v>3134</v>
      </c>
      <c r="N98" t="s">
        <v>2299</v>
      </c>
      <c r="O98" t="s">
        <v>3621</v>
      </c>
      <c r="P98" t="s">
        <v>3622</v>
      </c>
      <c r="Q98" t="s">
        <v>2709</v>
      </c>
      <c r="R98" t="s">
        <v>2751</v>
      </c>
      <c r="S98" t="s">
        <v>2751</v>
      </c>
      <c r="T98" t="s">
        <v>2712</v>
      </c>
      <c r="U98" t="s">
        <v>2712</v>
      </c>
      <c r="V98">
        <v>1</v>
      </c>
      <c r="W98" t="s">
        <v>2713</v>
      </c>
      <c r="Z98">
        <v>160</v>
      </c>
      <c r="AB98" t="s">
        <v>1794</v>
      </c>
      <c r="AC98" t="s">
        <v>2763</v>
      </c>
      <c r="AE98">
        <v>1</v>
      </c>
      <c r="AF98" t="s">
        <v>3623</v>
      </c>
      <c r="AH98" t="s">
        <v>2044</v>
      </c>
      <c r="AI98">
        <v>46204</v>
      </c>
      <c r="AJ98">
        <v>7</v>
      </c>
      <c r="AK98" t="s">
        <v>3624</v>
      </c>
      <c r="AL98" t="s">
        <v>3625</v>
      </c>
      <c r="AM98" t="s">
        <v>3626</v>
      </c>
      <c r="AN98" t="s">
        <v>2767</v>
      </c>
      <c r="AO98" t="s">
        <v>3627</v>
      </c>
      <c r="AP98">
        <v>7551</v>
      </c>
      <c r="AQ98" t="s">
        <v>3628</v>
      </c>
      <c r="AR98" t="s">
        <v>3629</v>
      </c>
      <c r="AS98">
        <v>6</v>
      </c>
      <c r="AT98" t="s">
        <v>2771</v>
      </c>
      <c r="AW98" t="str">
        <f>Plan_2026[[#This Row],[Tên brand]]&amp;" "&amp;Plan_2026[[#This Row],[Trục đường chính]]&amp;Plan_2026[[#This Row],[Tên mall
(chuẩn hóa)]]&amp;Plan_2026[[#This Row],[Địa chỉ đầy đủ]]</f>
        <v>Dao Niu Guo Lê Thái TổLê Thái Tổ, Hàng Trống, Hoàn Kiếm, Hà Nội</v>
      </c>
    </row>
    <row r="99" spans="1:49" hidden="1" x14ac:dyDescent="0.35">
      <c r="A99">
        <v>94</v>
      </c>
      <c r="B99" t="s">
        <v>3630</v>
      </c>
      <c r="C99" t="s">
        <v>3282</v>
      </c>
      <c r="D99" t="s">
        <v>3209</v>
      </c>
      <c r="E99">
        <v>2026</v>
      </c>
      <c r="F99">
        <v>3</v>
      </c>
      <c r="G99">
        <v>7</v>
      </c>
      <c r="H99">
        <v>11</v>
      </c>
      <c r="J99" t="s">
        <v>23</v>
      </c>
      <c r="K99" t="s">
        <v>2774</v>
      </c>
      <c r="L99" t="s">
        <v>3133</v>
      </c>
      <c r="M99" t="s">
        <v>3134</v>
      </c>
      <c r="N99" t="s">
        <v>3367</v>
      </c>
      <c r="O99" t="s">
        <v>3368</v>
      </c>
      <c r="P99" t="s">
        <v>3631</v>
      </c>
      <c r="Q99" t="s">
        <v>2709</v>
      </c>
      <c r="R99" t="s">
        <v>3285</v>
      </c>
      <c r="S99" t="s">
        <v>2733</v>
      </c>
      <c r="T99">
        <v>50</v>
      </c>
      <c r="U99" t="s">
        <v>3286</v>
      </c>
      <c r="V99">
        <v>1</v>
      </c>
      <c r="W99" t="s">
        <v>2735</v>
      </c>
      <c r="Z99" t="s">
        <v>2715</v>
      </c>
      <c r="AA99" t="s">
        <v>3288</v>
      </c>
      <c r="AB99" t="s">
        <v>2716</v>
      </c>
      <c r="AC99" t="s">
        <v>2738</v>
      </c>
      <c r="AE99">
        <v>0</v>
      </c>
      <c r="AH99" t="s">
        <v>3289</v>
      </c>
      <c r="AI99">
        <v>46204</v>
      </c>
      <c r="AJ99">
        <v>7</v>
      </c>
      <c r="AK99" t="s">
        <v>3370</v>
      </c>
      <c r="AL99" t="s">
        <v>3632</v>
      </c>
      <c r="AM99" t="s">
        <v>3372</v>
      </c>
      <c r="AN99" t="s">
        <v>3293</v>
      </c>
      <c r="AO99" t="s">
        <v>3633</v>
      </c>
      <c r="AP99">
        <v>15551</v>
      </c>
      <c r="AQ99" t="s">
        <v>3374</v>
      </c>
      <c r="AR99" t="s">
        <v>3375</v>
      </c>
      <c r="AS99">
        <v>0</v>
      </c>
      <c r="AT99" t="s">
        <v>3297</v>
      </c>
      <c r="AW99" t="str">
        <f>Plan_2026[[#This Row],[Tên brand]]&amp;" "&amp;Plan_2026[[#This Row],[Trục đường chính]]&amp;Plan_2026[[#This Row],[Tên mall
(chuẩn hóa)]]&amp;Plan_2026[[#This Row],[Địa chỉ đầy đủ]]</f>
        <v>Ngonya Thi SáchThi Sách, Phạm Đình Hổ, Hai Bà Trưng, Hà Nội</v>
      </c>
    </row>
    <row r="100" spans="1:49" hidden="1" x14ac:dyDescent="0.35">
      <c r="A100">
        <v>95</v>
      </c>
      <c r="B100" t="s">
        <v>3634</v>
      </c>
      <c r="C100" t="s">
        <v>3208</v>
      </c>
      <c r="D100" t="s">
        <v>3209</v>
      </c>
      <c r="E100">
        <v>2026</v>
      </c>
      <c r="F100">
        <v>3</v>
      </c>
      <c r="G100">
        <v>7</v>
      </c>
      <c r="H100">
        <v>11</v>
      </c>
      <c r="J100" t="s">
        <v>23</v>
      </c>
      <c r="K100" t="s">
        <v>2774</v>
      </c>
      <c r="L100" t="s">
        <v>3133</v>
      </c>
      <c r="M100" t="s">
        <v>3134</v>
      </c>
      <c r="N100" t="s">
        <v>2299</v>
      </c>
      <c r="O100" t="s">
        <v>3525</v>
      </c>
      <c r="P100" t="s">
        <v>3367</v>
      </c>
      <c r="Q100" t="s">
        <v>2709</v>
      </c>
      <c r="R100" t="s">
        <v>2710</v>
      </c>
      <c r="S100" t="s">
        <v>2710</v>
      </c>
      <c r="T100" t="s">
        <v>3211</v>
      </c>
      <c r="U100" t="s">
        <v>2712</v>
      </c>
      <c r="V100">
        <v>1</v>
      </c>
      <c r="W100" t="s">
        <v>2735</v>
      </c>
      <c r="Z100" t="s">
        <v>2715</v>
      </c>
      <c r="AB100" t="s">
        <v>2716</v>
      </c>
      <c r="AC100" t="s">
        <v>2738</v>
      </c>
      <c r="AE100">
        <v>0</v>
      </c>
      <c r="AG100" t="s">
        <v>3635</v>
      </c>
      <c r="AH100" t="s">
        <v>51</v>
      </c>
      <c r="AI100">
        <v>46204</v>
      </c>
      <c r="AJ100">
        <v>7</v>
      </c>
      <c r="AK100" t="s">
        <v>3528</v>
      </c>
      <c r="AL100" t="s">
        <v>3636</v>
      </c>
      <c r="AM100" t="s">
        <v>3530</v>
      </c>
      <c r="AN100" t="s">
        <v>3213</v>
      </c>
      <c r="AO100" t="s">
        <v>3637</v>
      </c>
      <c r="AP100">
        <v>9088</v>
      </c>
      <c r="AQ100" t="s">
        <v>3532</v>
      </c>
      <c r="AR100" t="s">
        <v>3533</v>
      </c>
      <c r="AS100">
        <v>11</v>
      </c>
      <c r="AT100" t="s">
        <v>3480</v>
      </c>
      <c r="AW100" t="str">
        <f>Plan_2026[[#This Row],[Tên brand]]&amp;" "&amp;Plan_2026[[#This Row],[Trục đường chính]]&amp;Plan_2026[[#This Row],[Tên mall
(chuẩn hóa)]]&amp;Plan_2026[[#This Row],[Địa chỉ đầy đủ]]</f>
        <v>Sumogoya Hai Bà TrưngHai Bà Trưng, Tràng Tiền, Hoàn Kiếm, Hà Nội</v>
      </c>
    </row>
    <row r="101" spans="1:49" hidden="1" x14ac:dyDescent="0.35">
      <c r="A101">
        <v>96</v>
      </c>
      <c r="B101" t="s">
        <v>2561</v>
      </c>
      <c r="C101" t="s">
        <v>2787</v>
      </c>
      <c r="D101" t="s">
        <v>2788</v>
      </c>
      <c r="E101">
        <v>2026</v>
      </c>
      <c r="F101">
        <v>2</v>
      </c>
      <c r="G101">
        <v>4</v>
      </c>
      <c r="H101">
        <v>8</v>
      </c>
      <c r="J101" t="s">
        <v>23</v>
      </c>
      <c r="K101" t="s">
        <v>2774</v>
      </c>
      <c r="L101" t="s">
        <v>3133</v>
      </c>
      <c r="M101" t="s">
        <v>3134</v>
      </c>
      <c r="N101" t="s">
        <v>3165</v>
      </c>
      <c r="O101" t="s">
        <v>3638</v>
      </c>
      <c r="P101" t="s">
        <v>3639</v>
      </c>
      <c r="Q101" t="s">
        <v>2709</v>
      </c>
      <c r="R101" t="s">
        <v>2710</v>
      </c>
      <c r="S101" t="s">
        <v>2710</v>
      </c>
      <c r="T101" t="s">
        <v>2800</v>
      </c>
      <c r="U101" t="s">
        <v>2800</v>
      </c>
      <c r="V101">
        <v>1</v>
      </c>
      <c r="W101" t="s">
        <v>2713</v>
      </c>
      <c r="Z101">
        <v>132</v>
      </c>
      <c r="AB101" t="s">
        <v>2716</v>
      </c>
      <c r="AC101" t="s">
        <v>2738</v>
      </c>
      <c r="AE101">
        <v>0</v>
      </c>
      <c r="AH101" t="s">
        <v>1788</v>
      </c>
      <c r="AI101">
        <v>46113</v>
      </c>
      <c r="AJ101">
        <v>4</v>
      </c>
      <c r="AK101" t="s">
        <v>3640</v>
      </c>
      <c r="AL101" t="s">
        <v>3641</v>
      </c>
      <c r="AM101" t="s">
        <v>3642</v>
      </c>
      <c r="AN101" t="s">
        <v>2793</v>
      </c>
      <c r="AO101" t="s">
        <v>3643</v>
      </c>
      <c r="AP101">
        <v>6540</v>
      </c>
      <c r="AQ101" t="s">
        <v>3644</v>
      </c>
      <c r="AR101" t="s">
        <v>3645</v>
      </c>
      <c r="AS101">
        <v>81</v>
      </c>
      <c r="AT101" t="s">
        <v>3646</v>
      </c>
      <c r="AW101" t="str">
        <f>Plan_2026[[#This Row],[Tên brand]]&amp;" "&amp;Plan_2026[[#This Row],[Trục đường chính]]&amp;Plan_2026[[#This Row],[Tên mall
(chuẩn hóa)]]&amp;Plan_2026[[#This Row],[Địa chỉ đầy đủ]]</f>
        <v>The Coffee House Nguyễn Trường Tộ, Cửa Bắc, Quán ThánhNguyễn Trường Tộ, Cửa Bắc, Quán Thánh, Trúc Bạch, Ba Đình, Hà Nội</v>
      </c>
    </row>
    <row r="102" spans="1:49" hidden="1" x14ac:dyDescent="0.35">
      <c r="A102">
        <v>97</v>
      </c>
      <c r="B102" t="s">
        <v>3647</v>
      </c>
      <c r="C102" t="s">
        <v>2702</v>
      </c>
      <c r="D102" t="s">
        <v>3164</v>
      </c>
      <c r="E102">
        <v>2026</v>
      </c>
      <c r="F102">
        <v>2</v>
      </c>
      <c r="G102">
        <v>4</v>
      </c>
      <c r="H102">
        <v>8</v>
      </c>
      <c r="J102" t="s">
        <v>23</v>
      </c>
      <c r="K102" t="s">
        <v>2774</v>
      </c>
      <c r="L102" t="s">
        <v>3133</v>
      </c>
      <c r="M102" t="s">
        <v>3134</v>
      </c>
      <c r="N102" t="s">
        <v>3503</v>
      </c>
      <c r="O102" t="s">
        <v>3648</v>
      </c>
      <c r="P102" t="s">
        <v>3649</v>
      </c>
      <c r="Q102" t="s">
        <v>2709</v>
      </c>
      <c r="R102">
        <v>8</v>
      </c>
      <c r="S102" t="s">
        <v>2710</v>
      </c>
      <c r="T102" t="s">
        <v>2711</v>
      </c>
      <c r="U102" t="s">
        <v>2712</v>
      </c>
      <c r="V102">
        <v>1</v>
      </c>
      <c r="W102" t="s">
        <v>2735</v>
      </c>
      <c r="X102" t="s">
        <v>3650</v>
      </c>
      <c r="Z102" t="s">
        <v>2715</v>
      </c>
      <c r="AB102" t="s">
        <v>2716</v>
      </c>
      <c r="AC102" t="s">
        <v>2717</v>
      </c>
      <c r="AE102">
        <v>0</v>
      </c>
      <c r="AF102" t="s">
        <v>3651</v>
      </c>
      <c r="AH102" t="s">
        <v>76</v>
      </c>
      <c r="AI102">
        <v>46113</v>
      </c>
      <c r="AJ102">
        <v>4</v>
      </c>
      <c r="AK102" t="s">
        <v>3652</v>
      </c>
      <c r="AL102" t="s">
        <v>3653</v>
      </c>
      <c r="AM102" t="s">
        <v>3654</v>
      </c>
      <c r="AN102" t="s">
        <v>2721</v>
      </c>
      <c r="AO102" t="s">
        <v>3655</v>
      </c>
      <c r="AP102">
        <v>5828</v>
      </c>
      <c r="AQ102" t="s">
        <v>3656</v>
      </c>
      <c r="AR102" t="s">
        <v>3657</v>
      </c>
      <c r="AS102">
        <v>144</v>
      </c>
      <c r="AT102" t="s">
        <v>3658</v>
      </c>
      <c r="AW102" t="str">
        <f>Plan_2026[[#This Row],[Tên brand]]&amp;" "&amp;Plan_2026[[#This Row],[Trục đường chính]]&amp;Plan_2026[[#This Row],[Tên mall
(chuẩn hóa)]]&amp;Plan_2026[[#This Row],[Địa chỉ đầy đủ]]</f>
        <v>Gogi House Ngoại Giao Đoàn, gần Võ Chí CôngNgoại Giao Đoàn, gần Võ Chí Công, Xuân Đỉnh, Bắc Từ Liêm, Hà Nội</v>
      </c>
    </row>
    <row r="103" spans="1:49" hidden="1" x14ac:dyDescent="0.35">
      <c r="A103">
        <v>98</v>
      </c>
      <c r="B103" t="s">
        <v>2496</v>
      </c>
      <c r="C103" t="s">
        <v>2787</v>
      </c>
      <c r="D103" t="s">
        <v>2788</v>
      </c>
      <c r="E103">
        <v>2026</v>
      </c>
      <c r="F103">
        <v>1</v>
      </c>
      <c r="G103">
        <v>1</v>
      </c>
      <c r="H103">
        <v>5</v>
      </c>
      <c r="J103" t="s">
        <v>23</v>
      </c>
      <c r="K103" t="s">
        <v>2774</v>
      </c>
      <c r="L103" t="s">
        <v>3133</v>
      </c>
      <c r="M103" t="s">
        <v>3134</v>
      </c>
      <c r="N103" t="s">
        <v>3503</v>
      </c>
      <c r="O103" t="s">
        <v>3659</v>
      </c>
      <c r="P103" t="s">
        <v>2497</v>
      </c>
      <c r="Q103" t="s">
        <v>2810</v>
      </c>
      <c r="R103" t="s">
        <v>2710</v>
      </c>
      <c r="S103" t="s">
        <v>2710</v>
      </c>
      <c r="T103" t="s">
        <v>2800</v>
      </c>
      <c r="U103" t="s">
        <v>2800</v>
      </c>
      <c r="V103">
        <v>1</v>
      </c>
      <c r="W103" t="s">
        <v>2713</v>
      </c>
      <c r="X103" t="s">
        <v>3660</v>
      </c>
      <c r="Z103">
        <v>132</v>
      </c>
      <c r="AB103" t="s">
        <v>2716</v>
      </c>
      <c r="AC103" t="s">
        <v>2778</v>
      </c>
      <c r="AE103">
        <v>0</v>
      </c>
      <c r="AF103" t="s">
        <v>3661</v>
      </c>
      <c r="AH103" t="s">
        <v>1788</v>
      </c>
      <c r="AI103">
        <v>46023</v>
      </c>
      <c r="AJ103">
        <v>1</v>
      </c>
      <c r="AK103" t="s">
        <v>3662</v>
      </c>
      <c r="AL103" t="s">
        <v>3663</v>
      </c>
      <c r="AM103" t="s">
        <v>3664</v>
      </c>
      <c r="AN103" t="s">
        <v>2814</v>
      </c>
      <c r="AO103" t="s">
        <v>3665</v>
      </c>
      <c r="AP103">
        <v>5292</v>
      </c>
      <c r="AQ103" t="s">
        <v>3666</v>
      </c>
      <c r="AR103" t="s">
        <v>3667</v>
      </c>
      <c r="AS103">
        <v>81</v>
      </c>
      <c r="AT103" t="s">
        <v>3668</v>
      </c>
      <c r="AW103" t="str">
        <f>Plan_2026[[#This Row],[Tên brand]]&amp;" "&amp;Plan_2026[[#This Row],[Trục đường chính]]&amp;Plan_2026[[#This Row],[Tên mall
(chuẩn hóa)]]&amp;Plan_2026[[#This Row],[Địa chỉ đầy đủ]]</f>
        <v>The Coffee House Khu ngoại giao đoàn (chân đế tòa nhà kv ngã tư Hoàng Minh Thảo - Xuân Tảo)Khu ngoại giao đoàn (chân đế tòa nhà kv ngã tư Hoàng Minh Thảo - Xuân Tảo), Xuân Tảo, Bắc Từ Liêm, Hà Nội</v>
      </c>
    </row>
    <row r="104" spans="1:49" hidden="1" x14ac:dyDescent="0.35">
      <c r="A104">
        <v>99</v>
      </c>
      <c r="B104" t="s">
        <v>2366</v>
      </c>
      <c r="C104" t="s">
        <v>2702</v>
      </c>
      <c r="D104" t="s">
        <v>3164</v>
      </c>
      <c r="E104">
        <v>2026</v>
      </c>
      <c r="F104">
        <v>3</v>
      </c>
      <c r="G104">
        <v>8</v>
      </c>
      <c r="H104">
        <v>12</v>
      </c>
      <c r="J104" t="s">
        <v>23</v>
      </c>
      <c r="K104" t="s">
        <v>2774</v>
      </c>
      <c r="L104" t="s">
        <v>3133</v>
      </c>
      <c r="M104" t="s">
        <v>3134</v>
      </c>
      <c r="N104" t="s">
        <v>3514</v>
      </c>
      <c r="O104" t="s">
        <v>2564</v>
      </c>
      <c r="P104" t="s">
        <v>3669</v>
      </c>
      <c r="Q104" t="s">
        <v>2709</v>
      </c>
      <c r="R104">
        <v>8</v>
      </c>
      <c r="S104" t="s">
        <v>2710</v>
      </c>
      <c r="T104">
        <v>220</v>
      </c>
      <c r="U104" t="s">
        <v>2712</v>
      </c>
      <c r="V104">
        <v>1</v>
      </c>
      <c r="W104" t="s">
        <v>2713</v>
      </c>
      <c r="X104" t="s">
        <v>3670</v>
      </c>
      <c r="Z104" t="s">
        <v>2715</v>
      </c>
      <c r="AB104" t="s">
        <v>2716</v>
      </c>
      <c r="AC104" t="s">
        <v>2717</v>
      </c>
      <c r="AE104">
        <v>0</v>
      </c>
      <c r="AF104" t="s">
        <v>3671</v>
      </c>
      <c r="AH104" t="s">
        <v>76</v>
      </c>
      <c r="AI104">
        <v>46235</v>
      </c>
      <c r="AJ104">
        <v>8</v>
      </c>
      <c r="AK104" t="s">
        <v>3672</v>
      </c>
      <c r="AL104" t="s">
        <v>3673</v>
      </c>
      <c r="AM104" t="s">
        <v>3674</v>
      </c>
      <c r="AN104" t="s">
        <v>2721</v>
      </c>
      <c r="AO104" t="s">
        <v>3675</v>
      </c>
      <c r="AP104">
        <v>3915</v>
      </c>
      <c r="AQ104" t="s">
        <v>3676</v>
      </c>
      <c r="AR104" t="s">
        <v>3677</v>
      </c>
      <c r="AS104">
        <v>144</v>
      </c>
      <c r="AT104" t="s">
        <v>3678</v>
      </c>
      <c r="AW104" t="str">
        <f>Plan_2026[[#This Row],[Tên brand]]&amp;" "&amp;Plan_2026[[#This Row],[Trục đường chính]]&amp;Plan_2026[[#This Row],[Tên mall
(chuẩn hóa)]]&amp;Plan_2026[[#This Row],[Địa chỉ đầy đủ]]</f>
        <v>Gogi House cuối đường Mễ Trì, chỗ bên TT hội nghị quốc gia, Đỗ Đức Dụccuối đường Mễ Trì, chỗ bên TT hội nghị quốc gia, Đỗ Đức Dục, Mễ Trì, Nam Từ Liêm, Hà Nội</v>
      </c>
    </row>
    <row r="105" spans="1:49" hidden="1" x14ac:dyDescent="0.35">
      <c r="A105">
        <v>100</v>
      </c>
      <c r="B105" t="s">
        <v>2563</v>
      </c>
      <c r="C105" t="s">
        <v>2787</v>
      </c>
      <c r="D105" t="s">
        <v>2788</v>
      </c>
      <c r="E105">
        <v>2026</v>
      </c>
      <c r="F105">
        <v>2</v>
      </c>
      <c r="G105">
        <v>4</v>
      </c>
      <c r="H105">
        <v>8</v>
      </c>
      <c r="J105" t="s">
        <v>23</v>
      </c>
      <c r="K105" t="s">
        <v>2774</v>
      </c>
      <c r="L105" t="s">
        <v>3133</v>
      </c>
      <c r="M105" t="s">
        <v>3134</v>
      </c>
      <c r="N105" t="s">
        <v>3514</v>
      </c>
      <c r="O105" t="s">
        <v>2564</v>
      </c>
      <c r="P105" t="s">
        <v>2564</v>
      </c>
      <c r="Q105" t="s">
        <v>2810</v>
      </c>
      <c r="R105" t="s">
        <v>2710</v>
      </c>
      <c r="S105" t="s">
        <v>2710</v>
      </c>
      <c r="T105" t="s">
        <v>2800</v>
      </c>
      <c r="U105" t="s">
        <v>2800</v>
      </c>
      <c r="V105">
        <v>1</v>
      </c>
      <c r="W105" t="s">
        <v>2713</v>
      </c>
      <c r="X105" t="s">
        <v>3679</v>
      </c>
      <c r="Z105">
        <v>132</v>
      </c>
      <c r="AB105" t="s">
        <v>2716</v>
      </c>
      <c r="AC105" t="s">
        <v>2717</v>
      </c>
      <c r="AE105">
        <v>0</v>
      </c>
      <c r="AF105" t="s">
        <v>3680</v>
      </c>
      <c r="AH105" t="s">
        <v>1788</v>
      </c>
      <c r="AI105">
        <v>46113</v>
      </c>
      <c r="AJ105">
        <v>4</v>
      </c>
      <c r="AK105" t="s">
        <v>3672</v>
      </c>
      <c r="AL105" t="s">
        <v>3681</v>
      </c>
      <c r="AM105" t="s">
        <v>3674</v>
      </c>
      <c r="AN105" t="s">
        <v>2814</v>
      </c>
      <c r="AO105" t="s">
        <v>3682</v>
      </c>
      <c r="AP105">
        <v>3915</v>
      </c>
      <c r="AQ105" t="s">
        <v>3676</v>
      </c>
      <c r="AR105" t="s">
        <v>3677</v>
      </c>
      <c r="AS105">
        <v>81</v>
      </c>
      <c r="AT105" t="s">
        <v>2808</v>
      </c>
      <c r="AW105" t="str">
        <f>Plan_2026[[#This Row],[Tên brand]]&amp;" "&amp;Plan_2026[[#This Row],[Trục đường chính]]&amp;Plan_2026[[#This Row],[Tên mall
(chuẩn hóa)]]&amp;Plan_2026[[#This Row],[Địa chỉ đầy đủ]]</f>
        <v>The Coffee House Mễ TrìMễ Trì, Mễ Trì, Nam Từ Liêm, Hà Nội</v>
      </c>
    </row>
    <row r="106" spans="1:49" hidden="1" x14ac:dyDescent="0.35">
      <c r="A106">
        <v>101</v>
      </c>
      <c r="B106" t="s">
        <v>2565</v>
      </c>
      <c r="C106" t="s">
        <v>2787</v>
      </c>
      <c r="D106" t="s">
        <v>2788</v>
      </c>
      <c r="E106">
        <v>2026</v>
      </c>
      <c r="F106">
        <v>2</v>
      </c>
      <c r="G106">
        <v>4</v>
      </c>
      <c r="H106">
        <v>8</v>
      </c>
      <c r="J106" t="s">
        <v>23</v>
      </c>
      <c r="K106" t="s">
        <v>2774</v>
      </c>
      <c r="L106" t="s">
        <v>3133</v>
      </c>
      <c r="M106" t="s">
        <v>3134</v>
      </c>
      <c r="N106" t="s">
        <v>3514</v>
      </c>
      <c r="O106" t="s">
        <v>2564</v>
      </c>
      <c r="P106" t="s">
        <v>2566</v>
      </c>
      <c r="Q106" t="s">
        <v>2810</v>
      </c>
      <c r="R106" t="s">
        <v>2710</v>
      </c>
      <c r="S106" t="s">
        <v>2710</v>
      </c>
      <c r="T106" t="s">
        <v>2800</v>
      </c>
      <c r="U106" t="s">
        <v>2800</v>
      </c>
      <c r="V106">
        <v>1</v>
      </c>
      <c r="W106" t="s">
        <v>2713</v>
      </c>
      <c r="X106" t="s">
        <v>3683</v>
      </c>
      <c r="Z106">
        <v>132</v>
      </c>
      <c r="AB106" t="s">
        <v>2716</v>
      </c>
      <c r="AC106" t="s">
        <v>2738</v>
      </c>
      <c r="AE106">
        <v>0</v>
      </c>
      <c r="AH106" t="s">
        <v>1788</v>
      </c>
      <c r="AI106">
        <v>46113</v>
      </c>
      <c r="AJ106">
        <v>4</v>
      </c>
      <c r="AK106" t="s">
        <v>3672</v>
      </c>
      <c r="AL106" t="s">
        <v>3684</v>
      </c>
      <c r="AM106" t="s">
        <v>3674</v>
      </c>
      <c r="AN106" t="s">
        <v>2814</v>
      </c>
      <c r="AO106" t="s">
        <v>3682</v>
      </c>
      <c r="AP106">
        <v>3915</v>
      </c>
      <c r="AQ106" t="s">
        <v>3676</v>
      </c>
      <c r="AR106" t="s">
        <v>3677</v>
      </c>
      <c r="AS106">
        <v>81</v>
      </c>
      <c r="AT106" t="s">
        <v>2808</v>
      </c>
      <c r="AW106" t="str">
        <f>Plan_2026[[#This Row],[Tên brand]]&amp;" "&amp;Plan_2026[[#This Row],[Trục đường chính]]&amp;Plan_2026[[#This Row],[Tên mall
(chuẩn hóa)]]&amp;Plan_2026[[#This Row],[Địa chỉ đầy đủ]]</f>
        <v>The Coffee House Phạm HùngPhạm Hùng, Mễ Trì, Nam Từ Liêm, Hà Nội</v>
      </c>
    </row>
    <row r="107" spans="1:49" hidden="1" x14ac:dyDescent="0.35">
      <c r="A107">
        <v>366</v>
      </c>
      <c r="B107" t="s">
        <v>2356</v>
      </c>
      <c r="C107" t="s">
        <v>2702</v>
      </c>
      <c r="D107" t="s">
        <v>2703</v>
      </c>
      <c r="E107">
        <v>2026</v>
      </c>
      <c r="F107">
        <v>3</v>
      </c>
      <c r="G107">
        <v>8</v>
      </c>
      <c r="H107">
        <v>12</v>
      </c>
      <c r="J107" t="s">
        <v>2244</v>
      </c>
      <c r="K107" t="s">
        <v>2704</v>
      </c>
      <c r="L107" t="s">
        <v>3685</v>
      </c>
      <c r="M107" t="s">
        <v>3686</v>
      </c>
      <c r="N107" t="s">
        <v>3687</v>
      </c>
      <c r="O107" t="s">
        <v>3688</v>
      </c>
      <c r="P107" t="s">
        <v>3689</v>
      </c>
      <c r="Q107" t="s">
        <v>2732</v>
      </c>
      <c r="R107">
        <v>6</v>
      </c>
      <c r="S107" t="s">
        <v>2733</v>
      </c>
      <c r="T107" t="s">
        <v>2973</v>
      </c>
      <c r="U107" t="s">
        <v>2712</v>
      </c>
      <c r="V107">
        <v>1</v>
      </c>
      <c r="W107" t="s">
        <v>2735</v>
      </c>
      <c r="X107" t="s">
        <v>3690</v>
      </c>
      <c r="Y107" t="s">
        <v>3690</v>
      </c>
      <c r="Z107" t="s">
        <v>2715</v>
      </c>
      <c r="AB107" t="s">
        <v>2716</v>
      </c>
      <c r="AC107" t="s">
        <v>2738</v>
      </c>
      <c r="AE107">
        <v>0</v>
      </c>
      <c r="AF107" t="s">
        <v>3691</v>
      </c>
      <c r="AH107" t="s">
        <v>76</v>
      </c>
      <c r="AI107">
        <v>46235</v>
      </c>
      <c r="AJ107">
        <v>8</v>
      </c>
      <c r="AK107" t="s">
        <v>3692</v>
      </c>
      <c r="AM107" t="s">
        <v>3693</v>
      </c>
      <c r="AN107" t="s">
        <v>2979</v>
      </c>
      <c r="AO107" t="s">
        <v>3694</v>
      </c>
      <c r="AP107">
        <v>637</v>
      </c>
      <c r="AQ107" t="s">
        <v>3695</v>
      </c>
      <c r="AR107" t="s">
        <v>3696</v>
      </c>
      <c r="AS107">
        <v>144</v>
      </c>
      <c r="AT107" t="s">
        <v>2969</v>
      </c>
      <c r="AW107" t="str">
        <f>Plan_2026[[#This Row],[Tên brand]]&amp;" "&amp;Plan_2026[[#This Row],[Trục đường chính]]&amp;Plan_2026[[#This Row],[Tên mall
(chuẩn hóa)]]&amp;Plan_2026[[#This Row],[Địa chỉ đầy đủ]]</f>
        <v>Gogi House Quảng trường Hùng VươngAeon Mall Mỹ Tho</v>
      </c>
    </row>
    <row r="108" spans="1:49" hidden="1" x14ac:dyDescent="0.35">
      <c r="A108">
        <v>103</v>
      </c>
      <c r="B108" t="s">
        <v>3697</v>
      </c>
      <c r="C108" t="s">
        <v>35</v>
      </c>
      <c r="D108" t="s">
        <v>3132</v>
      </c>
      <c r="E108">
        <v>2026</v>
      </c>
      <c r="F108">
        <v>3</v>
      </c>
      <c r="G108">
        <v>7</v>
      </c>
      <c r="H108">
        <v>11</v>
      </c>
      <c r="J108" t="s">
        <v>23</v>
      </c>
      <c r="K108" t="s">
        <v>2774</v>
      </c>
      <c r="L108" t="s">
        <v>3133</v>
      </c>
      <c r="M108" t="s">
        <v>3134</v>
      </c>
      <c r="N108" t="s">
        <v>3514</v>
      </c>
      <c r="O108" t="s">
        <v>3698</v>
      </c>
      <c r="P108" t="s">
        <v>3699</v>
      </c>
      <c r="Q108" t="s">
        <v>2810</v>
      </c>
      <c r="R108" t="s">
        <v>2751</v>
      </c>
      <c r="S108" t="s">
        <v>2751</v>
      </c>
      <c r="T108">
        <v>200</v>
      </c>
      <c r="U108" t="s">
        <v>2712</v>
      </c>
      <c r="V108">
        <v>1</v>
      </c>
      <c r="W108" t="s">
        <v>2735</v>
      </c>
      <c r="Z108" t="s">
        <v>2715</v>
      </c>
      <c r="AB108" t="s">
        <v>2716</v>
      </c>
      <c r="AC108" t="s">
        <v>2717</v>
      </c>
      <c r="AE108">
        <v>0</v>
      </c>
      <c r="AF108" t="s">
        <v>3700</v>
      </c>
      <c r="AH108" t="s">
        <v>34</v>
      </c>
      <c r="AI108">
        <v>46204</v>
      </c>
      <c r="AJ108">
        <v>7</v>
      </c>
      <c r="AK108" t="s">
        <v>3701</v>
      </c>
      <c r="AL108" t="s">
        <v>3702</v>
      </c>
      <c r="AM108" t="s">
        <v>3703</v>
      </c>
      <c r="AN108" t="s">
        <v>2826</v>
      </c>
      <c r="AO108" t="s">
        <v>3704</v>
      </c>
      <c r="AP108">
        <v>2450</v>
      </c>
      <c r="AQ108" t="s">
        <v>3705</v>
      </c>
      <c r="AR108" t="s">
        <v>3706</v>
      </c>
      <c r="AS108">
        <v>107</v>
      </c>
      <c r="AT108" t="s">
        <v>3707</v>
      </c>
      <c r="AW108" t="str">
        <f>Plan_2026[[#This Row],[Tên brand]]&amp;" "&amp;Plan_2026[[#This Row],[Trục đường chính]]&amp;Plan_2026[[#This Row],[Tên mall
(chuẩn hóa)]]&amp;Plan_2026[[#This Row],[Địa chỉ đầy đủ]]</f>
        <v>Kichi Kichi Tòa Roma Plaza Tố HữuTòa Roma Plaza Tố Hữu, Đại Mỗ, Nam Từ Liêm, Hà Nội</v>
      </c>
    </row>
    <row r="109" spans="1:49" hidden="1" x14ac:dyDescent="0.35">
      <c r="A109">
        <v>104</v>
      </c>
      <c r="B109" t="s">
        <v>3708</v>
      </c>
      <c r="C109" t="s">
        <v>2772</v>
      </c>
      <c r="D109" t="s">
        <v>2773</v>
      </c>
      <c r="E109">
        <v>2026</v>
      </c>
      <c r="F109">
        <v>2</v>
      </c>
      <c r="G109">
        <v>6</v>
      </c>
      <c r="H109">
        <v>10</v>
      </c>
      <c r="J109" t="s">
        <v>23</v>
      </c>
      <c r="K109" t="s">
        <v>2774</v>
      </c>
      <c r="L109" t="s">
        <v>3133</v>
      </c>
      <c r="M109" t="s">
        <v>3134</v>
      </c>
      <c r="N109" t="s">
        <v>3709</v>
      </c>
      <c r="O109" t="s">
        <v>3710</v>
      </c>
      <c r="P109" t="s">
        <v>3711</v>
      </c>
      <c r="Q109" t="s">
        <v>2709</v>
      </c>
      <c r="R109" t="s">
        <v>2751</v>
      </c>
      <c r="S109" t="s">
        <v>2751</v>
      </c>
      <c r="T109" t="s">
        <v>2712</v>
      </c>
      <c r="U109" t="s">
        <v>2712</v>
      </c>
      <c r="V109">
        <v>1</v>
      </c>
      <c r="W109" t="s">
        <v>2713</v>
      </c>
      <c r="Z109">
        <v>200</v>
      </c>
      <c r="AA109" t="s">
        <v>3712</v>
      </c>
      <c r="AB109" t="s">
        <v>2716</v>
      </c>
      <c r="AC109" t="s">
        <v>2738</v>
      </c>
      <c r="AE109">
        <v>0</v>
      </c>
      <c r="AF109" t="s">
        <v>3713</v>
      </c>
      <c r="AH109" t="s">
        <v>112</v>
      </c>
      <c r="AI109">
        <v>46174</v>
      </c>
      <c r="AJ109">
        <v>6</v>
      </c>
      <c r="AK109" t="s">
        <v>3714</v>
      </c>
      <c r="AL109" t="s">
        <v>3715</v>
      </c>
      <c r="AM109" t="s">
        <v>3716</v>
      </c>
      <c r="AN109" t="s">
        <v>2782</v>
      </c>
      <c r="AO109" t="s">
        <v>3717</v>
      </c>
      <c r="AP109">
        <v>2300</v>
      </c>
      <c r="AQ109" t="s">
        <v>3718</v>
      </c>
      <c r="AR109" t="s">
        <v>3719</v>
      </c>
      <c r="AS109">
        <v>55</v>
      </c>
      <c r="AT109" t="s">
        <v>3720</v>
      </c>
      <c r="AW109" t="str">
        <f>Plan_2026[[#This Row],[Tên brand]]&amp;" "&amp;Plan_2026[[#This Row],[Trục đường chính]]&amp;Plan_2026[[#This Row],[Tên mall
(chuẩn hóa)]]&amp;Plan_2026[[#This Row],[Địa chỉ đầy đủ]]</f>
        <v>Manwah Lê Trọng TấnLê Trọng Tấn, An Khánh, Hoài Đức, Hà Nội</v>
      </c>
    </row>
    <row r="110" spans="1:49" hidden="1" x14ac:dyDescent="0.35">
      <c r="A110">
        <v>105</v>
      </c>
      <c r="B110" t="s">
        <v>2202</v>
      </c>
      <c r="C110" t="s">
        <v>3450</v>
      </c>
      <c r="D110" t="s">
        <v>3209</v>
      </c>
      <c r="E110">
        <v>2026</v>
      </c>
      <c r="F110">
        <v>1</v>
      </c>
      <c r="G110">
        <v>2</v>
      </c>
      <c r="H110">
        <v>6</v>
      </c>
      <c r="J110" t="s">
        <v>23</v>
      </c>
      <c r="K110" t="s">
        <v>2774</v>
      </c>
      <c r="L110" t="s">
        <v>3133</v>
      </c>
      <c r="M110" t="s">
        <v>3134</v>
      </c>
      <c r="N110" t="s">
        <v>3353</v>
      </c>
      <c r="O110" t="s">
        <v>3721</v>
      </c>
      <c r="P110" t="s">
        <v>3722</v>
      </c>
      <c r="Q110" t="s">
        <v>2732</v>
      </c>
      <c r="R110" t="s">
        <v>2710</v>
      </c>
      <c r="S110" t="s">
        <v>2710</v>
      </c>
      <c r="T110" t="s">
        <v>2712</v>
      </c>
      <c r="U110" t="s">
        <v>2712</v>
      </c>
      <c r="V110">
        <v>1</v>
      </c>
      <c r="W110" t="s">
        <v>2713</v>
      </c>
      <c r="X110" t="s">
        <v>2294</v>
      </c>
      <c r="Y110" t="s">
        <v>2294</v>
      </c>
      <c r="Z110">
        <v>100</v>
      </c>
      <c r="AB110" t="s">
        <v>2716</v>
      </c>
      <c r="AC110" t="s">
        <v>2763</v>
      </c>
      <c r="AE110">
        <v>1</v>
      </c>
      <c r="AH110" t="s">
        <v>1506</v>
      </c>
      <c r="AI110">
        <v>46054</v>
      </c>
      <c r="AJ110">
        <v>2</v>
      </c>
      <c r="AK110" t="s">
        <v>3723</v>
      </c>
      <c r="AL110" t="s">
        <v>3724</v>
      </c>
      <c r="AM110" t="s">
        <v>3725</v>
      </c>
      <c r="AN110" t="s">
        <v>3726</v>
      </c>
      <c r="AO110" t="s">
        <v>3727</v>
      </c>
      <c r="AP110">
        <v>1901</v>
      </c>
      <c r="AQ110" t="s">
        <v>3728</v>
      </c>
      <c r="AR110" t="s">
        <v>3729</v>
      </c>
      <c r="AS110">
        <v>2</v>
      </c>
      <c r="AT110" t="s">
        <v>2866</v>
      </c>
      <c r="AW110" t="str">
        <f>Plan_2026[[#This Row],[Tên brand]]&amp;" "&amp;Plan_2026[[#This Row],[Trục đường chính]]&amp;Plan_2026[[#This Row],[Tên mall
(chuẩn hóa)]]&amp;Plan_2026[[#This Row],[Địa chỉ đầy đủ]]</f>
        <v>Chibo Khu dân cư Hoàng Văn ThụAeon Mall Hà ĐôngKhu dân cư Hoàng Văn Thụ, Dương Nội, Hà Đông, Hà Nội</v>
      </c>
    </row>
    <row r="111" spans="1:49" hidden="1" x14ac:dyDescent="0.35">
      <c r="A111">
        <v>106</v>
      </c>
      <c r="B111" t="s">
        <v>2425</v>
      </c>
      <c r="C111" t="s">
        <v>3225</v>
      </c>
      <c r="D111" t="s">
        <v>3226</v>
      </c>
      <c r="E111">
        <v>2026</v>
      </c>
      <c r="F111">
        <v>1</v>
      </c>
      <c r="G111">
        <v>3</v>
      </c>
      <c r="H111">
        <v>7</v>
      </c>
      <c r="J111" t="s">
        <v>23</v>
      </c>
      <c r="K111" t="s">
        <v>2774</v>
      </c>
      <c r="L111" t="s">
        <v>3133</v>
      </c>
      <c r="M111" t="s">
        <v>3134</v>
      </c>
      <c r="N111" t="s">
        <v>3353</v>
      </c>
      <c r="O111" t="s">
        <v>3721</v>
      </c>
      <c r="P111" t="s">
        <v>3722</v>
      </c>
      <c r="Q111" t="s">
        <v>2732</v>
      </c>
      <c r="R111" t="s">
        <v>3730</v>
      </c>
      <c r="S111" t="s">
        <v>2733</v>
      </c>
      <c r="T111" t="s">
        <v>3286</v>
      </c>
      <c r="U111" t="s">
        <v>3286</v>
      </c>
      <c r="V111">
        <v>1</v>
      </c>
      <c r="W111" t="s">
        <v>2713</v>
      </c>
      <c r="X111" t="s">
        <v>2294</v>
      </c>
      <c r="Y111" t="s">
        <v>2294</v>
      </c>
      <c r="Z111" t="s">
        <v>2715</v>
      </c>
      <c r="AB111" t="s">
        <v>2716</v>
      </c>
      <c r="AC111" t="s">
        <v>2763</v>
      </c>
      <c r="AE111">
        <v>1</v>
      </c>
      <c r="AH111" t="s">
        <v>1319</v>
      </c>
      <c r="AI111">
        <v>46082</v>
      </c>
      <c r="AJ111">
        <v>3</v>
      </c>
      <c r="AK111" t="s">
        <v>3723</v>
      </c>
      <c r="AL111" t="s">
        <v>3724</v>
      </c>
      <c r="AM111" t="s">
        <v>3725</v>
      </c>
      <c r="AN111" t="s">
        <v>3237</v>
      </c>
      <c r="AO111" t="s">
        <v>3731</v>
      </c>
      <c r="AP111">
        <v>1901</v>
      </c>
      <c r="AQ111" t="s">
        <v>3728</v>
      </c>
      <c r="AR111" t="s">
        <v>3729</v>
      </c>
      <c r="AS111">
        <v>3</v>
      </c>
      <c r="AT111" t="s">
        <v>3241</v>
      </c>
      <c r="AW111" t="str">
        <f>Plan_2026[[#This Row],[Tên brand]]&amp;" "&amp;Plan_2026[[#This Row],[Trục đường chính]]&amp;Plan_2026[[#This Row],[Tên mall
(chuẩn hóa)]]&amp;Plan_2026[[#This Row],[Địa chỉ đầy đủ]]</f>
        <v>Chix Max Khu dân cư Hoàng Văn ThụAeon Mall Hà ĐôngKhu dân cư Hoàng Văn Thụ, Dương Nội, Hà Đông, Hà Nội</v>
      </c>
    </row>
    <row r="112" spans="1:49" hidden="1" x14ac:dyDescent="0.35">
      <c r="A112">
        <v>107</v>
      </c>
      <c r="B112" t="s">
        <v>2380</v>
      </c>
      <c r="C112" t="s">
        <v>3415</v>
      </c>
      <c r="D112" t="s">
        <v>3416</v>
      </c>
      <c r="E112">
        <v>2025</v>
      </c>
      <c r="F112">
        <v>4</v>
      </c>
      <c r="G112">
        <v>11</v>
      </c>
      <c r="H112">
        <v>3</v>
      </c>
      <c r="I112">
        <v>5</v>
      </c>
      <c r="J112" t="s">
        <v>23</v>
      </c>
      <c r="K112" t="s">
        <v>2774</v>
      </c>
      <c r="L112" t="s">
        <v>3133</v>
      </c>
      <c r="M112" t="s">
        <v>3134</v>
      </c>
      <c r="N112" t="s">
        <v>3353</v>
      </c>
      <c r="O112" t="s">
        <v>3721</v>
      </c>
      <c r="P112" t="s">
        <v>3732</v>
      </c>
      <c r="Q112" t="s">
        <v>2732</v>
      </c>
      <c r="R112" t="s">
        <v>2751</v>
      </c>
      <c r="S112" t="s">
        <v>2751</v>
      </c>
      <c r="T112" t="s">
        <v>2790</v>
      </c>
      <c r="U112" t="s">
        <v>2790</v>
      </c>
      <c r="V112">
        <v>1</v>
      </c>
      <c r="W112" t="s">
        <v>2713</v>
      </c>
      <c r="X112" t="s">
        <v>2294</v>
      </c>
      <c r="Y112" t="s">
        <v>2294</v>
      </c>
      <c r="Z112" t="s">
        <v>3331</v>
      </c>
      <c r="AB112" t="s">
        <v>2716</v>
      </c>
      <c r="AC112" t="s">
        <v>2763</v>
      </c>
      <c r="AE112">
        <v>1</v>
      </c>
      <c r="AH112" t="s">
        <v>1611</v>
      </c>
      <c r="AI112">
        <v>45962</v>
      </c>
      <c r="AJ112">
        <v>11</v>
      </c>
      <c r="AK112" t="s">
        <v>3723</v>
      </c>
      <c r="AL112" t="s">
        <v>3733</v>
      </c>
      <c r="AM112" t="s">
        <v>3725</v>
      </c>
      <c r="AN112" t="s">
        <v>3734</v>
      </c>
      <c r="AO112" t="s">
        <v>3735</v>
      </c>
      <c r="AP112">
        <v>1901</v>
      </c>
      <c r="AQ112" t="s">
        <v>3728</v>
      </c>
      <c r="AR112" t="s">
        <v>3729</v>
      </c>
      <c r="AS112">
        <v>0</v>
      </c>
      <c r="AT112" t="s">
        <v>3297</v>
      </c>
      <c r="AW112" t="str">
        <f>Plan_2026[[#This Row],[Tên brand]]&amp;" "&amp;Plan_2026[[#This Row],[Trục đường chính]]&amp;Plan_2026[[#This Row],[Tên mall
(chuẩn hóa)]]&amp;Plan_2026[[#This Row],[Địa chỉ đầy đủ]]</f>
        <v>Mama's Bakery Hoàng Văn ThụAeon Mall Hà ĐôngHoàng Văn Thụ, Dương Nội, Hà Đông, Hà Nội</v>
      </c>
    </row>
    <row r="113" spans="1:49" hidden="1" x14ac:dyDescent="0.35">
      <c r="A113">
        <v>108</v>
      </c>
      <c r="B113" t="s">
        <v>2293</v>
      </c>
      <c r="C113" t="s">
        <v>62</v>
      </c>
      <c r="D113" t="s">
        <v>3463</v>
      </c>
      <c r="E113">
        <v>2025</v>
      </c>
      <c r="F113">
        <v>4</v>
      </c>
      <c r="G113">
        <v>12</v>
      </c>
      <c r="H113">
        <v>4</v>
      </c>
      <c r="I113">
        <v>5</v>
      </c>
      <c r="J113" t="s">
        <v>23</v>
      </c>
      <c r="K113" t="s">
        <v>2774</v>
      </c>
      <c r="L113" t="s">
        <v>3133</v>
      </c>
      <c r="M113" t="s">
        <v>3134</v>
      </c>
      <c r="N113" t="s">
        <v>3353</v>
      </c>
      <c r="O113" t="s">
        <v>3721</v>
      </c>
      <c r="P113" t="s">
        <v>2284</v>
      </c>
      <c r="Q113" t="s">
        <v>2732</v>
      </c>
      <c r="R113" t="s">
        <v>2751</v>
      </c>
      <c r="S113" t="s">
        <v>2751</v>
      </c>
      <c r="T113" t="s">
        <v>2712</v>
      </c>
      <c r="U113" t="s">
        <v>2712</v>
      </c>
      <c r="V113">
        <v>1</v>
      </c>
      <c r="W113" t="s">
        <v>2713</v>
      </c>
      <c r="X113" t="s">
        <v>2294</v>
      </c>
      <c r="Y113" t="s">
        <v>2294</v>
      </c>
      <c r="Z113">
        <v>300</v>
      </c>
      <c r="AB113" t="s">
        <v>2716</v>
      </c>
      <c r="AC113" t="s">
        <v>2763</v>
      </c>
      <c r="AE113">
        <v>1</v>
      </c>
      <c r="AH113" t="s">
        <v>61</v>
      </c>
      <c r="AI113">
        <v>45992</v>
      </c>
      <c r="AJ113">
        <v>12</v>
      </c>
      <c r="AK113" t="s">
        <v>3723</v>
      </c>
      <c r="AL113" t="s">
        <v>3736</v>
      </c>
      <c r="AM113" t="s">
        <v>3725</v>
      </c>
      <c r="AN113" t="s">
        <v>2753</v>
      </c>
      <c r="AO113" t="s">
        <v>3737</v>
      </c>
      <c r="AP113">
        <v>1901</v>
      </c>
      <c r="AQ113" t="s">
        <v>3728</v>
      </c>
      <c r="AR113" t="s">
        <v>3729</v>
      </c>
      <c r="AS113">
        <v>25</v>
      </c>
      <c r="AT113" t="s">
        <v>3738</v>
      </c>
      <c r="AW113" t="str">
        <f>Plan_2026[[#This Row],[Tên brand]]&amp;" "&amp;Plan_2026[[#This Row],[Trục đường chính]]&amp;Plan_2026[[#This Row],[Tên mall
(chuẩn hóa)]]&amp;Plan_2026[[#This Row],[Địa chỉ đầy đủ]]</f>
        <v>Isushi Aeon Hà ĐôngAeon Mall Hà ĐôngAeon Hà Đông, Dương Nội, Hà Đông, Hà Nội</v>
      </c>
    </row>
    <row r="114" spans="1:49" hidden="1" x14ac:dyDescent="0.35">
      <c r="A114">
        <v>109</v>
      </c>
      <c r="B114" t="s">
        <v>3739</v>
      </c>
      <c r="C114" t="s">
        <v>3191</v>
      </c>
      <c r="D114" t="s">
        <v>3192</v>
      </c>
      <c r="E114">
        <v>2026</v>
      </c>
      <c r="F114">
        <v>3</v>
      </c>
      <c r="G114">
        <v>7</v>
      </c>
      <c r="H114">
        <v>11</v>
      </c>
      <c r="J114" t="s">
        <v>23</v>
      </c>
      <c r="K114" t="s">
        <v>2774</v>
      </c>
      <c r="L114" t="s">
        <v>3133</v>
      </c>
      <c r="M114" t="s">
        <v>3134</v>
      </c>
      <c r="N114" t="s">
        <v>3353</v>
      </c>
      <c r="O114" t="s">
        <v>3721</v>
      </c>
      <c r="P114" t="s">
        <v>3732</v>
      </c>
      <c r="Q114" t="s">
        <v>2732</v>
      </c>
      <c r="R114" t="s">
        <v>2751</v>
      </c>
      <c r="S114" t="s">
        <v>2751</v>
      </c>
      <c r="T114" t="s">
        <v>2712</v>
      </c>
      <c r="U114" t="s">
        <v>2712</v>
      </c>
      <c r="V114">
        <v>1</v>
      </c>
      <c r="W114" t="s">
        <v>2735</v>
      </c>
      <c r="X114" t="s">
        <v>2284</v>
      </c>
      <c r="Y114" t="s">
        <v>2294</v>
      </c>
      <c r="Z114">
        <v>200</v>
      </c>
      <c r="AB114" t="s">
        <v>2716</v>
      </c>
      <c r="AC114" t="s">
        <v>3232</v>
      </c>
      <c r="AE114">
        <v>0</v>
      </c>
      <c r="AF114" t="s">
        <v>3740</v>
      </c>
      <c r="AH114" t="s">
        <v>1311</v>
      </c>
      <c r="AI114">
        <v>46204</v>
      </c>
      <c r="AJ114">
        <v>7</v>
      </c>
      <c r="AK114" t="s">
        <v>3723</v>
      </c>
      <c r="AL114" t="s">
        <v>3733</v>
      </c>
      <c r="AM114" t="s">
        <v>3725</v>
      </c>
      <c r="AN114" t="s">
        <v>3741</v>
      </c>
      <c r="AO114" t="s">
        <v>3742</v>
      </c>
      <c r="AP114">
        <v>1901</v>
      </c>
      <c r="AQ114" t="s">
        <v>3728</v>
      </c>
      <c r="AR114" t="s">
        <v>3729</v>
      </c>
      <c r="AS114">
        <v>5</v>
      </c>
      <c r="AT114" t="s">
        <v>3743</v>
      </c>
      <c r="AW114" t="str">
        <f>Plan_2026[[#This Row],[Tên brand]]&amp;" "&amp;Plan_2026[[#This Row],[Trục đường chính]]&amp;Plan_2026[[#This Row],[Tên mall
(chuẩn hóa)]]&amp;Plan_2026[[#This Row],[Địa chỉ đầy đủ]]</f>
        <v>Union Pizza Hoàng Văn ThụAeon Mall Hà ĐôngHoàng Văn Thụ, Dương Nội, Hà Đông, Hà Nội</v>
      </c>
    </row>
    <row r="115" spans="1:49" hidden="1" x14ac:dyDescent="0.35">
      <c r="A115">
        <v>110</v>
      </c>
      <c r="B115" t="s">
        <v>3744</v>
      </c>
      <c r="C115" t="s">
        <v>35</v>
      </c>
      <c r="D115" t="s">
        <v>3132</v>
      </c>
      <c r="E115">
        <v>2025</v>
      </c>
      <c r="F115">
        <v>4</v>
      </c>
      <c r="G115">
        <v>12</v>
      </c>
      <c r="H115">
        <v>4</v>
      </c>
      <c r="J115" t="s">
        <v>23</v>
      </c>
      <c r="K115" t="s">
        <v>2774</v>
      </c>
      <c r="L115" t="s">
        <v>3133</v>
      </c>
      <c r="M115" t="s">
        <v>3134</v>
      </c>
      <c r="N115" t="s">
        <v>3514</v>
      </c>
      <c r="O115" t="s">
        <v>3745</v>
      </c>
      <c r="P115" t="s">
        <v>3746</v>
      </c>
      <c r="Q115" t="s">
        <v>2732</v>
      </c>
      <c r="R115" t="s">
        <v>2751</v>
      </c>
      <c r="S115" t="s">
        <v>2751</v>
      </c>
      <c r="T115">
        <v>200</v>
      </c>
      <c r="U115" t="s">
        <v>2712</v>
      </c>
      <c r="V115">
        <v>1</v>
      </c>
      <c r="W115" t="s">
        <v>2713</v>
      </c>
      <c r="X115" t="s">
        <v>3747</v>
      </c>
      <c r="Y115" t="s">
        <v>3747</v>
      </c>
      <c r="Z115" t="s">
        <v>2715</v>
      </c>
      <c r="AB115" t="s">
        <v>2716</v>
      </c>
      <c r="AC115" t="s">
        <v>2952</v>
      </c>
      <c r="AE115">
        <v>1</v>
      </c>
      <c r="AF115" t="s">
        <v>3748</v>
      </c>
      <c r="AH115" t="s">
        <v>34</v>
      </c>
      <c r="AI115">
        <v>45992</v>
      </c>
      <c r="AJ115">
        <v>12</v>
      </c>
      <c r="AK115" t="s">
        <v>3749</v>
      </c>
      <c r="AL115" t="s">
        <v>3750</v>
      </c>
      <c r="AM115" t="s">
        <v>3751</v>
      </c>
      <c r="AN115" t="s">
        <v>3036</v>
      </c>
      <c r="AO115" t="s">
        <v>3752</v>
      </c>
      <c r="AP115">
        <v>1757</v>
      </c>
      <c r="AQ115" t="s">
        <v>3753</v>
      </c>
      <c r="AR115" t="s">
        <v>3754</v>
      </c>
      <c r="AS115">
        <v>107</v>
      </c>
      <c r="AT115" t="s">
        <v>3755</v>
      </c>
      <c r="AW115" t="str">
        <f>Plan_2026[[#This Row],[Tên brand]]&amp;" "&amp;Plan_2026[[#This Row],[Trục đường chính]]&amp;Plan_2026[[#This Row],[Tên mall
(chuẩn hóa)]]&amp;Plan_2026[[#This Row],[Địa chỉ đầy đủ]]</f>
        <v>Kichi Kichi Khu đô thị Vinhomes Smart CityVincom Mega Mall Smart CityKhu đô thị Vinhomes Smart City, Tây Mỗ, Nam Từ Liêm, Hà Nội</v>
      </c>
    </row>
    <row r="116" spans="1:49" hidden="1" x14ac:dyDescent="0.35">
      <c r="A116">
        <v>111</v>
      </c>
      <c r="B116" t="s">
        <v>3756</v>
      </c>
      <c r="C116" t="s">
        <v>2702</v>
      </c>
      <c r="D116" t="s">
        <v>3164</v>
      </c>
      <c r="E116">
        <v>2026</v>
      </c>
      <c r="F116">
        <v>1</v>
      </c>
      <c r="G116">
        <v>3</v>
      </c>
      <c r="H116">
        <v>7</v>
      </c>
      <c r="J116" t="s">
        <v>23</v>
      </c>
      <c r="K116" t="s">
        <v>2774</v>
      </c>
      <c r="L116" t="s">
        <v>3133</v>
      </c>
      <c r="M116" t="s">
        <v>3134</v>
      </c>
      <c r="N116" t="s">
        <v>3757</v>
      </c>
      <c r="O116" t="s">
        <v>3758</v>
      </c>
      <c r="Q116" t="s">
        <v>2810</v>
      </c>
      <c r="R116">
        <v>8</v>
      </c>
      <c r="S116" t="s">
        <v>2710</v>
      </c>
      <c r="T116" t="s">
        <v>2711</v>
      </c>
      <c r="U116" t="s">
        <v>2712</v>
      </c>
      <c r="V116">
        <v>1</v>
      </c>
      <c r="W116" t="s">
        <v>2735</v>
      </c>
      <c r="X116" t="s">
        <v>3759</v>
      </c>
      <c r="Z116" t="s">
        <v>2715</v>
      </c>
      <c r="AB116" t="s">
        <v>2716</v>
      </c>
      <c r="AC116" t="s">
        <v>2738</v>
      </c>
      <c r="AE116">
        <v>0</v>
      </c>
      <c r="AF116" t="s">
        <v>3760</v>
      </c>
      <c r="AH116" t="s">
        <v>76</v>
      </c>
      <c r="AI116">
        <v>46082</v>
      </c>
      <c r="AJ116">
        <v>3</v>
      </c>
      <c r="AK116" t="s">
        <v>3761</v>
      </c>
      <c r="AL116" t="s">
        <v>3761</v>
      </c>
      <c r="AM116" t="s">
        <v>3762</v>
      </c>
      <c r="AN116" t="s">
        <v>3763</v>
      </c>
      <c r="AO116" t="s">
        <v>3764</v>
      </c>
      <c r="AP116">
        <v>1234</v>
      </c>
      <c r="AQ116" t="s">
        <v>3765</v>
      </c>
      <c r="AR116" t="s">
        <v>3766</v>
      </c>
      <c r="AS116">
        <v>144</v>
      </c>
      <c r="AT116" t="s">
        <v>3767</v>
      </c>
      <c r="AW116" t="str">
        <f>Plan_2026[[#This Row],[Tên brand]]&amp;" "&amp;Plan_2026[[#This Row],[Trục đường chính]]&amp;Plan_2026[[#This Row],[Tên mall
(chuẩn hóa)]]&amp;Plan_2026[[#This Row],[Địa chỉ đầy đủ]]</f>
        <v>Gogi House Trâu Quỳ, Gia Lâm, Hà Nội</v>
      </c>
    </row>
    <row r="117" spans="1:49" hidden="1" x14ac:dyDescent="0.35">
      <c r="A117">
        <v>112</v>
      </c>
      <c r="B117" t="s">
        <v>3768</v>
      </c>
      <c r="C117" t="s">
        <v>35</v>
      </c>
      <c r="D117" t="s">
        <v>3132</v>
      </c>
      <c r="E117">
        <v>2026</v>
      </c>
      <c r="F117">
        <v>3</v>
      </c>
      <c r="G117">
        <v>7</v>
      </c>
      <c r="H117">
        <v>11</v>
      </c>
      <c r="J117" t="s">
        <v>23</v>
      </c>
      <c r="K117" t="s">
        <v>2774</v>
      </c>
      <c r="L117" t="s">
        <v>3133</v>
      </c>
      <c r="M117" t="s">
        <v>3134</v>
      </c>
      <c r="N117" t="s">
        <v>3757</v>
      </c>
      <c r="O117" t="s">
        <v>3758</v>
      </c>
      <c r="Q117" t="s">
        <v>2709</v>
      </c>
      <c r="R117" t="s">
        <v>2710</v>
      </c>
      <c r="S117" t="s">
        <v>2710</v>
      </c>
      <c r="T117" t="s">
        <v>2882</v>
      </c>
      <c r="U117" t="s">
        <v>2800</v>
      </c>
      <c r="V117">
        <v>1</v>
      </c>
      <c r="W117" t="s">
        <v>2735</v>
      </c>
      <c r="X117" t="s">
        <v>3759</v>
      </c>
      <c r="Z117" t="s">
        <v>2715</v>
      </c>
      <c r="AB117" t="s">
        <v>2716</v>
      </c>
      <c r="AC117" t="s">
        <v>2717</v>
      </c>
      <c r="AE117">
        <v>0</v>
      </c>
      <c r="AF117" t="s">
        <v>3769</v>
      </c>
      <c r="AH117" t="s">
        <v>34</v>
      </c>
      <c r="AI117">
        <v>46204</v>
      </c>
      <c r="AJ117">
        <v>7</v>
      </c>
      <c r="AK117" t="s">
        <v>3761</v>
      </c>
      <c r="AL117" t="s">
        <v>3761</v>
      </c>
      <c r="AM117" t="s">
        <v>3762</v>
      </c>
      <c r="AN117" t="s">
        <v>2911</v>
      </c>
      <c r="AO117" t="s">
        <v>3770</v>
      </c>
      <c r="AP117">
        <v>1234</v>
      </c>
      <c r="AQ117" t="s">
        <v>3765</v>
      </c>
      <c r="AR117" t="s">
        <v>3766</v>
      </c>
      <c r="AS117">
        <v>107</v>
      </c>
      <c r="AT117" t="s">
        <v>2936</v>
      </c>
      <c r="AW117" t="str">
        <f>Plan_2026[[#This Row],[Tên brand]]&amp;" "&amp;Plan_2026[[#This Row],[Trục đường chính]]&amp;Plan_2026[[#This Row],[Tên mall
(chuẩn hóa)]]&amp;Plan_2026[[#This Row],[Địa chỉ đầy đủ]]</f>
        <v>Kichi Kichi Trâu Quỳ, Gia Lâm, Hà Nội</v>
      </c>
    </row>
    <row r="118" spans="1:49" hidden="1" x14ac:dyDescent="0.35">
      <c r="A118">
        <v>113</v>
      </c>
      <c r="B118" t="s">
        <v>3771</v>
      </c>
      <c r="C118" t="s">
        <v>184</v>
      </c>
      <c r="D118" t="s">
        <v>3298</v>
      </c>
      <c r="E118">
        <v>2026</v>
      </c>
      <c r="F118">
        <v>3</v>
      </c>
      <c r="G118">
        <v>7</v>
      </c>
      <c r="H118">
        <v>11</v>
      </c>
      <c r="J118" t="s">
        <v>23</v>
      </c>
      <c r="K118" t="s">
        <v>2774</v>
      </c>
      <c r="L118" t="s">
        <v>3133</v>
      </c>
      <c r="M118" t="s">
        <v>3134</v>
      </c>
      <c r="N118" t="s">
        <v>3757</v>
      </c>
      <c r="O118" t="s">
        <v>3758</v>
      </c>
      <c r="Q118" t="s">
        <v>2709</v>
      </c>
      <c r="R118" t="s">
        <v>2710</v>
      </c>
      <c r="S118" t="s">
        <v>2710</v>
      </c>
      <c r="T118" t="s">
        <v>2790</v>
      </c>
      <c r="U118" t="s">
        <v>2790</v>
      </c>
      <c r="V118">
        <v>1</v>
      </c>
      <c r="W118" t="s">
        <v>2735</v>
      </c>
      <c r="X118" t="s">
        <v>3759</v>
      </c>
      <c r="Z118">
        <v>220</v>
      </c>
      <c r="AB118" t="s">
        <v>2716</v>
      </c>
      <c r="AC118" t="s">
        <v>2738</v>
      </c>
      <c r="AE118">
        <v>0</v>
      </c>
      <c r="AH118" t="s">
        <v>183</v>
      </c>
      <c r="AI118">
        <v>46204</v>
      </c>
      <c r="AJ118">
        <v>7</v>
      </c>
      <c r="AK118" t="s">
        <v>3761</v>
      </c>
      <c r="AL118" t="s">
        <v>3761</v>
      </c>
      <c r="AM118" t="s">
        <v>3762</v>
      </c>
      <c r="AN118" t="s">
        <v>3302</v>
      </c>
      <c r="AO118" t="s">
        <v>3772</v>
      </c>
      <c r="AP118">
        <v>1234</v>
      </c>
      <c r="AQ118" t="s">
        <v>3765</v>
      </c>
      <c r="AR118" t="s">
        <v>3766</v>
      </c>
      <c r="AS118">
        <v>10</v>
      </c>
      <c r="AT118" t="s">
        <v>3773</v>
      </c>
      <c r="AW118" t="str">
        <f>Plan_2026[[#This Row],[Tên brand]]&amp;" "&amp;Plan_2026[[#This Row],[Trục đường chính]]&amp;Plan_2026[[#This Row],[Tên mall
(chuẩn hóa)]]&amp;Plan_2026[[#This Row],[Địa chỉ đầy đủ]]</f>
        <v>Shogun Trâu Quỳ, Gia Lâm, Hà Nội</v>
      </c>
    </row>
    <row r="119" spans="1:49" hidden="1" x14ac:dyDescent="0.35">
      <c r="A119">
        <v>114</v>
      </c>
      <c r="B119" t="s">
        <v>3774</v>
      </c>
      <c r="C119" t="s">
        <v>2787</v>
      </c>
      <c r="D119" t="s">
        <v>2788</v>
      </c>
      <c r="E119">
        <v>2026</v>
      </c>
      <c r="F119">
        <v>1</v>
      </c>
      <c r="G119">
        <v>2</v>
      </c>
      <c r="H119">
        <v>6</v>
      </c>
      <c r="J119" t="s">
        <v>23</v>
      </c>
      <c r="K119" t="s">
        <v>2774</v>
      </c>
      <c r="L119" t="s">
        <v>3133</v>
      </c>
      <c r="M119" t="s">
        <v>3134</v>
      </c>
      <c r="N119" t="s">
        <v>3757</v>
      </c>
      <c r="O119" t="s">
        <v>3758</v>
      </c>
      <c r="P119" t="s">
        <v>3775</v>
      </c>
      <c r="Q119" t="s">
        <v>2810</v>
      </c>
      <c r="R119" t="s">
        <v>2710</v>
      </c>
      <c r="S119" t="s">
        <v>2710</v>
      </c>
      <c r="T119" t="s">
        <v>2800</v>
      </c>
      <c r="U119" t="s">
        <v>2800</v>
      </c>
      <c r="V119">
        <v>1</v>
      </c>
      <c r="W119" t="s">
        <v>2713</v>
      </c>
      <c r="X119" t="s">
        <v>3776</v>
      </c>
      <c r="Z119">
        <v>132</v>
      </c>
      <c r="AB119" t="s">
        <v>2716</v>
      </c>
      <c r="AC119" t="s">
        <v>2717</v>
      </c>
      <c r="AE119">
        <v>0</v>
      </c>
      <c r="AF119" t="s">
        <v>3680</v>
      </c>
      <c r="AH119" t="s">
        <v>1788</v>
      </c>
      <c r="AI119">
        <v>46054</v>
      </c>
      <c r="AJ119">
        <v>2</v>
      </c>
      <c r="AK119" t="s">
        <v>3761</v>
      </c>
      <c r="AL119" t="s">
        <v>3777</v>
      </c>
      <c r="AM119" t="s">
        <v>3762</v>
      </c>
      <c r="AN119" t="s">
        <v>2814</v>
      </c>
      <c r="AO119" t="s">
        <v>3778</v>
      </c>
      <c r="AP119">
        <v>1234</v>
      </c>
      <c r="AQ119" t="s">
        <v>3765</v>
      </c>
      <c r="AR119" t="s">
        <v>3766</v>
      </c>
      <c r="AS119">
        <v>81</v>
      </c>
      <c r="AT119" t="s">
        <v>3779</v>
      </c>
      <c r="AW119" t="str">
        <f>Plan_2026[[#This Row],[Tên brand]]&amp;" "&amp;Plan_2026[[#This Row],[Trục đường chính]]&amp;Plan_2026[[#This Row],[Tên mall
(chuẩn hóa)]]&amp;Plan_2026[[#This Row],[Địa chỉ đầy đủ]]</f>
        <v>The Coffee House Vinhom Ocean Park 1Vinhom Ocean Park 1, Trâu Quỳ, Gia Lâm, Hà Nội</v>
      </c>
    </row>
    <row r="120" spans="1:49" hidden="1" x14ac:dyDescent="0.35">
      <c r="A120">
        <v>115</v>
      </c>
      <c r="B120" t="s">
        <v>3780</v>
      </c>
      <c r="C120" t="s">
        <v>3191</v>
      </c>
      <c r="D120" t="s">
        <v>3192</v>
      </c>
      <c r="E120">
        <v>2026</v>
      </c>
      <c r="F120">
        <v>3</v>
      </c>
      <c r="G120">
        <v>7</v>
      </c>
      <c r="H120">
        <v>11</v>
      </c>
      <c r="J120" t="s">
        <v>23</v>
      </c>
      <c r="K120" t="s">
        <v>2774</v>
      </c>
      <c r="L120" t="s">
        <v>3133</v>
      </c>
      <c r="M120" t="s">
        <v>3134</v>
      </c>
      <c r="N120" t="s">
        <v>3781</v>
      </c>
      <c r="O120" t="s">
        <v>3781</v>
      </c>
      <c r="P120" t="s">
        <v>3782</v>
      </c>
      <c r="Q120" t="s">
        <v>2732</v>
      </c>
      <c r="R120" t="s">
        <v>2751</v>
      </c>
      <c r="S120" t="s">
        <v>2751</v>
      </c>
      <c r="T120" t="s">
        <v>2712</v>
      </c>
      <c r="U120" t="s">
        <v>2712</v>
      </c>
      <c r="V120">
        <v>1</v>
      </c>
      <c r="W120" t="s">
        <v>2735</v>
      </c>
      <c r="X120" t="s">
        <v>3783</v>
      </c>
      <c r="Y120" t="s">
        <v>3783</v>
      </c>
      <c r="Z120">
        <v>200</v>
      </c>
      <c r="AB120" t="s">
        <v>2716</v>
      </c>
      <c r="AC120" t="s">
        <v>3232</v>
      </c>
      <c r="AE120">
        <v>0</v>
      </c>
      <c r="AF120" t="s">
        <v>3740</v>
      </c>
      <c r="AH120" t="s">
        <v>1311</v>
      </c>
      <c r="AI120">
        <v>46204</v>
      </c>
      <c r="AJ120">
        <v>7</v>
      </c>
      <c r="AK120" t="s">
        <v>3784</v>
      </c>
      <c r="AL120" t="s">
        <v>3785</v>
      </c>
      <c r="AM120" t="s">
        <v>3786</v>
      </c>
      <c r="AN120" t="s">
        <v>3741</v>
      </c>
      <c r="AO120" t="s">
        <v>3787</v>
      </c>
      <c r="AP120">
        <v>1112</v>
      </c>
      <c r="AQ120" t="s">
        <v>3788</v>
      </c>
      <c r="AR120" t="s">
        <v>3789</v>
      </c>
      <c r="AS120">
        <v>5</v>
      </c>
      <c r="AT120" t="s">
        <v>3743</v>
      </c>
      <c r="AW120" t="str">
        <f>Plan_2026[[#This Row],[Tên brand]]&amp;" "&amp;Plan_2026[[#This Row],[Trục đường chính]]&amp;Plan_2026[[#This Row],[Tên mall
(chuẩn hóa)]]&amp;Plan_2026[[#This Row],[Địa chỉ đầy đủ]]</f>
        <v>Union Pizza Số 27, Đường Cổ LinhAeon Mall Long BiênSố 27, Đường Cổ Linh, Long Biên, Long Biên, Hà Nội</v>
      </c>
    </row>
    <row r="121" spans="1:49" hidden="1" x14ac:dyDescent="0.35">
      <c r="A121">
        <v>116</v>
      </c>
      <c r="B121" t="s">
        <v>2451</v>
      </c>
      <c r="C121" t="s">
        <v>2849</v>
      </c>
      <c r="D121" t="s">
        <v>3552</v>
      </c>
      <c r="E121">
        <v>2026</v>
      </c>
      <c r="F121">
        <v>3</v>
      </c>
      <c r="G121">
        <v>7</v>
      </c>
      <c r="H121">
        <v>11</v>
      </c>
      <c r="J121" t="s">
        <v>23</v>
      </c>
      <c r="K121" t="s">
        <v>2774</v>
      </c>
      <c r="L121" t="s">
        <v>3133</v>
      </c>
      <c r="M121" t="s">
        <v>3134</v>
      </c>
      <c r="N121" t="s">
        <v>3781</v>
      </c>
      <c r="O121" t="s">
        <v>3781</v>
      </c>
      <c r="P121" t="s">
        <v>3790</v>
      </c>
      <c r="Q121" t="s">
        <v>2732</v>
      </c>
      <c r="R121" t="s">
        <v>2751</v>
      </c>
      <c r="S121" t="s">
        <v>2751</v>
      </c>
      <c r="T121" t="s">
        <v>2790</v>
      </c>
      <c r="U121" t="s">
        <v>2790</v>
      </c>
      <c r="V121">
        <v>1</v>
      </c>
      <c r="W121" t="s">
        <v>2713</v>
      </c>
      <c r="X121" t="s">
        <v>3783</v>
      </c>
      <c r="Y121" t="s">
        <v>3783</v>
      </c>
      <c r="Z121" t="s">
        <v>2715</v>
      </c>
      <c r="AB121" t="s">
        <v>2716</v>
      </c>
      <c r="AC121" t="s">
        <v>2717</v>
      </c>
      <c r="AE121">
        <v>0</v>
      </c>
      <c r="AF121" t="s">
        <v>3791</v>
      </c>
      <c r="AH121" t="s">
        <v>1771</v>
      </c>
      <c r="AI121">
        <v>46204</v>
      </c>
      <c r="AJ121">
        <v>7</v>
      </c>
      <c r="AK121" t="s">
        <v>3784</v>
      </c>
      <c r="AL121" t="s">
        <v>3792</v>
      </c>
      <c r="AM121" t="s">
        <v>3786</v>
      </c>
      <c r="AN121" t="s">
        <v>2862</v>
      </c>
      <c r="AO121" t="s">
        <v>3793</v>
      </c>
      <c r="AP121">
        <v>1112</v>
      </c>
      <c r="AQ121" t="s">
        <v>3788</v>
      </c>
      <c r="AR121" t="s">
        <v>3789</v>
      </c>
      <c r="AS121">
        <v>2</v>
      </c>
      <c r="AT121" t="s">
        <v>2866</v>
      </c>
      <c r="AW121" t="str">
        <f>Plan_2026[[#This Row],[Tên brand]]&amp;" "&amp;Plan_2026[[#This Row],[Trục đường chính]]&amp;Plan_2026[[#This Row],[Tên mall
(chuẩn hóa)]]&amp;Plan_2026[[#This Row],[Địa chỉ đầy đủ]]</f>
        <v>Wow!Yakiniku 27 Đường Cổ LinhAeon Mall Long Biên27 Đường Cổ Linh, Long Biên, Long Biên, Hà Nội</v>
      </c>
    </row>
    <row r="122" spans="1:49" hidden="1" x14ac:dyDescent="0.35">
      <c r="A122">
        <v>117</v>
      </c>
      <c r="B122" t="s">
        <v>2382</v>
      </c>
      <c r="C122" t="s">
        <v>3415</v>
      </c>
      <c r="D122" t="s">
        <v>3416</v>
      </c>
      <c r="E122">
        <v>2026</v>
      </c>
      <c r="F122">
        <v>2</v>
      </c>
      <c r="G122">
        <v>5</v>
      </c>
      <c r="H122">
        <v>9</v>
      </c>
      <c r="J122" t="s">
        <v>23</v>
      </c>
      <c r="K122" t="s">
        <v>2774</v>
      </c>
      <c r="L122" t="s">
        <v>3133</v>
      </c>
      <c r="M122" t="s">
        <v>3134</v>
      </c>
      <c r="N122" t="s">
        <v>3794</v>
      </c>
      <c r="O122" t="s">
        <v>3795</v>
      </c>
      <c r="P122" t="s">
        <v>3796</v>
      </c>
      <c r="Q122" t="s">
        <v>2709</v>
      </c>
      <c r="R122" t="s">
        <v>2751</v>
      </c>
      <c r="S122" t="s">
        <v>2751</v>
      </c>
      <c r="T122" t="s">
        <v>2790</v>
      </c>
      <c r="U122" t="s">
        <v>2790</v>
      </c>
      <c r="V122">
        <v>1</v>
      </c>
      <c r="W122" t="s">
        <v>2713</v>
      </c>
      <c r="Z122" t="s">
        <v>3331</v>
      </c>
      <c r="AA122" t="s">
        <v>3419</v>
      </c>
      <c r="AB122" t="s">
        <v>2716</v>
      </c>
      <c r="AC122" t="s">
        <v>2738</v>
      </c>
      <c r="AE122">
        <v>0</v>
      </c>
      <c r="AF122" t="s">
        <v>3797</v>
      </c>
      <c r="AH122" t="s">
        <v>1611</v>
      </c>
      <c r="AI122">
        <v>46143</v>
      </c>
      <c r="AJ122">
        <v>5</v>
      </c>
      <c r="AK122" t="s">
        <v>3798</v>
      </c>
      <c r="AL122" t="s">
        <v>3799</v>
      </c>
      <c r="AM122" t="s">
        <v>3800</v>
      </c>
      <c r="AN122" t="s">
        <v>3424</v>
      </c>
      <c r="AO122" t="s">
        <v>3801</v>
      </c>
      <c r="AP122">
        <v>12862</v>
      </c>
      <c r="AQ122" t="s">
        <v>3802</v>
      </c>
      <c r="AR122" t="s">
        <v>3803</v>
      </c>
      <c r="AS122">
        <v>0</v>
      </c>
      <c r="AT122" t="s">
        <v>3297</v>
      </c>
      <c r="AW122" t="str">
        <f>Plan_2026[[#This Row],[Tên brand]]&amp;" "&amp;Plan_2026[[#This Row],[Trục đường chính]]&amp;Plan_2026[[#This Row],[Tên mall
(chuẩn hóa)]]&amp;Plan_2026[[#This Row],[Địa chỉ đầy đủ]]</f>
        <v>Mama's Bakery Quang Trung, Lý Thường Kiệt, Trần Hưng ĐạoQuang Trung, Lý Thường Kiệt, Trần Hưng Đạo, Cửa Nam, Hoàn kiếm, Hà Nội</v>
      </c>
    </row>
    <row r="123" spans="1:49" hidden="1" x14ac:dyDescent="0.35">
      <c r="A123">
        <v>118</v>
      </c>
      <c r="B123" t="s">
        <v>2498</v>
      </c>
      <c r="C123" t="s">
        <v>2787</v>
      </c>
      <c r="D123" t="s">
        <v>2788</v>
      </c>
      <c r="E123">
        <v>2026</v>
      </c>
      <c r="F123">
        <v>1</v>
      </c>
      <c r="G123">
        <v>1</v>
      </c>
      <c r="H123">
        <v>5</v>
      </c>
      <c r="J123" t="s">
        <v>23</v>
      </c>
      <c r="K123" t="s">
        <v>2774</v>
      </c>
      <c r="L123" t="s">
        <v>3133</v>
      </c>
      <c r="M123" t="s">
        <v>3134</v>
      </c>
      <c r="N123" t="s">
        <v>2299</v>
      </c>
      <c r="O123" t="s">
        <v>3795</v>
      </c>
      <c r="P123" t="s">
        <v>2499</v>
      </c>
      <c r="Q123" t="s">
        <v>2810</v>
      </c>
      <c r="R123" t="s">
        <v>2710</v>
      </c>
      <c r="S123" t="s">
        <v>2710</v>
      </c>
      <c r="T123" t="s">
        <v>2800</v>
      </c>
      <c r="U123" t="s">
        <v>2800</v>
      </c>
      <c r="V123">
        <v>1</v>
      </c>
      <c r="W123" t="s">
        <v>2713</v>
      </c>
      <c r="X123" t="s">
        <v>3804</v>
      </c>
      <c r="Z123">
        <v>132</v>
      </c>
      <c r="AB123" t="s">
        <v>2716</v>
      </c>
      <c r="AC123" t="s">
        <v>2778</v>
      </c>
      <c r="AE123">
        <v>0</v>
      </c>
      <c r="AF123" t="s">
        <v>3805</v>
      </c>
      <c r="AH123" t="s">
        <v>1788</v>
      </c>
      <c r="AI123">
        <v>46023</v>
      </c>
      <c r="AJ123">
        <v>1</v>
      </c>
      <c r="AK123" t="s">
        <v>3806</v>
      </c>
      <c r="AL123" t="s">
        <v>3807</v>
      </c>
      <c r="AM123" t="s">
        <v>3800</v>
      </c>
      <c r="AN123" t="s">
        <v>2814</v>
      </c>
      <c r="AO123" t="s">
        <v>3808</v>
      </c>
      <c r="AP123">
        <v>12862</v>
      </c>
      <c r="AQ123" t="s">
        <v>3802</v>
      </c>
      <c r="AR123" t="s">
        <v>3803</v>
      </c>
      <c r="AS123">
        <v>81</v>
      </c>
      <c r="AT123" t="s">
        <v>3076</v>
      </c>
      <c r="AW123" t="str">
        <f>Plan_2026[[#This Row],[Tên brand]]&amp;" "&amp;Plan_2026[[#This Row],[Trục đường chính]]&amp;Plan_2026[[#This Row],[Tên mall
(chuẩn hóa)]]&amp;Plan_2026[[#This Row],[Địa chỉ đầy đủ]]</f>
        <v>The Coffee House 131 Lê Duẩn, Trần Hưng Đạo (đối diện ga Hà Nội)131 Lê Duẩn, Trần Hưng Đạo (đối diện ga Hà Nội), Cửa Nam, Hoàn Kiếm, Hà Nội</v>
      </c>
    </row>
    <row r="124" spans="1:49" hidden="1" x14ac:dyDescent="0.35">
      <c r="A124">
        <v>119</v>
      </c>
      <c r="B124" t="s">
        <v>3809</v>
      </c>
      <c r="C124" t="s">
        <v>35</v>
      </c>
      <c r="D124" t="s">
        <v>3132</v>
      </c>
      <c r="E124">
        <v>2026</v>
      </c>
      <c r="F124">
        <v>2</v>
      </c>
      <c r="G124">
        <v>6</v>
      </c>
      <c r="H124">
        <v>10</v>
      </c>
      <c r="J124" t="s">
        <v>23</v>
      </c>
      <c r="K124" t="s">
        <v>2774</v>
      </c>
      <c r="L124" t="s">
        <v>3133</v>
      </c>
      <c r="M124" t="s">
        <v>3134</v>
      </c>
      <c r="N124" t="s">
        <v>3536</v>
      </c>
      <c r="O124" t="s">
        <v>3810</v>
      </c>
      <c r="Q124" t="s">
        <v>2709</v>
      </c>
      <c r="R124" t="s">
        <v>2751</v>
      </c>
      <c r="S124" t="s">
        <v>2751</v>
      </c>
      <c r="T124">
        <v>200</v>
      </c>
      <c r="U124" t="s">
        <v>2712</v>
      </c>
      <c r="V124">
        <v>1</v>
      </c>
      <c r="W124" t="s">
        <v>2735</v>
      </c>
      <c r="Z124" t="s">
        <v>2715</v>
      </c>
      <c r="AB124" t="s">
        <v>2716</v>
      </c>
      <c r="AC124" t="s">
        <v>2738</v>
      </c>
      <c r="AE124">
        <v>0</v>
      </c>
      <c r="AF124" t="s">
        <v>3811</v>
      </c>
      <c r="AH124" t="s">
        <v>34</v>
      </c>
      <c r="AI124">
        <v>46174</v>
      </c>
      <c r="AJ124">
        <v>6</v>
      </c>
      <c r="AK124" t="s">
        <v>3812</v>
      </c>
      <c r="AL124" t="s">
        <v>3812</v>
      </c>
      <c r="AM124" t="s">
        <v>3813</v>
      </c>
      <c r="AN124" t="s">
        <v>2911</v>
      </c>
      <c r="AO124" t="s">
        <v>3814</v>
      </c>
      <c r="AP124">
        <v>1193</v>
      </c>
      <c r="AQ124" t="s">
        <v>3815</v>
      </c>
      <c r="AR124" t="s">
        <v>3816</v>
      </c>
      <c r="AS124">
        <v>107</v>
      </c>
      <c r="AT124" t="s">
        <v>3067</v>
      </c>
      <c r="AW124" t="str">
        <f>Plan_2026[[#This Row],[Tên brand]]&amp;" "&amp;Plan_2026[[#This Row],[Trục đường chính]]&amp;Plan_2026[[#This Row],[Tên mall
(chuẩn hóa)]]&amp;Plan_2026[[#This Row],[Địa chỉ đầy đủ]]</f>
        <v>Kichi Kichi Yên Sở, Hoàng Mai, Hà Nội</v>
      </c>
    </row>
    <row r="125" spans="1:49" hidden="1" x14ac:dyDescent="0.35">
      <c r="A125">
        <v>120</v>
      </c>
      <c r="B125" t="s">
        <v>3817</v>
      </c>
      <c r="C125" t="s">
        <v>62</v>
      </c>
      <c r="D125" t="s">
        <v>3463</v>
      </c>
      <c r="E125">
        <v>2026</v>
      </c>
      <c r="F125">
        <v>2</v>
      </c>
      <c r="G125">
        <v>4</v>
      </c>
      <c r="H125">
        <v>8</v>
      </c>
      <c r="J125" t="s">
        <v>23</v>
      </c>
      <c r="K125" t="s">
        <v>2774</v>
      </c>
      <c r="L125" t="s">
        <v>3133</v>
      </c>
      <c r="M125" t="s">
        <v>3134</v>
      </c>
      <c r="N125" t="s">
        <v>3367</v>
      </c>
      <c r="O125" t="s">
        <v>3818</v>
      </c>
      <c r="P125" t="s">
        <v>3819</v>
      </c>
      <c r="Q125" t="s">
        <v>2810</v>
      </c>
      <c r="R125" t="s">
        <v>2751</v>
      </c>
      <c r="S125" t="s">
        <v>2751</v>
      </c>
      <c r="T125" t="s">
        <v>2712</v>
      </c>
      <c r="U125" t="s">
        <v>2712</v>
      </c>
      <c r="V125">
        <v>1</v>
      </c>
      <c r="W125" t="s">
        <v>2735</v>
      </c>
      <c r="X125" t="s">
        <v>3820</v>
      </c>
      <c r="Y125" t="s">
        <v>3820</v>
      </c>
      <c r="Z125">
        <v>300</v>
      </c>
      <c r="AB125" t="s">
        <v>2716</v>
      </c>
      <c r="AC125" t="s">
        <v>2738</v>
      </c>
      <c r="AE125">
        <v>0</v>
      </c>
      <c r="AH125" t="s">
        <v>61</v>
      </c>
      <c r="AI125">
        <v>46113</v>
      </c>
      <c r="AJ125">
        <v>4</v>
      </c>
      <c r="AK125" t="s">
        <v>3821</v>
      </c>
      <c r="AL125" t="s">
        <v>3822</v>
      </c>
      <c r="AM125" t="s">
        <v>3823</v>
      </c>
      <c r="AN125" t="s">
        <v>3824</v>
      </c>
      <c r="AO125" t="s">
        <v>3825</v>
      </c>
      <c r="AP125">
        <v>20903</v>
      </c>
      <c r="AQ125" t="s">
        <v>3826</v>
      </c>
      <c r="AR125" t="s">
        <v>3827</v>
      </c>
      <c r="AS125">
        <v>25</v>
      </c>
      <c r="AT125" t="s">
        <v>3828</v>
      </c>
      <c r="AW125" t="str">
        <f>Plan_2026[[#This Row],[Tên brand]]&amp;" "&amp;Plan_2026[[#This Row],[Trục đường chính]]&amp;Plan_2026[[#This Row],[Tên mall
(chuẩn hóa)]]&amp;Plan_2026[[#This Row],[Địa chỉ đầy đủ]]</f>
        <v>Isushi 201 Phố Minh KhaiHinode City Mall201 Phố Minh Khai, Minh Khai, Hai Bà Trưng, Hà Nội</v>
      </c>
    </row>
    <row r="126" spans="1:49" hidden="1" x14ac:dyDescent="0.35">
      <c r="A126">
        <v>121</v>
      </c>
      <c r="B126" t="s">
        <v>2611</v>
      </c>
      <c r="C126" t="s">
        <v>2787</v>
      </c>
      <c r="D126" t="s">
        <v>2788</v>
      </c>
      <c r="E126">
        <v>2026</v>
      </c>
      <c r="F126">
        <v>3</v>
      </c>
      <c r="G126">
        <v>7</v>
      </c>
      <c r="H126">
        <v>11</v>
      </c>
      <c r="J126" t="s">
        <v>23</v>
      </c>
      <c r="K126" t="s">
        <v>2774</v>
      </c>
      <c r="L126" t="s">
        <v>3133</v>
      </c>
      <c r="M126" t="s">
        <v>3134</v>
      </c>
      <c r="N126" t="s">
        <v>3367</v>
      </c>
      <c r="O126" t="s">
        <v>3818</v>
      </c>
      <c r="P126" t="s">
        <v>2612</v>
      </c>
      <c r="Q126" t="s">
        <v>2810</v>
      </c>
      <c r="R126" t="s">
        <v>2710</v>
      </c>
      <c r="S126" t="s">
        <v>2710</v>
      </c>
      <c r="T126" t="s">
        <v>2800</v>
      </c>
      <c r="U126" t="s">
        <v>2800</v>
      </c>
      <c r="V126">
        <v>1</v>
      </c>
      <c r="W126" t="s">
        <v>2713</v>
      </c>
      <c r="X126" t="s">
        <v>3829</v>
      </c>
      <c r="Y126" t="s">
        <v>3820</v>
      </c>
      <c r="Z126">
        <v>132</v>
      </c>
      <c r="AB126" t="s">
        <v>2716</v>
      </c>
      <c r="AC126" t="s">
        <v>2738</v>
      </c>
      <c r="AE126">
        <v>0</v>
      </c>
      <c r="AF126" t="s">
        <v>3830</v>
      </c>
      <c r="AH126" t="s">
        <v>1788</v>
      </c>
      <c r="AI126">
        <v>46204</v>
      </c>
      <c r="AJ126">
        <v>7</v>
      </c>
      <c r="AK126" t="s">
        <v>3821</v>
      </c>
      <c r="AL126" t="s">
        <v>3831</v>
      </c>
      <c r="AM126" t="s">
        <v>3823</v>
      </c>
      <c r="AN126" t="s">
        <v>2814</v>
      </c>
      <c r="AO126" t="s">
        <v>3832</v>
      </c>
      <c r="AP126">
        <v>20903</v>
      </c>
      <c r="AQ126" t="s">
        <v>3826</v>
      </c>
      <c r="AR126" t="s">
        <v>3827</v>
      </c>
      <c r="AS126">
        <v>81</v>
      </c>
      <c r="AT126" t="s">
        <v>3162</v>
      </c>
      <c r="AW126" t="str">
        <f>Plan_2026[[#This Row],[Tên brand]]&amp;" "&amp;Plan_2026[[#This Row],[Trục đường chính]]&amp;Plan_2026[[#This Row],[Tên mall
(chuẩn hóa)]]&amp;Plan_2026[[#This Row],[Địa chỉ đầy đủ]]</f>
        <v>The Coffee House 210 Minh Khai Hinode City Mall210 Minh Khai , Minh Khai, Hai Bà Trưng, Hà Nội</v>
      </c>
    </row>
    <row r="127" spans="1:49" hidden="1" x14ac:dyDescent="0.35">
      <c r="A127">
        <v>122</v>
      </c>
      <c r="B127" t="s">
        <v>2362</v>
      </c>
      <c r="C127" t="s">
        <v>2702</v>
      </c>
      <c r="D127" t="s">
        <v>3164</v>
      </c>
      <c r="E127">
        <v>2026</v>
      </c>
      <c r="F127">
        <v>3</v>
      </c>
      <c r="G127">
        <v>8</v>
      </c>
      <c r="H127">
        <v>12</v>
      </c>
      <c r="J127" t="s">
        <v>23</v>
      </c>
      <c r="K127" t="s">
        <v>2774</v>
      </c>
      <c r="L127" t="s">
        <v>3133</v>
      </c>
      <c r="M127" t="s">
        <v>3134</v>
      </c>
      <c r="N127" t="s">
        <v>3367</v>
      </c>
      <c r="O127" t="s">
        <v>3833</v>
      </c>
      <c r="P127" t="s">
        <v>3834</v>
      </c>
      <c r="Q127" t="s">
        <v>2709</v>
      </c>
      <c r="R127">
        <v>8</v>
      </c>
      <c r="S127" t="s">
        <v>2710</v>
      </c>
      <c r="T127">
        <v>220</v>
      </c>
      <c r="U127" t="s">
        <v>2712</v>
      </c>
      <c r="V127">
        <v>1</v>
      </c>
      <c r="W127" t="s">
        <v>2713</v>
      </c>
      <c r="Z127" t="s">
        <v>2715</v>
      </c>
      <c r="AA127" t="s">
        <v>3835</v>
      </c>
      <c r="AB127" t="s">
        <v>2716</v>
      </c>
      <c r="AC127" t="s">
        <v>2738</v>
      </c>
      <c r="AE127">
        <v>0</v>
      </c>
      <c r="AF127" t="s">
        <v>3836</v>
      </c>
      <c r="AH127" t="s">
        <v>76</v>
      </c>
      <c r="AI127">
        <v>46235</v>
      </c>
      <c r="AJ127">
        <v>8</v>
      </c>
      <c r="AK127" t="s">
        <v>3837</v>
      </c>
      <c r="AL127" t="s">
        <v>3838</v>
      </c>
      <c r="AM127" t="s">
        <v>3839</v>
      </c>
      <c r="AN127" t="s">
        <v>2721</v>
      </c>
      <c r="AO127" t="s">
        <v>3840</v>
      </c>
      <c r="AP127">
        <v>19821</v>
      </c>
      <c r="AQ127" t="s">
        <v>3841</v>
      </c>
      <c r="AR127" t="s">
        <v>3842</v>
      </c>
      <c r="AS127">
        <v>144</v>
      </c>
      <c r="AT127" t="s">
        <v>3843</v>
      </c>
      <c r="AW127" t="str">
        <f>Plan_2026[[#This Row],[Tên brand]]&amp;" "&amp;Plan_2026[[#This Row],[Trục đường chính]]&amp;Plan_2026[[#This Row],[Tên mall
(chuẩn hóa)]]&amp;Plan_2026[[#This Row],[Địa chỉ đầy đủ]]</f>
        <v>Gogi House Minh Khai, Thanh Nhàn, Thanh NghịMinh Khai, Thanh Nhàn, Thanh Nghị, Vĩnh Tuy, Hai Bà Trưng, Hà Nội</v>
      </c>
    </row>
    <row r="128" spans="1:49" hidden="1" x14ac:dyDescent="0.35">
      <c r="A128">
        <v>123</v>
      </c>
      <c r="B128" t="s">
        <v>2209</v>
      </c>
      <c r="C128" t="s">
        <v>3191</v>
      </c>
      <c r="D128" t="s">
        <v>3192</v>
      </c>
      <c r="E128">
        <v>2025</v>
      </c>
      <c r="F128">
        <v>4</v>
      </c>
      <c r="G128">
        <v>10</v>
      </c>
      <c r="H128">
        <v>2</v>
      </c>
      <c r="J128" t="s">
        <v>23</v>
      </c>
      <c r="K128" t="s">
        <v>2774</v>
      </c>
      <c r="L128" t="s">
        <v>3133</v>
      </c>
      <c r="M128" t="s">
        <v>3134</v>
      </c>
      <c r="N128" t="s">
        <v>3367</v>
      </c>
      <c r="O128" t="s">
        <v>3833</v>
      </c>
      <c r="Q128" t="s">
        <v>2810</v>
      </c>
      <c r="R128" t="s">
        <v>2751</v>
      </c>
      <c r="S128" t="s">
        <v>2751</v>
      </c>
      <c r="T128" t="s">
        <v>3844</v>
      </c>
      <c r="U128" t="s">
        <v>2712</v>
      </c>
      <c r="V128">
        <v>1</v>
      </c>
      <c r="W128" t="s">
        <v>2713</v>
      </c>
      <c r="Z128">
        <v>200</v>
      </c>
      <c r="AA128" t="s">
        <v>3845</v>
      </c>
      <c r="AB128" t="s">
        <v>2716</v>
      </c>
      <c r="AC128" t="s">
        <v>2738</v>
      </c>
      <c r="AE128">
        <v>0</v>
      </c>
      <c r="AF128" t="s">
        <v>3846</v>
      </c>
      <c r="AH128" t="s">
        <v>1311</v>
      </c>
      <c r="AI128">
        <v>45931</v>
      </c>
      <c r="AJ128">
        <v>10</v>
      </c>
      <c r="AK128" t="s">
        <v>3837</v>
      </c>
      <c r="AL128" t="s">
        <v>3837</v>
      </c>
      <c r="AM128" t="s">
        <v>3839</v>
      </c>
      <c r="AN128" t="s">
        <v>3847</v>
      </c>
      <c r="AO128" t="s">
        <v>3848</v>
      </c>
      <c r="AP128">
        <v>19821</v>
      </c>
      <c r="AQ128" t="s">
        <v>3841</v>
      </c>
      <c r="AR128" t="s">
        <v>3842</v>
      </c>
      <c r="AS128">
        <v>5</v>
      </c>
      <c r="AT128" t="s">
        <v>3198</v>
      </c>
      <c r="AW128" t="str">
        <f>Plan_2026[[#This Row],[Tên brand]]&amp;" "&amp;Plan_2026[[#This Row],[Trục đường chính]]&amp;Plan_2026[[#This Row],[Tên mall
(chuẩn hóa)]]&amp;Plan_2026[[#This Row],[Địa chỉ đầy đủ]]</f>
        <v>Union Pizza Vĩnh Tuy, Hai Bà Trưng, Hà Nội</v>
      </c>
    </row>
    <row r="129" spans="1:49" hidden="1" x14ac:dyDescent="0.35">
      <c r="A129">
        <v>124</v>
      </c>
      <c r="B129" t="s">
        <v>3849</v>
      </c>
      <c r="C129" t="s">
        <v>2135</v>
      </c>
      <c r="D129" t="s">
        <v>3327</v>
      </c>
      <c r="E129">
        <v>2025</v>
      </c>
      <c r="F129">
        <v>4</v>
      </c>
      <c r="G129">
        <v>12</v>
      </c>
      <c r="H129">
        <v>4</v>
      </c>
      <c r="J129" t="s">
        <v>23</v>
      </c>
      <c r="K129" t="s">
        <v>2774</v>
      </c>
      <c r="L129" t="s">
        <v>3133</v>
      </c>
      <c r="M129" t="s">
        <v>3134</v>
      </c>
      <c r="N129" t="s">
        <v>3367</v>
      </c>
      <c r="O129" t="s">
        <v>3833</v>
      </c>
      <c r="Q129" t="s">
        <v>2810</v>
      </c>
      <c r="R129" t="s">
        <v>2710</v>
      </c>
      <c r="S129" t="s">
        <v>2710</v>
      </c>
      <c r="T129" t="s">
        <v>2800</v>
      </c>
      <c r="U129" t="s">
        <v>2800</v>
      </c>
      <c r="V129">
        <v>1</v>
      </c>
      <c r="W129" t="s">
        <v>2735</v>
      </c>
      <c r="X129" t="s">
        <v>3850</v>
      </c>
      <c r="Y129" t="s">
        <v>3851</v>
      </c>
      <c r="Z129" t="s">
        <v>3331</v>
      </c>
      <c r="AB129" t="s">
        <v>2716</v>
      </c>
      <c r="AC129" t="s">
        <v>2778</v>
      </c>
      <c r="AE129">
        <v>0</v>
      </c>
      <c r="AH129" t="s">
        <v>1446</v>
      </c>
      <c r="AI129">
        <v>45992</v>
      </c>
      <c r="AJ129">
        <v>12</v>
      </c>
      <c r="AK129" t="s">
        <v>3837</v>
      </c>
      <c r="AL129" t="s">
        <v>3837</v>
      </c>
      <c r="AM129" t="s">
        <v>3839</v>
      </c>
      <c r="AN129" t="s">
        <v>3500</v>
      </c>
      <c r="AO129" t="s">
        <v>3852</v>
      </c>
      <c r="AP129">
        <v>19821</v>
      </c>
      <c r="AQ129" t="s">
        <v>3841</v>
      </c>
      <c r="AR129" t="s">
        <v>3842</v>
      </c>
      <c r="AS129">
        <v>16</v>
      </c>
      <c r="AT129" t="s">
        <v>3853</v>
      </c>
      <c r="AW129" t="str">
        <f>Plan_2026[[#This Row],[Tên brand]]&amp;" "&amp;Plan_2026[[#This Row],[Trục đường chính]]&amp;Plan_2026[[#This Row],[Tên mall
(chuẩn hóa)]]&amp;Plan_2026[[#This Row],[Địa chỉ đầy đủ]]</f>
        <v>Universal Tea Vincom Mega Mall Times CityVĩnh Tuy, Hai Bà Trưng, Hà Nội</v>
      </c>
    </row>
    <row r="130" spans="1:49" hidden="1" x14ac:dyDescent="0.35">
      <c r="A130">
        <v>125</v>
      </c>
      <c r="B130" t="s">
        <v>3854</v>
      </c>
      <c r="C130" t="s">
        <v>35</v>
      </c>
      <c r="D130" t="s">
        <v>3132</v>
      </c>
      <c r="E130">
        <v>2026</v>
      </c>
      <c r="F130">
        <v>3</v>
      </c>
      <c r="G130">
        <v>7</v>
      </c>
      <c r="H130">
        <v>11</v>
      </c>
      <c r="J130" t="s">
        <v>23</v>
      </c>
      <c r="K130" t="s">
        <v>2774</v>
      </c>
      <c r="L130" t="s">
        <v>3133</v>
      </c>
      <c r="M130" t="s">
        <v>3134</v>
      </c>
      <c r="N130" t="s">
        <v>3367</v>
      </c>
      <c r="O130" t="s">
        <v>3833</v>
      </c>
      <c r="Q130" t="s">
        <v>2810</v>
      </c>
      <c r="R130" t="s">
        <v>2751</v>
      </c>
      <c r="S130" t="s">
        <v>2751</v>
      </c>
      <c r="T130">
        <v>200</v>
      </c>
      <c r="U130" t="s">
        <v>2712</v>
      </c>
      <c r="V130">
        <v>1</v>
      </c>
      <c r="W130" t="s">
        <v>2735</v>
      </c>
      <c r="Z130" t="s">
        <v>2715</v>
      </c>
      <c r="AA130" t="s">
        <v>3138</v>
      </c>
      <c r="AB130" t="s">
        <v>2716</v>
      </c>
      <c r="AC130" t="s">
        <v>2738</v>
      </c>
      <c r="AE130">
        <v>0</v>
      </c>
      <c r="AF130" t="s">
        <v>3139</v>
      </c>
      <c r="AH130" t="s">
        <v>34</v>
      </c>
      <c r="AI130">
        <v>46204</v>
      </c>
      <c r="AJ130">
        <v>7</v>
      </c>
      <c r="AK130" t="s">
        <v>3837</v>
      </c>
      <c r="AL130" t="s">
        <v>3837</v>
      </c>
      <c r="AM130" t="s">
        <v>3839</v>
      </c>
      <c r="AN130" t="s">
        <v>2826</v>
      </c>
      <c r="AO130" t="s">
        <v>3855</v>
      </c>
      <c r="AP130">
        <v>19821</v>
      </c>
      <c r="AQ130" t="s">
        <v>3841</v>
      </c>
      <c r="AR130" t="s">
        <v>3842</v>
      </c>
      <c r="AS130">
        <v>107</v>
      </c>
      <c r="AT130" t="s">
        <v>3856</v>
      </c>
      <c r="AW130" t="str">
        <f>Plan_2026[[#This Row],[Tên brand]]&amp;" "&amp;Plan_2026[[#This Row],[Trục đường chính]]&amp;Plan_2026[[#This Row],[Tên mall
(chuẩn hóa)]]&amp;Plan_2026[[#This Row],[Địa chỉ đầy đủ]]</f>
        <v>Kichi Kichi Vĩnh Tuy, Hai Bà Trưng, Hà Nội</v>
      </c>
    </row>
    <row r="131" spans="1:49" hidden="1" x14ac:dyDescent="0.35">
      <c r="A131">
        <v>126</v>
      </c>
      <c r="B131" t="s">
        <v>2384</v>
      </c>
      <c r="C131" t="s">
        <v>3415</v>
      </c>
      <c r="D131" t="s">
        <v>3416</v>
      </c>
      <c r="E131">
        <v>2026</v>
      </c>
      <c r="F131">
        <v>3</v>
      </c>
      <c r="G131">
        <v>8</v>
      </c>
      <c r="H131">
        <v>12</v>
      </c>
      <c r="J131" t="s">
        <v>23</v>
      </c>
      <c r="K131" t="s">
        <v>2774</v>
      </c>
      <c r="L131" t="s">
        <v>3133</v>
      </c>
      <c r="M131" t="s">
        <v>3134</v>
      </c>
      <c r="N131" t="s">
        <v>3367</v>
      </c>
      <c r="O131" t="s">
        <v>3833</v>
      </c>
      <c r="P131" t="s">
        <v>3857</v>
      </c>
      <c r="Q131" t="s">
        <v>2732</v>
      </c>
      <c r="R131" t="s">
        <v>2751</v>
      </c>
      <c r="S131" t="s">
        <v>2751</v>
      </c>
      <c r="T131" t="s">
        <v>2790</v>
      </c>
      <c r="U131" t="s">
        <v>2790</v>
      </c>
      <c r="V131">
        <v>1</v>
      </c>
      <c r="W131" t="s">
        <v>2713</v>
      </c>
      <c r="X131" t="s">
        <v>3851</v>
      </c>
      <c r="Y131" t="s">
        <v>3851</v>
      </c>
      <c r="Z131" t="s">
        <v>3331</v>
      </c>
      <c r="AB131" t="s">
        <v>2716</v>
      </c>
      <c r="AC131" t="s">
        <v>2738</v>
      </c>
      <c r="AE131">
        <v>0</v>
      </c>
      <c r="AF131" t="s">
        <v>3858</v>
      </c>
      <c r="AH131" t="s">
        <v>1611</v>
      </c>
      <c r="AI131">
        <v>46235</v>
      </c>
      <c r="AJ131">
        <v>8</v>
      </c>
      <c r="AK131" t="s">
        <v>3837</v>
      </c>
      <c r="AL131" t="s">
        <v>3859</v>
      </c>
      <c r="AM131" t="s">
        <v>3839</v>
      </c>
      <c r="AN131" t="s">
        <v>3734</v>
      </c>
      <c r="AO131" t="s">
        <v>3860</v>
      </c>
      <c r="AP131">
        <v>19821</v>
      </c>
      <c r="AQ131" t="s">
        <v>3841</v>
      </c>
      <c r="AR131" t="s">
        <v>3842</v>
      </c>
      <c r="AS131">
        <v>0</v>
      </c>
      <c r="AT131" t="s">
        <v>3297</v>
      </c>
      <c r="AW131" t="str">
        <f>Plan_2026[[#This Row],[Tên brand]]&amp;" "&amp;Plan_2026[[#This Row],[Trục đường chính]]&amp;Plan_2026[[#This Row],[Tên mall
(chuẩn hóa)]]&amp;Plan_2026[[#This Row],[Địa chỉ đầy đủ]]</f>
        <v>Mama's Bakery 458 Đường Minh KhaiVincom Mega Mall Times City458 Đường Minh Khai, Vĩnh Tuy, Hai Bà Trưng, Hà Nội</v>
      </c>
    </row>
    <row r="132" spans="1:49" hidden="1" x14ac:dyDescent="0.35">
      <c r="A132">
        <v>127</v>
      </c>
      <c r="B132" t="s">
        <v>2302</v>
      </c>
      <c r="C132" t="s">
        <v>3861</v>
      </c>
      <c r="D132" t="s">
        <v>3862</v>
      </c>
      <c r="E132">
        <v>2025</v>
      </c>
      <c r="F132">
        <v>4</v>
      </c>
      <c r="G132">
        <v>11</v>
      </c>
      <c r="H132">
        <v>3</v>
      </c>
      <c r="J132" t="s">
        <v>23</v>
      </c>
      <c r="K132" t="s">
        <v>2774</v>
      </c>
      <c r="L132" t="s">
        <v>3133</v>
      </c>
      <c r="M132" t="s">
        <v>3134</v>
      </c>
      <c r="N132" t="s">
        <v>3367</v>
      </c>
      <c r="O132" t="s">
        <v>3833</v>
      </c>
      <c r="P132" t="s">
        <v>3863</v>
      </c>
      <c r="Q132" t="s">
        <v>2732</v>
      </c>
      <c r="R132" t="s">
        <v>2751</v>
      </c>
      <c r="S132" t="s">
        <v>2751</v>
      </c>
      <c r="T132" t="s">
        <v>2762</v>
      </c>
      <c r="U132" t="s">
        <v>2762</v>
      </c>
      <c r="V132">
        <v>1</v>
      </c>
      <c r="W132" t="s">
        <v>2713</v>
      </c>
      <c r="X132" t="s">
        <v>3851</v>
      </c>
      <c r="Y132" t="s">
        <v>3851</v>
      </c>
      <c r="Z132" t="s">
        <v>2715</v>
      </c>
      <c r="AB132" t="s">
        <v>2716</v>
      </c>
      <c r="AC132" t="s">
        <v>2778</v>
      </c>
      <c r="AE132">
        <v>0</v>
      </c>
      <c r="AF132" t="s">
        <v>3864</v>
      </c>
      <c r="AH132" t="s">
        <v>301</v>
      </c>
      <c r="AI132">
        <v>45962</v>
      </c>
      <c r="AJ132">
        <v>11</v>
      </c>
      <c r="AK132" t="s">
        <v>3837</v>
      </c>
      <c r="AL132" t="s">
        <v>3865</v>
      </c>
      <c r="AM132" t="s">
        <v>3839</v>
      </c>
      <c r="AN132" t="s">
        <v>3866</v>
      </c>
      <c r="AO132" t="s">
        <v>3867</v>
      </c>
      <c r="AP132">
        <v>19821</v>
      </c>
      <c r="AQ132" t="s">
        <v>3841</v>
      </c>
      <c r="AR132" t="s">
        <v>3842</v>
      </c>
      <c r="AS132">
        <v>14</v>
      </c>
      <c r="AT132" t="s">
        <v>3868</v>
      </c>
      <c r="AW132" t="str">
        <f>Plan_2026[[#This Row],[Tên brand]]&amp;" "&amp;Plan_2026[[#This Row],[Trục đường chính]]&amp;Plan_2026[[#This Row],[Tên mall
(chuẩn hóa)]]&amp;Plan_2026[[#This Row],[Địa chỉ đầy đủ]]</f>
        <v>Lách ca lách cách 458 Minh KhaiVincom Mega Mall Times City458 Minh Khai, Vĩnh Tuy, Hai Bà Trưng, Hà Nội</v>
      </c>
    </row>
    <row r="133" spans="1:49" hidden="1" x14ac:dyDescent="0.35">
      <c r="A133">
        <v>128</v>
      </c>
      <c r="B133" t="s">
        <v>3869</v>
      </c>
      <c r="C133" t="s">
        <v>2135</v>
      </c>
      <c r="D133" t="s">
        <v>3327</v>
      </c>
      <c r="E133">
        <v>2026</v>
      </c>
      <c r="F133">
        <v>1</v>
      </c>
      <c r="G133">
        <v>1</v>
      </c>
      <c r="H133">
        <v>5</v>
      </c>
      <c r="J133" t="s">
        <v>23</v>
      </c>
      <c r="K133" t="s">
        <v>2774</v>
      </c>
      <c r="L133" t="s">
        <v>3133</v>
      </c>
      <c r="M133" t="s">
        <v>3134</v>
      </c>
      <c r="N133" t="s">
        <v>3367</v>
      </c>
      <c r="O133" t="s">
        <v>3833</v>
      </c>
      <c r="P133" t="s">
        <v>3857</v>
      </c>
      <c r="Q133" t="s">
        <v>2732</v>
      </c>
      <c r="R133" t="s">
        <v>2751</v>
      </c>
      <c r="S133" t="s">
        <v>2751</v>
      </c>
      <c r="T133" t="s">
        <v>2800</v>
      </c>
      <c r="U133" t="s">
        <v>2800</v>
      </c>
      <c r="V133">
        <v>1</v>
      </c>
      <c r="W133" t="s">
        <v>2735</v>
      </c>
      <c r="X133" t="s">
        <v>3851</v>
      </c>
      <c r="Y133" t="s">
        <v>3851</v>
      </c>
      <c r="Z133" t="s">
        <v>3331</v>
      </c>
      <c r="AB133" t="s">
        <v>2716</v>
      </c>
      <c r="AC133" t="s">
        <v>2717</v>
      </c>
      <c r="AE133">
        <v>0</v>
      </c>
      <c r="AH133" t="s">
        <v>1446</v>
      </c>
      <c r="AI133">
        <v>46023</v>
      </c>
      <c r="AJ133">
        <v>1</v>
      </c>
      <c r="AK133" t="s">
        <v>3837</v>
      </c>
      <c r="AL133" t="s">
        <v>3859</v>
      </c>
      <c r="AM133" t="s">
        <v>3839</v>
      </c>
      <c r="AN133" t="s">
        <v>3336</v>
      </c>
      <c r="AO133" t="s">
        <v>3870</v>
      </c>
      <c r="AP133">
        <v>19821</v>
      </c>
      <c r="AQ133" t="s">
        <v>3841</v>
      </c>
      <c r="AR133" t="s">
        <v>3842</v>
      </c>
      <c r="AS133">
        <v>16</v>
      </c>
      <c r="AT133" t="s">
        <v>3853</v>
      </c>
      <c r="AW133" t="str">
        <f>Plan_2026[[#This Row],[Tên brand]]&amp;" "&amp;Plan_2026[[#This Row],[Trục đường chính]]&amp;Plan_2026[[#This Row],[Tên mall
(chuẩn hóa)]]&amp;Plan_2026[[#This Row],[Địa chỉ đầy đủ]]</f>
        <v>Universal Tea 458 Đường Minh KhaiVincom Mega Mall Times City458 Đường Minh Khai, Vĩnh Tuy, Hai Bà Trưng, Hà Nội</v>
      </c>
    </row>
    <row r="134" spans="1:49" hidden="1" x14ac:dyDescent="0.35">
      <c r="A134">
        <v>129</v>
      </c>
      <c r="B134" t="s">
        <v>2318</v>
      </c>
      <c r="C134" t="s">
        <v>229</v>
      </c>
      <c r="D134" t="s">
        <v>3871</v>
      </c>
      <c r="E134">
        <v>2026</v>
      </c>
      <c r="F134">
        <v>2</v>
      </c>
      <c r="G134">
        <v>5</v>
      </c>
      <c r="H134">
        <v>9</v>
      </c>
      <c r="J134" t="s">
        <v>23</v>
      </c>
      <c r="K134" t="s">
        <v>2774</v>
      </c>
      <c r="L134" t="s">
        <v>3133</v>
      </c>
      <c r="M134" t="s">
        <v>3134</v>
      </c>
      <c r="N134" t="s">
        <v>3367</v>
      </c>
      <c r="O134" t="s">
        <v>3833</v>
      </c>
      <c r="P134" t="s">
        <v>3857</v>
      </c>
      <c r="Q134" t="s">
        <v>2732</v>
      </c>
      <c r="R134">
        <v>8</v>
      </c>
      <c r="S134" t="s">
        <v>2710</v>
      </c>
      <c r="T134" t="s">
        <v>2882</v>
      </c>
      <c r="U134" t="s">
        <v>2800</v>
      </c>
      <c r="V134">
        <v>1</v>
      </c>
      <c r="W134" t="s">
        <v>2713</v>
      </c>
      <c r="X134" t="s">
        <v>3851</v>
      </c>
      <c r="Y134" t="s">
        <v>3851</v>
      </c>
      <c r="Z134" t="s">
        <v>2715</v>
      </c>
      <c r="AB134" t="s">
        <v>2716</v>
      </c>
      <c r="AC134" t="s">
        <v>2738</v>
      </c>
      <c r="AE134">
        <v>0</v>
      </c>
      <c r="AF134" t="s">
        <v>3872</v>
      </c>
      <c r="AH134" t="s">
        <v>228</v>
      </c>
      <c r="AI134">
        <v>46143</v>
      </c>
      <c r="AJ134">
        <v>5</v>
      </c>
      <c r="AK134" t="s">
        <v>3837</v>
      </c>
      <c r="AL134" t="s">
        <v>3859</v>
      </c>
      <c r="AM134" t="s">
        <v>3839</v>
      </c>
      <c r="AN134" t="s">
        <v>3127</v>
      </c>
      <c r="AO134" t="s">
        <v>3873</v>
      </c>
      <c r="AP134">
        <v>19821</v>
      </c>
      <c r="AQ134" t="s">
        <v>3841</v>
      </c>
      <c r="AR134" t="s">
        <v>3842</v>
      </c>
      <c r="AS134">
        <v>10</v>
      </c>
      <c r="AT134" t="s">
        <v>3874</v>
      </c>
      <c r="AW134" t="str">
        <f>Plan_2026[[#This Row],[Tên brand]]&amp;" "&amp;Plan_2026[[#This Row],[Trục đường chính]]&amp;Plan_2026[[#This Row],[Tên mall
(chuẩn hóa)]]&amp;Plan_2026[[#This Row],[Địa chỉ đầy đủ]]</f>
        <v>Yutang 458 Đường Minh KhaiVincom Mega Mall Times City458 Đường Minh Khai, Vĩnh Tuy, Hai Bà Trưng, Hà Nội</v>
      </c>
    </row>
    <row r="135" spans="1:49" hidden="1" x14ac:dyDescent="0.35">
      <c r="A135">
        <v>130</v>
      </c>
      <c r="B135" t="s">
        <v>2533</v>
      </c>
      <c r="C135" t="s">
        <v>2787</v>
      </c>
      <c r="D135" t="s">
        <v>2788</v>
      </c>
      <c r="E135">
        <v>2026</v>
      </c>
      <c r="F135">
        <v>1</v>
      </c>
      <c r="G135">
        <v>2</v>
      </c>
      <c r="H135">
        <v>6</v>
      </c>
      <c r="J135" t="s">
        <v>23</v>
      </c>
      <c r="K135" t="s">
        <v>2774</v>
      </c>
      <c r="L135" t="s">
        <v>3133</v>
      </c>
      <c r="M135" t="s">
        <v>3134</v>
      </c>
      <c r="N135" t="s">
        <v>3148</v>
      </c>
      <c r="O135" t="s">
        <v>3875</v>
      </c>
      <c r="P135" t="s">
        <v>2534</v>
      </c>
      <c r="Q135" t="s">
        <v>2732</v>
      </c>
      <c r="R135" t="s">
        <v>2710</v>
      </c>
      <c r="S135" t="s">
        <v>2710</v>
      </c>
      <c r="T135" t="s">
        <v>2800</v>
      </c>
      <c r="U135" t="s">
        <v>2800</v>
      </c>
      <c r="V135">
        <v>1</v>
      </c>
      <c r="W135" t="s">
        <v>2713</v>
      </c>
      <c r="X135" t="s">
        <v>3330</v>
      </c>
      <c r="Y135" t="s">
        <v>3330</v>
      </c>
      <c r="Z135">
        <v>132</v>
      </c>
      <c r="AB135" t="s">
        <v>2716</v>
      </c>
      <c r="AC135" t="s">
        <v>2717</v>
      </c>
      <c r="AE135">
        <v>0</v>
      </c>
      <c r="AF135" t="s">
        <v>2534</v>
      </c>
      <c r="AH135" t="s">
        <v>1788</v>
      </c>
      <c r="AI135">
        <v>46054</v>
      </c>
      <c r="AJ135">
        <v>2</v>
      </c>
      <c r="AK135" t="s">
        <v>3876</v>
      </c>
      <c r="AL135" t="s">
        <v>3877</v>
      </c>
      <c r="AM135" t="s">
        <v>3878</v>
      </c>
      <c r="AN135" t="s">
        <v>2804</v>
      </c>
      <c r="AO135" t="s">
        <v>3879</v>
      </c>
      <c r="AP135">
        <v>25014</v>
      </c>
      <c r="AQ135" t="s">
        <v>3880</v>
      </c>
      <c r="AR135" t="s">
        <v>3881</v>
      </c>
      <c r="AS135">
        <v>81</v>
      </c>
      <c r="AT135" t="s">
        <v>3882</v>
      </c>
      <c r="AW135" t="str">
        <f>Plan_2026[[#This Row],[Tên brand]]&amp;" "&amp;Plan_2026[[#This Row],[Trục đường chính]]&amp;Plan_2026[[#This Row],[Tên mall
(chuẩn hóa)]]&amp;Plan_2026[[#This Row],[Địa chỉ đầy đủ]]</f>
        <v>The Coffee House Vincom Phạm Ngọc Thạch (trệt)Vincom Center Phạm Ngọc ThạchVincom Phạm Ngọc Thạch (trệt), Kim Liên, Đống Đa, Hà Nội</v>
      </c>
    </row>
    <row r="136" spans="1:49" hidden="1" x14ac:dyDescent="0.35">
      <c r="A136">
        <v>131</v>
      </c>
      <c r="B136" t="s">
        <v>3883</v>
      </c>
      <c r="C136" t="s">
        <v>2135</v>
      </c>
      <c r="D136" t="s">
        <v>3327</v>
      </c>
      <c r="E136">
        <v>2026</v>
      </c>
      <c r="F136">
        <v>1</v>
      </c>
      <c r="G136">
        <v>2</v>
      </c>
      <c r="H136">
        <v>6</v>
      </c>
      <c r="J136" t="s">
        <v>23</v>
      </c>
      <c r="K136" t="s">
        <v>2774</v>
      </c>
      <c r="L136" t="s">
        <v>3133</v>
      </c>
      <c r="M136" t="s">
        <v>3134</v>
      </c>
      <c r="N136" t="s">
        <v>3376</v>
      </c>
      <c r="O136" t="s">
        <v>3884</v>
      </c>
      <c r="P136" t="s">
        <v>3885</v>
      </c>
      <c r="Q136" t="s">
        <v>2732</v>
      </c>
      <c r="R136" t="s">
        <v>2751</v>
      </c>
      <c r="S136" t="s">
        <v>2751</v>
      </c>
      <c r="T136" t="s">
        <v>2800</v>
      </c>
      <c r="U136" t="s">
        <v>2800</v>
      </c>
      <c r="V136">
        <v>1</v>
      </c>
      <c r="W136" t="s">
        <v>2735</v>
      </c>
      <c r="X136" t="s">
        <v>3886</v>
      </c>
      <c r="Y136" t="s">
        <v>3886</v>
      </c>
      <c r="Z136" t="s">
        <v>3331</v>
      </c>
      <c r="AB136" t="s">
        <v>2716</v>
      </c>
      <c r="AC136" t="s">
        <v>2717</v>
      </c>
      <c r="AE136">
        <v>0</v>
      </c>
      <c r="AG136" t="s">
        <v>2908</v>
      </c>
      <c r="AH136" t="s">
        <v>1446</v>
      </c>
      <c r="AI136">
        <v>46054</v>
      </c>
      <c r="AJ136">
        <v>2</v>
      </c>
      <c r="AK136" t="s">
        <v>3887</v>
      </c>
      <c r="AL136" t="s">
        <v>3888</v>
      </c>
      <c r="AM136" t="s">
        <v>3889</v>
      </c>
      <c r="AN136" t="s">
        <v>3336</v>
      </c>
      <c r="AO136" t="s">
        <v>3890</v>
      </c>
      <c r="AP136">
        <v>14681</v>
      </c>
      <c r="AQ136" t="s">
        <v>3891</v>
      </c>
      <c r="AR136" t="s">
        <v>3892</v>
      </c>
      <c r="AS136">
        <v>16</v>
      </c>
      <c r="AT136" t="s">
        <v>3893</v>
      </c>
      <c r="AW136" t="str">
        <f>Plan_2026[[#This Row],[Tên brand]]&amp;" "&amp;Plan_2026[[#This Row],[Trục đường chính]]&amp;Plan_2026[[#This Row],[Tên mall
(chuẩn hóa)]]&amp;Plan_2026[[#This Row],[Địa chỉ đầy đủ]]</f>
        <v>Universal Tea 119 Đường Trần Duy HưngVincom Center Trần Duy Hưng119 Đường Trần Duy Hưng, Trung Hoà, Cầu Giấy, Hà Nội</v>
      </c>
    </row>
    <row r="137" spans="1:49" hidden="1" x14ac:dyDescent="0.35">
      <c r="A137">
        <v>132</v>
      </c>
      <c r="B137" t="s">
        <v>3894</v>
      </c>
      <c r="C137" t="s">
        <v>2849</v>
      </c>
      <c r="D137" t="s">
        <v>3552</v>
      </c>
      <c r="E137">
        <v>2026</v>
      </c>
      <c r="F137">
        <v>1</v>
      </c>
      <c r="G137">
        <v>1</v>
      </c>
      <c r="H137">
        <v>5</v>
      </c>
      <c r="J137" t="s">
        <v>23</v>
      </c>
      <c r="K137" t="s">
        <v>2774</v>
      </c>
      <c r="L137" t="s">
        <v>3133</v>
      </c>
      <c r="M137" t="s">
        <v>3134</v>
      </c>
      <c r="N137" t="s">
        <v>3376</v>
      </c>
      <c r="O137" t="s">
        <v>3884</v>
      </c>
      <c r="P137" t="s">
        <v>3895</v>
      </c>
      <c r="Q137" t="s">
        <v>2732</v>
      </c>
      <c r="R137" t="s">
        <v>2751</v>
      </c>
      <c r="S137" t="s">
        <v>2751</v>
      </c>
      <c r="T137" t="s">
        <v>2790</v>
      </c>
      <c r="U137" t="s">
        <v>2790</v>
      </c>
      <c r="V137">
        <v>1</v>
      </c>
      <c r="W137" t="s">
        <v>2735</v>
      </c>
      <c r="X137" t="s">
        <v>3896</v>
      </c>
      <c r="Y137" t="s">
        <v>3897</v>
      </c>
      <c r="Z137" t="s">
        <v>2715</v>
      </c>
      <c r="AB137" t="s">
        <v>2716</v>
      </c>
      <c r="AC137" t="s">
        <v>2763</v>
      </c>
      <c r="AE137">
        <v>1</v>
      </c>
      <c r="AG137" t="s">
        <v>2908</v>
      </c>
      <c r="AH137" t="s">
        <v>1771</v>
      </c>
      <c r="AI137">
        <v>46023</v>
      </c>
      <c r="AJ137">
        <v>1</v>
      </c>
      <c r="AK137" t="s">
        <v>3887</v>
      </c>
      <c r="AL137" t="s">
        <v>3898</v>
      </c>
      <c r="AM137" t="s">
        <v>3889</v>
      </c>
      <c r="AN137" t="s">
        <v>2862</v>
      </c>
      <c r="AO137" t="s">
        <v>3899</v>
      </c>
      <c r="AP137">
        <v>14681</v>
      </c>
      <c r="AQ137" t="s">
        <v>3891</v>
      </c>
      <c r="AR137" t="s">
        <v>3892</v>
      </c>
      <c r="AS137">
        <v>2</v>
      </c>
      <c r="AT137" t="s">
        <v>3900</v>
      </c>
      <c r="AW137" t="str">
        <f>Plan_2026[[#This Row],[Tên brand]]&amp;" "&amp;Plan_2026[[#This Row],[Trục đường chính]]&amp;Plan_2026[[#This Row],[Tên mall
(chuẩn hóa)]]&amp;Plan_2026[[#This Row],[Địa chỉ đầy đủ]]</f>
        <v>Wow!Yakiniku 222 đường Trần Duy HưngGo! Thăng Long222 đường Trần Duy Hưng, Trung Hoà, Cầu Giấy, Hà Nội</v>
      </c>
    </row>
    <row r="138" spans="1:49" hidden="1" x14ac:dyDescent="0.35">
      <c r="A138">
        <v>133</v>
      </c>
      <c r="B138" t="s">
        <v>2459</v>
      </c>
      <c r="C138" t="s">
        <v>2008</v>
      </c>
      <c r="D138" t="s">
        <v>2832</v>
      </c>
      <c r="E138">
        <v>2025</v>
      </c>
      <c r="F138">
        <v>4</v>
      </c>
      <c r="G138">
        <v>11</v>
      </c>
      <c r="H138">
        <v>3</v>
      </c>
      <c r="I138">
        <v>5</v>
      </c>
      <c r="J138" t="s">
        <v>23</v>
      </c>
      <c r="K138" t="s">
        <v>2774</v>
      </c>
      <c r="L138" t="s">
        <v>3133</v>
      </c>
      <c r="M138" t="s">
        <v>3134</v>
      </c>
      <c r="N138" t="s">
        <v>3376</v>
      </c>
      <c r="O138" t="s">
        <v>3884</v>
      </c>
      <c r="P138" t="s">
        <v>2460</v>
      </c>
      <c r="Q138" t="s">
        <v>2709</v>
      </c>
      <c r="R138" t="s">
        <v>2751</v>
      </c>
      <c r="S138" t="s">
        <v>2751</v>
      </c>
      <c r="T138" t="s">
        <v>2712</v>
      </c>
      <c r="U138" t="s">
        <v>2712</v>
      </c>
      <c r="V138">
        <v>1</v>
      </c>
      <c r="W138" t="s">
        <v>2713</v>
      </c>
      <c r="Z138">
        <v>160</v>
      </c>
      <c r="AB138" t="s">
        <v>2716</v>
      </c>
      <c r="AC138" t="s">
        <v>2738</v>
      </c>
      <c r="AE138">
        <v>0</v>
      </c>
      <c r="AH138" t="s">
        <v>2044</v>
      </c>
      <c r="AI138">
        <v>45962</v>
      </c>
      <c r="AJ138">
        <v>11</v>
      </c>
      <c r="AK138" t="s">
        <v>3887</v>
      </c>
      <c r="AL138" t="s">
        <v>3901</v>
      </c>
      <c r="AM138" t="s">
        <v>3889</v>
      </c>
      <c r="AN138" t="s">
        <v>2767</v>
      </c>
      <c r="AO138" t="s">
        <v>3902</v>
      </c>
      <c r="AP138">
        <v>14681</v>
      </c>
      <c r="AQ138" t="s">
        <v>3891</v>
      </c>
      <c r="AR138" t="s">
        <v>3892</v>
      </c>
      <c r="AS138">
        <v>6</v>
      </c>
      <c r="AT138" t="s">
        <v>3345</v>
      </c>
      <c r="AW138" t="str">
        <f>Plan_2026[[#This Row],[Tên brand]]&amp;" "&amp;Plan_2026[[#This Row],[Trục đường chính]]&amp;Plan_2026[[#This Row],[Tên mall
(chuẩn hóa)]]&amp;Plan_2026[[#This Row],[Địa chỉ đầy đủ]]</f>
        <v>Dao Niu Guo Trung Hoà - HĐTTrung Hoà - HĐT, Trung Hoà, Cầu Giấy, Hà Nội</v>
      </c>
    </row>
    <row r="139" spans="1:49" hidden="1" x14ac:dyDescent="0.35">
      <c r="A139">
        <v>134</v>
      </c>
      <c r="B139" t="s">
        <v>2310</v>
      </c>
      <c r="C139" t="s">
        <v>3861</v>
      </c>
      <c r="D139" t="s">
        <v>3862</v>
      </c>
      <c r="E139">
        <v>2026</v>
      </c>
      <c r="F139">
        <v>2</v>
      </c>
      <c r="G139">
        <v>4</v>
      </c>
      <c r="H139">
        <v>8</v>
      </c>
      <c r="J139" t="s">
        <v>23</v>
      </c>
      <c r="K139" t="s">
        <v>2774</v>
      </c>
      <c r="L139" t="s">
        <v>3133</v>
      </c>
      <c r="M139" t="s">
        <v>3134</v>
      </c>
      <c r="N139" t="s">
        <v>3376</v>
      </c>
      <c r="O139" t="s">
        <v>3884</v>
      </c>
      <c r="P139" t="s">
        <v>3903</v>
      </c>
      <c r="Q139" t="s">
        <v>2709</v>
      </c>
      <c r="R139" t="s">
        <v>2751</v>
      </c>
      <c r="S139" t="s">
        <v>2751</v>
      </c>
      <c r="T139" t="s">
        <v>2762</v>
      </c>
      <c r="U139" t="s">
        <v>2762</v>
      </c>
      <c r="V139">
        <v>1</v>
      </c>
      <c r="W139" t="s">
        <v>2713</v>
      </c>
      <c r="Z139" t="s">
        <v>2715</v>
      </c>
      <c r="AB139" t="s">
        <v>2716</v>
      </c>
      <c r="AC139" t="s">
        <v>2738</v>
      </c>
      <c r="AE139">
        <v>0</v>
      </c>
      <c r="AH139" t="s">
        <v>301</v>
      </c>
      <c r="AI139">
        <v>46113</v>
      </c>
      <c r="AJ139">
        <v>4</v>
      </c>
      <c r="AK139" t="s">
        <v>3887</v>
      </c>
      <c r="AL139" t="s">
        <v>3904</v>
      </c>
      <c r="AM139" t="s">
        <v>3889</v>
      </c>
      <c r="AN139" t="s">
        <v>3905</v>
      </c>
      <c r="AO139" t="s">
        <v>3906</v>
      </c>
      <c r="AP139">
        <v>14681</v>
      </c>
      <c r="AQ139" t="s">
        <v>3891</v>
      </c>
      <c r="AR139" t="s">
        <v>3892</v>
      </c>
      <c r="AS139">
        <v>14</v>
      </c>
      <c r="AT139" t="s">
        <v>3907</v>
      </c>
      <c r="AW139" t="str">
        <f>Plan_2026[[#This Row],[Tên brand]]&amp;" "&amp;Plan_2026[[#This Row],[Trục đường chính]]&amp;Plan_2026[[#This Row],[Tên mall
(chuẩn hóa)]]&amp;Plan_2026[[#This Row],[Địa chỉ đầy đủ]]</f>
        <v>Lách ca lách cách Trần Duy Hưng/Hoàng Đạo ThúyTrần Duy Hưng/Hoàng Đạo Thúy, Trung Hoà, Cầu Giấy, Hà Nội</v>
      </c>
    </row>
    <row r="140" spans="1:49" hidden="1" x14ac:dyDescent="0.35">
      <c r="A140">
        <v>135</v>
      </c>
      <c r="B140" t="s">
        <v>3908</v>
      </c>
      <c r="C140" t="s">
        <v>3397</v>
      </c>
      <c r="D140" t="s">
        <v>2832</v>
      </c>
      <c r="E140">
        <v>2026</v>
      </c>
      <c r="F140">
        <v>3</v>
      </c>
      <c r="G140">
        <v>7</v>
      </c>
      <c r="H140">
        <v>11</v>
      </c>
      <c r="J140" t="s">
        <v>23</v>
      </c>
      <c r="K140" t="s">
        <v>2774</v>
      </c>
      <c r="L140" t="s">
        <v>3133</v>
      </c>
      <c r="M140" t="s">
        <v>3134</v>
      </c>
      <c r="N140" t="s">
        <v>3376</v>
      </c>
      <c r="O140" t="s">
        <v>3884</v>
      </c>
      <c r="P140" t="s">
        <v>3909</v>
      </c>
      <c r="Q140" t="s">
        <v>2810</v>
      </c>
      <c r="R140" t="s">
        <v>2751</v>
      </c>
      <c r="S140" t="s">
        <v>2751</v>
      </c>
      <c r="T140" t="s">
        <v>2762</v>
      </c>
      <c r="U140" t="s">
        <v>2762</v>
      </c>
      <c r="V140">
        <v>1</v>
      </c>
      <c r="W140" t="s">
        <v>2735</v>
      </c>
      <c r="X140" t="s">
        <v>3910</v>
      </c>
      <c r="Z140" t="s">
        <v>2715</v>
      </c>
      <c r="AB140" t="s">
        <v>2716</v>
      </c>
      <c r="AC140" t="s">
        <v>2717</v>
      </c>
      <c r="AE140">
        <v>0</v>
      </c>
      <c r="AF140" t="s">
        <v>3911</v>
      </c>
      <c r="AH140" t="s">
        <v>1561</v>
      </c>
      <c r="AI140">
        <v>46204</v>
      </c>
      <c r="AJ140">
        <v>7</v>
      </c>
      <c r="AK140" t="s">
        <v>3887</v>
      </c>
      <c r="AL140" t="s">
        <v>3912</v>
      </c>
      <c r="AM140" t="s">
        <v>3889</v>
      </c>
      <c r="AN140" t="s">
        <v>3913</v>
      </c>
      <c r="AO140" t="s">
        <v>3914</v>
      </c>
      <c r="AP140">
        <v>14681</v>
      </c>
      <c r="AQ140" t="s">
        <v>3891</v>
      </c>
      <c r="AR140" t="s">
        <v>3892</v>
      </c>
      <c r="AS140">
        <v>4</v>
      </c>
      <c r="AT140" t="s">
        <v>3407</v>
      </c>
      <c r="AW140" t="str">
        <f>Plan_2026[[#This Row],[Tên brand]]&amp;" "&amp;Plan_2026[[#This Row],[Trục đường chính]]&amp;Plan_2026[[#This Row],[Tên mall
(chuẩn hóa)]]&amp;Plan_2026[[#This Row],[Địa chỉ đầy đủ]]</f>
        <v>Man Tang Guo UDic Hoàng Đạo ThúyUDic Hoàng Đạo Thúy, Trung Hoà, Cầu Giấy, Hà Nội</v>
      </c>
    </row>
    <row r="141" spans="1:49" hidden="1" x14ac:dyDescent="0.35">
      <c r="A141">
        <v>136</v>
      </c>
      <c r="B141" t="s">
        <v>3915</v>
      </c>
      <c r="C141" t="s">
        <v>35</v>
      </c>
      <c r="D141" t="s">
        <v>3132</v>
      </c>
      <c r="E141">
        <v>2025</v>
      </c>
      <c r="F141">
        <v>3</v>
      </c>
      <c r="G141">
        <v>9</v>
      </c>
      <c r="H141">
        <v>1</v>
      </c>
      <c r="J141" t="s">
        <v>23</v>
      </c>
      <c r="K141" t="s">
        <v>2774</v>
      </c>
      <c r="L141" t="s">
        <v>3133</v>
      </c>
      <c r="M141" t="s">
        <v>3134</v>
      </c>
      <c r="N141" t="s">
        <v>3376</v>
      </c>
      <c r="O141" t="s">
        <v>3884</v>
      </c>
      <c r="P141" t="s">
        <v>3916</v>
      </c>
      <c r="Q141" t="s">
        <v>2709</v>
      </c>
      <c r="R141" t="s">
        <v>2751</v>
      </c>
      <c r="S141" t="s">
        <v>2751</v>
      </c>
      <c r="T141">
        <v>200</v>
      </c>
      <c r="U141" t="s">
        <v>2712</v>
      </c>
      <c r="V141">
        <v>1</v>
      </c>
      <c r="W141" t="s">
        <v>2735</v>
      </c>
      <c r="Z141" t="s">
        <v>2715</v>
      </c>
      <c r="AB141" t="s">
        <v>1794</v>
      </c>
      <c r="AC141" t="s">
        <v>2763</v>
      </c>
      <c r="AE141">
        <v>1</v>
      </c>
      <c r="AH141" t="s">
        <v>34</v>
      </c>
      <c r="AI141">
        <v>45901</v>
      </c>
      <c r="AJ141">
        <v>9</v>
      </c>
      <c r="AK141" t="s">
        <v>3887</v>
      </c>
      <c r="AL141" t="s">
        <v>3917</v>
      </c>
      <c r="AM141" t="s">
        <v>3889</v>
      </c>
      <c r="AN141" t="s">
        <v>2911</v>
      </c>
      <c r="AO141" t="s">
        <v>3918</v>
      </c>
      <c r="AP141">
        <v>14681</v>
      </c>
      <c r="AQ141" t="s">
        <v>3891</v>
      </c>
      <c r="AR141" t="s">
        <v>3892</v>
      </c>
      <c r="AS141">
        <v>107</v>
      </c>
      <c r="AT141" t="s">
        <v>3919</v>
      </c>
      <c r="AW141" t="str">
        <f>Plan_2026[[#This Row],[Tên brand]]&amp;" "&amp;Plan_2026[[#This Row],[Trục đường chính]]&amp;Plan_2026[[#This Row],[Tên mall
(chuẩn hóa)]]&amp;Plan_2026[[#This Row],[Địa chỉ đầy đủ]]</f>
        <v>Kichi Kichi Hoàng Đạo ThúyHoàng Đạo Thúy, Trung Hoà, Cầu Giấy, Hà Nội</v>
      </c>
    </row>
    <row r="142" spans="1:49" hidden="1" x14ac:dyDescent="0.35">
      <c r="A142">
        <v>137</v>
      </c>
      <c r="B142" t="s">
        <v>3920</v>
      </c>
      <c r="C142" t="s">
        <v>35</v>
      </c>
      <c r="D142" t="s">
        <v>3132</v>
      </c>
      <c r="E142">
        <v>2026</v>
      </c>
      <c r="F142">
        <v>3</v>
      </c>
      <c r="G142">
        <v>7</v>
      </c>
      <c r="H142">
        <v>11</v>
      </c>
      <c r="J142" t="s">
        <v>23</v>
      </c>
      <c r="K142" t="s">
        <v>2774</v>
      </c>
      <c r="L142" t="s">
        <v>3133</v>
      </c>
      <c r="M142" t="s">
        <v>3134</v>
      </c>
      <c r="N142" t="s">
        <v>3367</v>
      </c>
      <c r="O142" t="s">
        <v>3921</v>
      </c>
      <c r="Q142" t="s">
        <v>2810</v>
      </c>
      <c r="R142" t="s">
        <v>2751</v>
      </c>
      <c r="S142" t="s">
        <v>2751</v>
      </c>
      <c r="T142">
        <v>200</v>
      </c>
      <c r="U142" t="s">
        <v>2712</v>
      </c>
      <c r="V142">
        <v>1</v>
      </c>
      <c r="W142" t="s">
        <v>2735</v>
      </c>
      <c r="Z142" t="s">
        <v>2715</v>
      </c>
      <c r="AA142" t="s">
        <v>3138</v>
      </c>
      <c r="AB142" t="s">
        <v>2716</v>
      </c>
      <c r="AC142" t="s">
        <v>2778</v>
      </c>
      <c r="AE142">
        <v>0</v>
      </c>
      <c r="AF142" t="s">
        <v>3139</v>
      </c>
      <c r="AH142" t="s">
        <v>34</v>
      </c>
      <c r="AI142">
        <v>46204</v>
      </c>
      <c r="AJ142">
        <v>7</v>
      </c>
      <c r="AK142" t="s">
        <v>3922</v>
      </c>
      <c r="AL142" t="s">
        <v>3922</v>
      </c>
      <c r="AM142" t="s">
        <v>3923</v>
      </c>
      <c r="AN142" t="s">
        <v>2826</v>
      </c>
      <c r="AO142" t="s">
        <v>3924</v>
      </c>
      <c r="AP142">
        <v>8979</v>
      </c>
      <c r="AQ142" t="s">
        <v>3925</v>
      </c>
      <c r="AR142" t="s">
        <v>3926</v>
      </c>
      <c r="AS142">
        <v>107</v>
      </c>
      <c r="AT142" t="s">
        <v>3927</v>
      </c>
      <c r="AW142" t="str">
        <f>Plan_2026[[#This Row],[Tên brand]]&amp;" "&amp;Plan_2026[[#This Row],[Trục đường chính]]&amp;Plan_2026[[#This Row],[Tên mall
(chuẩn hóa)]]&amp;Plan_2026[[#This Row],[Địa chỉ đầy đủ]]</f>
        <v>Kichi Kichi Bạch Đằng, Hai Bà Trưng, Hà Nội</v>
      </c>
    </row>
    <row r="143" spans="1:49" hidden="1" x14ac:dyDescent="0.35">
      <c r="A143">
        <v>138</v>
      </c>
      <c r="B143" t="s">
        <v>2217</v>
      </c>
      <c r="C143" t="s">
        <v>25</v>
      </c>
      <c r="D143" t="s">
        <v>3431</v>
      </c>
      <c r="E143">
        <v>2025</v>
      </c>
      <c r="F143">
        <v>3</v>
      </c>
      <c r="G143">
        <v>9</v>
      </c>
      <c r="H143">
        <v>1</v>
      </c>
      <c r="I143">
        <v>5</v>
      </c>
      <c r="J143" t="s">
        <v>23</v>
      </c>
      <c r="K143" t="s">
        <v>2774</v>
      </c>
      <c r="L143" t="s">
        <v>3133</v>
      </c>
      <c r="M143" t="s">
        <v>3134</v>
      </c>
      <c r="N143" t="s">
        <v>3353</v>
      </c>
      <c r="O143" t="s">
        <v>2243</v>
      </c>
      <c r="Q143" t="s">
        <v>2732</v>
      </c>
      <c r="R143" t="s">
        <v>2751</v>
      </c>
      <c r="S143" t="s">
        <v>2751</v>
      </c>
      <c r="T143" t="s">
        <v>2712</v>
      </c>
      <c r="U143" t="s">
        <v>2712</v>
      </c>
      <c r="V143">
        <v>1</v>
      </c>
      <c r="W143" t="s">
        <v>2713</v>
      </c>
      <c r="X143" t="s">
        <v>2294</v>
      </c>
      <c r="Y143" t="s">
        <v>2294</v>
      </c>
      <c r="Z143" t="s">
        <v>2715</v>
      </c>
      <c r="AB143" t="s">
        <v>2716</v>
      </c>
      <c r="AC143" t="s">
        <v>2763</v>
      </c>
      <c r="AE143">
        <v>1</v>
      </c>
      <c r="AH143" t="s">
        <v>24</v>
      </c>
      <c r="AI143">
        <v>45901</v>
      </c>
      <c r="AJ143">
        <v>9</v>
      </c>
      <c r="AK143" t="s">
        <v>3928</v>
      </c>
      <c r="AL143" t="s">
        <v>3928</v>
      </c>
      <c r="AM143" t="s">
        <v>3929</v>
      </c>
      <c r="AN143" t="s">
        <v>3438</v>
      </c>
      <c r="AO143" t="s">
        <v>3930</v>
      </c>
      <c r="AP143">
        <v>12074</v>
      </c>
      <c r="AQ143" t="s">
        <v>3931</v>
      </c>
      <c r="AR143" t="s">
        <v>3932</v>
      </c>
      <c r="AS143">
        <v>9</v>
      </c>
      <c r="AT143" t="s">
        <v>3442</v>
      </c>
      <c r="AW143" t="str">
        <f>Plan_2026[[#This Row],[Tên brand]]&amp;" "&amp;Plan_2026[[#This Row],[Trục đường chính]]&amp;Plan_2026[[#This Row],[Tên mall
(chuẩn hóa)]]&amp;Plan_2026[[#This Row],[Địa chỉ đầy đủ]]</f>
        <v>Ashima Aeon Mall Hà ĐôngQuang Trung, Hà Đông, Hà Nội</v>
      </c>
    </row>
    <row r="144" spans="1:49" hidden="1" x14ac:dyDescent="0.35">
      <c r="A144">
        <v>139</v>
      </c>
      <c r="B144" t="s">
        <v>3933</v>
      </c>
      <c r="C144" t="s">
        <v>2702</v>
      </c>
      <c r="D144" t="s">
        <v>3164</v>
      </c>
      <c r="E144">
        <v>2026</v>
      </c>
      <c r="F144">
        <v>2</v>
      </c>
      <c r="G144">
        <v>5</v>
      </c>
      <c r="H144">
        <v>9</v>
      </c>
      <c r="J144" t="s">
        <v>23</v>
      </c>
      <c r="K144" t="s">
        <v>2774</v>
      </c>
      <c r="L144" t="s">
        <v>3133</v>
      </c>
      <c r="M144" t="s">
        <v>3134</v>
      </c>
      <c r="N144" t="s">
        <v>3781</v>
      </c>
      <c r="O144" t="s">
        <v>3934</v>
      </c>
      <c r="P144" t="s">
        <v>3935</v>
      </c>
      <c r="Q144" t="s">
        <v>2709</v>
      </c>
      <c r="R144">
        <v>8</v>
      </c>
      <c r="S144" t="s">
        <v>2710</v>
      </c>
      <c r="T144" t="s">
        <v>2711</v>
      </c>
      <c r="U144" t="s">
        <v>2712</v>
      </c>
      <c r="V144">
        <v>1</v>
      </c>
      <c r="W144" t="s">
        <v>2735</v>
      </c>
      <c r="X144" t="s">
        <v>3936</v>
      </c>
      <c r="Z144" t="s">
        <v>2715</v>
      </c>
      <c r="AA144" t="s">
        <v>3937</v>
      </c>
      <c r="AB144" t="s">
        <v>2716</v>
      </c>
      <c r="AC144" t="s">
        <v>3115</v>
      </c>
      <c r="AE144">
        <v>1</v>
      </c>
      <c r="AF144" t="s">
        <v>3938</v>
      </c>
      <c r="AH144" t="s">
        <v>76</v>
      </c>
      <c r="AI144">
        <v>46143</v>
      </c>
      <c r="AJ144">
        <v>5</v>
      </c>
      <c r="AK144" t="s">
        <v>3939</v>
      </c>
      <c r="AL144" t="s">
        <v>3940</v>
      </c>
      <c r="AM144" t="s">
        <v>3941</v>
      </c>
      <c r="AN144" t="s">
        <v>2721</v>
      </c>
      <c r="AO144" t="s">
        <v>3942</v>
      </c>
      <c r="AP144">
        <v>3950</v>
      </c>
      <c r="AQ144" t="s">
        <v>3943</v>
      </c>
      <c r="AR144" t="s">
        <v>3944</v>
      </c>
      <c r="AS144">
        <v>144</v>
      </c>
      <c r="AT144" t="s">
        <v>3678</v>
      </c>
      <c r="AW144" t="str">
        <f>Plan_2026[[#This Row],[Tên brand]]&amp;" "&amp;Plan_2026[[#This Row],[Trục đường chính]]&amp;Plan_2026[[#This Row],[Tên mall
(chuẩn hóa)]]&amp;Plan_2026[[#This Row],[Địa chỉ đầy đủ]]</f>
        <v>Gogi House Nguyễn Văn Cừ hoặc Hồng Tiến hoặc Nguyễn SơnNguyễn Văn Cừ hoặc Hồng Tiến hoặc Nguyễn Sơn, Bồ Đề, Long Biên, Hà Nội</v>
      </c>
    </row>
    <row r="145" spans="1:49" hidden="1" x14ac:dyDescent="0.35">
      <c r="A145">
        <v>140</v>
      </c>
      <c r="B145" t="s">
        <v>3945</v>
      </c>
      <c r="C145" t="s">
        <v>2772</v>
      </c>
      <c r="D145" t="s">
        <v>2773</v>
      </c>
      <c r="E145">
        <v>2026</v>
      </c>
      <c r="F145">
        <v>2</v>
      </c>
      <c r="G145">
        <v>6</v>
      </c>
      <c r="H145">
        <v>10</v>
      </c>
      <c r="J145" t="s">
        <v>23</v>
      </c>
      <c r="K145" t="s">
        <v>2774</v>
      </c>
      <c r="L145" t="s">
        <v>3133</v>
      </c>
      <c r="M145" t="s">
        <v>3134</v>
      </c>
      <c r="N145" t="s">
        <v>3946</v>
      </c>
      <c r="O145" t="s">
        <v>3947</v>
      </c>
      <c r="P145" t="s">
        <v>3948</v>
      </c>
      <c r="Q145" t="s">
        <v>2709</v>
      </c>
      <c r="R145" t="s">
        <v>2751</v>
      </c>
      <c r="S145" t="s">
        <v>2751</v>
      </c>
      <c r="T145" t="s">
        <v>2762</v>
      </c>
      <c r="U145" t="s">
        <v>2762</v>
      </c>
      <c r="V145">
        <v>1</v>
      </c>
      <c r="W145" t="s">
        <v>2713</v>
      </c>
      <c r="Z145">
        <v>200</v>
      </c>
      <c r="AB145" t="s">
        <v>2716</v>
      </c>
      <c r="AC145" t="s">
        <v>2738</v>
      </c>
      <c r="AE145">
        <v>0</v>
      </c>
      <c r="AF145" t="s">
        <v>3949</v>
      </c>
      <c r="AG145" t="s">
        <v>3950</v>
      </c>
      <c r="AH145" t="s">
        <v>112</v>
      </c>
      <c r="AI145">
        <v>46174</v>
      </c>
      <c r="AJ145">
        <v>6</v>
      </c>
      <c r="AK145" t="s">
        <v>3951</v>
      </c>
      <c r="AL145" t="s">
        <v>3952</v>
      </c>
      <c r="AM145" t="s">
        <v>3953</v>
      </c>
      <c r="AN145" t="s">
        <v>2782</v>
      </c>
      <c r="AO145" t="s">
        <v>3954</v>
      </c>
      <c r="AP145">
        <v>75</v>
      </c>
      <c r="AQ145" t="s">
        <v>3955</v>
      </c>
      <c r="AR145" t="s">
        <v>3956</v>
      </c>
      <c r="AS145">
        <v>55</v>
      </c>
      <c r="AT145" t="s">
        <v>3957</v>
      </c>
      <c r="AW145" t="str">
        <f>Plan_2026[[#This Row],[Tên brand]]&amp;" "&amp;Plan_2026[[#This Row],[Trục đường chính]]&amp;Plan_2026[[#This Row],[Tên mall
(chuẩn hóa)]]&amp;Plan_2026[[#This Row],[Địa chỉ đầy đủ]]</f>
        <v>Manwah Kim Chung/Di Trạch
QL 21/ thế giới DĐKim Chung/Di Trạch
QL 21/ thế giới DĐ, Thạch Hoà, Thạch Thất, Hà Nội</v>
      </c>
    </row>
    <row r="146" spans="1:49" hidden="1" x14ac:dyDescent="0.35">
      <c r="A146">
        <v>141</v>
      </c>
      <c r="B146" t="s">
        <v>3958</v>
      </c>
      <c r="C146" t="s">
        <v>2008</v>
      </c>
      <c r="D146" t="s">
        <v>2832</v>
      </c>
      <c r="E146">
        <v>2026</v>
      </c>
      <c r="F146">
        <v>1</v>
      </c>
      <c r="G146">
        <v>1</v>
      </c>
      <c r="H146">
        <v>5</v>
      </c>
      <c r="J146" t="s">
        <v>23</v>
      </c>
      <c r="K146" t="s">
        <v>2774</v>
      </c>
      <c r="L146" t="s">
        <v>3133</v>
      </c>
      <c r="M146" t="s">
        <v>3134</v>
      </c>
      <c r="N146" t="s">
        <v>3353</v>
      </c>
      <c r="O146" t="s">
        <v>3959</v>
      </c>
      <c r="P146" t="s">
        <v>3960</v>
      </c>
      <c r="Q146" t="s">
        <v>2709</v>
      </c>
      <c r="R146" t="s">
        <v>2751</v>
      </c>
      <c r="S146" t="s">
        <v>2751</v>
      </c>
      <c r="T146" t="s">
        <v>2712</v>
      </c>
      <c r="U146" t="s">
        <v>2712</v>
      </c>
      <c r="V146">
        <v>1</v>
      </c>
      <c r="W146" t="s">
        <v>2713</v>
      </c>
      <c r="Z146">
        <v>160</v>
      </c>
      <c r="AB146" t="s">
        <v>1794</v>
      </c>
      <c r="AC146" t="s">
        <v>2763</v>
      </c>
      <c r="AE146">
        <v>1</v>
      </c>
      <c r="AF146" t="s">
        <v>3961</v>
      </c>
      <c r="AH146" t="s">
        <v>2044</v>
      </c>
      <c r="AI146">
        <v>46023</v>
      </c>
      <c r="AJ146">
        <v>1</v>
      </c>
      <c r="AK146" t="s">
        <v>3962</v>
      </c>
      <c r="AL146" t="s">
        <v>3963</v>
      </c>
      <c r="AM146" t="s">
        <v>3964</v>
      </c>
      <c r="AN146" t="s">
        <v>2767</v>
      </c>
      <c r="AO146" t="s">
        <v>3965</v>
      </c>
      <c r="AP146">
        <v>11690</v>
      </c>
      <c r="AQ146" t="s">
        <v>3966</v>
      </c>
      <c r="AR146" t="s">
        <v>3967</v>
      </c>
      <c r="AS146">
        <v>6</v>
      </c>
      <c r="AT146" t="s">
        <v>2835</v>
      </c>
      <c r="AW146" t="str">
        <f>Plan_2026[[#This Row],[Tên brand]]&amp;" "&amp;Plan_2026[[#This Row],[Trục đường chính]]&amp;Plan_2026[[#This Row],[Tên mall
(chuẩn hóa)]]&amp;Plan_2026[[#This Row],[Địa chỉ đầy đủ]]</f>
        <v>Dao Niu Guo Trần PhúTrần Phú, Văn Quán, Hà Đông, Hà Nội</v>
      </c>
    </row>
    <row r="147" spans="1:49" hidden="1" x14ac:dyDescent="0.35">
      <c r="A147">
        <v>142</v>
      </c>
      <c r="B147" t="s">
        <v>2207</v>
      </c>
      <c r="C147" t="s">
        <v>3208</v>
      </c>
      <c r="D147" t="s">
        <v>3209</v>
      </c>
      <c r="E147">
        <v>2026</v>
      </c>
      <c r="F147">
        <v>2</v>
      </c>
      <c r="G147">
        <v>5</v>
      </c>
      <c r="H147">
        <v>9</v>
      </c>
      <c r="J147" t="s">
        <v>23</v>
      </c>
      <c r="K147" t="s">
        <v>2774</v>
      </c>
      <c r="L147" t="s">
        <v>3133</v>
      </c>
      <c r="M147" t="s">
        <v>3134</v>
      </c>
      <c r="N147" t="s">
        <v>3135</v>
      </c>
      <c r="O147" t="s">
        <v>3968</v>
      </c>
      <c r="P147" t="s">
        <v>3969</v>
      </c>
      <c r="Q147" t="s">
        <v>2732</v>
      </c>
      <c r="R147" t="s">
        <v>2710</v>
      </c>
      <c r="S147" t="s">
        <v>2710</v>
      </c>
      <c r="T147" t="s">
        <v>2712</v>
      </c>
      <c r="U147" t="s">
        <v>2712</v>
      </c>
      <c r="V147">
        <v>1</v>
      </c>
      <c r="W147" t="s">
        <v>2713</v>
      </c>
      <c r="X147" t="s">
        <v>2208</v>
      </c>
      <c r="Y147" t="s">
        <v>2208</v>
      </c>
      <c r="Z147" t="s">
        <v>2715</v>
      </c>
      <c r="AB147" t="s">
        <v>2716</v>
      </c>
      <c r="AC147" t="s">
        <v>2738</v>
      </c>
      <c r="AE147">
        <v>0</v>
      </c>
      <c r="AH147" t="s">
        <v>51</v>
      </c>
      <c r="AI147">
        <v>46143</v>
      </c>
      <c r="AJ147">
        <v>5</v>
      </c>
      <c r="AK147" t="s">
        <v>3970</v>
      </c>
      <c r="AL147" t="s">
        <v>3971</v>
      </c>
      <c r="AM147" t="s">
        <v>3972</v>
      </c>
      <c r="AN147" t="s">
        <v>3264</v>
      </c>
      <c r="AO147" t="s">
        <v>3973</v>
      </c>
      <c r="AP147">
        <v>26941</v>
      </c>
      <c r="AQ147" t="s">
        <v>3974</v>
      </c>
      <c r="AR147" t="s">
        <v>3975</v>
      </c>
      <c r="AS147">
        <v>11</v>
      </c>
      <c r="AT147" t="s">
        <v>3215</v>
      </c>
      <c r="AW147" t="str">
        <f>Plan_2026[[#This Row],[Tên brand]]&amp;" "&amp;Plan_2026[[#This Row],[Trục đường chính]]&amp;Plan_2026[[#This Row],[Tên mall
(chuẩn hóa)]]&amp;Plan_2026[[#This Row],[Địa chỉ đầy đủ]]</f>
        <v>Sumogoya 72A Đường Nguyễn TrãiVincom Mega Mall Royal City72A Đường Nguyễn Trãi, Thượng Đình, Thanh Xuân, Hà Nội</v>
      </c>
    </row>
    <row r="148" spans="1:49" hidden="1" x14ac:dyDescent="0.35">
      <c r="A148">
        <v>143</v>
      </c>
      <c r="B148" t="s">
        <v>2316</v>
      </c>
      <c r="C148" t="s">
        <v>229</v>
      </c>
      <c r="D148" t="s">
        <v>3871</v>
      </c>
      <c r="E148">
        <v>2026</v>
      </c>
      <c r="F148">
        <v>1</v>
      </c>
      <c r="G148">
        <v>2</v>
      </c>
      <c r="H148">
        <v>6</v>
      </c>
      <c r="J148" t="s">
        <v>23</v>
      </c>
      <c r="K148" t="s">
        <v>2774</v>
      </c>
      <c r="L148" t="s">
        <v>3133</v>
      </c>
      <c r="M148" t="s">
        <v>3134</v>
      </c>
      <c r="N148" t="s">
        <v>3135</v>
      </c>
      <c r="O148" t="s">
        <v>3968</v>
      </c>
      <c r="P148" t="s">
        <v>3969</v>
      </c>
      <c r="Q148" t="s">
        <v>2732</v>
      </c>
      <c r="R148">
        <v>8</v>
      </c>
      <c r="S148" t="s">
        <v>2710</v>
      </c>
      <c r="T148" t="s">
        <v>2882</v>
      </c>
      <c r="U148" t="s">
        <v>2800</v>
      </c>
      <c r="V148">
        <v>1</v>
      </c>
      <c r="W148" t="s">
        <v>2713</v>
      </c>
      <c r="X148" t="s">
        <v>2208</v>
      </c>
      <c r="Y148" t="s">
        <v>2208</v>
      </c>
      <c r="Z148" t="s">
        <v>2715</v>
      </c>
      <c r="AB148" t="s">
        <v>1794</v>
      </c>
      <c r="AC148" t="s">
        <v>2738</v>
      </c>
      <c r="AE148">
        <v>0</v>
      </c>
      <c r="AF148" t="s">
        <v>3976</v>
      </c>
      <c r="AH148" t="s">
        <v>228</v>
      </c>
      <c r="AI148">
        <v>46054</v>
      </c>
      <c r="AJ148">
        <v>2</v>
      </c>
      <c r="AK148" t="s">
        <v>3970</v>
      </c>
      <c r="AL148" t="s">
        <v>3971</v>
      </c>
      <c r="AM148" t="s">
        <v>3972</v>
      </c>
      <c r="AN148" t="s">
        <v>3127</v>
      </c>
      <c r="AO148" t="s">
        <v>3977</v>
      </c>
      <c r="AP148">
        <v>26941</v>
      </c>
      <c r="AQ148" t="s">
        <v>3974</v>
      </c>
      <c r="AR148" t="s">
        <v>3975</v>
      </c>
      <c r="AS148">
        <v>10</v>
      </c>
      <c r="AT148" t="s">
        <v>3978</v>
      </c>
      <c r="AW148" t="str">
        <f>Plan_2026[[#This Row],[Tên brand]]&amp;" "&amp;Plan_2026[[#This Row],[Trục đường chính]]&amp;Plan_2026[[#This Row],[Tên mall
(chuẩn hóa)]]&amp;Plan_2026[[#This Row],[Địa chỉ đầy đủ]]</f>
        <v>Yutang 72A Đường Nguyễn TrãiVincom Mega Mall Royal City72A Đường Nguyễn Trãi, Thượng Đình, Thanh Xuân, Hà Nội</v>
      </c>
    </row>
    <row r="149" spans="1:49" hidden="1" x14ac:dyDescent="0.35">
      <c r="A149">
        <v>144</v>
      </c>
      <c r="B149" t="s">
        <v>2518</v>
      </c>
      <c r="C149" t="s">
        <v>2787</v>
      </c>
      <c r="D149" t="s">
        <v>2788</v>
      </c>
      <c r="E149">
        <v>2026</v>
      </c>
      <c r="F149">
        <v>1</v>
      </c>
      <c r="G149">
        <v>2</v>
      </c>
      <c r="H149">
        <v>6</v>
      </c>
      <c r="J149" t="s">
        <v>23</v>
      </c>
      <c r="K149" t="s">
        <v>2774</v>
      </c>
      <c r="L149" t="s">
        <v>3133</v>
      </c>
      <c r="M149" t="s">
        <v>3134</v>
      </c>
      <c r="N149" t="s">
        <v>3135</v>
      </c>
      <c r="O149" t="s">
        <v>3968</v>
      </c>
      <c r="P149" t="s">
        <v>2519</v>
      </c>
      <c r="Q149" t="s">
        <v>2732</v>
      </c>
      <c r="R149" t="s">
        <v>2710</v>
      </c>
      <c r="S149" t="s">
        <v>2710</v>
      </c>
      <c r="T149" t="s">
        <v>2800</v>
      </c>
      <c r="U149" t="s">
        <v>2800</v>
      </c>
      <c r="V149">
        <v>1</v>
      </c>
      <c r="W149" t="s">
        <v>2713</v>
      </c>
      <c r="X149" t="s">
        <v>2208</v>
      </c>
      <c r="Y149" t="s">
        <v>2208</v>
      </c>
      <c r="Z149">
        <v>132</v>
      </c>
      <c r="AB149" t="s">
        <v>2716</v>
      </c>
      <c r="AC149" t="s">
        <v>2738</v>
      </c>
      <c r="AE149">
        <v>0</v>
      </c>
      <c r="AF149" t="s">
        <v>3979</v>
      </c>
      <c r="AH149" t="s">
        <v>1788</v>
      </c>
      <c r="AI149">
        <v>46054</v>
      </c>
      <c r="AJ149">
        <v>2</v>
      </c>
      <c r="AK149" t="s">
        <v>3970</v>
      </c>
      <c r="AL149" t="s">
        <v>3980</v>
      </c>
      <c r="AM149" t="s">
        <v>3972</v>
      </c>
      <c r="AN149" t="s">
        <v>2804</v>
      </c>
      <c r="AO149" t="s">
        <v>3981</v>
      </c>
      <c r="AP149">
        <v>26941</v>
      </c>
      <c r="AQ149" t="s">
        <v>3974</v>
      </c>
      <c r="AR149" t="s">
        <v>3975</v>
      </c>
      <c r="AS149">
        <v>81</v>
      </c>
      <c r="AT149" t="s">
        <v>3982</v>
      </c>
      <c r="AW149" t="str">
        <f>Plan_2026[[#This Row],[Tên brand]]&amp;" "&amp;Plan_2026[[#This Row],[Trục đường chính]]&amp;Plan_2026[[#This Row],[Tên mall
(chuẩn hóa)]]&amp;Plan_2026[[#This Row],[Địa chỉ đầy đủ]]</f>
        <v>The Coffee House 72A Đường Nguyễn Trãi (Royal City, B2, khu vực FnB)Vincom Mega Mall Royal City72A Đường Nguyễn Trãi (Royal City, B2, khu vực FnB), Thượng Đình, Thanh Xuân, Hà Nội</v>
      </c>
    </row>
    <row r="150" spans="1:49" hidden="1" x14ac:dyDescent="0.35">
      <c r="A150">
        <v>145</v>
      </c>
      <c r="B150" t="s">
        <v>3983</v>
      </c>
      <c r="C150" t="s">
        <v>3397</v>
      </c>
      <c r="D150" t="s">
        <v>2832</v>
      </c>
      <c r="E150">
        <v>2026</v>
      </c>
      <c r="F150">
        <v>3</v>
      </c>
      <c r="G150">
        <v>7</v>
      </c>
      <c r="H150">
        <v>11</v>
      </c>
      <c r="J150" t="s">
        <v>23</v>
      </c>
      <c r="K150" t="s">
        <v>2774</v>
      </c>
      <c r="L150" t="s">
        <v>3133</v>
      </c>
      <c r="M150" t="s">
        <v>3134</v>
      </c>
      <c r="N150" t="s">
        <v>3165</v>
      </c>
      <c r="O150" t="s">
        <v>3984</v>
      </c>
      <c r="P150" t="s">
        <v>3149</v>
      </c>
      <c r="Q150" t="s">
        <v>2709</v>
      </c>
      <c r="R150" t="s">
        <v>2751</v>
      </c>
      <c r="S150" t="s">
        <v>2751</v>
      </c>
      <c r="T150" t="s">
        <v>2762</v>
      </c>
      <c r="U150" t="s">
        <v>2762</v>
      </c>
      <c r="V150">
        <v>1</v>
      </c>
      <c r="W150" t="s">
        <v>2735</v>
      </c>
      <c r="X150" t="s">
        <v>3985</v>
      </c>
      <c r="Z150" t="s">
        <v>2715</v>
      </c>
      <c r="AB150" t="s">
        <v>2716</v>
      </c>
      <c r="AC150" t="s">
        <v>2717</v>
      </c>
      <c r="AE150">
        <v>0</v>
      </c>
      <c r="AF150" t="s">
        <v>3986</v>
      </c>
      <c r="AH150" t="s">
        <v>1561</v>
      </c>
      <c r="AI150">
        <v>46204</v>
      </c>
      <c r="AJ150">
        <v>7</v>
      </c>
      <c r="AK150" t="s">
        <v>3987</v>
      </c>
      <c r="AL150" t="s">
        <v>3988</v>
      </c>
      <c r="AM150" t="s">
        <v>3989</v>
      </c>
      <c r="AN150" t="s">
        <v>3990</v>
      </c>
      <c r="AO150" t="s">
        <v>3991</v>
      </c>
      <c r="AP150">
        <v>18534</v>
      </c>
      <c r="AQ150" t="s">
        <v>3992</v>
      </c>
      <c r="AR150" t="s">
        <v>3993</v>
      </c>
      <c r="AS150">
        <v>4</v>
      </c>
      <c r="AT150" t="s">
        <v>3994</v>
      </c>
      <c r="AW150" t="str">
        <f>Plan_2026[[#This Row],[Tên brand]]&amp;" "&amp;Plan_2026[[#This Row],[Trục đường chính]]&amp;Plan_2026[[#This Row],[Tên mall
(chuẩn hóa)]]&amp;Plan_2026[[#This Row],[Địa chỉ đầy đủ]]</f>
        <v>Man Tang Guo Huỳnh Thúc KhángHuỳnh Thúc Kháng, Thành Công, Ba Đình, Hà Nội</v>
      </c>
    </row>
    <row r="151" spans="1:49" hidden="1" x14ac:dyDescent="0.35">
      <c r="A151">
        <v>146</v>
      </c>
      <c r="B151" t="s">
        <v>2295</v>
      </c>
      <c r="C151" t="s">
        <v>62</v>
      </c>
      <c r="D151" t="s">
        <v>3463</v>
      </c>
      <c r="E151">
        <v>2026</v>
      </c>
      <c r="F151">
        <v>1</v>
      </c>
      <c r="G151">
        <v>1</v>
      </c>
      <c r="H151">
        <v>5</v>
      </c>
      <c r="J151" t="s">
        <v>23</v>
      </c>
      <c r="K151" t="s">
        <v>2774</v>
      </c>
      <c r="L151" t="s">
        <v>3133</v>
      </c>
      <c r="M151" t="s">
        <v>3134</v>
      </c>
      <c r="N151" t="s">
        <v>3558</v>
      </c>
      <c r="O151" t="s">
        <v>3995</v>
      </c>
      <c r="P151" t="s">
        <v>3996</v>
      </c>
      <c r="Q151" t="s">
        <v>2732</v>
      </c>
      <c r="R151" t="s">
        <v>2751</v>
      </c>
      <c r="S151" t="s">
        <v>2751</v>
      </c>
      <c r="T151" t="s">
        <v>2712</v>
      </c>
      <c r="U151" t="s">
        <v>2712</v>
      </c>
      <c r="V151">
        <v>1</v>
      </c>
      <c r="W151" t="s">
        <v>2713</v>
      </c>
      <c r="X151" t="s">
        <v>3997</v>
      </c>
      <c r="Y151" t="s">
        <v>3997</v>
      </c>
      <c r="Z151">
        <v>300</v>
      </c>
      <c r="AB151" t="s">
        <v>2716</v>
      </c>
      <c r="AC151" t="s">
        <v>2738</v>
      </c>
      <c r="AE151">
        <v>0</v>
      </c>
      <c r="AH151" t="s">
        <v>61</v>
      </c>
      <c r="AI151">
        <v>46023</v>
      </c>
      <c r="AJ151">
        <v>1</v>
      </c>
      <c r="AK151" t="s">
        <v>3998</v>
      </c>
      <c r="AL151" t="s">
        <v>3999</v>
      </c>
      <c r="AM151" t="s">
        <v>4000</v>
      </c>
      <c r="AN151" t="s">
        <v>2753</v>
      </c>
      <c r="AO151" t="s">
        <v>4001</v>
      </c>
      <c r="AP151">
        <v>1399</v>
      </c>
      <c r="AQ151" t="s">
        <v>4002</v>
      </c>
      <c r="AR151" t="s">
        <v>4003</v>
      </c>
      <c r="AS151">
        <v>25</v>
      </c>
      <c r="AT151" t="s">
        <v>3738</v>
      </c>
      <c r="AW151" t="str">
        <f>Plan_2026[[#This Row],[Tên brand]]&amp;" "&amp;Plan_2026[[#This Row],[Trục đường chính]]&amp;Plan_2026[[#This Row],[Tên mall
(chuẩn hóa)]]&amp;Plan_2026[[#This Row],[Địa chỉ đầy đủ]]</f>
        <v>Isushi Võ Chí CôngLotte Mall West Lake HanoiVõ Chí Công, Phú Thượng, Tây Hồ, Hà Nội</v>
      </c>
    </row>
    <row r="152" spans="1:49" hidden="1" x14ac:dyDescent="0.35">
      <c r="A152">
        <v>147</v>
      </c>
      <c r="B152" t="s">
        <v>4004</v>
      </c>
      <c r="C152" t="s">
        <v>35</v>
      </c>
      <c r="D152" t="s">
        <v>3132</v>
      </c>
      <c r="E152">
        <v>2026</v>
      </c>
      <c r="F152">
        <v>2</v>
      </c>
      <c r="G152">
        <v>6</v>
      </c>
      <c r="H152">
        <v>10</v>
      </c>
      <c r="J152" t="s">
        <v>23</v>
      </c>
      <c r="K152" t="s">
        <v>2774</v>
      </c>
      <c r="L152" t="s">
        <v>3133</v>
      </c>
      <c r="M152" t="s">
        <v>3134</v>
      </c>
      <c r="N152" t="s">
        <v>3558</v>
      </c>
      <c r="O152" t="s">
        <v>3995</v>
      </c>
      <c r="P152" t="s">
        <v>4005</v>
      </c>
      <c r="Q152" t="s">
        <v>2732</v>
      </c>
      <c r="R152" t="s">
        <v>2751</v>
      </c>
      <c r="S152" t="s">
        <v>2751</v>
      </c>
      <c r="T152">
        <v>200</v>
      </c>
      <c r="U152" t="s">
        <v>2712</v>
      </c>
      <c r="V152">
        <v>1</v>
      </c>
      <c r="W152" t="s">
        <v>2713</v>
      </c>
      <c r="X152" t="s">
        <v>3997</v>
      </c>
      <c r="Y152" t="s">
        <v>3997</v>
      </c>
      <c r="Z152" t="s">
        <v>2715</v>
      </c>
      <c r="AB152" t="s">
        <v>2716</v>
      </c>
      <c r="AC152" t="s">
        <v>2738</v>
      </c>
      <c r="AE152">
        <v>0</v>
      </c>
      <c r="AF152" t="s">
        <v>4006</v>
      </c>
      <c r="AH152" t="s">
        <v>34</v>
      </c>
      <c r="AI152">
        <v>46174</v>
      </c>
      <c r="AJ152">
        <v>6</v>
      </c>
      <c r="AK152" t="s">
        <v>3998</v>
      </c>
      <c r="AL152" t="s">
        <v>4007</v>
      </c>
      <c r="AM152" t="s">
        <v>4000</v>
      </c>
      <c r="AN152" t="s">
        <v>3036</v>
      </c>
      <c r="AO152" t="s">
        <v>4008</v>
      </c>
      <c r="AP152">
        <v>1399</v>
      </c>
      <c r="AQ152" t="s">
        <v>4002</v>
      </c>
      <c r="AR152" t="s">
        <v>4003</v>
      </c>
      <c r="AS152">
        <v>107</v>
      </c>
      <c r="AT152" t="s">
        <v>2936</v>
      </c>
      <c r="AW152" t="str">
        <f>Plan_2026[[#This Row],[Tên brand]]&amp;" "&amp;Plan_2026[[#This Row],[Trục đường chính]]&amp;Plan_2026[[#This Row],[Tên mall
(chuẩn hóa)]]&amp;Plan_2026[[#This Row],[Địa chỉ đầy đủ]]</f>
        <v>Kichi Kichi 272 Đường Võ Chí CôngLotte Mall West Lake Hanoi272 Đường Võ Chí Công, Phú Thượng, Tây Hồ, Hà Nội</v>
      </c>
    </row>
    <row r="153" spans="1:49" hidden="1" x14ac:dyDescent="0.35">
      <c r="A153">
        <v>148</v>
      </c>
      <c r="B153" t="s">
        <v>2414</v>
      </c>
      <c r="C153" t="s">
        <v>3397</v>
      </c>
      <c r="D153" t="s">
        <v>2832</v>
      </c>
      <c r="E153">
        <v>2026</v>
      </c>
      <c r="F153">
        <v>1</v>
      </c>
      <c r="G153">
        <v>2</v>
      </c>
      <c r="H153">
        <v>6</v>
      </c>
      <c r="J153" t="s">
        <v>23</v>
      </c>
      <c r="K153" t="s">
        <v>2774</v>
      </c>
      <c r="L153" t="s">
        <v>3133</v>
      </c>
      <c r="M153" t="s">
        <v>3134</v>
      </c>
      <c r="N153" t="s">
        <v>3558</v>
      </c>
      <c r="O153" t="s">
        <v>3995</v>
      </c>
      <c r="P153" t="s">
        <v>3996</v>
      </c>
      <c r="Q153" t="s">
        <v>2732</v>
      </c>
      <c r="R153" t="s">
        <v>2751</v>
      </c>
      <c r="S153" t="s">
        <v>2751</v>
      </c>
      <c r="T153" t="s">
        <v>2712</v>
      </c>
      <c r="U153" t="s">
        <v>2712</v>
      </c>
      <c r="V153">
        <v>1</v>
      </c>
      <c r="W153" t="s">
        <v>2713</v>
      </c>
      <c r="X153" t="s">
        <v>3997</v>
      </c>
      <c r="Y153" t="s">
        <v>3997</v>
      </c>
      <c r="Z153" t="s">
        <v>2715</v>
      </c>
      <c r="AB153" t="s">
        <v>2716</v>
      </c>
      <c r="AC153" t="s">
        <v>2738</v>
      </c>
      <c r="AE153">
        <v>0</v>
      </c>
      <c r="AF153" t="s">
        <v>4009</v>
      </c>
      <c r="AH153" t="s">
        <v>1561</v>
      </c>
      <c r="AI153">
        <v>46054</v>
      </c>
      <c r="AJ153">
        <v>2</v>
      </c>
      <c r="AK153" t="s">
        <v>3998</v>
      </c>
      <c r="AL153" t="s">
        <v>3999</v>
      </c>
      <c r="AM153" t="s">
        <v>4000</v>
      </c>
      <c r="AN153" t="s">
        <v>3403</v>
      </c>
      <c r="AO153" t="s">
        <v>4010</v>
      </c>
      <c r="AP153">
        <v>1399</v>
      </c>
      <c r="AQ153" t="s">
        <v>4002</v>
      </c>
      <c r="AR153" t="s">
        <v>4003</v>
      </c>
      <c r="AS153">
        <v>4</v>
      </c>
      <c r="AT153" t="s">
        <v>4011</v>
      </c>
      <c r="AW153" t="str">
        <f>Plan_2026[[#This Row],[Tên brand]]&amp;" "&amp;Plan_2026[[#This Row],[Trục đường chính]]&amp;Plan_2026[[#This Row],[Tên mall
(chuẩn hóa)]]&amp;Plan_2026[[#This Row],[Địa chỉ đầy đủ]]</f>
        <v>Man Tang Guo Võ Chí CôngLotte Mall West Lake HanoiVõ Chí Công, Phú Thượng, Tây Hồ, Hà Nội</v>
      </c>
    </row>
    <row r="154" spans="1:49" hidden="1" x14ac:dyDescent="0.35">
      <c r="A154">
        <v>149</v>
      </c>
      <c r="B154" t="s">
        <v>2279</v>
      </c>
      <c r="C154" t="s">
        <v>4012</v>
      </c>
      <c r="D154" t="s">
        <v>4013</v>
      </c>
      <c r="E154">
        <v>2026</v>
      </c>
      <c r="F154">
        <v>1</v>
      </c>
      <c r="G154">
        <v>1</v>
      </c>
      <c r="H154">
        <v>5</v>
      </c>
      <c r="J154" t="s">
        <v>23</v>
      </c>
      <c r="K154" t="s">
        <v>2774</v>
      </c>
      <c r="L154" t="s">
        <v>3133</v>
      </c>
      <c r="M154" t="s">
        <v>3134</v>
      </c>
      <c r="N154" t="s">
        <v>3558</v>
      </c>
      <c r="O154" t="s">
        <v>3995</v>
      </c>
      <c r="P154" t="s">
        <v>3996</v>
      </c>
      <c r="Q154" t="s">
        <v>2732</v>
      </c>
      <c r="R154" t="s">
        <v>2751</v>
      </c>
      <c r="S154" t="s">
        <v>2751</v>
      </c>
      <c r="T154" t="s">
        <v>2790</v>
      </c>
      <c r="U154" t="s">
        <v>2790</v>
      </c>
      <c r="V154">
        <v>1</v>
      </c>
      <c r="W154" t="s">
        <v>2713</v>
      </c>
      <c r="X154" t="s">
        <v>3997</v>
      </c>
      <c r="Y154" t="s">
        <v>3997</v>
      </c>
      <c r="Z154" t="s">
        <v>4014</v>
      </c>
      <c r="AB154" t="s">
        <v>2716</v>
      </c>
      <c r="AC154" t="s">
        <v>3232</v>
      </c>
      <c r="AE154">
        <v>0</v>
      </c>
      <c r="AH154" t="s">
        <v>1777</v>
      </c>
      <c r="AI154">
        <v>46023</v>
      </c>
      <c r="AJ154">
        <v>1</v>
      </c>
      <c r="AK154" t="s">
        <v>3998</v>
      </c>
      <c r="AL154" t="s">
        <v>3999</v>
      </c>
      <c r="AM154" t="s">
        <v>4000</v>
      </c>
      <c r="AN154" t="s">
        <v>4015</v>
      </c>
      <c r="AO154" t="s">
        <v>4016</v>
      </c>
      <c r="AP154">
        <v>1399</v>
      </c>
      <c r="AQ154" t="s">
        <v>4002</v>
      </c>
      <c r="AR154" t="s">
        <v>4003</v>
      </c>
      <c r="AS154">
        <v>3</v>
      </c>
      <c r="AT154" t="s">
        <v>4017</v>
      </c>
      <c r="AW154" t="str">
        <f>Plan_2026[[#This Row],[Tên brand]]&amp;" "&amp;Plan_2026[[#This Row],[Trục đường chính]]&amp;Plan_2026[[#This Row],[Tên mall
(chuẩn hóa)]]&amp;Plan_2026[[#This Row],[Địa chỉ đầy đủ]]</f>
        <v>SushiX Võ Chí CôngLotte Mall West Lake HanoiVõ Chí Công, Phú Thượng, Tây Hồ, Hà Nội</v>
      </c>
    </row>
    <row r="155" spans="1:49" hidden="1" x14ac:dyDescent="0.35">
      <c r="A155">
        <v>150</v>
      </c>
      <c r="B155" t="s">
        <v>4018</v>
      </c>
      <c r="C155" t="s">
        <v>3191</v>
      </c>
      <c r="D155" t="s">
        <v>3192</v>
      </c>
      <c r="E155">
        <v>2026</v>
      </c>
      <c r="F155">
        <v>3</v>
      </c>
      <c r="G155">
        <v>7</v>
      </c>
      <c r="H155">
        <v>11</v>
      </c>
      <c r="J155" t="s">
        <v>23</v>
      </c>
      <c r="K155" t="s">
        <v>2774</v>
      </c>
      <c r="L155" t="s">
        <v>3133</v>
      </c>
      <c r="M155" t="s">
        <v>3134</v>
      </c>
      <c r="N155" t="s">
        <v>3558</v>
      </c>
      <c r="O155" t="s">
        <v>3995</v>
      </c>
      <c r="P155" t="s">
        <v>4019</v>
      </c>
      <c r="Q155" t="s">
        <v>2732</v>
      </c>
      <c r="R155" t="s">
        <v>2751</v>
      </c>
      <c r="S155" t="s">
        <v>2751</v>
      </c>
      <c r="T155" t="s">
        <v>2712</v>
      </c>
      <c r="U155" t="s">
        <v>2712</v>
      </c>
      <c r="V155">
        <v>1</v>
      </c>
      <c r="W155" t="s">
        <v>2735</v>
      </c>
      <c r="X155" t="s">
        <v>4020</v>
      </c>
      <c r="Y155" t="s">
        <v>3997</v>
      </c>
      <c r="Z155">
        <v>200</v>
      </c>
      <c r="AB155" t="s">
        <v>2716</v>
      </c>
      <c r="AC155" t="s">
        <v>2738</v>
      </c>
      <c r="AE155">
        <v>0</v>
      </c>
      <c r="AF155" t="s">
        <v>3740</v>
      </c>
      <c r="AH155" t="s">
        <v>1311</v>
      </c>
      <c r="AI155">
        <v>46204</v>
      </c>
      <c r="AJ155">
        <v>7</v>
      </c>
      <c r="AK155" t="s">
        <v>3998</v>
      </c>
      <c r="AL155" t="s">
        <v>4021</v>
      </c>
      <c r="AM155" t="s">
        <v>4000</v>
      </c>
      <c r="AN155" t="s">
        <v>3741</v>
      </c>
      <c r="AO155" t="s">
        <v>4022</v>
      </c>
      <c r="AP155">
        <v>1399</v>
      </c>
      <c r="AQ155" t="s">
        <v>4002</v>
      </c>
      <c r="AR155" t="s">
        <v>4003</v>
      </c>
      <c r="AS155">
        <v>5</v>
      </c>
      <c r="AT155" t="s">
        <v>3743</v>
      </c>
      <c r="AW155" t="str">
        <f>Plan_2026[[#This Row],[Tên brand]]&amp;" "&amp;Plan_2026[[#This Row],[Trục đường chính]]&amp;Plan_2026[[#This Row],[Tên mall
(chuẩn hóa)]]&amp;Plan_2026[[#This Row],[Địa chỉ đầy đủ]]</f>
        <v>Union Pizza Số 272, Đường Võ Chí CôngLotte Mall West Lake HanoiSố 272, Đường Võ Chí Công, Phú Thượng, Tây Hồ, Hà Nội</v>
      </c>
    </row>
    <row r="156" spans="1:49" hidden="1" x14ac:dyDescent="0.35">
      <c r="A156">
        <v>151</v>
      </c>
      <c r="B156" t="s">
        <v>2535</v>
      </c>
      <c r="C156" t="s">
        <v>2787</v>
      </c>
      <c r="D156" t="s">
        <v>2788</v>
      </c>
      <c r="E156">
        <v>2026</v>
      </c>
      <c r="F156">
        <v>1</v>
      </c>
      <c r="G156">
        <v>2</v>
      </c>
      <c r="H156">
        <v>6</v>
      </c>
      <c r="J156" t="s">
        <v>23</v>
      </c>
      <c r="K156" t="s">
        <v>2774</v>
      </c>
      <c r="L156" t="s">
        <v>3133</v>
      </c>
      <c r="M156" t="s">
        <v>3134</v>
      </c>
      <c r="N156" t="s">
        <v>3558</v>
      </c>
      <c r="O156" t="s">
        <v>3995</v>
      </c>
      <c r="P156" t="s">
        <v>3996</v>
      </c>
      <c r="Q156" t="s">
        <v>2732</v>
      </c>
      <c r="R156" t="s">
        <v>2710</v>
      </c>
      <c r="S156" t="s">
        <v>2710</v>
      </c>
      <c r="T156" t="s">
        <v>2800</v>
      </c>
      <c r="U156" t="s">
        <v>2800</v>
      </c>
      <c r="V156">
        <v>1</v>
      </c>
      <c r="W156" t="s">
        <v>2713</v>
      </c>
      <c r="X156" t="s">
        <v>2536</v>
      </c>
      <c r="Y156" t="s">
        <v>3997</v>
      </c>
      <c r="Z156">
        <v>132</v>
      </c>
      <c r="AB156" t="s">
        <v>2716</v>
      </c>
      <c r="AC156" t="s">
        <v>2738</v>
      </c>
      <c r="AE156">
        <v>0</v>
      </c>
      <c r="AH156" t="s">
        <v>1788</v>
      </c>
      <c r="AI156">
        <v>46054</v>
      </c>
      <c r="AJ156">
        <v>2</v>
      </c>
      <c r="AK156" t="s">
        <v>3998</v>
      </c>
      <c r="AL156" t="s">
        <v>3999</v>
      </c>
      <c r="AM156" t="s">
        <v>4000</v>
      </c>
      <c r="AN156" t="s">
        <v>2804</v>
      </c>
      <c r="AO156" t="s">
        <v>4023</v>
      </c>
      <c r="AP156">
        <v>1399</v>
      </c>
      <c r="AQ156" t="s">
        <v>4002</v>
      </c>
      <c r="AR156" t="s">
        <v>4003</v>
      </c>
      <c r="AS156">
        <v>81</v>
      </c>
      <c r="AT156" t="s">
        <v>3779</v>
      </c>
      <c r="AW156" t="str">
        <f>Plan_2026[[#This Row],[Tên brand]]&amp;" "&amp;Plan_2026[[#This Row],[Trục đường chính]]&amp;Plan_2026[[#This Row],[Tên mall
(chuẩn hóa)]]&amp;Plan_2026[[#This Row],[Địa chỉ đầy đủ]]</f>
        <v>The Coffee House Võ Chí CôngLotte Mall West Lake HanoiVõ Chí Công, Phú Thượng, Tây Hồ, Hà Nội</v>
      </c>
    </row>
    <row r="157" spans="1:49" hidden="1" x14ac:dyDescent="0.35">
      <c r="A157">
        <v>152</v>
      </c>
      <c r="B157" t="s">
        <v>2617</v>
      </c>
      <c r="C157" t="s">
        <v>2787</v>
      </c>
      <c r="D157" t="s">
        <v>2788</v>
      </c>
      <c r="E157">
        <v>2026</v>
      </c>
      <c r="F157">
        <v>3</v>
      </c>
      <c r="G157">
        <v>7</v>
      </c>
      <c r="H157">
        <v>11</v>
      </c>
      <c r="J157" t="s">
        <v>23</v>
      </c>
      <c r="K157" t="s">
        <v>2774</v>
      </c>
      <c r="L157" t="s">
        <v>3133</v>
      </c>
      <c r="M157" t="s">
        <v>3134</v>
      </c>
      <c r="N157" t="s">
        <v>3558</v>
      </c>
      <c r="O157" t="s">
        <v>3995</v>
      </c>
      <c r="P157" t="s">
        <v>2618</v>
      </c>
      <c r="Q157" t="s">
        <v>2810</v>
      </c>
      <c r="R157" t="s">
        <v>2710</v>
      </c>
      <c r="S157" t="s">
        <v>2710</v>
      </c>
      <c r="T157" t="s">
        <v>2800</v>
      </c>
      <c r="U157" t="s">
        <v>2800</v>
      </c>
      <c r="V157">
        <v>1</v>
      </c>
      <c r="W157" t="s">
        <v>2713</v>
      </c>
      <c r="X157" t="s">
        <v>4024</v>
      </c>
      <c r="Z157">
        <v>132</v>
      </c>
      <c r="AB157" t="s">
        <v>2716</v>
      </c>
      <c r="AC157" t="s">
        <v>2717</v>
      </c>
      <c r="AE157">
        <v>0</v>
      </c>
      <c r="AF157" t="s">
        <v>4025</v>
      </c>
      <c r="AH157" t="s">
        <v>1788</v>
      </c>
      <c r="AI157">
        <v>46204</v>
      </c>
      <c r="AJ157">
        <v>7</v>
      </c>
      <c r="AK157" t="s">
        <v>3998</v>
      </c>
      <c r="AL157" t="s">
        <v>4026</v>
      </c>
      <c r="AM157" t="s">
        <v>4000</v>
      </c>
      <c r="AN157" t="s">
        <v>2814</v>
      </c>
      <c r="AO157" t="s">
        <v>4027</v>
      </c>
      <c r="AP157">
        <v>1399</v>
      </c>
      <c r="AQ157" t="s">
        <v>4002</v>
      </c>
      <c r="AR157" t="s">
        <v>4003</v>
      </c>
      <c r="AS157">
        <v>81</v>
      </c>
      <c r="AT157" t="s">
        <v>3779</v>
      </c>
      <c r="AW157" t="str">
        <f>Plan_2026[[#This Row],[Tên brand]]&amp;" "&amp;Plan_2026[[#This Row],[Trục đường chính]]&amp;Plan_2026[[#This Row],[Tên mall
(chuẩn hóa)]]&amp;Plan_2026[[#This Row],[Địa chỉ đầy đủ]]</f>
        <v>The Coffee House 1035 Đường Võ Chí Công1035 Đường Võ Chí Công, Phú Thượng, Tây Hồ, Hà Nội</v>
      </c>
    </row>
    <row r="158" spans="1:49" hidden="1" x14ac:dyDescent="0.35">
      <c r="A158">
        <v>153</v>
      </c>
      <c r="B158" t="s">
        <v>4028</v>
      </c>
      <c r="C158" t="s">
        <v>2849</v>
      </c>
      <c r="D158" t="s">
        <v>3552</v>
      </c>
      <c r="E158">
        <v>2026</v>
      </c>
      <c r="F158">
        <v>3</v>
      </c>
      <c r="G158">
        <v>7</v>
      </c>
      <c r="H158">
        <v>11</v>
      </c>
      <c r="J158" t="s">
        <v>23</v>
      </c>
      <c r="K158" t="s">
        <v>2774</v>
      </c>
      <c r="L158" t="s">
        <v>3133</v>
      </c>
      <c r="M158" t="s">
        <v>3134</v>
      </c>
      <c r="N158" t="s">
        <v>3558</v>
      </c>
      <c r="O158" t="s">
        <v>3995</v>
      </c>
      <c r="P158" t="s">
        <v>3996</v>
      </c>
      <c r="Q158" t="s">
        <v>2732</v>
      </c>
      <c r="R158" t="s">
        <v>2751</v>
      </c>
      <c r="S158" t="s">
        <v>2751</v>
      </c>
      <c r="T158" t="s">
        <v>2790</v>
      </c>
      <c r="U158" t="s">
        <v>2790</v>
      </c>
      <c r="V158">
        <v>1</v>
      </c>
      <c r="W158" t="s">
        <v>2735</v>
      </c>
      <c r="X158" t="s">
        <v>3997</v>
      </c>
      <c r="Y158" t="s">
        <v>3997</v>
      </c>
      <c r="Z158" t="s">
        <v>2715</v>
      </c>
      <c r="AB158" t="s">
        <v>2716</v>
      </c>
      <c r="AC158" t="s">
        <v>2763</v>
      </c>
      <c r="AE158">
        <v>1</v>
      </c>
      <c r="AH158" t="s">
        <v>1771</v>
      </c>
      <c r="AI158">
        <v>46204</v>
      </c>
      <c r="AJ158">
        <v>7</v>
      </c>
      <c r="AK158" t="s">
        <v>3998</v>
      </c>
      <c r="AL158" t="s">
        <v>3999</v>
      </c>
      <c r="AM158" t="s">
        <v>4000</v>
      </c>
      <c r="AN158" t="s">
        <v>2862</v>
      </c>
      <c r="AO158" t="s">
        <v>4029</v>
      </c>
      <c r="AP158">
        <v>1399</v>
      </c>
      <c r="AQ158" t="s">
        <v>4002</v>
      </c>
      <c r="AR158" t="s">
        <v>4003</v>
      </c>
      <c r="AS158">
        <v>2</v>
      </c>
      <c r="AT158" t="s">
        <v>2866</v>
      </c>
      <c r="AW158" t="str">
        <f>Plan_2026[[#This Row],[Tên brand]]&amp;" "&amp;Plan_2026[[#This Row],[Trục đường chính]]&amp;Plan_2026[[#This Row],[Tên mall
(chuẩn hóa)]]&amp;Plan_2026[[#This Row],[Địa chỉ đầy đủ]]</f>
        <v>Wow!Yakiniku Võ Chí CôngLotte Mall West Lake HanoiVõ Chí Công, Phú Thượng, Tây Hồ, Hà Nội</v>
      </c>
    </row>
    <row r="159" spans="1:49" hidden="1" x14ac:dyDescent="0.35">
      <c r="A159">
        <v>154</v>
      </c>
      <c r="B159" t="s">
        <v>4030</v>
      </c>
      <c r="C159" t="s">
        <v>2702</v>
      </c>
      <c r="D159" t="s">
        <v>3164</v>
      </c>
      <c r="E159">
        <v>2026</v>
      </c>
      <c r="F159">
        <v>2</v>
      </c>
      <c r="G159">
        <v>5</v>
      </c>
      <c r="H159">
        <v>9</v>
      </c>
      <c r="J159" t="s">
        <v>23</v>
      </c>
      <c r="K159" t="s">
        <v>2774</v>
      </c>
      <c r="L159" t="s">
        <v>3133</v>
      </c>
      <c r="M159" t="s">
        <v>3134</v>
      </c>
      <c r="N159" t="s">
        <v>3376</v>
      </c>
      <c r="O159" t="s">
        <v>4031</v>
      </c>
      <c r="P159" t="s">
        <v>4032</v>
      </c>
      <c r="Q159" t="s">
        <v>2709</v>
      </c>
      <c r="R159">
        <v>8</v>
      </c>
      <c r="S159" t="s">
        <v>2710</v>
      </c>
      <c r="T159" t="s">
        <v>2711</v>
      </c>
      <c r="U159" t="s">
        <v>2712</v>
      </c>
      <c r="V159">
        <v>1</v>
      </c>
      <c r="W159" t="s">
        <v>2735</v>
      </c>
      <c r="Z159" t="s">
        <v>2715</v>
      </c>
      <c r="AB159" t="s">
        <v>2716</v>
      </c>
      <c r="AC159" t="s">
        <v>2778</v>
      </c>
      <c r="AE159">
        <v>0</v>
      </c>
      <c r="AF159" t="s">
        <v>4033</v>
      </c>
      <c r="AH159" t="s">
        <v>76</v>
      </c>
      <c r="AI159">
        <v>46143</v>
      </c>
      <c r="AJ159">
        <v>5</v>
      </c>
      <c r="AK159" t="s">
        <v>4034</v>
      </c>
      <c r="AL159" t="s">
        <v>4035</v>
      </c>
      <c r="AM159" t="s">
        <v>4036</v>
      </c>
      <c r="AN159" t="s">
        <v>2721</v>
      </c>
      <c r="AO159" t="s">
        <v>4037</v>
      </c>
      <c r="AP159">
        <v>16200</v>
      </c>
      <c r="AQ159" t="s">
        <v>4038</v>
      </c>
      <c r="AR159" t="s">
        <v>4039</v>
      </c>
      <c r="AS159">
        <v>144</v>
      </c>
      <c r="AT159" t="s">
        <v>4040</v>
      </c>
      <c r="AW159" t="str">
        <f>Plan_2026[[#This Row],[Tên brand]]&amp;" "&amp;Plan_2026[[#This Row],[Trục đường chính]]&amp;Plan_2026[[#This Row],[Tên mall
(chuẩn hóa)]]&amp;Plan_2026[[#This Row],[Địa chỉ đầy đủ]]</f>
        <v>Gogi House Tô HiệuTô Hiệu, Nghĩa Đô, Cầu Giấy, Hà Nội</v>
      </c>
    </row>
    <row r="160" spans="1:49" hidden="1" x14ac:dyDescent="0.35">
      <c r="A160">
        <v>156</v>
      </c>
      <c r="B160" t="s">
        <v>2388</v>
      </c>
      <c r="C160" t="s">
        <v>184</v>
      </c>
      <c r="D160" t="s">
        <v>3298</v>
      </c>
      <c r="E160">
        <v>2026</v>
      </c>
      <c r="F160">
        <v>1</v>
      </c>
      <c r="G160">
        <v>2</v>
      </c>
      <c r="H160">
        <v>6</v>
      </c>
      <c r="J160" t="s">
        <v>23</v>
      </c>
      <c r="K160" t="s">
        <v>2774</v>
      </c>
      <c r="L160" t="s">
        <v>3133</v>
      </c>
      <c r="M160" t="s">
        <v>3134</v>
      </c>
      <c r="N160" t="s">
        <v>3376</v>
      </c>
      <c r="O160" t="s">
        <v>4031</v>
      </c>
      <c r="P160" t="s">
        <v>4032</v>
      </c>
      <c r="Q160" t="s">
        <v>2709</v>
      </c>
      <c r="R160" t="s">
        <v>2710</v>
      </c>
      <c r="S160" t="s">
        <v>2710</v>
      </c>
      <c r="T160" t="s">
        <v>2790</v>
      </c>
      <c r="U160" t="s">
        <v>2790</v>
      </c>
      <c r="V160">
        <v>1</v>
      </c>
      <c r="W160" t="s">
        <v>2713</v>
      </c>
      <c r="Z160">
        <v>220</v>
      </c>
      <c r="AB160" t="s">
        <v>2716</v>
      </c>
      <c r="AC160" t="s">
        <v>2738</v>
      </c>
      <c r="AE160">
        <v>0</v>
      </c>
      <c r="AF160" t="s">
        <v>4041</v>
      </c>
      <c r="AH160" t="s">
        <v>183</v>
      </c>
      <c r="AI160">
        <v>46054</v>
      </c>
      <c r="AJ160">
        <v>2</v>
      </c>
      <c r="AK160" t="s">
        <v>4034</v>
      </c>
      <c r="AL160" t="s">
        <v>4035</v>
      </c>
      <c r="AM160" t="s">
        <v>4036</v>
      </c>
      <c r="AN160" t="s">
        <v>3302</v>
      </c>
      <c r="AO160" t="s">
        <v>4042</v>
      </c>
      <c r="AP160">
        <v>16200</v>
      </c>
      <c r="AQ160" t="s">
        <v>4038</v>
      </c>
      <c r="AR160" t="s">
        <v>4039</v>
      </c>
      <c r="AS160">
        <v>10</v>
      </c>
      <c r="AT160" t="s">
        <v>2886</v>
      </c>
      <c r="AW160" t="str">
        <f>Plan_2026[[#This Row],[Tên brand]]&amp;" "&amp;Plan_2026[[#This Row],[Trục đường chính]]&amp;Plan_2026[[#This Row],[Tên mall
(chuẩn hóa)]]&amp;Plan_2026[[#This Row],[Địa chỉ đầy đủ]]</f>
        <v>Shogun Tô HiệuTô Hiệu, Nghĩa Đô, Cầu Giấy, Hà Nội</v>
      </c>
    </row>
    <row r="161" spans="1:49" hidden="1" x14ac:dyDescent="0.35">
      <c r="A161">
        <v>157</v>
      </c>
      <c r="B161" t="s">
        <v>2579</v>
      </c>
      <c r="C161" t="s">
        <v>2787</v>
      </c>
      <c r="D161" t="s">
        <v>2788</v>
      </c>
      <c r="E161">
        <v>2026</v>
      </c>
      <c r="F161">
        <v>2</v>
      </c>
      <c r="G161">
        <v>5</v>
      </c>
      <c r="H161">
        <v>9</v>
      </c>
      <c r="J161" t="s">
        <v>23</v>
      </c>
      <c r="K161" t="s">
        <v>2774</v>
      </c>
      <c r="L161" t="s">
        <v>3133</v>
      </c>
      <c r="M161" t="s">
        <v>3134</v>
      </c>
      <c r="N161" t="s">
        <v>3376</v>
      </c>
      <c r="O161" t="s">
        <v>4031</v>
      </c>
      <c r="P161" t="s">
        <v>2580</v>
      </c>
      <c r="Q161" t="s">
        <v>2709</v>
      </c>
      <c r="R161" t="s">
        <v>2751</v>
      </c>
      <c r="S161" t="s">
        <v>2751</v>
      </c>
      <c r="T161" t="s">
        <v>2790</v>
      </c>
      <c r="U161" t="s">
        <v>2790</v>
      </c>
      <c r="V161">
        <v>1</v>
      </c>
      <c r="W161" t="s">
        <v>2713</v>
      </c>
      <c r="Z161">
        <v>132</v>
      </c>
      <c r="AB161" t="s">
        <v>2716</v>
      </c>
      <c r="AC161" t="s">
        <v>2738</v>
      </c>
      <c r="AE161">
        <v>0</v>
      </c>
      <c r="AH161" t="s">
        <v>1788</v>
      </c>
      <c r="AI161">
        <v>46143</v>
      </c>
      <c r="AJ161">
        <v>5</v>
      </c>
      <c r="AK161" t="s">
        <v>4034</v>
      </c>
      <c r="AL161" t="s">
        <v>4043</v>
      </c>
      <c r="AM161" t="s">
        <v>4036</v>
      </c>
      <c r="AN161" t="s">
        <v>2793</v>
      </c>
      <c r="AO161" t="s">
        <v>4044</v>
      </c>
      <c r="AP161">
        <v>16200</v>
      </c>
      <c r="AQ161" t="s">
        <v>4038</v>
      </c>
      <c r="AR161" t="s">
        <v>4039</v>
      </c>
      <c r="AS161">
        <v>81</v>
      </c>
      <c r="AT161" t="s">
        <v>4045</v>
      </c>
      <c r="AW161" t="str">
        <f>Plan_2026[[#This Row],[Tên brand]]&amp;" "&amp;Plan_2026[[#This Row],[Trục đường chính]]&amp;Plan_2026[[#This Row],[Tên mall
(chuẩn hóa)]]&amp;Plan_2026[[#This Row],[Địa chỉ đầy đủ]]</f>
        <v>The Coffee House Hoàng Quốc Việt (khu vực có nhiều toà nhà văn phòng)Hoàng Quốc Việt (khu vực có nhiều toà nhà văn phòng), Nghĩa Đô, Cầu Giấy, Hà Nội</v>
      </c>
    </row>
    <row r="162" spans="1:49" hidden="1" x14ac:dyDescent="0.35">
      <c r="A162">
        <v>158</v>
      </c>
      <c r="B162" t="s">
        <v>4046</v>
      </c>
      <c r="C162" t="s">
        <v>3450</v>
      </c>
      <c r="D162" t="s">
        <v>3209</v>
      </c>
      <c r="E162">
        <v>2026</v>
      </c>
      <c r="F162">
        <v>3</v>
      </c>
      <c r="G162">
        <v>7</v>
      </c>
      <c r="H162">
        <v>11</v>
      </c>
      <c r="J162" t="s">
        <v>23</v>
      </c>
      <c r="K162" t="s">
        <v>2774</v>
      </c>
      <c r="L162" t="s">
        <v>3133</v>
      </c>
      <c r="M162" t="s">
        <v>3134</v>
      </c>
      <c r="N162" t="s">
        <v>3558</v>
      </c>
      <c r="O162" t="s">
        <v>4047</v>
      </c>
      <c r="P162" t="s">
        <v>4048</v>
      </c>
      <c r="Q162" t="s">
        <v>2709</v>
      </c>
      <c r="R162" t="s">
        <v>2710</v>
      </c>
      <c r="S162" t="s">
        <v>2710</v>
      </c>
      <c r="T162" t="s">
        <v>3453</v>
      </c>
      <c r="U162" t="s">
        <v>3229</v>
      </c>
      <c r="V162">
        <v>1</v>
      </c>
      <c r="W162" t="s">
        <v>2735</v>
      </c>
      <c r="Z162">
        <v>100</v>
      </c>
      <c r="AB162" t="s">
        <v>2716</v>
      </c>
      <c r="AC162" t="s">
        <v>2738</v>
      </c>
      <c r="AE162">
        <v>0</v>
      </c>
      <c r="AH162" t="s">
        <v>1506</v>
      </c>
      <c r="AI162">
        <v>46204</v>
      </c>
      <c r="AJ162">
        <v>7</v>
      </c>
      <c r="AK162" t="s">
        <v>4049</v>
      </c>
      <c r="AL162" t="s">
        <v>4050</v>
      </c>
      <c r="AM162" t="s">
        <v>4051</v>
      </c>
      <c r="AN162" t="s">
        <v>3458</v>
      </c>
      <c r="AO162" t="s">
        <v>4052</v>
      </c>
      <c r="AP162">
        <v>1699</v>
      </c>
      <c r="AQ162" t="s">
        <v>4053</v>
      </c>
      <c r="AR162" t="s">
        <v>4054</v>
      </c>
      <c r="AS162">
        <v>2</v>
      </c>
      <c r="AT162" t="s">
        <v>2866</v>
      </c>
      <c r="AW162" t="str">
        <f>Plan_2026[[#This Row],[Tên brand]]&amp;" "&amp;Plan_2026[[#This Row],[Trục đường chính]]&amp;Plan_2026[[#This Row],[Tên mall
(chuẩn hóa)]]&amp;Plan_2026[[#This Row],[Địa chỉ đầy đủ]]</f>
        <v>Chibo Xuân DiệuXuân Diệu, Quảng An, Tây Hồ, Hà Nội</v>
      </c>
    </row>
    <row r="163" spans="1:49" hidden="1" x14ac:dyDescent="0.35">
      <c r="A163">
        <v>159</v>
      </c>
      <c r="B163" t="s">
        <v>2205</v>
      </c>
      <c r="C163" t="s">
        <v>4055</v>
      </c>
      <c r="D163" t="s">
        <v>3209</v>
      </c>
      <c r="E163">
        <v>2026</v>
      </c>
      <c r="F163">
        <v>1</v>
      </c>
      <c r="G163">
        <v>2</v>
      </c>
      <c r="H163">
        <v>6</v>
      </c>
      <c r="J163" t="s">
        <v>23</v>
      </c>
      <c r="K163" t="s">
        <v>2774</v>
      </c>
      <c r="L163" t="s">
        <v>3133</v>
      </c>
      <c r="M163" t="s">
        <v>3134</v>
      </c>
      <c r="N163" t="s">
        <v>3558</v>
      </c>
      <c r="O163" t="s">
        <v>4047</v>
      </c>
      <c r="P163" t="s">
        <v>4048</v>
      </c>
      <c r="Q163" t="s">
        <v>2709</v>
      </c>
      <c r="R163" t="s">
        <v>2710</v>
      </c>
      <c r="S163" t="s">
        <v>2710</v>
      </c>
      <c r="T163" t="s">
        <v>2790</v>
      </c>
      <c r="U163" t="s">
        <v>2790</v>
      </c>
      <c r="V163">
        <v>1</v>
      </c>
      <c r="W163" t="s">
        <v>2713</v>
      </c>
      <c r="Z163" t="s">
        <v>4056</v>
      </c>
      <c r="AA163" t="s">
        <v>4057</v>
      </c>
      <c r="AB163" t="s">
        <v>2716</v>
      </c>
      <c r="AC163" t="s">
        <v>2738</v>
      </c>
      <c r="AE163">
        <v>0</v>
      </c>
      <c r="AF163" t="s">
        <v>2206</v>
      </c>
      <c r="AH163" t="s">
        <v>4058</v>
      </c>
      <c r="AI163">
        <v>46054</v>
      </c>
      <c r="AJ163">
        <v>2</v>
      </c>
      <c r="AK163" t="s">
        <v>4049</v>
      </c>
      <c r="AL163" t="s">
        <v>4050</v>
      </c>
      <c r="AM163" t="s">
        <v>4051</v>
      </c>
      <c r="AN163" t="s">
        <v>4059</v>
      </c>
      <c r="AO163" t="s">
        <v>4060</v>
      </c>
      <c r="AP163">
        <v>1699</v>
      </c>
      <c r="AQ163" t="s">
        <v>4053</v>
      </c>
      <c r="AR163" t="s">
        <v>4054</v>
      </c>
      <c r="AS163">
        <v>3</v>
      </c>
      <c r="AT163" t="s">
        <v>4017</v>
      </c>
      <c r="AW163" t="str">
        <f>Plan_2026[[#This Row],[Tên brand]]&amp;" "&amp;Plan_2026[[#This Row],[Trục đường chính]]&amp;Plan_2026[[#This Row],[Tên mall
(chuẩn hóa)]]&amp;Plan_2026[[#This Row],[Địa chỉ đầy đủ]]</f>
        <v>Sakura Yakiniku Xuân DiệuXuân Diệu, Quảng An, Tây Hồ, Hà Nội</v>
      </c>
    </row>
    <row r="164" spans="1:49" hidden="1" x14ac:dyDescent="0.35">
      <c r="A164">
        <v>160</v>
      </c>
      <c r="B164" t="s">
        <v>2643</v>
      </c>
      <c r="C164" t="s">
        <v>2008</v>
      </c>
      <c r="D164" t="s">
        <v>2832</v>
      </c>
      <c r="E164">
        <v>2026</v>
      </c>
      <c r="F164">
        <v>1</v>
      </c>
      <c r="G164">
        <v>2</v>
      </c>
      <c r="H164">
        <v>6</v>
      </c>
      <c r="I164">
        <v>3</v>
      </c>
      <c r="J164" t="s">
        <v>23</v>
      </c>
      <c r="K164" t="s">
        <v>2774</v>
      </c>
      <c r="L164" t="s">
        <v>3133</v>
      </c>
      <c r="M164" t="s">
        <v>3134</v>
      </c>
      <c r="N164" t="s">
        <v>3781</v>
      </c>
      <c r="O164" t="s">
        <v>4061</v>
      </c>
      <c r="P164" t="s">
        <v>2644</v>
      </c>
      <c r="Q164" t="s">
        <v>2709</v>
      </c>
      <c r="R164" t="s">
        <v>2751</v>
      </c>
      <c r="S164" t="s">
        <v>2751</v>
      </c>
      <c r="T164" t="s">
        <v>3179</v>
      </c>
      <c r="U164" t="s">
        <v>3179</v>
      </c>
      <c r="V164">
        <v>1</v>
      </c>
      <c r="W164" t="s">
        <v>2713</v>
      </c>
      <c r="Z164">
        <v>160</v>
      </c>
      <c r="AB164" t="s">
        <v>1794</v>
      </c>
      <c r="AC164" t="s">
        <v>2763</v>
      </c>
      <c r="AE164">
        <v>1</v>
      </c>
      <c r="AF164" t="s">
        <v>4062</v>
      </c>
      <c r="AH164" t="s">
        <v>2044</v>
      </c>
      <c r="AI164">
        <v>46054</v>
      </c>
      <c r="AJ164">
        <v>2</v>
      </c>
      <c r="AK164" t="s">
        <v>4063</v>
      </c>
      <c r="AL164" t="s">
        <v>4064</v>
      </c>
      <c r="AM164" t="s">
        <v>4065</v>
      </c>
      <c r="AN164" t="s">
        <v>2767</v>
      </c>
      <c r="AO164" t="s">
        <v>4066</v>
      </c>
      <c r="AP164">
        <v>12616</v>
      </c>
      <c r="AQ164" t="s">
        <v>4067</v>
      </c>
      <c r="AR164" t="s">
        <v>4068</v>
      </c>
      <c r="AS164">
        <v>6</v>
      </c>
      <c r="AT164" t="s">
        <v>3345</v>
      </c>
      <c r="AW164" t="str">
        <f>Plan_2026[[#This Row],[Tên brand]]&amp;" "&amp;Plan_2026[[#This Row],[Trục đường chính]]&amp;Plan_2026[[#This Row],[Tên mall
(chuẩn hóa)]]&amp;Plan_2026[[#This Row],[Địa chỉ đầy đủ]]</f>
        <v>Dao Niu Guo Mipec Long BiênMipec Long Biên, Ngọc Lâm, Long Biên, Hà Nội</v>
      </c>
    </row>
    <row r="165" spans="1:49" hidden="1" x14ac:dyDescent="0.35">
      <c r="A165">
        <v>161</v>
      </c>
      <c r="B165" t="s">
        <v>2394</v>
      </c>
      <c r="C165" t="s">
        <v>2772</v>
      </c>
      <c r="D165" t="s">
        <v>2773</v>
      </c>
      <c r="E165">
        <v>2026</v>
      </c>
      <c r="F165">
        <v>2</v>
      </c>
      <c r="G165">
        <v>6</v>
      </c>
      <c r="H165">
        <v>10</v>
      </c>
      <c r="J165" t="s">
        <v>23</v>
      </c>
      <c r="K165" t="s">
        <v>2774</v>
      </c>
      <c r="L165" t="s">
        <v>3133</v>
      </c>
      <c r="M165" t="s">
        <v>3134</v>
      </c>
      <c r="N165" t="s">
        <v>3781</v>
      </c>
      <c r="O165" t="s">
        <v>4061</v>
      </c>
      <c r="P165" t="s">
        <v>4069</v>
      </c>
      <c r="Q165" t="s">
        <v>2709</v>
      </c>
      <c r="R165" t="s">
        <v>2751</v>
      </c>
      <c r="S165" t="s">
        <v>2751</v>
      </c>
      <c r="T165" t="s">
        <v>2762</v>
      </c>
      <c r="U165" t="s">
        <v>2762</v>
      </c>
      <c r="V165">
        <v>1</v>
      </c>
      <c r="W165" t="s">
        <v>2713</v>
      </c>
      <c r="Z165">
        <v>200</v>
      </c>
      <c r="AB165" t="s">
        <v>2716</v>
      </c>
      <c r="AC165" t="s">
        <v>2738</v>
      </c>
      <c r="AE165">
        <v>0</v>
      </c>
      <c r="AF165" t="s">
        <v>4070</v>
      </c>
      <c r="AH165" t="s">
        <v>112</v>
      </c>
      <c r="AI165">
        <v>46174</v>
      </c>
      <c r="AJ165">
        <v>6</v>
      </c>
      <c r="AK165" t="s">
        <v>4063</v>
      </c>
      <c r="AL165" t="s">
        <v>4071</v>
      </c>
      <c r="AM165" t="s">
        <v>4065</v>
      </c>
      <c r="AN165" t="s">
        <v>2782</v>
      </c>
      <c r="AO165" t="s">
        <v>4072</v>
      </c>
      <c r="AP165">
        <v>12616</v>
      </c>
      <c r="AQ165" t="s">
        <v>4067</v>
      </c>
      <c r="AR165" t="s">
        <v>4068</v>
      </c>
      <c r="AS165">
        <v>55</v>
      </c>
      <c r="AT165" t="s">
        <v>4073</v>
      </c>
      <c r="AW165" t="str">
        <f>Plan_2026[[#This Row],[Tên brand]]&amp;" "&amp;Plan_2026[[#This Row],[Trục đường chính]]&amp;Plan_2026[[#This Row],[Tên mall
(chuẩn hóa)]]&amp;Plan_2026[[#This Row],[Địa chỉ đầy đủ]]</f>
        <v>Manwah Nguyễn Văn CừNguyễn Văn Cừ, Ngọc Lâm, Long Biên, Hà Nội</v>
      </c>
    </row>
    <row r="166" spans="1:49" hidden="1" x14ac:dyDescent="0.35">
      <c r="A166">
        <v>162</v>
      </c>
      <c r="B166" t="s">
        <v>4074</v>
      </c>
      <c r="C166" t="s">
        <v>2702</v>
      </c>
      <c r="D166" t="s">
        <v>3164</v>
      </c>
      <c r="E166">
        <v>2026</v>
      </c>
      <c r="F166">
        <v>3</v>
      </c>
      <c r="G166">
        <v>7</v>
      </c>
      <c r="H166">
        <v>11</v>
      </c>
      <c r="J166" t="s">
        <v>23</v>
      </c>
      <c r="K166" t="s">
        <v>2774</v>
      </c>
      <c r="L166" t="s">
        <v>3133</v>
      </c>
      <c r="M166" t="s">
        <v>3134</v>
      </c>
      <c r="N166" t="s">
        <v>3781</v>
      </c>
      <c r="O166" t="s">
        <v>4061</v>
      </c>
      <c r="P166" t="s">
        <v>4061</v>
      </c>
      <c r="Q166" t="s">
        <v>2709</v>
      </c>
      <c r="R166">
        <v>8</v>
      </c>
      <c r="S166" t="s">
        <v>2710</v>
      </c>
      <c r="T166" t="s">
        <v>2711</v>
      </c>
      <c r="U166" t="s">
        <v>2712</v>
      </c>
      <c r="V166">
        <v>1</v>
      </c>
      <c r="W166" t="s">
        <v>2735</v>
      </c>
      <c r="X166" t="s">
        <v>4075</v>
      </c>
      <c r="Z166" t="s">
        <v>2715</v>
      </c>
      <c r="AB166" t="s">
        <v>2716</v>
      </c>
      <c r="AC166" t="s">
        <v>2717</v>
      </c>
      <c r="AE166">
        <v>0</v>
      </c>
      <c r="AH166" t="s">
        <v>76</v>
      </c>
      <c r="AI166">
        <v>46204</v>
      </c>
      <c r="AJ166">
        <v>7</v>
      </c>
      <c r="AK166" t="s">
        <v>4063</v>
      </c>
      <c r="AL166" t="s">
        <v>4076</v>
      </c>
      <c r="AM166" t="s">
        <v>4065</v>
      </c>
      <c r="AN166" t="s">
        <v>2721</v>
      </c>
      <c r="AO166" t="s">
        <v>4077</v>
      </c>
      <c r="AP166">
        <v>12616</v>
      </c>
      <c r="AQ166" t="s">
        <v>4067</v>
      </c>
      <c r="AR166" t="s">
        <v>4068</v>
      </c>
      <c r="AS166">
        <v>144</v>
      </c>
      <c r="AT166" t="s">
        <v>4078</v>
      </c>
      <c r="AW166" t="str">
        <f>Plan_2026[[#This Row],[Tên brand]]&amp;" "&amp;Plan_2026[[#This Row],[Trục đường chính]]&amp;Plan_2026[[#This Row],[Tên mall
(chuẩn hóa)]]&amp;Plan_2026[[#This Row],[Địa chỉ đầy đủ]]</f>
        <v>Gogi House Ngọc LâmNgọc Lâm, Ngọc Lâm, Long Biên, Hà Nội</v>
      </c>
    </row>
    <row r="167" spans="1:49" hidden="1" x14ac:dyDescent="0.35">
      <c r="A167">
        <v>163</v>
      </c>
      <c r="B167" t="s">
        <v>4079</v>
      </c>
      <c r="C167" t="s">
        <v>35</v>
      </c>
      <c r="D167" t="s">
        <v>3132</v>
      </c>
      <c r="E167">
        <v>2025</v>
      </c>
      <c r="F167">
        <v>3</v>
      </c>
      <c r="G167">
        <v>9</v>
      </c>
      <c r="H167">
        <v>1</v>
      </c>
      <c r="J167" t="s">
        <v>23</v>
      </c>
      <c r="K167" t="s">
        <v>2774</v>
      </c>
      <c r="L167" t="s">
        <v>3133</v>
      </c>
      <c r="M167" t="s">
        <v>3134</v>
      </c>
      <c r="N167" t="s">
        <v>3165</v>
      </c>
      <c r="O167" t="s">
        <v>4080</v>
      </c>
      <c r="Q167" t="s">
        <v>2709</v>
      </c>
      <c r="R167" t="s">
        <v>2710</v>
      </c>
      <c r="S167" t="s">
        <v>2710</v>
      </c>
      <c r="T167" t="s">
        <v>2882</v>
      </c>
      <c r="U167" t="s">
        <v>2712</v>
      </c>
      <c r="V167">
        <v>1</v>
      </c>
      <c r="W167" t="s">
        <v>2713</v>
      </c>
      <c r="Z167" t="s">
        <v>2715</v>
      </c>
      <c r="AA167" t="s">
        <v>3317</v>
      </c>
      <c r="AB167" t="s">
        <v>2716</v>
      </c>
      <c r="AC167" t="s">
        <v>2738</v>
      </c>
      <c r="AE167">
        <v>0</v>
      </c>
      <c r="AF167" t="s">
        <v>2907</v>
      </c>
      <c r="AG167" t="s">
        <v>2908</v>
      </c>
      <c r="AH167" t="s">
        <v>34</v>
      </c>
      <c r="AI167">
        <v>45901</v>
      </c>
      <c r="AJ167">
        <v>9</v>
      </c>
      <c r="AK167" t="s">
        <v>4081</v>
      </c>
      <c r="AL167" t="s">
        <v>4081</v>
      </c>
      <c r="AM167" t="s">
        <v>4082</v>
      </c>
      <c r="AN167" t="s">
        <v>2911</v>
      </c>
      <c r="AO167" t="s">
        <v>4083</v>
      </c>
      <c r="AP167">
        <v>21419</v>
      </c>
      <c r="AQ167" t="s">
        <v>4084</v>
      </c>
      <c r="AR167" t="s">
        <v>4085</v>
      </c>
      <c r="AS167">
        <v>107</v>
      </c>
      <c r="AT167" t="s">
        <v>3146</v>
      </c>
      <c r="AW167" t="str">
        <f>Plan_2026[[#This Row],[Tên brand]]&amp;" "&amp;Plan_2026[[#This Row],[Trục đường chính]]&amp;Plan_2026[[#This Row],[Tên mall
(chuẩn hóa)]]&amp;Plan_2026[[#This Row],[Địa chỉ đầy đủ]]</f>
        <v>Kichi Kichi Vĩnh Phúc, Ba Đình, Hà Nội</v>
      </c>
    </row>
    <row r="168" spans="1:49" hidden="1" x14ac:dyDescent="0.35">
      <c r="A168">
        <v>164</v>
      </c>
      <c r="B168" t="s">
        <v>4086</v>
      </c>
      <c r="C168" t="s">
        <v>3415</v>
      </c>
      <c r="D168" t="s">
        <v>3416</v>
      </c>
      <c r="E168">
        <v>2026</v>
      </c>
      <c r="F168">
        <v>2</v>
      </c>
      <c r="G168">
        <v>5</v>
      </c>
      <c r="H168">
        <v>9</v>
      </c>
      <c r="J168" t="s">
        <v>23</v>
      </c>
      <c r="K168" t="s">
        <v>2774</v>
      </c>
      <c r="L168" t="s">
        <v>3133</v>
      </c>
      <c r="M168" t="s">
        <v>3134</v>
      </c>
      <c r="N168" t="s">
        <v>3376</v>
      </c>
      <c r="O168" t="s">
        <v>4087</v>
      </c>
      <c r="Q168" t="s">
        <v>2709</v>
      </c>
      <c r="R168" t="s">
        <v>2751</v>
      </c>
      <c r="S168" t="s">
        <v>2751</v>
      </c>
      <c r="T168" t="s">
        <v>2790</v>
      </c>
      <c r="U168" t="s">
        <v>2790</v>
      </c>
      <c r="V168">
        <v>1</v>
      </c>
      <c r="W168" t="s">
        <v>2735</v>
      </c>
      <c r="Z168" t="s">
        <v>3331</v>
      </c>
      <c r="AA168" t="s">
        <v>4088</v>
      </c>
      <c r="AB168" t="s">
        <v>2716</v>
      </c>
      <c r="AC168" t="s">
        <v>2738</v>
      </c>
      <c r="AE168">
        <v>0</v>
      </c>
      <c r="AF168" t="s">
        <v>4089</v>
      </c>
      <c r="AG168" t="s">
        <v>2908</v>
      </c>
      <c r="AH168" t="s">
        <v>1611</v>
      </c>
      <c r="AI168">
        <v>46143</v>
      </c>
      <c r="AJ168">
        <v>5</v>
      </c>
      <c r="AK168" t="s">
        <v>4090</v>
      </c>
      <c r="AL168" t="s">
        <v>4090</v>
      </c>
      <c r="AM168" t="s">
        <v>4091</v>
      </c>
      <c r="AN168" t="s">
        <v>3424</v>
      </c>
      <c r="AO168" t="s">
        <v>4092</v>
      </c>
      <c r="AP168">
        <v>23065</v>
      </c>
      <c r="AQ168" t="s">
        <v>4093</v>
      </c>
      <c r="AR168" t="s">
        <v>4094</v>
      </c>
      <c r="AS168">
        <v>0</v>
      </c>
      <c r="AT168" t="s">
        <v>3297</v>
      </c>
      <c r="AW168" t="str">
        <f>Plan_2026[[#This Row],[Tên brand]]&amp;" "&amp;Plan_2026[[#This Row],[Trục đường chính]]&amp;Plan_2026[[#This Row],[Tên mall
(chuẩn hóa)]]&amp;Plan_2026[[#This Row],[Địa chỉ đầy đủ]]</f>
        <v>Mama's Bakery Quan Hoa, Cầu Giấy, Hà Nội</v>
      </c>
    </row>
    <row r="169" spans="1:49" hidden="1" x14ac:dyDescent="0.35">
      <c r="A169">
        <v>165</v>
      </c>
      <c r="B169" t="s">
        <v>4095</v>
      </c>
      <c r="C169" t="s">
        <v>3191</v>
      </c>
      <c r="D169" t="s">
        <v>3192</v>
      </c>
      <c r="E169">
        <v>2026</v>
      </c>
      <c r="F169">
        <v>2</v>
      </c>
      <c r="G169">
        <v>4</v>
      </c>
      <c r="H169">
        <v>8</v>
      </c>
      <c r="J169" t="s">
        <v>23</v>
      </c>
      <c r="K169" t="s">
        <v>2774</v>
      </c>
      <c r="L169" t="s">
        <v>3133</v>
      </c>
      <c r="M169" t="s">
        <v>3134</v>
      </c>
      <c r="N169" t="s">
        <v>3367</v>
      </c>
      <c r="O169" t="s">
        <v>4096</v>
      </c>
      <c r="Q169" t="s">
        <v>2810</v>
      </c>
      <c r="R169" t="s">
        <v>2751</v>
      </c>
      <c r="S169" t="s">
        <v>2751</v>
      </c>
      <c r="T169" t="s">
        <v>2712</v>
      </c>
      <c r="U169" t="s">
        <v>2712</v>
      </c>
      <c r="V169">
        <v>1</v>
      </c>
      <c r="W169" t="s">
        <v>2713</v>
      </c>
      <c r="Z169">
        <v>200</v>
      </c>
      <c r="AB169" t="s">
        <v>2716</v>
      </c>
      <c r="AC169" t="s">
        <v>2738</v>
      </c>
      <c r="AE169">
        <v>0</v>
      </c>
      <c r="AG169" t="s">
        <v>2908</v>
      </c>
      <c r="AH169" t="s">
        <v>1311</v>
      </c>
      <c r="AI169">
        <v>46113</v>
      </c>
      <c r="AJ169">
        <v>4</v>
      </c>
      <c r="AK169" t="s">
        <v>4097</v>
      </c>
      <c r="AL169" t="s">
        <v>4097</v>
      </c>
      <c r="AM169" t="s">
        <v>4098</v>
      </c>
      <c r="AN169" t="s">
        <v>3847</v>
      </c>
      <c r="AO169" t="s">
        <v>4099</v>
      </c>
      <c r="AP169">
        <v>27083</v>
      </c>
      <c r="AQ169" t="s">
        <v>4100</v>
      </c>
      <c r="AR169" t="s">
        <v>4101</v>
      </c>
      <c r="AS169">
        <v>5</v>
      </c>
      <c r="AT169" t="s">
        <v>4102</v>
      </c>
      <c r="AW169" t="str">
        <f>Plan_2026[[#This Row],[Tên brand]]&amp;" "&amp;Plan_2026[[#This Row],[Trục đường chính]]&amp;Plan_2026[[#This Row],[Tên mall
(chuẩn hóa)]]&amp;Plan_2026[[#This Row],[Địa chỉ đầy đủ]]</f>
        <v>Union Pizza Quỳnh Mai, Hai Bà Trưng, Hà Nội</v>
      </c>
    </row>
    <row r="170" spans="1:49" hidden="1" x14ac:dyDescent="0.35">
      <c r="A170">
        <v>166</v>
      </c>
      <c r="B170" t="s">
        <v>4103</v>
      </c>
      <c r="C170" t="s">
        <v>2008</v>
      </c>
      <c r="D170" t="s">
        <v>2832</v>
      </c>
      <c r="E170">
        <v>2026</v>
      </c>
      <c r="F170">
        <v>3</v>
      </c>
      <c r="G170">
        <v>8</v>
      </c>
      <c r="H170">
        <v>12</v>
      </c>
      <c r="J170" t="s">
        <v>23</v>
      </c>
      <c r="K170" t="s">
        <v>2774</v>
      </c>
      <c r="L170" t="s">
        <v>3133</v>
      </c>
      <c r="M170" t="s">
        <v>3134</v>
      </c>
      <c r="N170" t="s">
        <v>3165</v>
      </c>
      <c r="O170" t="s">
        <v>4104</v>
      </c>
      <c r="P170" t="s">
        <v>4105</v>
      </c>
      <c r="Q170" t="s">
        <v>2709</v>
      </c>
      <c r="R170" t="s">
        <v>2751</v>
      </c>
      <c r="S170" t="s">
        <v>2751</v>
      </c>
      <c r="T170" t="s">
        <v>2762</v>
      </c>
      <c r="U170" t="s">
        <v>2762</v>
      </c>
      <c r="V170">
        <v>1</v>
      </c>
      <c r="W170" t="s">
        <v>2735</v>
      </c>
      <c r="X170" t="s">
        <v>4105</v>
      </c>
      <c r="Z170">
        <v>160</v>
      </c>
      <c r="AB170" t="s">
        <v>2716</v>
      </c>
      <c r="AC170" t="s">
        <v>2717</v>
      </c>
      <c r="AE170">
        <v>0</v>
      </c>
      <c r="AF170" t="s">
        <v>4106</v>
      </c>
      <c r="AH170" t="s">
        <v>2044</v>
      </c>
      <c r="AI170">
        <v>46235</v>
      </c>
      <c r="AJ170">
        <v>8</v>
      </c>
      <c r="AK170" t="s">
        <v>4107</v>
      </c>
      <c r="AL170" t="s">
        <v>4108</v>
      </c>
      <c r="AM170" t="s">
        <v>4109</v>
      </c>
      <c r="AN170" t="s">
        <v>2767</v>
      </c>
      <c r="AO170" t="s">
        <v>4110</v>
      </c>
      <c r="AP170">
        <v>6975</v>
      </c>
      <c r="AQ170" t="s">
        <v>4111</v>
      </c>
      <c r="AR170" t="s">
        <v>4112</v>
      </c>
      <c r="AS170">
        <v>6</v>
      </c>
      <c r="AT170" t="s">
        <v>2771</v>
      </c>
      <c r="AW170" t="str">
        <f>Plan_2026[[#This Row],[Tên brand]]&amp;" "&amp;Plan_2026[[#This Row],[Trục đường chính]]&amp;Plan_2026[[#This Row],[Tên mall
(chuẩn hóa)]]&amp;Plan_2026[[#This Row],[Địa chỉ đầy đủ]]</f>
        <v>Dao Niu Guo 19 Đặng Dung19 Đặng Dung, Quán Thánh, Ba Đình, Hà Nội</v>
      </c>
    </row>
    <row r="171" spans="1:49" hidden="1" x14ac:dyDescent="0.35">
      <c r="A171">
        <v>167</v>
      </c>
      <c r="B171" t="s">
        <v>4113</v>
      </c>
      <c r="C171" t="s">
        <v>62</v>
      </c>
      <c r="D171" t="s">
        <v>3463</v>
      </c>
      <c r="E171">
        <v>2026</v>
      </c>
      <c r="F171">
        <v>3</v>
      </c>
      <c r="G171">
        <v>8</v>
      </c>
      <c r="H171">
        <v>12</v>
      </c>
      <c r="J171" t="s">
        <v>23</v>
      </c>
      <c r="K171" t="s">
        <v>2774</v>
      </c>
      <c r="L171" t="s">
        <v>3133</v>
      </c>
      <c r="M171" t="s">
        <v>3134</v>
      </c>
      <c r="N171" t="s">
        <v>3536</v>
      </c>
      <c r="O171" t="s">
        <v>4114</v>
      </c>
      <c r="P171" t="s">
        <v>4115</v>
      </c>
      <c r="Q171" t="s">
        <v>2709</v>
      </c>
      <c r="R171" t="s">
        <v>2751</v>
      </c>
      <c r="S171" t="s">
        <v>2751</v>
      </c>
      <c r="T171" t="s">
        <v>2712</v>
      </c>
      <c r="U171" t="s">
        <v>2712</v>
      </c>
      <c r="V171">
        <v>1</v>
      </c>
      <c r="W171" t="s">
        <v>2735</v>
      </c>
      <c r="X171" t="s">
        <v>4115</v>
      </c>
      <c r="Z171">
        <v>300</v>
      </c>
      <c r="AB171" t="s">
        <v>2716</v>
      </c>
      <c r="AC171" t="s">
        <v>2717</v>
      </c>
      <c r="AE171">
        <v>0</v>
      </c>
      <c r="AF171" t="s">
        <v>4116</v>
      </c>
      <c r="AH171" t="s">
        <v>61</v>
      </c>
      <c r="AI171">
        <v>46235</v>
      </c>
      <c r="AJ171">
        <v>8</v>
      </c>
      <c r="AK171" t="s">
        <v>4117</v>
      </c>
      <c r="AL171" t="s">
        <v>4118</v>
      </c>
      <c r="AM171" t="s">
        <v>4119</v>
      </c>
      <c r="AN171" t="s">
        <v>2944</v>
      </c>
      <c r="AO171" t="s">
        <v>4120</v>
      </c>
      <c r="AP171">
        <v>11082</v>
      </c>
      <c r="AQ171" t="s">
        <v>4121</v>
      </c>
      <c r="AR171" t="s">
        <v>4122</v>
      </c>
      <c r="AS171">
        <v>25</v>
      </c>
      <c r="AT171" t="s">
        <v>4123</v>
      </c>
      <c r="AW171" t="str">
        <f>Plan_2026[[#This Row],[Tên brand]]&amp;" "&amp;Plan_2026[[#This Row],[Trục đường chính]]&amp;Plan_2026[[#This Row],[Tên mall
(chuẩn hóa)]]&amp;Plan_2026[[#This Row],[Địa chỉ đầy đủ]]</f>
        <v>Isushi 62 BT4X2 Bắc Linh Đàm62 BT4X2 Bắc Linh Đàm, Đại Kim, Hoàng Mai, Hà Nội</v>
      </c>
    </row>
    <row r="172" spans="1:49" hidden="1" x14ac:dyDescent="0.35">
      <c r="A172">
        <v>375</v>
      </c>
      <c r="B172" t="s">
        <v>4124</v>
      </c>
      <c r="C172" t="s">
        <v>2849</v>
      </c>
      <c r="D172" t="s">
        <v>2850</v>
      </c>
      <c r="E172">
        <v>2026</v>
      </c>
      <c r="F172">
        <v>3</v>
      </c>
      <c r="G172">
        <v>8</v>
      </c>
      <c r="H172">
        <v>12</v>
      </c>
      <c r="J172" t="s">
        <v>23</v>
      </c>
      <c r="K172" t="s">
        <v>2774</v>
      </c>
      <c r="L172" t="s">
        <v>3133</v>
      </c>
      <c r="M172" t="s">
        <v>3134</v>
      </c>
      <c r="N172" t="s">
        <v>3376</v>
      </c>
      <c r="O172" t="s">
        <v>3464</v>
      </c>
      <c r="P172" t="s">
        <v>3465</v>
      </c>
      <c r="Q172" t="s">
        <v>2810</v>
      </c>
      <c r="R172" t="s">
        <v>2751</v>
      </c>
      <c r="S172" t="s">
        <v>2751</v>
      </c>
      <c r="T172" t="s">
        <v>2800</v>
      </c>
      <c r="U172" t="s">
        <v>2800</v>
      </c>
      <c r="V172">
        <v>1</v>
      </c>
      <c r="W172" t="s">
        <v>2735</v>
      </c>
      <c r="X172" t="s">
        <v>3465</v>
      </c>
      <c r="Z172" t="s">
        <v>2715</v>
      </c>
      <c r="AB172" t="s">
        <v>2716</v>
      </c>
      <c r="AC172" t="s">
        <v>2763</v>
      </c>
      <c r="AE172">
        <v>1</v>
      </c>
      <c r="AH172" t="s">
        <v>1771</v>
      </c>
      <c r="AI172">
        <v>46235</v>
      </c>
      <c r="AJ172">
        <v>8</v>
      </c>
      <c r="AK172" t="s">
        <v>3467</v>
      </c>
      <c r="AM172" t="s">
        <v>3469</v>
      </c>
      <c r="AN172" t="s">
        <v>3555</v>
      </c>
      <c r="AO172" t="s">
        <v>4125</v>
      </c>
      <c r="AP172">
        <v>10745</v>
      </c>
      <c r="AQ172" t="s">
        <v>3471</v>
      </c>
      <c r="AR172" t="s">
        <v>3472</v>
      </c>
      <c r="AS172">
        <v>2</v>
      </c>
      <c r="AT172" t="s">
        <v>2866</v>
      </c>
      <c r="AW172" t="str">
        <f>Plan_2026[[#This Row],[Tên brand]]&amp;" "&amp;Plan_2026[[#This Row],[Trục đường chính]]&amp;Plan_2026[[#This Row],[Tên mall
(chuẩn hóa)]]&amp;Plan_2026[[#This Row],[Địa chỉ đầy đủ]]</f>
        <v>Wow!Yakiniku 90 Trần Thái Tông</v>
      </c>
    </row>
    <row r="173" spans="1:49" hidden="1" x14ac:dyDescent="0.35">
      <c r="A173">
        <v>384</v>
      </c>
      <c r="B173" t="s">
        <v>4126</v>
      </c>
      <c r="C173" t="s">
        <v>4127</v>
      </c>
      <c r="D173" t="s">
        <v>3226</v>
      </c>
      <c r="E173">
        <v>2026</v>
      </c>
      <c r="F173">
        <v>1</v>
      </c>
      <c r="G173">
        <v>2</v>
      </c>
      <c r="H173">
        <v>6</v>
      </c>
      <c r="J173" t="s">
        <v>23</v>
      </c>
      <c r="K173" t="s">
        <v>2774</v>
      </c>
      <c r="L173" t="s">
        <v>3133</v>
      </c>
      <c r="M173" t="s">
        <v>3134</v>
      </c>
      <c r="N173" t="s">
        <v>3376</v>
      </c>
      <c r="O173" t="s">
        <v>3884</v>
      </c>
      <c r="P173" t="s">
        <v>3895</v>
      </c>
      <c r="Q173" t="s">
        <v>2732</v>
      </c>
      <c r="R173" t="s">
        <v>2751</v>
      </c>
      <c r="S173" t="s">
        <v>2751</v>
      </c>
      <c r="T173" t="s">
        <v>2790</v>
      </c>
      <c r="U173" t="s">
        <v>2790</v>
      </c>
      <c r="V173">
        <v>1</v>
      </c>
      <c r="W173" t="s">
        <v>2735</v>
      </c>
      <c r="X173" t="s">
        <v>3896</v>
      </c>
      <c r="Y173" t="s">
        <v>3897</v>
      </c>
      <c r="Z173" t="s">
        <v>2715</v>
      </c>
      <c r="AB173" t="s">
        <v>1794</v>
      </c>
      <c r="AC173" t="s">
        <v>2763</v>
      </c>
      <c r="AE173">
        <v>1</v>
      </c>
      <c r="AF173" t="s">
        <v>4128</v>
      </c>
      <c r="AH173" t="s">
        <v>2132</v>
      </c>
      <c r="AI173">
        <v>46054</v>
      </c>
      <c r="AJ173">
        <v>2</v>
      </c>
      <c r="AK173" t="s">
        <v>3887</v>
      </c>
      <c r="AM173" t="s">
        <v>3889</v>
      </c>
      <c r="AN173" t="s">
        <v>4129</v>
      </c>
      <c r="AO173" t="s">
        <v>4130</v>
      </c>
      <c r="AP173">
        <v>14681</v>
      </c>
      <c r="AQ173" t="s">
        <v>3891</v>
      </c>
      <c r="AR173" t="s">
        <v>3892</v>
      </c>
      <c r="AS173">
        <v>1</v>
      </c>
      <c r="AT173" t="s">
        <v>4131</v>
      </c>
      <c r="AW173" t="str">
        <f>Plan_2026[[#This Row],[Tên brand]]&amp;" "&amp;Plan_2026[[#This Row],[Trục đường chính]]&amp;Plan_2026[[#This Row],[Tên mall
(chuẩn hóa)]]&amp;Plan_2026[[#This Row],[Địa chỉ đầy đủ]]</f>
        <v>Pizza360 222 đường Trần Duy HưngGo! Thăng Long</v>
      </c>
    </row>
    <row r="174" spans="1:49" hidden="1" x14ac:dyDescent="0.35">
      <c r="A174">
        <v>386</v>
      </c>
      <c r="B174" t="s">
        <v>2173</v>
      </c>
      <c r="C174" t="s">
        <v>3191</v>
      </c>
      <c r="D174" t="s">
        <v>3192</v>
      </c>
      <c r="E174">
        <v>2026</v>
      </c>
      <c r="F174">
        <v>1</v>
      </c>
      <c r="G174">
        <v>2</v>
      </c>
      <c r="H174">
        <v>6</v>
      </c>
      <c r="J174" t="s">
        <v>23</v>
      </c>
      <c r="K174" t="s">
        <v>2774</v>
      </c>
      <c r="L174" t="s">
        <v>3133</v>
      </c>
      <c r="M174" t="s">
        <v>3134</v>
      </c>
      <c r="N174" t="s">
        <v>3165</v>
      </c>
      <c r="O174" t="s">
        <v>4104</v>
      </c>
      <c r="P174" t="s">
        <v>4132</v>
      </c>
      <c r="Q174" t="s">
        <v>2709</v>
      </c>
      <c r="R174" t="s">
        <v>2751</v>
      </c>
      <c r="S174" t="s">
        <v>2751</v>
      </c>
      <c r="T174" t="s">
        <v>2712</v>
      </c>
      <c r="U174" t="s">
        <v>2712</v>
      </c>
      <c r="V174">
        <v>1</v>
      </c>
      <c r="W174" t="s">
        <v>2735</v>
      </c>
      <c r="Z174">
        <v>200</v>
      </c>
      <c r="AB174" t="s">
        <v>1794</v>
      </c>
      <c r="AC174" t="s">
        <v>2763</v>
      </c>
      <c r="AE174">
        <v>1</v>
      </c>
      <c r="AF174" t="s">
        <v>4133</v>
      </c>
      <c r="AH174" t="s">
        <v>1311</v>
      </c>
      <c r="AI174">
        <v>46054</v>
      </c>
      <c r="AJ174">
        <v>2</v>
      </c>
      <c r="AK174" t="s">
        <v>4107</v>
      </c>
      <c r="AM174" t="s">
        <v>4109</v>
      </c>
      <c r="AN174" t="s">
        <v>3196</v>
      </c>
      <c r="AO174" t="s">
        <v>4134</v>
      </c>
      <c r="AP174">
        <v>6975</v>
      </c>
      <c r="AQ174" t="s">
        <v>4111</v>
      </c>
      <c r="AR174" t="s">
        <v>4112</v>
      </c>
      <c r="AS174">
        <v>5</v>
      </c>
      <c r="AT174" t="s">
        <v>4135</v>
      </c>
      <c r="AW174" t="str">
        <f>Plan_2026[[#This Row],[Tên brand]]&amp;" "&amp;Plan_2026[[#This Row],[Trục đường chính]]&amp;Plan_2026[[#This Row],[Tên mall
(chuẩn hóa)]]&amp;Plan_2026[[#This Row],[Địa chỉ đầy đủ]]</f>
        <v>Union Pizza 8 Phan Đình Phùng</v>
      </c>
    </row>
    <row r="175" spans="1:49" hidden="1" x14ac:dyDescent="0.35">
      <c r="A175">
        <v>388</v>
      </c>
      <c r="B175" t="s">
        <v>2148</v>
      </c>
      <c r="C175" t="s">
        <v>229</v>
      </c>
      <c r="D175" t="s">
        <v>3871</v>
      </c>
      <c r="E175">
        <v>2026</v>
      </c>
      <c r="F175">
        <v>1</v>
      </c>
      <c r="G175">
        <v>2</v>
      </c>
      <c r="H175">
        <v>6</v>
      </c>
      <c r="J175" t="s">
        <v>23</v>
      </c>
      <c r="K175" t="s">
        <v>2774</v>
      </c>
      <c r="L175" t="s">
        <v>3133</v>
      </c>
      <c r="M175" t="s">
        <v>3134</v>
      </c>
      <c r="N175" t="s">
        <v>3757</v>
      </c>
      <c r="O175" t="s">
        <v>4136</v>
      </c>
      <c r="P175" t="s">
        <v>4137</v>
      </c>
      <c r="Q175" t="s">
        <v>2732</v>
      </c>
      <c r="R175">
        <v>8</v>
      </c>
      <c r="S175" t="s">
        <v>2710</v>
      </c>
      <c r="T175" t="s">
        <v>2882</v>
      </c>
      <c r="U175" t="s">
        <v>2800</v>
      </c>
      <c r="V175">
        <v>1</v>
      </c>
      <c r="W175" t="s">
        <v>2735</v>
      </c>
      <c r="X175" t="s">
        <v>4137</v>
      </c>
      <c r="Y175" t="s">
        <v>4138</v>
      </c>
      <c r="Z175" t="s">
        <v>2715</v>
      </c>
      <c r="AB175" t="s">
        <v>1794</v>
      </c>
      <c r="AC175" t="s">
        <v>2763</v>
      </c>
      <c r="AE175">
        <v>1</v>
      </c>
      <c r="AF175" t="s">
        <v>4139</v>
      </c>
      <c r="AH175" t="s">
        <v>228</v>
      </c>
      <c r="AI175">
        <v>46054</v>
      </c>
      <c r="AJ175">
        <v>2</v>
      </c>
      <c r="AK175" t="s">
        <v>4140</v>
      </c>
      <c r="AM175" t="s">
        <v>4141</v>
      </c>
      <c r="AN175" t="s">
        <v>3127</v>
      </c>
      <c r="AO175" t="s">
        <v>4142</v>
      </c>
      <c r="AP175">
        <v>391</v>
      </c>
      <c r="AQ175" t="s">
        <v>4143</v>
      </c>
      <c r="AR175" t="s">
        <v>4144</v>
      </c>
      <c r="AS175">
        <v>10</v>
      </c>
      <c r="AT175" t="s">
        <v>3567</v>
      </c>
      <c r="AW175" t="str">
        <f>Plan_2026[[#This Row],[Tên brand]]&amp;" "&amp;Plan_2026[[#This Row],[Trục đường chính]]&amp;Plan_2026[[#This Row],[Tên mall
(chuẩn hóa)]]&amp;Plan_2026[[#This Row],[Địa chỉ đầy đủ]]</f>
        <v>Yutang Ocean parkVincom Mega Mall Ocean Park</v>
      </c>
    </row>
    <row r="176" spans="1:49" hidden="1" x14ac:dyDescent="0.35">
      <c r="A176">
        <v>389</v>
      </c>
      <c r="B176" t="s">
        <v>4145</v>
      </c>
      <c r="C176" t="s">
        <v>35</v>
      </c>
      <c r="D176" t="s">
        <v>4146</v>
      </c>
      <c r="E176">
        <v>2026</v>
      </c>
      <c r="F176">
        <v>3</v>
      </c>
      <c r="G176">
        <v>8</v>
      </c>
      <c r="H176">
        <v>12</v>
      </c>
      <c r="J176" t="s">
        <v>23</v>
      </c>
      <c r="K176" t="s">
        <v>2774</v>
      </c>
      <c r="L176" t="s">
        <v>3133</v>
      </c>
      <c r="M176" t="s">
        <v>3134</v>
      </c>
      <c r="N176" t="s">
        <v>3781</v>
      </c>
      <c r="O176" t="s">
        <v>3934</v>
      </c>
      <c r="Q176" t="s">
        <v>2709</v>
      </c>
      <c r="R176" t="s">
        <v>2751</v>
      </c>
      <c r="S176" t="s">
        <v>2751</v>
      </c>
      <c r="T176">
        <v>200</v>
      </c>
      <c r="U176" t="s">
        <v>2712</v>
      </c>
      <c r="V176">
        <v>1</v>
      </c>
      <c r="W176" t="s">
        <v>3114</v>
      </c>
      <c r="X176" t="s">
        <v>3936</v>
      </c>
      <c r="Z176" t="s">
        <v>2715</v>
      </c>
      <c r="AB176" t="s">
        <v>2716</v>
      </c>
      <c r="AC176" t="s">
        <v>3115</v>
      </c>
      <c r="AE176">
        <v>1</v>
      </c>
      <c r="AH176" t="s">
        <v>34</v>
      </c>
      <c r="AI176">
        <v>46235</v>
      </c>
      <c r="AJ176">
        <v>8</v>
      </c>
      <c r="AK176" t="s">
        <v>3939</v>
      </c>
      <c r="AM176" t="s">
        <v>3941</v>
      </c>
      <c r="AN176" t="s">
        <v>2911</v>
      </c>
      <c r="AO176" t="s">
        <v>4147</v>
      </c>
      <c r="AP176">
        <v>3950</v>
      </c>
      <c r="AQ176" t="s">
        <v>3943</v>
      </c>
      <c r="AR176" t="s">
        <v>3944</v>
      </c>
      <c r="AS176">
        <v>107</v>
      </c>
      <c r="AT176" t="s">
        <v>4148</v>
      </c>
      <c r="AW176" t="str">
        <f>Plan_2026[[#This Row],[Tên brand]]&amp;" "&amp;Plan_2026[[#This Row],[Trục đường chính]]&amp;Plan_2026[[#This Row],[Tên mall
(chuẩn hóa)]]&amp;Plan_2026[[#This Row],[Địa chỉ đầy đủ]]</f>
        <v xml:space="preserve">Kichi Kichi </v>
      </c>
    </row>
    <row r="177" spans="1:49" hidden="1" x14ac:dyDescent="0.35">
      <c r="A177">
        <v>390</v>
      </c>
      <c r="B177" t="s">
        <v>4149</v>
      </c>
      <c r="C177" t="s">
        <v>2787</v>
      </c>
      <c r="D177" t="s">
        <v>2788</v>
      </c>
      <c r="E177">
        <v>2026</v>
      </c>
      <c r="F177">
        <v>3</v>
      </c>
      <c r="G177">
        <v>8</v>
      </c>
      <c r="H177">
        <v>12</v>
      </c>
      <c r="J177" t="s">
        <v>23</v>
      </c>
      <c r="K177" t="s">
        <v>2774</v>
      </c>
      <c r="L177" t="s">
        <v>3133</v>
      </c>
      <c r="M177" t="s">
        <v>3134</v>
      </c>
      <c r="N177" t="s">
        <v>3165</v>
      </c>
      <c r="O177" t="s">
        <v>4150</v>
      </c>
      <c r="Q177" t="s">
        <v>2709</v>
      </c>
      <c r="R177" t="s">
        <v>2751</v>
      </c>
      <c r="S177" t="s">
        <v>2751</v>
      </c>
      <c r="T177" t="s">
        <v>2790</v>
      </c>
      <c r="U177" t="s">
        <v>2790</v>
      </c>
      <c r="V177">
        <v>1</v>
      </c>
      <c r="W177" t="s">
        <v>3114</v>
      </c>
      <c r="X177" t="s">
        <v>4151</v>
      </c>
      <c r="Z177">
        <v>132</v>
      </c>
      <c r="AB177" t="s">
        <v>2716</v>
      </c>
      <c r="AC177" t="s">
        <v>2717</v>
      </c>
      <c r="AE177">
        <v>0</v>
      </c>
      <c r="AF177" t="s">
        <v>4152</v>
      </c>
      <c r="AH177" t="s">
        <v>1788</v>
      </c>
      <c r="AI177">
        <v>46235</v>
      </c>
      <c r="AJ177">
        <v>8</v>
      </c>
      <c r="AK177" t="s">
        <v>4153</v>
      </c>
      <c r="AM177" t="s">
        <v>4154</v>
      </c>
      <c r="AN177" t="s">
        <v>2793</v>
      </c>
      <c r="AO177" t="s">
        <v>4155</v>
      </c>
      <c r="AP177">
        <v>6987</v>
      </c>
      <c r="AQ177" t="s">
        <v>4156</v>
      </c>
      <c r="AR177" t="s">
        <v>4157</v>
      </c>
      <c r="AS177">
        <v>81</v>
      </c>
      <c r="AT177" t="s">
        <v>4158</v>
      </c>
      <c r="AW177" t="str">
        <f>Plan_2026[[#This Row],[Tên brand]]&amp;" "&amp;Plan_2026[[#This Row],[Trục đường chính]]&amp;Plan_2026[[#This Row],[Tên mall
(chuẩn hóa)]]&amp;Plan_2026[[#This Row],[Địa chỉ đầy đủ]]</f>
        <v xml:space="preserve">The Coffee House </v>
      </c>
    </row>
    <row r="178" spans="1:49" hidden="1" x14ac:dyDescent="0.35">
      <c r="A178">
        <v>372</v>
      </c>
      <c r="B178" t="s">
        <v>2358</v>
      </c>
      <c r="C178" t="s">
        <v>2702</v>
      </c>
      <c r="D178" t="s">
        <v>2703</v>
      </c>
      <c r="E178">
        <v>2026</v>
      </c>
      <c r="F178">
        <v>3</v>
      </c>
      <c r="G178">
        <v>8</v>
      </c>
      <c r="H178">
        <v>12</v>
      </c>
      <c r="J178" t="s">
        <v>2244</v>
      </c>
      <c r="K178" t="s">
        <v>2704</v>
      </c>
      <c r="L178" t="s">
        <v>4159</v>
      </c>
      <c r="M178" t="s">
        <v>4160</v>
      </c>
      <c r="N178" t="s">
        <v>4159</v>
      </c>
      <c r="O178" t="s">
        <v>4161</v>
      </c>
      <c r="P178" t="s">
        <v>4162</v>
      </c>
      <c r="Q178" t="s">
        <v>2732</v>
      </c>
      <c r="R178">
        <v>6</v>
      </c>
      <c r="S178" t="s">
        <v>2733</v>
      </c>
      <c r="T178" t="s">
        <v>2973</v>
      </c>
      <c r="U178" t="s">
        <v>2712</v>
      </c>
      <c r="V178">
        <v>1</v>
      </c>
      <c r="W178" t="s">
        <v>2713</v>
      </c>
      <c r="X178" t="s">
        <v>4163</v>
      </c>
      <c r="Y178" t="s">
        <v>4163</v>
      </c>
      <c r="Z178" t="s">
        <v>2715</v>
      </c>
      <c r="AB178" t="s">
        <v>2716</v>
      </c>
      <c r="AC178" t="s">
        <v>2738</v>
      </c>
      <c r="AE178">
        <v>0</v>
      </c>
      <c r="AF178" t="s">
        <v>4164</v>
      </c>
      <c r="AH178" t="s">
        <v>76</v>
      </c>
      <c r="AI178">
        <v>46235</v>
      </c>
      <c r="AJ178">
        <v>8</v>
      </c>
      <c r="AK178" t="s">
        <v>4165</v>
      </c>
      <c r="AM178" t="s">
        <v>4166</v>
      </c>
      <c r="AN178" t="s">
        <v>2979</v>
      </c>
      <c r="AO178" t="s">
        <v>4167</v>
      </c>
      <c r="AP178">
        <v>247</v>
      </c>
      <c r="AQ178" t="s">
        <v>4168</v>
      </c>
      <c r="AR178" t="s">
        <v>4169</v>
      </c>
      <c r="AS178">
        <v>144</v>
      </c>
      <c r="AT178" t="s">
        <v>4170</v>
      </c>
      <c r="AW178" t="str">
        <f>Plan_2026[[#This Row],[Tên brand]]&amp;" "&amp;Plan_2026[[#This Row],[Trục đường chính]]&amp;Plan_2026[[#This Row],[Tên mall
(chuẩn hóa)]]&amp;Plan_2026[[#This Row],[Địa chỉ đầy đủ]]</f>
        <v>Gogi House Quốc lộ 53TTTM SenseFesti Vĩnh Long</v>
      </c>
    </row>
    <row r="179" spans="1:49" hidden="1" x14ac:dyDescent="0.35">
      <c r="A179">
        <v>169</v>
      </c>
      <c r="B179" t="s">
        <v>4171</v>
      </c>
      <c r="C179" t="s">
        <v>229</v>
      </c>
      <c r="D179" t="s">
        <v>3871</v>
      </c>
      <c r="E179">
        <v>2025</v>
      </c>
      <c r="F179">
        <v>4</v>
      </c>
      <c r="G179">
        <v>10</v>
      </c>
      <c r="H179">
        <v>2</v>
      </c>
      <c r="J179" t="s">
        <v>2241</v>
      </c>
      <c r="K179" t="s">
        <v>2774</v>
      </c>
      <c r="L179" t="s">
        <v>4172</v>
      </c>
      <c r="M179" t="s">
        <v>4173</v>
      </c>
      <c r="N179" t="s">
        <v>4172</v>
      </c>
      <c r="O179" t="s">
        <v>4174</v>
      </c>
      <c r="P179" t="s">
        <v>4175</v>
      </c>
      <c r="Q179" t="s">
        <v>2732</v>
      </c>
      <c r="R179">
        <v>8</v>
      </c>
      <c r="S179" t="s">
        <v>2710</v>
      </c>
      <c r="T179" t="s">
        <v>2882</v>
      </c>
      <c r="U179" t="s">
        <v>2800</v>
      </c>
      <c r="V179">
        <v>1</v>
      </c>
      <c r="W179" t="s">
        <v>2735</v>
      </c>
      <c r="X179" t="s">
        <v>4176</v>
      </c>
      <c r="Y179" t="s">
        <v>4176</v>
      </c>
      <c r="Z179" t="s">
        <v>2715</v>
      </c>
      <c r="AB179" t="s">
        <v>2716</v>
      </c>
      <c r="AC179" t="s">
        <v>2952</v>
      </c>
      <c r="AE179">
        <v>1</v>
      </c>
      <c r="AF179" t="s">
        <v>4177</v>
      </c>
      <c r="AH179" t="s">
        <v>228</v>
      </c>
      <c r="AI179">
        <v>45931</v>
      </c>
      <c r="AJ179">
        <v>10</v>
      </c>
      <c r="AK179" t="s">
        <v>4178</v>
      </c>
      <c r="AL179" t="s">
        <v>4179</v>
      </c>
      <c r="AM179" t="s">
        <v>4180</v>
      </c>
      <c r="AN179" t="s">
        <v>3127</v>
      </c>
      <c r="AO179" t="s">
        <v>4181</v>
      </c>
      <c r="AP179">
        <v>273</v>
      </c>
      <c r="AQ179" t="s">
        <v>4182</v>
      </c>
      <c r="AR179" t="s">
        <v>4183</v>
      </c>
      <c r="AS179">
        <v>10</v>
      </c>
      <c r="AT179" t="s">
        <v>3773</v>
      </c>
      <c r="AW179" t="str">
        <f>Plan_2026[[#This Row],[Tên brand]]&amp;" "&amp;Plan_2026[[#This Row],[Trục đường chính]]&amp;Plan_2026[[#This Row],[Tên mall
(chuẩn hóa)]]&amp;Plan_2026[[#This Row],[Địa chỉ đầy đủ]]</f>
        <v>Yutang Đại lộ Võ Nguyên GiápAeon Mall Hải DươngĐại lộ Võ Nguyên Giáp, Thạch Khôi, Hải Dương, Hải Dương</v>
      </c>
    </row>
    <row r="180" spans="1:49" hidden="1" x14ac:dyDescent="0.35">
      <c r="A180">
        <v>170</v>
      </c>
      <c r="B180" t="s">
        <v>4184</v>
      </c>
      <c r="C180" t="s">
        <v>62</v>
      </c>
      <c r="D180" t="s">
        <v>3463</v>
      </c>
      <c r="E180">
        <v>2026</v>
      </c>
      <c r="F180">
        <v>3</v>
      </c>
      <c r="G180">
        <v>7</v>
      </c>
      <c r="H180">
        <v>11</v>
      </c>
      <c r="J180" t="s">
        <v>2241</v>
      </c>
      <c r="K180" t="s">
        <v>2774</v>
      </c>
      <c r="L180" t="s">
        <v>4185</v>
      </c>
      <c r="M180" t="s">
        <v>4186</v>
      </c>
      <c r="N180" t="s">
        <v>4187</v>
      </c>
      <c r="O180" t="s">
        <v>4188</v>
      </c>
      <c r="P180" t="s">
        <v>4189</v>
      </c>
      <c r="Q180" t="s">
        <v>2732</v>
      </c>
      <c r="R180" t="s">
        <v>2751</v>
      </c>
      <c r="S180" t="s">
        <v>2751</v>
      </c>
      <c r="T180" t="s">
        <v>2712</v>
      </c>
      <c r="U180" t="s">
        <v>2712</v>
      </c>
      <c r="V180">
        <v>1</v>
      </c>
      <c r="W180" t="s">
        <v>2735</v>
      </c>
      <c r="X180" t="s">
        <v>4190</v>
      </c>
      <c r="Y180" t="s">
        <v>4190</v>
      </c>
      <c r="Z180">
        <v>300</v>
      </c>
      <c r="AB180" t="s">
        <v>2716</v>
      </c>
      <c r="AC180" t="s">
        <v>2738</v>
      </c>
      <c r="AE180">
        <v>0</v>
      </c>
      <c r="AH180" t="s">
        <v>61</v>
      </c>
      <c r="AI180">
        <v>46204</v>
      </c>
      <c r="AJ180">
        <v>7</v>
      </c>
      <c r="AK180" t="s">
        <v>4191</v>
      </c>
      <c r="AL180" t="s">
        <v>4192</v>
      </c>
      <c r="AM180" t="s">
        <v>4193</v>
      </c>
      <c r="AN180" t="s">
        <v>2753</v>
      </c>
      <c r="AO180" t="s">
        <v>4194</v>
      </c>
      <c r="AP180">
        <v>8658</v>
      </c>
      <c r="AQ180" t="s">
        <v>4195</v>
      </c>
      <c r="AR180" t="s">
        <v>4196</v>
      </c>
      <c r="AS180">
        <v>25</v>
      </c>
      <c r="AT180" t="s">
        <v>4197</v>
      </c>
      <c r="AW180" t="str">
        <f>Plan_2026[[#This Row],[Tên brand]]&amp;" "&amp;Plan_2026[[#This Row],[Trục đường chính]]&amp;Plan_2026[[#This Row],[Tên mall
(chuẩn hóa)]]&amp;Plan_2026[[#This Row],[Địa chỉ đầy đủ]]</f>
        <v>Isushi 10 Đường Võ Nguyên GiápAeon Mall Hải Phòng Lê Chân10 Đường Võ Nguyên Giáp, Dư Hàng Kênh, Lê Chân, Hải Phòng</v>
      </c>
    </row>
    <row r="181" spans="1:49" hidden="1" x14ac:dyDescent="0.35">
      <c r="A181">
        <v>171</v>
      </c>
      <c r="B181" t="s">
        <v>4198</v>
      </c>
      <c r="C181" t="s">
        <v>4127</v>
      </c>
      <c r="D181" t="s">
        <v>3226</v>
      </c>
      <c r="E181">
        <v>2025</v>
      </c>
      <c r="F181">
        <v>4</v>
      </c>
      <c r="G181">
        <v>12</v>
      </c>
      <c r="H181">
        <v>4</v>
      </c>
      <c r="J181" t="s">
        <v>2241</v>
      </c>
      <c r="K181" t="s">
        <v>2774</v>
      </c>
      <c r="L181" t="s">
        <v>4185</v>
      </c>
      <c r="M181" t="s">
        <v>4186</v>
      </c>
      <c r="N181" t="s">
        <v>4187</v>
      </c>
      <c r="O181" t="s">
        <v>4188</v>
      </c>
      <c r="P181" t="s">
        <v>4189</v>
      </c>
      <c r="Q181" t="s">
        <v>2732</v>
      </c>
      <c r="R181" t="s">
        <v>2751</v>
      </c>
      <c r="S181" t="s">
        <v>2751</v>
      </c>
      <c r="T181" t="s">
        <v>2790</v>
      </c>
      <c r="U181" t="s">
        <v>2790</v>
      </c>
      <c r="V181">
        <v>1</v>
      </c>
      <c r="W181" t="s">
        <v>2713</v>
      </c>
      <c r="X181" t="s">
        <v>4190</v>
      </c>
      <c r="Y181" t="s">
        <v>4190</v>
      </c>
      <c r="Z181" t="s">
        <v>2715</v>
      </c>
      <c r="AB181" t="s">
        <v>2716</v>
      </c>
      <c r="AC181" t="s">
        <v>2738</v>
      </c>
      <c r="AE181">
        <v>0</v>
      </c>
      <c r="AF181" t="s">
        <v>4199</v>
      </c>
      <c r="AH181" t="s">
        <v>2132</v>
      </c>
      <c r="AI181">
        <v>45992</v>
      </c>
      <c r="AJ181">
        <v>12</v>
      </c>
      <c r="AK181" t="s">
        <v>4191</v>
      </c>
      <c r="AL181" t="s">
        <v>4192</v>
      </c>
      <c r="AM181" t="s">
        <v>4193</v>
      </c>
      <c r="AN181" t="s">
        <v>4129</v>
      </c>
      <c r="AO181" t="s">
        <v>4200</v>
      </c>
      <c r="AP181">
        <v>8658</v>
      </c>
      <c r="AQ181" t="s">
        <v>4195</v>
      </c>
      <c r="AR181" t="s">
        <v>4196</v>
      </c>
      <c r="AS181">
        <v>1</v>
      </c>
      <c r="AT181" t="s">
        <v>4131</v>
      </c>
      <c r="AW181" t="str">
        <f>Plan_2026[[#This Row],[Tên brand]]&amp;" "&amp;Plan_2026[[#This Row],[Trục đường chính]]&amp;Plan_2026[[#This Row],[Tên mall
(chuẩn hóa)]]&amp;Plan_2026[[#This Row],[Địa chỉ đầy đủ]]</f>
        <v>Pizza360 10 Đường Võ Nguyên GiápAeon Mall Hải Phòng Lê Chân10 Đường Võ Nguyên Giáp, Dư Hàng Kênh, Lê Chân, Hải Phòng</v>
      </c>
    </row>
    <row r="182" spans="1:49" hidden="1" x14ac:dyDescent="0.35">
      <c r="A182">
        <v>172</v>
      </c>
      <c r="B182" t="s">
        <v>2445</v>
      </c>
      <c r="C182" t="s">
        <v>3208</v>
      </c>
      <c r="D182" t="s">
        <v>2788</v>
      </c>
      <c r="E182">
        <v>2026</v>
      </c>
      <c r="F182">
        <v>3</v>
      </c>
      <c r="G182">
        <v>8</v>
      </c>
      <c r="H182">
        <v>12</v>
      </c>
      <c r="J182" t="s">
        <v>2241</v>
      </c>
      <c r="K182" t="s">
        <v>2774</v>
      </c>
      <c r="L182" t="s">
        <v>4185</v>
      </c>
      <c r="M182" t="s">
        <v>4186</v>
      </c>
      <c r="N182" t="s">
        <v>4187</v>
      </c>
      <c r="O182" t="s">
        <v>4188</v>
      </c>
      <c r="P182" t="s">
        <v>4189</v>
      </c>
      <c r="Q182" t="s">
        <v>2732</v>
      </c>
      <c r="R182" t="s">
        <v>2710</v>
      </c>
      <c r="S182" t="s">
        <v>2710</v>
      </c>
      <c r="T182" t="s">
        <v>2712</v>
      </c>
      <c r="U182" t="s">
        <v>2712</v>
      </c>
      <c r="V182">
        <v>1</v>
      </c>
      <c r="W182" t="s">
        <v>2713</v>
      </c>
      <c r="X182" t="s">
        <v>4190</v>
      </c>
      <c r="Y182" t="s">
        <v>4190</v>
      </c>
      <c r="Z182" t="s">
        <v>2715</v>
      </c>
      <c r="AB182" t="s">
        <v>2716</v>
      </c>
      <c r="AC182" t="s">
        <v>3232</v>
      </c>
      <c r="AE182">
        <v>0</v>
      </c>
      <c r="AH182" t="s">
        <v>51</v>
      </c>
      <c r="AI182">
        <v>46235</v>
      </c>
      <c r="AJ182">
        <v>8</v>
      </c>
      <c r="AK182" t="s">
        <v>4191</v>
      </c>
      <c r="AL182" t="s">
        <v>4192</v>
      </c>
      <c r="AM182" t="s">
        <v>4193</v>
      </c>
      <c r="AN182" t="s">
        <v>3264</v>
      </c>
      <c r="AO182" t="s">
        <v>4201</v>
      </c>
      <c r="AP182">
        <v>8658</v>
      </c>
      <c r="AQ182" t="s">
        <v>4195</v>
      </c>
      <c r="AR182" t="s">
        <v>4196</v>
      </c>
      <c r="AS182">
        <v>11</v>
      </c>
      <c r="AT182" t="s">
        <v>3551</v>
      </c>
      <c r="AW182" t="str">
        <f>Plan_2026[[#This Row],[Tên brand]]&amp;" "&amp;Plan_2026[[#This Row],[Trục đường chính]]&amp;Plan_2026[[#This Row],[Tên mall
(chuẩn hóa)]]&amp;Plan_2026[[#This Row],[Địa chỉ đầy đủ]]</f>
        <v>Sumogoya 10 Đường Võ Nguyên GiápAeon Mall Hải Phòng Lê Chân10 Đường Võ Nguyên Giáp, Dư Hàng Kênh, Lê Chân, Hải Phòng</v>
      </c>
    </row>
    <row r="183" spans="1:49" hidden="1" x14ac:dyDescent="0.35">
      <c r="A183">
        <v>173</v>
      </c>
      <c r="B183" t="s">
        <v>4202</v>
      </c>
      <c r="C183" t="s">
        <v>25</v>
      </c>
      <c r="D183" t="s">
        <v>3431</v>
      </c>
      <c r="E183">
        <v>2026</v>
      </c>
      <c r="F183">
        <v>2</v>
      </c>
      <c r="G183">
        <v>5</v>
      </c>
      <c r="H183">
        <v>9</v>
      </c>
      <c r="J183" t="s">
        <v>2241</v>
      </c>
      <c r="K183" t="s">
        <v>2774</v>
      </c>
      <c r="L183" t="s">
        <v>4185</v>
      </c>
      <c r="M183" t="s">
        <v>4186</v>
      </c>
      <c r="N183" t="s">
        <v>4187</v>
      </c>
      <c r="O183" t="s">
        <v>4203</v>
      </c>
      <c r="P183" t="s">
        <v>4204</v>
      </c>
      <c r="Q183" t="s">
        <v>2732</v>
      </c>
      <c r="R183" t="s">
        <v>2751</v>
      </c>
      <c r="S183" t="s">
        <v>2751</v>
      </c>
      <c r="T183" t="s">
        <v>2712</v>
      </c>
      <c r="U183" t="s">
        <v>2712</v>
      </c>
      <c r="V183">
        <v>1</v>
      </c>
      <c r="W183" t="s">
        <v>2735</v>
      </c>
      <c r="X183" t="s">
        <v>4205</v>
      </c>
      <c r="Y183" t="s">
        <v>4190</v>
      </c>
      <c r="Z183" t="s">
        <v>2715</v>
      </c>
      <c r="AB183" t="s">
        <v>2716</v>
      </c>
      <c r="AC183" t="s">
        <v>2952</v>
      </c>
      <c r="AE183">
        <v>1</v>
      </c>
      <c r="AF183" t="s">
        <v>4206</v>
      </c>
      <c r="AH183" t="s">
        <v>24</v>
      </c>
      <c r="AI183">
        <v>46143</v>
      </c>
      <c r="AJ183">
        <v>5</v>
      </c>
      <c r="AK183" t="s">
        <v>4207</v>
      </c>
      <c r="AL183" t="s">
        <v>4208</v>
      </c>
      <c r="AM183" t="s">
        <v>4209</v>
      </c>
      <c r="AN183" t="s">
        <v>3438</v>
      </c>
      <c r="AO183" t="s">
        <v>4210</v>
      </c>
      <c r="AP183">
        <v>7014</v>
      </c>
      <c r="AQ183" t="s">
        <v>4211</v>
      </c>
      <c r="AR183" t="s">
        <v>4212</v>
      </c>
      <c r="AS183">
        <v>9</v>
      </c>
      <c r="AT183" t="s">
        <v>4213</v>
      </c>
      <c r="AW183" t="str">
        <f>Plan_2026[[#This Row],[Tên brand]]&amp;" "&amp;Plan_2026[[#This Row],[Trục đường chính]]&amp;Plan_2026[[#This Row],[Tên mall
(chuẩn hóa)]]&amp;Plan_2026[[#This Row],[Địa chỉ đầy đủ]]</f>
        <v>Ashima 10 đường Võ Nguyên GiápAeon Mall Hải Phòng Lê Chân10 đường Võ Nguyên Giáp, Kênh Dương, Lê Chân, Hải Phòng</v>
      </c>
    </row>
    <row r="184" spans="1:49" hidden="1" x14ac:dyDescent="0.35">
      <c r="A184">
        <v>174</v>
      </c>
      <c r="B184" t="s">
        <v>4214</v>
      </c>
      <c r="C184" t="s">
        <v>229</v>
      </c>
      <c r="D184" t="s">
        <v>3871</v>
      </c>
      <c r="E184">
        <v>2025</v>
      </c>
      <c r="F184">
        <v>4</v>
      </c>
      <c r="G184">
        <v>12</v>
      </c>
      <c r="H184">
        <v>4</v>
      </c>
      <c r="J184" t="s">
        <v>2241</v>
      </c>
      <c r="K184" t="s">
        <v>2774</v>
      </c>
      <c r="L184" t="s">
        <v>4185</v>
      </c>
      <c r="M184" t="s">
        <v>4186</v>
      </c>
      <c r="N184" t="s">
        <v>4187</v>
      </c>
      <c r="O184" t="s">
        <v>4203</v>
      </c>
      <c r="P184" t="s">
        <v>4215</v>
      </c>
      <c r="Q184" t="s">
        <v>2732</v>
      </c>
      <c r="R184">
        <v>8</v>
      </c>
      <c r="S184" t="s">
        <v>2710</v>
      </c>
      <c r="T184" t="s">
        <v>2882</v>
      </c>
      <c r="U184" t="s">
        <v>2800</v>
      </c>
      <c r="V184">
        <v>1</v>
      </c>
      <c r="W184" t="s">
        <v>2735</v>
      </c>
      <c r="X184" t="s">
        <v>4190</v>
      </c>
      <c r="Y184" t="s">
        <v>4190</v>
      </c>
      <c r="Z184" t="s">
        <v>2715</v>
      </c>
      <c r="AB184" t="s">
        <v>2716</v>
      </c>
      <c r="AC184" t="s">
        <v>2952</v>
      </c>
      <c r="AE184">
        <v>1</v>
      </c>
      <c r="AF184" t="s">
        <v>4216</v>
      </c>
      <c r="AH184" t="s">
        <v>228</v>
      </c>
      <c r="AI184">
        <v>45992</v>
      </c>
      <c r="AJ184">
        <v>12</v>
      </c>
      <c r="AK184" t="s">
        <v>4207</v>
      </c>
      <c r="AL184" t="s">
        <v>4217</v>
      </c>
      <c r="AM184" t="s">
        <v>4209</v>
      </c>
      <c r="AN184" t="s">
        <v>3127</v>
      </c>
      <c r="AO184" t="s">
        <v>4218</v>
      </c>
      <c r="AP184">
        <v>7014</v>
      </c>
      <c r="AQ184" t="s">
        <v>4211</v>
      </c>
      <c r="AR184" t="s">
        <v>4212</v>
      </c>
      <c r="AS184">
        <v>10</v>
      </c>
      <c r="AT184" t="s">
        <v>4219</v>
      </c>
      <c r="AW184" t="str">
        <f>Plan_2026[[#This Row],[Tên brand]]&amp;" "&amp;Plan_2026[[#This Row],[Trục đường chính]]&amp;Plan_2026[[#This Row],[Tên mall
(chuẩn hóa)]]&amp;Plan_2026[[#This Row],[Địa chỉ đầy đủ]]</f>
        <v>Yutang Số 10 Đường Võ Nguyên GiápAeon Mall Hải Phòng Lê ChânSố 10 Đường Võ Nguyên Giáp, Kênh Dương, Lê Chân, Hải Phòng</v>
      </c>
    </row>
    <row r="185" spans="1:49" hidden="1" x14ac:dyDescent="0.35">
      <c r="A185">
        <v>175</v>
      </c>
      <c r="B185" t="s">
        <v>2567</v>
      </c>
      <c r="C185" t="s">
        <v>2787</v>
      </c>
      <c r="D185" t="s">
        <v>2788</v>
      </c>
      <c r="E185">
        <v>2026</v>
      </c>
      <c r="F185">
        <v>2</v>
      </c>
      <c r="G185">
        <v>4</v>
      </c>
      <c r="H185">
        <v>8</v>
      </c>
      <c r="J185" t="s">
        <v>2241</v>
      </c>
      <c r="K185" t="s">
        <v>2774</v>
      </c>
      <c r="L185" t="s">
        <v>4185</v>
      </c>
      <c r="M185" t="s">
        <v>4186</v>
      </c>
      <c r="N185" t="s">
        <v>2777</v>
      </c>
      <c r="O185" t="s">
        <v>4220</v>
      </c>
      <c r="P185" t="s">
        <v>2568</v>
      </c>
      <c r="Q185" t="s">
        <v>2709</v>
      </c>
      <c r="R185" t="s">
        <v>2751</v>
      </c>
      <c r="S185" t="s">
        <v>2751</v>
      </c>
      <c r="T185" t="s">
        <v>2790</v>
      </c>
      <c r="U185" t="s">
        <v>2790</v>
      </c>
      <c r="V185">
        <v>1</v>
      </c>
      <c r="W185" t="s">
        <v>2713</v>
      </c>
      <c r="X185" t="s">
        <v>4221</v>
      </c>
      <c r="Z185">
        <v>132</v>
      </c>
      <c r="AB185" t="s">
        <v>2716</v>
      </c>
      <c r="AC185" t="s">
        <v>2952</v>
      </c>
      <c r="AE185">
        <v>1</v>
      </c>
      <c r="AH185" t="s">
        <v>1788</v>
      </c>
      <c r="AI185">
        <v>46113</v>
      </c>
      <c r="AJ185">
        <v>4</v>
      </c>
      <c r="AK185" t="s">
        <v>4222</v>
      </c>
      <c r="AL185" t="s">
        <v>4223</v>
      </c>
      <c r="AM185" t="s">
        <v>4224</v>
      </c>
      <c r="AN185" t="s">
        <v>2793</v>
      </c>
      <c r="AO185" t="s">
        <v>4225</v>
      </c>
      <c r="AP185">
        <v>5651</v>
      </c>
      <c r="AQ185" t="s">
        <v>4226</v>
      </c>
      <c r="AR185" t="s">
        <v>4227</v>
      </c>
      <c r="AS185">
        <v>81</v>
      </c>
      <c r="AT185" t="s">
        <v>2924</v>
      </c>
      <c r="AW185" t="str">
        <f>Plan_2026[[#This Row],[Tên brand]]&amp;" "&amp;Plan_2026[[#This Row],[Trục đường chính]]&amp;Plan_2026[[#This Row],[Tên mall
(chuẩn hóa)]]&amp;Plan_2026[[#This Row],[Địa chỉ đầy đủ]]</f>
        <v>The Coffee House Lạch Tray (gần ĐH Hàng hải) Lạch Tray (gần ĐH Hàng hải) , Đằng Giang, Ngô Quyền, Hải Phòng</v>
      </c>
    </row>
    <row r="186" spans="1:49" hidden="1" x14ac:dyDescent="0.35">
      <c r="A186">
        <v>176</v>
      </c>
      <c r="B186" t="s">
        <v>2476</v>
      </c>
      <c r="C186" t="s">
        <v>2787</v>
      </c>
      <c r="D186" t="s">
        <v>2788</v>
      </c>
      <c r="E186">
        <v>2025</v>
      </c>
      <c r="F186">
        <v>4</v>
      </c>
      <c r="G186">
        <v>12</v>
      </c>
      <c r="H186">
        <v>4</v>
      </c>
      <c r="J186" t="s">
        <v>2241</v>
      </c>
      <c r="K186" t="s">
        <v>2774</v>
      </c>
      <c r="L186" t="s">
        <v>4185</v>
      </c>
      <c r="M186" t="s">
        <v>4186</v>
      </c>
      <c r="N186" t="s">
        <v>4228</v>
      </c>
      <c r="O186" t="s">
        <v>4229</v>
      </c>
      <c r="P186" t="s">
        <v>4230</v>
      </c>
      <c r="Q186" t="s">
        <v>2709</v>
      </c>
      <c r="R186" t="s">
        <v>2751</v>
      </c>
      <c r="S186" t="s">
        <v>2751</v>
      </c>
      <c r="T186" t="s">
        <v>2790</v>
      </c>
      <c r="U186" t="s">
        <v>2790</v>
      </c>
      <c r="V186">
        <v>1</v>
      </c>
      <c r="W186" t="s">
        <v>2713</v>
      </c>
      <c r="X186" t="s">
        <v>4231</v>
      </c>
      <c r="Z186">
        <v>132</v>
      </c>
      <c r="AB186" t="s">
        <v>2716</v>
      </c>
      <c r="AC186" t="s">
        <v>2717</v>
      </c>
      <c r="AE186">
        <v>0</v>
      </c>
      <c r="AF186" t="s">
        <v>4232</v>
      </c>
      <c r="AG186" t="s">
        <v>2908</v>
      </c>
      <c r="AH186" t="s">
        <v>1788</v>
      </c>
      <c r="AI186">
        <v>45992</v>
      </c>
      <c r="AJ186">
        <v>12</v>
      </c>
      <c r="AK186" t="s">
        <v>4233</v>
      </c>
      <c r="AL186" t="s">
        <v>4234</v>
      </c>
      <c r="AM186" t="s">
        <v>4235</v>
      </c>
      <c r="AN186" t="s">
        <v>2793</v>
      </c>
      <c r="AO186" t="s">
        <v>4236</v>
      </c>
      <c r="AP186">
        <v>5087</v>
      </c>
      <c r="AQ186" t="s">
        <v>4237</v>
      </c>
      <c r="AR186" t="s">
        <v>4238</v>
      </c>
      <c r="AS186">
        <v>81</v>
      </c>
      <c r="AT186" t="s">
        <v>4239</v>
      </c>
      <c r="AW186" t="str">
        <f>Plan_2026[[#This Row],[Tên brand]]&amp;" "&amp;Plan_2026[[#This Row],[Trục đường chính]]&amp;Plan_2026[[#This Row],[Tên mall
(chuẩn hóa)]]&amp;Plan_2026[[#This Row],[Địa chỉ đầy đủ]]</f>
        <v>The Coffee House Lê Hồng Phong, Văn CaoLê Hồng Phong, Văn Cao, Đằng Lâm, Hải An, Hải Phòng</v>
      </c>
    </row>
    <row r="187" spans="1:49" hidden="1" x14ac:dyDescent="0.35">
      <c r="A187">
        <v>177</v>
      </c>
      <c r="B187" t="s">
        <v>2569</v>
      </c>
      <c r="C187" t="s">
        <v>2787</v>
      </c>
      <c r="D187" t="s">
        <v>2788</v>
      </c>
      <c r="E187">
        <v>2026</v>
      </c>
      <c r="F187">
        <v>2</v>
      </c>
      <c r="G187">
        <v>4</v>
      </c>
      <c r="H187">
        <v>8</v>
      </c>
      <c r="J187" t="s">
        <v>2241</v>
      </c>
      <c r="K187" t="s">
        <v>2774</v>
      </c>
      <c r="L187" t="s">
        <v>4185</v>
      </c>
      <c r="M187" t="s">
        <v>4186</v>
      </c>
      <c r="N187" t="s">
        <v>4187</v>
      </c>
      <c r="O187" t="s">
        <v>4203</v>
      </c>
      <c r="Q187" t="s">
        <v>2732</v>
      </c>
      <c r="R187" t="s">
        <v>2710</v>
      </c>
      <c r="S187" t="s">
        <v>2710</v>
      </c>
      <c r="T187" t="s">
        <v>2800</v>
      </c>
      <c r="U187" t="s">
        <v>2800</v>
      </c>
      <c r="V187">
        <v>1</v>
      </c>
      <c r="W187" t="s">
        <v>2713</v>
      </c>
      <c r="X187" t="s">
        <v>2570</v>
      </c>
      <c r="Z187">
        <v>132</v>
      </c>
      <c r="AB187" t="s">
        <v>2716</v>
      </c>
      <c r="AC187" t="s">
        <v>2738</v>
      </c>
      <c r="AE187">
        <v>0</v>
      </c>
      <c r="AG187" t="s">
        <v>2908</v>
      </c>
      <c r="AH187" t="s">
        <v>1788</v>
      </c>
      <c r="AI187">
        <v>46113</v>
      </c>
      <c r="AJ187">
        <v>4</v>
      </c>
      <c r="AK187" t="s">
        <v>4207</v>
      </c>
      <c r="AL187" t="s">
        <v>4207</v>
      </c>
      <c r="AM187" t="s">
        <v>4209</v>
      </c>
      <c r="AN187" t="s">
        <v>2804</v>
      </c>
      <c r="AO187" t="s">
        <v>2787</v>
      </c>
      <c r="AP187">
        <v>7014</v>
      </c>
      <c r="AQ187" t="s">
        <v>4211</v>
      </c>
      <c r="AR187" t="s">
        <v>4212</v>
      </c>
      <c r="AS187">
        <v>81</v>
      </c>
      <c r="AT187" t="s">
        <v>4158</v>
      </c>
      <c r="AW187" t="str">
        <f>Plan_2026[[#This Row],[Tên brand]]&amp;" "&amp;Plan_2026[[#This Row],[Trục đường chính]]&amp;Plan_2026[[#This Row],[Tên mall
(chuẩn hóa)]]&amp;Plan_2026[[#This Row],[Địa chỉ đầy đủ]]</f>
        <v>The Coffee House Kênh Dương, Lê Chân, Hải Phòng</v>
      </c>
    </row>
    <row r="188" spans="1:49" hidden="1" x14ac:dyDescent="0.35">
      <c r="A188">
        <v>391</v>
      </c>
      <c r="B188" t="s">
        <v>4240</v>
      </c>
      <c r="C188" t="s">
        <v>2787</v>
      </c>
      <c r="D188" t="s">
        <v>2788</v>
      </c>
      <c r="E188">
        <v>2026</v>
      </c>
      <c r="F188">
        <v>3</v>
      </c>
      <c r="G188">
        <v>8</v>
      </c>
      <c r="H188">
        <v>12</v>
      </c>
      <c r="J188" t="s">
        <v>2241</v>
      </c>
      <c r="K188" t="s">
        <v>2774</v>
      </c>
      <c r="L188" t="s">
        <v>4185</v>
      </c>
      <c r="M188" t="s">
        <v>4186</v>
      </c>
      <c r="N188" t="s">
        <v>4187</v>
      </c>
      <c r="O188" t="s">
        <v>4241</v>
      </c>
      <c r="P188" t="s">
        <v>4242</v>
      </c>
      <c r="Q188" t="s">
        <v>2709</v>
      </c>
      <c r="R188" t="s">
        <v>2751</v>
      </c>
      <c r="S188" t="s">
        <v>2751</v>
      </c>
      <c r="T188" t="s">
        <v>2790</v>
      </c>
      <c r="U188" t="s">
        <v>2790</v>
      </c>
      <c r="V188">
        <v>1</v>
      </c>
      <c r="W188" t="s">
        <v>3114</v>
      </c>
      <c r="X188" t="s">
        <v>4243</v>
      </c>
      <c r="Z188">
        <v>132</v>
      </c>
      <c r="AB188" t="s">
        <v>2716</v>
      </c>
      <c r="AC188" t="s">
        <v>2717</v>
      </c>
      <c r="AE188">
        <v>0</v>
      </c>
      <c r="AF188" t="s">
        <v>4244</v>
      </c>
      <c r="AH188" t="s">
        <v>1788</v>
      </c>
      <c r="AI188">
        <v>46235</v>
      </c>
      <c r="AJ188">
        <v>8</v>
      </c>
      <c r="AK188" t="s">
        <v>4245</v>
      </c>
      <c r="AM188" t="s">
        <v>4246</v>
      </c>
      <c r="AN188" t="s">
        <v>2793</v>
      </c>
      <c r="AO188" t="s">
        <v>4247</v>
      </c>
      <c r="AP188">
        <v>14888</v>
      </c>
      <c r="AQ188" t="s">
        <v>4248</v>
      </c>
      <c r="AR188" t="s">
        <v>4249</v>
      </c>
      <c r="AS188">
        <v>81</v>
      </c>
      <c r="AT188" t="s">
        <v>4250</v>
      </c>
      <c r="AW188" t="str">
        <f>Plan_2026[[#This Row],[Tên brand]]&amp;" "&amp;Plan_2026[[#This Row],[Trục đường chính]]&amp;Plan_2026[[#This Row],[Tên mall
(chuẩn hóa)]]&amp;Plan_2026[[#This Row],[Địa chỉ đầy đủ]]</f>
        <v>The Coffee House Hồ Sen</v>
      </c>
    </row>
    <row r="189" spans="1:49" hidden="1" x14ac:dyDescent="0.35">
      <c r="A189">
        <v>178</v>
      </c>
      <c r="B189" t="s">
        <v>2647</v>
      </c>
      <c r="C189" t="s">
        <v>2135</v>
      </c>
      <c r="D189" t="s">
        <v>3327</v>
      </c>
      <c r="E189">
        <v>2025</v>
      </c>
      <c r="F189">
        <v>4</v>
      </c>
      <c r="G189">
        <v>10</v>
      </c>
      <c r="H189">
        <v>2</v>
      </c>
      <c r="J189" t="s">
        <v>350</v>
      </c>
      <c r="K189" t="s">
        <v>2704</v>
      </c>
      <c r="L189" t="s">
        <v>3052</v>
      </c>
      <c r="M189" t="s">
        <v>3053</v>
      </c>
      <c r="N189" t="s">
        <v>4251</v>
      </c>
      <c r="O189" t="s">
        <v>4252</v>
      </c>
      <c r="P189" t="s">
        <v>4253</v>
      </c>
      <c r="Q189" t="s">
        <v>2709</v>
      </c>
      <c r="R189" t="s">
        <v>3356</v>
      </c>
      <c r="S189" t="s">
        <v>3357</v>
      </c>
      <c r="T189" t="s">
        <v>2790</v>
      </c>
      <c r="U189" t="s">
        <v>2790</v>
      </c>
      <c r="V189">
        <v>1</v>
      </c>
      <c r="W189" t="s">
        <v>2735</v>
      </c>
      <c r="Z189" t="s">
        <v>3331</v>
      </c>
      <c r="AB189" t="s">
        <v>1794</v>
      </c>
      <c r="AC189" t="s">
        <v>2778</v>
      </c>
      <c r="AE189">
        <v>0</v>
      </c>
      <c r="AF189" t="s">
        <v>4254</v>
      </c>
      <c r="AH189" t="s">
        <v>1446</v>
      </c>
      <c r="AI189">
        <v>45931</v>
      </c>
      <c r="AJ189">
        <v>10</v>
      </c>
      <c r="AK189" t="s">
        <v>4255</v>
      </c>
      <c r="AL189" t="s">
        <v>4256</v>
      </c>
      <c r="AM189" t="s">
        <v>4257</v>
      </c>
      <c r="AN189" t="s">
        <v>3361</v>
      </c>
      <c r="AO189" t="s">
        <v>4258</v>
      </c>
      <c r="AP189">
        <v>28139</v>
      </c>
      <c r="AQ189" t="s">
        <v>4259</v>
      </c>
      <c r="AR189" t="s">
        <v>4260</v>
      </c>
      <c r="AS189">
        <v>16</v>
      </c>
      <c r="AT189" t="s">
        <v>4261</v>
      </c>
      <c r="AW189" t="str">
        <f>Plan_2026[[#This Row],[Tên brand]]&amp;" "&amp;Plan_2026[[#This Row],[Trục đường chính]]&amp;Plan_2026[[#This Row],[Tên mall
(chuẩn hóa)]]&amp;Plan_2026[[#This Row],[Địa chỉ đầy đủ]]</f>
        <v>Universal Tea 14B1 Ngo Tat To14B1 Ngo Tat To, Phường 19, Bình Thạnh, Hồ Chí Minh</v>
      </c>
    </row>
    <row r="190" spans="1:49" hidden="1" x14ac:dyDescent="0.35">
      <c r="A190">
        <v>179</v>
      </c>
      <c r="B190" t="s">
        <v>4262</v>
      </c>
      <c r="C190" t="s">
        <v>25</v>
      </c>
      <c r="D190" t="s">
        <v>4263</v>
      </c>
      <c r="E190">
        <v>2026</v>
      </c>
      <c r="F190">
        <v>2</v>
      </c>
      <c r="G190">
        <v>5</v>
      </c>
      <c r="H190">
        <v>9</v>
      </c>
      <c r="J190" t="s">
        <v>350</v>
      </c>
      <c r="K190" t="s">
        <v>2704</v>
      </c>
      <c r="L190" t="s">
        <v>3052</v>
      </c>
      <c r="M190" t="s">
        <v>3053</v>
      </c>
      <c r="N190" t="s">
        <v>4251</v>
      </c>
      <c r="O190" t="s">
        <v>4264</v>
      </c>
      <c r="P190" t="s">
        <v>4265</v>
      </c>
      <c r="Q190" t="s">
        <v>2732</v>
      </c>
      <c r="R190" t="s">
        <v>2751</v>
      </c>
      <c r="S190" t="s">
        <v>2751</v>
      </c>
      <c r="T190" t="s">
        <v>2712</v>
      </c>
      <c r="U190" t="s">
        <v>2712</v>
      </c>
      <c r="V190">
        <v>1</v>
      </c>
      <c r="W190" t="s">
        <v>2735</v>
      </c>
      <c r="X190" t="s">
        <v>4266</v>
      </c>
      <c r="Y190" t="s">
        <v>2465</v>
      </c>
      <c r="Z190" t="s">
        <v>2715</v>
      </c>
      <c r="AB190" t="s">
        <v>2716</v>
      </c>
      <c r="AC190" t="s">
        <v>3232</v>
      </c>
      <c r="AE190">
        <v>0</v>
      </c>
      <c r="AH190" t="s">
        <v>24</v>
      </c>
      <c r="AI190">
        <v>46143</v>
      </c>
      <c r="AJ190">
        <v>5</v>
      </c>
      <c r="AK190" t="s">
        <v>4267</v>
      </c>
      <c r="AL190" t="s">
        <v>4268</v>
      </c>
      <c r="AM190" t="s">
        <v>4269</v>
      </c>
      <c r="AN190" t="s">
        <v>3438</v>
      </c>
      <c r="AO190" t="s">
        <v>4270</v>
      </c>
      <c r="AP190">
        <v>25975</v>
      </c>
      <c r="AQ190" t="s">
        <v>4271</v>
      </c>
      <c r="AR190" t="s">
        <v>4272</v>
      </c>
      <c r="AS190">
        <v>9</v>
      </c>
      <c r="AT190" t="s">
        <v>4273</v>
      </c>
      <c r="AW190" t="str">
        <f>Plan_2026[[#This Row],[Tên brand]]&amp;" "&amp;Plan_2026[[#This Row],[Trục đường chính]]&amp;Plan_2026[[#This Row],[Tên mall
(chuẩn hóa)]]&amp;Plan_2026[[#This Row],[Địa chỉ đầy đủ]]</f>
        <v>Ashima 208 đường Nguyễn Hữu CảnhVincom Center Landmark 81208 đường Nguyễn Hữu Cảnh, Phường 22, Bình Thạnh, Hồ Chí Minh</v>
      </c>
    </row>
    <row r="191" spans="1:49" hidden="1" x14ac:dyDescent="0.35">
      <c r="A191">
        <v>180</v>
      </c>
      <c r="B191" t="s">
        <v>4274</v>
      </c>
      <c r="C191" t="s">
        <v>3255</v>
      </c>
      <c r="D191" t="s">
        <v>4275</v>
      </c>
      <c r="E191">
        <v>2026</v>
      </c>
      <c r="F191">
        <v>3</v>
      </c>
      <c r="G191">
        <v>7</v>
      </c>
      <c r="H191">
        <v>11</v>
      </c>
      <c r="J191" t="s">
        <v>350</v>
      </c>
      <c r="K191" t="s">
        <v>2704</v>
      </c>
      <c r="L191" t="s">
        <v>3052</v>
      </c>
      <c r="M191" t="s">
        <v>3053</v>
      </c>
      <c r="N191" t="s">
        <v>4251</v>
      </c>
      <c r="O191" t="s">
        <v>4264</v>
      </c>
      <c r="P191" t="s">
        <v>4265</v>
      </c>
      <c r="Q191" t="s">
        <v>2732</v>
      </c>
      <c r="R191" t="s">
        <v>2751</v>
      </c>
      <c r="S191" t="s">
        <v>2751</v>
      </c>
      <c r="T191" t="s">
        <v>2712</v>
      </c>
      <c r="U191" t="s">
        <v>2712</v>
      </c>
      <c r="V191">
        <v>1</v>
      </c>
      <c r="W191" t="s">
        <v>2735</v>
      </c>
      <c r="X191" t="s">
        <v>4266</v>
      </c>
      <c r="Y191" t="s">
        <v>2465</v>
      </c>
      <c r="Z191">
        <v>220</v>
      </c>
      <c r="AA191" t="s">
        <v>4276</v>
      </c>
      <c r="AB191" t="s">
        <v>2716</v>
      </c>
      <c r="AC191" t="s">
        <v>2738</v>
      </c>
      <c r="AE191">
        <v>0</v>
      </c>
      <c r="AF191" t="s">
        <v>4277</v>
      </c>
      <c r="AH191" t="s">
        <v>379</v>
      </c>
      <c r="AI191">
        <v>46204</v>
      </c>
      <c r="AJ191">
        <v>7</v>
      </c>
      <c r="AK191" t="s">
        <v>4267</v>
      </c>
      <c r="AL191" t="s">
        <v>4268</v>
      </c>
      <c r="AM191" t="s">
        <v>4269</v>
      </c>
      <c r="AN191" t="s">
        <v>3257</v>
      </c>
      <c r="AO191" t="s">
        <v>4278</v>
      </c>
      <c r="AP191">
        <v>25975</v>
      </c>
      <c r="AQ191" t="s">
        <v>4271</v>
      </c>
      <c r="AR191" t="s">
        <v>4272</v>
      </c>
      <c r="AS191">
        <v>8</v>
      </c>
      <c r="AT191" t="s">
        <v>3259</v>
      </c>
      <c r="AW191" t="str">
        <f>Plan_2026[[#This Row],[Tên brand]]&amp;" "&amp;Plan_2026[[#This Row],[Trục đường chính]]&amp;Plan_2026[[#This Row],[Tên mall
(chuẩn hóa)]]&amp;Plan_2026[[#This Row],[Địa chỉ đầy đủ]]</f>
        <v>Crystal Jade 208 đường Nguyễn Hữu CảnhVincom Center Landmark 81208 đường Nguyễn Hữu Cảnh, Phường 22, Bình Thạnh, Hồ Chí Minh</v>
      </c>
    </row>
    <row r="192" spans="1:49" hidden="1" x14ac:dyDescent="0.35">
      <c r="A192">
        <v>181</v>
      </c>
      <c r="B192" t="s">
        <v>2464</v>
      </c>
      <c r="C192" t="s">
        <v>2008</v>
      </c>
      <c r="D192" t="s">
        <v>2728</v>
      </c>
      <c r="E192">
        <v>2026</v>
      </c>
      <c r="F192">
        <v>3</v>
      </c>
      <c r="G192">
        <v>7</v>
      </c>
      <c r="H192">
        <v>11</v>
      </c>
      <c r="J192" t="s">
        <v>350</v>
      </c>
      <c r="K192" t="s">
        <v>2704</v>
      </c>
      <c r="L192" t="s">
        <v>3052</v>
      </c>
      <c r="M192" t="s">
        <v>3053</v>
      </c>
      <c r="N192" t="s">
        <v>4251</v>
      </c>
      <c r="O192" t="s">
        <v>4264</v>
      </c>
      <c r="P192" t="s">
        <v>4265</v>
      </c>
      <c r="Q192" t="s">
        <v>2732</v>
      </c>
      <c r="R192" t="s">
        <v>2751</v>
      </c>
      <c r="S192" t="s">
        <v>2751</v>
      </c>
      <c r="T192" t="s">
        <v>2712</v>
      </c>
      <c r="U192" t="s">
        <v>2712</v>
      </c>
      <c r="V192">
        <v>1</v>
      </c>
      <c r="W192" t="s">
        <v>2713</v>
      </c>
      <c r="X192" t="s">
        <v>4266</v>
      </c>
      <c r="Y192" t="s">
        <v>2465</v>
      </c>
      <c r="Z192">
        <v>160</v>
      </c>
      <c r="AB192" t="s">
        <v>2716</v>
      </c>
      <c r="AC192" t="s">
        <v>4279</v>
      </c>
      <c r="AE192">
        <v>0</v>
      </c>
      <c r="AF192" t="s">
        <v>4280</v>
      </c>
      <c r="AH192" t="s">
        <v>2044</v>
      </c>
      <c r="AI192">
        <v>46204</v>
      </c>
      <c r="AJ192">
        <v>7</v>
      </c>
      <c r="AK192" t="s">
        <v>4267</v>
      </c>
      <c r="AL192" t="s">
        <v>4268</v>
      </c>
      <c r="AM192" t="s">
        <v>4269</v>
      </c>
      <c r="AN192" t="s">
        <v>4281</v>
      </c>
      <c r="AO192" t="s">
        <v>4282</v>
      </c>
      <c r="AP192">
        <v>25975</v>
      </c>
      <c r="AQ192" t="s">
        <v>4271</v>
      </c>
      <c r="AR192" t="s">
        <v>4272</v>
      </c>
      <c r="AS192">
        <v>6</v>
      </c>
      <c r="AT192" t="s">
        <v>3157</v>
      </c>
      <c r="AW192" t="str">
        <f>Plan_2026[[#This Row],[Tên brand]]&amp;" "&amp;Plan_2026[[#This Row],[Trục đường chính]]&amp;Plan_2026[[#This Row],[Tên mall
(chuẩn hóa)]]&amp;Plan_2026[[#This Row],[Địa chỉ đầy đủ]]</f>
        <v>Dao Niu Guo 208 đường Nguyễn Hữu CảnhVincom Center Landmark 81208 đường Nguyễn Hữu Cảnh, Phường 22, Bình Thạnh, Hồ Chí Minh</v>
      </c>
    </row>
    <row r="193" spans="1:49" hidden="1" x14ac:dyDescent="0.35">
      <c r="A193">
        <v>182</v>
      </c>
      <c r="B193" t="s">
        <v>2370</v>
      </c>
      <c r="C193" t="s">
        <v>2702</v>
      </c>
      <c r="D193" t="s">
        <v>3051</v>
      </c>
      <c r="E193">
        <v>2026</v>
      </c>
      <c r="F193">
        <v>3</v>
      </c>
      <c r="G193">
        <v>8</v>
      </c>
      <c r="H193">
        <v>12</v>
      </c>
      <c r="J193" t="s">
        <v>350</v>
      </c>
      <c r="K193" t="s">
        <v>2704</v>
      </c>
      <c r="L193" t="s">
        <v>3052</v>
      </c>
      <c r="M193" t="s">
        <v>3053</v>
      </c>
      <c r="N193" t="s">
        <v>4251</v>
      </c>
      <c r="O193" t="s">
        <v>4264</v>
      </c>
      <c r="P193" t="s">
        <v>4283</v>
      </c>
      <c r="Q193" t="s">
        <v>2709</v>
      </c>
      <c r="R193">
        <v>8</v>
      </c>
      <c r="S193" t="s">
        <v>2710</v>
      </c>
      <c r="T193" t="s">
        <v>2711</v>
      </c>
      <c r="U193" t="s">
        <v>2712</v>
      </c>
      <c r="V193">
        <v>1</v>
      </c>
      <c r="W193" t="s">
        <v>2713</v>
      </c>
      <c r="Z193" t="s">
        <v>2715</v>
      </c>
      <c r="AB193" t="s">
        <v>2716</v>
      </c>
      <c r="AC193" t="s">
        <v>2738</v>
      </c>
      <c r="AE193">
        <v>0</v>
      </c>
      <c r="AF193" t="s">
        <v>4284</v>
      </c>
      <c r="AH193" t="s">
        <v>76</v>
      </c>
      <c r="AI193">
        <v>46235</v>
      </c>
      <c r="AJ193">
        <v>8</v>
      </c>
      <c r="AK193" t="s">
        <v>4267</v>
      </c>
      <c r="AL193" t="s">
        <v>4285</v>
      </c>
      <c r="AM193" t="s">
        <v>4269</v>
      </c>
      <c r="AN193" t="s">
        <v>2721</v>
      </c>
      <c r="AO193" t="s">
        <v>4286</v>
      </c>
      <c r="AP193">
        <v>25975</v>
      </c>
      <c r="AQ193" t="s">
        <v>4271</v>
      </c>
      <c r="AR193" t="s">
        <v>4272</v>
      </c>
      <c r="AS193">
        <v>144</v>
      </c>
      <c r="AT193" t="s">
        <v>4287</v>
      </c>
      <c r="AW193" t="str">
        <f>Plan_2026[[#This Row],[Tên brand]]&amp;" "&amp;Plan_2026[[#This Row],[Trục đường chính]]&amp;Plan_2026[[#This Row],[Tên mall
(chuẩn hóa)]]&amp;Plan_2026[[#This Row],[Địa chỉ đầy đủ]]</f>
        <v>Gogi House Nguyễn Gia Trí - Chu Văn AnNguyễn Gia Trí - Chu Văn An, Phường 22, Bình Thạnh, Hồ Chí Minh</v>
      </c>
    </row>
    <row r="194" spans="1:49" hidden="1" x14ac:dyDescent="0.35">
      <c r="A194">
        <v>26</v>
      </c>
      <c r="B194" t="s">
        <v>2336</v>
      </c>
      <c r="C194" t="s">
        <v>2702</v>
      </c>
      <c r="D194" t="s">
        <v>3018</v>
      </c>
      <c r="E194">
        <v>2026</v>
      </c>
      <c r="F194">
        <v>2</v>
      </c>
      <c r="G194">
        <v>5</v>
      </c>
      <c r="H194">
        <v>9</v>
      </c>
      <c r="J194" t="s">
        <v>2244</v>
      </c>
      <c r="K194" t="s">
        <v>3000</v>
      </c>
      <c r="L194" t="s">
        <v>3001</v>
      </c>
      <c r="M194" t="s">
        <v>3002</v>
      </c>
      <c r="N194" t="s">
        <v>3003</v>
      </c>
      <c r="O194" t="s">
        <v>3004</v>
      </c>
      <c r="P194" t="s">
        <v>3014</v>
      </c>
      <c r="Q194" t="s">
        <v>2732</v>
      </c>
      <c r="R194">
        <v>6</v>
      </c>
      <c r="S194" t="s">
        <v>2733</v>
      </c>
      <c r="T194" t="s">
        <v>2973</v>
      </c>
      <c r="U194" t="s">
        <v>2712</v>
      </c>
      <c r="V194">
        <v>1</v>
      </c>
      <c r="W194" t="s">
        <v>2713</v>
      </c>
      <c r="X194" t="s">
        <v>2301</v>
      </c>
      <c r="Y194" t="s">
        <v>2301</v>
      </c>
      <c r="Z194" t="s">
        <v>2715</v>
      </c>
      <c r="AB194" t="s">
        <v>2716</v>
      </c>
      <c r="AC194" t="s">
        <v>2763</v>
      </c>
      <c r="AE194">
        <v>1</v>
      </c>
      <c r="AH194" t="s">
        <v>76</v>
      </c>
      <c r="AI194">
        <v>46143</v>
      </c>
      <c r="AJ194">
        <v>5</v>
      </c>
      <c r="AK194" t="s">
        <v>3007</v>
      </c>
      <c r="AL194" t="s">
        <v>3015</v>
      </c>
      <c r="AM194" t="s">
        <v>3009</v>
      </c>
      <c r="AN194" t="s">
        <v>2979</v>
      </c>
      <c r="AO194" t="s">
        <v>4288</v>
      </c>
      <c r="AP194">
        <v>9351</v>
      </c>
      <c r="AQ194" t="s">
        <v>3011</v>
      </c>
      <c r="AR194" t="s">
        <v>3012</v>
      </c>
      <c r="AS194">
        <v>144</v>
      </c>
      <c r="AT194" t="s">
        <v>4289</v>
      </c>
      <c r="AW194" t="str">
        <f>Plan_2026[[#This Row],[Tên brand]]&amp;" "&amp;Plan_2026[[#This Row],[Trục đường chính]]&amp;Plan_2026[[#This Row],[Tên mall
(chuẩn hóa)]]&amp;Plan_2026[[#This Row],[Địa chỉ đầy đủ]]</f>
        <v>Gogi House 46 Điện Biên PhủAeon Mall Đà Nẵng46 Điện Biên Phủ, Chính Gián, Thanh Khê, Đà Nẵng</v>
      </c>
    </row>
    <row r="195" spans="1:49" hidden="1" x14ac:dyDescent="0.35">
      <c r="A195">
        <v>184</v>
      </c>
      <c r="B195" t="s">
        <v>2251</v>
      </c>
      <c r="C195" t="s">
        <v>35</v>
      </c>
      <c r="D195" t="s">
        <v>2820</v>
      </c>
      <c r="E195">
        <v>2026</v>
      </c>
      <c r="F195">
        <v>1</v>
      </c>
      <c r="G195">
        <v>3</v>
      </c>
      <c r="H195">
        <v>7</v>
      </c>
      <c r="J195" t="s">
        <v>350</v>
      </c>
      <c r="K195" t="s">
        <v>2704</v>
      </c>
      <c r="L195" t="s">
        <v>3052</v>
      </c>
      <c r="M195" t="s">
        <v>3053</v>
      </c>
      <c r="N195" t="s">
        <v>4251</v>
      </c>
      <c r="O195" t="s">
        <v>4264</v>
      </c>
      <c r="P195" t="s">
        <v>4265</v>
      </c>
      <c r="Q195" t="s">
        <v>2732</v>
      </c>
      <c r="R195" t="s">
        <v>2751</v>
      </c>
      <c r="S195" t="s">
        <v>2751</v>
      </c>
      <c r="T195">
        <v>200</v>
      </c>
      <c r="U195" t="s">
        <v>2712</v>
      </c>
      <c r="V195">
        <v>1</v>
      </c>
      <c r="W195" t="s">
        <v>2713</v>
      </c>
      <c r="X195" t="s">
        <v>4266</v>
      </c>
      <c r="Y195" t="s">
        <v>4290</v>
      </c>
      <c r="Z195" t="s">
        <v>2715</v>
      </c>
      <c r="AB195" t="s">
        <v>2716</v>
      </c>
      <c r="AC195" t="s">
        <v>2738</v>
      </c>
      <c r="AE195">
        <v>0</v>
      </c>
      <c r="AF195" t="s">
        <v>4291</v>
      </c>
      <c r="AH195" t="s">
        <v>34</v>
      </c>
      <c r="AI195">
        <v>46082</v>
      </c>
      <c r="AJ195">
        <v>3</v>
      </c>
      <c r="AK195" t="s">
        <v>4267</v>
      </c>
      <c r="AL195" t="s">
        <v>4268</v>
      </c>
      <c r="AM195" t="s">
        <v>4269</v>
      </c>
      <c r="AN195" t="s">
        <v>3036</v>
      </c>
      <c r="AO195" t="s">
        <v>4292</v>
      </c>
      <c r="AP195">
        <v>25975</v>
      </c>
      <c r="AQ195" t="s">
        <v>4271</v>
      </c>
      <c r="AR195" t="s">
        <v>4272</v>
      </c>
      <c r="AS195">
        <v>107</v>
      </c>
      <c r="AT195" t="s">
        <v>4293</v>
      </c>
      <c r="AW195" t="str">
        <f>Plan_2026[[#This Row],[Tên brand]]&amp;" "&amp;Plan_2026[[#This Row],[Trục đường chính]]&amp;Plan_2026[[#This Row],[Tên mall
(chuẩn hóa)]]&amp;Plan_2026[[#This Row],[Địa chỉ đầy đủ]]</f>
        <v>Kichi Kichi 208 đường Nguyễn Hữu CảnhThe Landmark Tower208 đường Nguyễn Hữu Cảnh, Phường 22, Bình Thạnh, Hồ Chí Minh</v>
      </c>
    </row>
    <row r="196" spans="1:49" hidden="1" x14ac:dyDescent="0.35">
      <c r="A196">
        <v>185</v>
      </c>
      <c r="B196" t="s">
        <v>2312</v>
      </c>
      <c r="C196" t="s">
        <v>3861</v>
      </c>
      <c r="D196" t="s">
        <v>3862</v>
      </c>
      <c r="E196">
        <v>2026</v>
      </c>
      <c r="F196">
        <v>2</v>
      </c>
      <c r="G196">
        <v>4</v>
      </c>
      <c r="H196">
        <v>8</v>
      </c>
      <c r="J196" t="s">
        <v>350</v>
      </c>
      <c r="K196" t="s">
        <v>2704</v>
      </c>
      <c r="L196" t="s">
        <v>3052</v>
      </c>
      <c r="M196" t="s">
        <v>3053</v>
      </c>
      <c r="N196" t="s">
        <v>4251</v>
      </c>
      <c r="O196" t="s">
        <v>4264</v>
      </c>
      <c r="P196" t="s">
        <v>4294</v>
      </c>
      <c r="Q196" t="s">
        <v>2732</v>
      </c>
      <c r="R196" t="s">
        <v>2751</v>
      </c>
      <c r="S196" t="s">
        <v>2751</v>
      </c>
      <c r="T196" t="s">
        <v>2762</v>
      </c>
      <c r="U196" t="s">
        <v>2762</v>
      </c>
      <c r="V196">
        <v>1</v>
      </c>
      <c r="W196" t="s">
        <v>2713</v>
      </c>
      <c r="X196" t="s">
        <v>2465</v>
      </c>
      <c r="Y196" t="s">
        <v>2465</v>
      </c>
      <c r="Z196" t="s">
        <v>2715</v>
      </c>
      <c r="AB196" t="s">
        <v>2716</v>
      </c>
      <c r="AC196" t="s">
        <v>3232</v>
      </c>
      <c r="AE196">
        <v>0</v>
      </c>
      <c r="AF196" t="s">
        <v>3864</v>
      </c>
      <c r="AH196" t="s">
        <v>301</v>
      </c>
      <c r="AI196">
        <v>46113</v>
      </c>
      <c r="AJ196">
        <v>4</v>
      </c>
      <c r="AK196" t="s">
        <v>4267</v>
      </c>
      <c r="AL196" t="s">
        <v>4295</v>
      </c>
      <c r="AM196" t="s">
        <v>4269</v>
      </c>
      <c r="AN196" t="s">
        <v>3866</v>
      </c>
      <c r="AO196" t="s">
        <v>4296</v>
      </c>
      <c r="AP196">
        <v>25975</v>
      </c>
      <c r="AQ196" t="s">
        <v>4271</v>
      </c>
      <c r="AR196" t="s">
        <v>4272</v>
      </c>
      <c r="AS196">
        <v>14</v>
      </c>
      <c r="AT196" t="s">
        <v>3868</v>
      </c>
      <c r="AW196" t="str">
        <f>Plan_2026[[#This Row],[Tên brand]]&amp;" "&amp;Plan_2026[[#This Row],[Trục đường chính]]&amp;Plan_2026[[#This Row],[Tên mall
(chuẩn hóa)]]&amp;Plan_2026[[#This Row],[Địa chỉ đầy đủ]]</f>
        <v>Lách ca lách cách 772 Điện Biên PhủVincom Center Landmark 81772 Điện Biên Phủ, Phường 22, Bình Thạnh, Hồ Chí Minh</v>
      </c>
    </row>
    <row r="197" spans="1:49" hidden="1" x14ac:dyDescent="0.35">
      <c r="A197">
        <v>186</v>
      </c>
      <c r="B197" t="s">
        <v>2492</v>
      </c>
      <c r="C197" t="s">
        <v>2787</v>
      </c>
      <c r="D197" t="s">
        <v>3111</v>
      </c>
      <c r="E197">
        <v>2025</v>
      </c>
      <c r="F197">
        <v>4</v>
      </c>
      <c r="G197">
        <v>12</v>
      </c>
      <c r="H197">
        <v>4</v>
      </c>
      <c r="J197" t="s">
        <v>350</v>
      </c>
      <c r="K197" t="s">
        <v>2704</v>
      </c>
      <c r="L197" t="s">
        <v>3052</v>
      </c>
      <c r="M197" t="s">
        <v>3053</v>
      </c>
      <c r="N197" t="s">
        <v>4251</v>
      </c>
      <c r="O197" t="s">
        <v>4264</v>
      </c>
      <c r="P197" t="s">
        <v>2493</v>
      </c>
      <c r="Q197" t="s">
        <v>2810</v>
      </c>
      <c r="R197" t="s">
        <v>2710</v>
      </c>
      <c r="S197" t="s">
        <v>2710</v>
      </c>
      <c r="T197" t="s">
        <v>3229</v>
      </c>
      <c r="U197" t="s">
        <v>3229</v>
      </c>
      <c r="V197">
        <v>1</v>
      </c>
      <c r="W197" t="s">
        <v>2713</v>
      </c>
      <c r="X197" t="s">
        <v>3608</v>
      </c>
      <c r="Z197">
        <v>132</v>
      </c>
      <c r="AA197" t="s">
        <v>4088</v>
      </c>
      <c r="AB197" t="s">
        <v>2716</v>
      </c>
      <c r="AC197" t="s">
        <v>2738</v>
      </c>
      <c r="AE197">
        <v>0</v>
      </c>
      <c r="AF197" t="s">
        <v>4297</v>
      </c>
      <c r="AH197" t="s">
        <v>1788</v>
      </c>
      <c r="AI197">
        <v>45992</v>
      </c>
      <c r="AJ197">
        <v>12</v>
      </c>
      <c r="AK197" t="s">
        <v>4267</v>
      </c>
      <c r="AL197" t="s">
        <v>4298</v>
      </c>
      <c r="AM197" t="s">
        <v>4269</v>
      </c>
      <c r="AN197" t="s">
        <v>2814</v>
      </c>
      <c r="AO197" t="s">
        <v>4299</v>
      </c>
      <c r="AP197">
        <v>25975</v>
      </c>
      <c r="AQ197" t="s">
        <v>4271</v>
      </c>
      <c r="AR197" t="s">
        <v>4272</v>
      </c>
      <c r="AS197">
        <v>81</v>
      </c>
      <c r="AT197" t="s">
        <v>3882</v>
      </c>
      <c r="AW197" t="str">
        <f>Plan_2026[[#This Row],[Tên brand]]&amp;" "&amp;Plan_2026[[#This Row],[Trục đường chính]]&amp;Plan_2026[[#This Row],[Tên mall
(chuẩn hóa)]]&amp;Plan_2026[[#This Row],[Địa chỉ đầy đủ]]</f>
        <v>The Coffee House 91 Nguyễn Hữu Cảnh91 Nguyễn Hữu Cảnh, Phường 22, Bình Thạnh, Hồ Chí Minh</v>
      </c>
    </row>
    <row r="198" spans="1:49" hidden="1" x14ac:dyDescent="0.35">
      <c r="A198">
        <v>187</v>
      </c>
      <c r="B198" t="s">
        <v>2541</v>
      </c>
      <c r="C198" t="s">
        <v>2787</v>
      </c>
      <c r="D198" t="s">
        <v>3111</v>
      </c>
      <c r="E198">
        <v>2026</v>
      </c>
      <c r="F198">
        <v>1</v>
      </c>
      <c r="G198">
        <v>2</v>
      </c>
      <c r="H198">
        <v>6</v>
      </c>
      <c r="J198" t="s">
        <v>350</v>
      </c>
      <c r="K198" t="s">
        <v>2704</v>
      </c>
      <c r="L198" t="s">
        <v>3052</v>
      </c>
      <c r="M198" t="s">
        <v>3053</v>
      </c>
      <c r="N198" t="s">
        <v>4300</v>
      </c>
      <c r="O198" t="s">
        <v>4301</v>
      </c>
      <c r="P198" t="s">
        <v>2542</v>
      </c>
      <c r="Q198" t="s">
        <v>2810</v>
      </c>
      <c r="R198" t="s">
        <v>2710</v>
      </c>
      <c r="S198" t="s">
        <v>2710</v>
      </c>
      <c r="T198" t="s">
        <v>2800</v>
      </c>
      <c r="U198" t="s">
        <v>2800</v>
      </c>
      <c r="V198">
        <v>1</v>
      </c>
      <c r="W198" t="s">
        <v>2713</v>
      </c>
      <c r="X198" t="s">
        <v>4302</v>
      </c>
      <c r="Z198">
        <v>132</v>
      </c>
      <c r="AA198" t="s">
        <v>4088</v>
      </c>
      <c r="AB198" t="s">
        <v>2716</v>
      </c>
      <c r="AC198" t="s">
        <v>2738</v>
      </c>
      <c r="AE198">
        <v>0</v>
      </c>
      <c r="AF198" t="s">
        <v>4297</v>
      </c>
      <c r="AG198" t="s">
        <v>2908</v>
      </c>
      <c r="AH198" t="s">
        <v>1788</v>
      </c>
      <c r="AI198">
        <v>46054</v>
      </c>
      <c r="AJ198">
        <v>2</v>
      </c>
      <c r="AK198" t="s">
        <v>4303</v>
      </c>
      <c r="AL198" t="s">
        <v>4304</v>
      </c>
      <c r="AM198" t="s">
        <v>4305</v>
      </c>
      <c r="AN198" t="s">
        <v>2814</v>
      </c>
      <c r="AO198" t="s">
        <v>4306</v>
      </c>
      <c r="AP198">
        <v>11079</v>
      </c>
      <c r="AQ198" t="s">
        <v>4307</v>
      </c>
      <c r="AR198" t="s">
        <v>4308</v>
      </c>
      <c r="AS198">
        <v>81</v>
      </c>
      <c r="AT198" t="s">
        <v>4309</v>
      </c>
      <c r="AW198" t="str">
        <f>Plan_2026[[#This Row],[Tên brand]]&amp;" "&amp;Plan_2026[[#This Row],[Trục đường chính]]&amp;Plan_2026[[#This Row],[Tên mall
(chuẩn hóa)]]&amp;Plan_2026[[#This Row],[Địa chỉ đầy đủ]]</f>
        <v>The Coffee House Cao Lỗ, Tạ Quang BửuCao Lỗ, Tạ Quang Bửu, Phường 4, Quận 8, Hồ Chí Minh</v>
      </c>
    </row>
    <row r="199" spans="1:49" hidden="1" x14ac:dyDescent="0.35">
      <c r="A199">
        <v>188</v>
      </c>
      <c r="B199" t="s">
        <v>2571</v>
      </c>
      <c r="C199" t="s">
        <v>2787</v>
      </c>
      <c r="D199" t="s">
        <v>3111</v>
      </c>
      <c r="E199">
        <v>2026</v>
      </c>
      <c r="F199">
        <v>2</v>
      </c>
      <c r="G199">
        <v>4</v>
      </c>
      <c r="H199">
        <v>8</v>
      </c>
      <c r="J199" t="s">
        <v>350</v>
      </c>
      <c r="K199" t="s">
        <v>2704</v>
      </c>
      <c r="L199" t="s">
        <v>3052</v>
      </c>
      <c r="M199" t="s">
        <v>3053</v>
      </c>
      <c r="N199" t="s">
        <v>4251</v>
      </c>
      <c r="O199" t="s">
        <v>4264</v>
      </c>
      <c r="P199" t="s">
        <v>2572</v>
      </c>
      <c r="Q199" t="s">
        <v>2810</v>
      </c>
      <c r="R199" t="s">
        <v>2751</v>
      </c>
      <c r="S199" t="s">
        <v>2751</v>
      </c>
      <c r="T199" t="s">
        <v>2800</v>
      </c>
      <c r="U199" t="s">
        <v>2800</v>
      </c>
      <c r="V199">
        <v>1</v>
      </c>
      <c r="W199" t="s">
        <v>2713</v>
      </c>
      <c r="X199" t="s">
        <v>2465</v>
      </c>
      <c r="Y199" t="s">
        <v>2465</v>
      </c>
      <c r="Z199">
        <v>132</v>
      </c>
      <c r="AB199" t="s">
        <v>2716</v>
      </c>
      <c r="AC199" t="s">
        <v>2738</v>
      </c>
      <c r="AE199">
        <v>0</v>
      </c>
      <c r="AH199" t="s">
        <v>1788</v>
      </c>
      <c r="AI199">
        <v>46113</v>
      </c>
      <c r="AJ199">
        <v>4</v>
      </c>
      <c r="AK199" t="s">
        <v>4267</v>
      </c>
      <c r="AL199" t="s">
        <v>4310</v>
      </c>
      <c r="AM199" t="s">
        <v>4269</v>
      </c>
      <c r="AN199" t="s">
        <v>2814</v>
      </c>
      <c r="AO199" t="s">
        <v>4299</v>
      </c>
      <c r="AP199">
        <v>25975</v>
      </c>
      <c r="AQ199" t="s">
        <v>4271</v>
      </c>
      <c r="AR199" t="s">
        <v>4272</v>
      </c>
      <c r="AS199">
        <v>81</v>
      </c>
      <c r="AT199" t="s">
        <v>3882</v>
      </c>
      <c r="AW199" t="str">
        <f>Plan_2026[[#This Row],[Tên brand]]&amp;" "&amp;Plan_2026[[#This Row],[Trục đường chính]]&amp;Plan_2026[[#This Row],[Tên mall
(chuẩn hóa)]]&amp;Plan_2026[[#This Row],[Địa chỉ đầy đủ]]</f>
        <v>The Coffee House 208 Đường Nguyễn Hữu CảnhVincom Center Landmark 81208 Đường Nguyễn Hữu Cảnh, Phường 22, Bình Thạnh, Hồ Chí Minh</v>
      </c>
    </row>
    <row r="200" spans="1:49" hidden="1" x14ac:dyDescent="0.35">
      <c r="A200">
        <v>189</v>
      </c>
      <c r="B200" t="s">
        <v>2484</v>
      </c>
      <c r="C200" t="s">
        <v>2787</v>
      </c>
      <c r="D200" t="s">
        <v>3111</v>
      </c>
      <c r="E200">
        <v>2025</v>
      </c>
      <c r="F200">
        <v>4</v>
      </c>
      <c r="G200">
        <v>12</v>
      </c>
      <c r="H200">
        <v>4</v>
      </c>
      <c r="J200" t="s">
        <v>350</v>
      </c>
      <c r="K200" t="s">
        <v>2704</v>
      </c>
      <c r="L200" t="s">
        <v>3052</v>
      </c>
      <c r="M200" t="s">
        <v>3053</v>
      </c>
      <c r="N200" t="s">
        <v>4311</v>
      </c>
      <c r="O200" t="s">
        <v>4312</v>
      </c>
      <c r="P200" t="s">
        <v>2485</v>
      </c>
      <c r="Q200" t="s">
        <v>2732</v>
      </c>
      <c r="R200" t="s">
        <v>2710</v>
      </c>
      <c r="S200" t="s">
        <v>2710</v>
      </c>
      <c r="T200" t="s">
        <v>3229</v>
      </c>
      <c r="U200" t="s">
        <v>3229</v>
      </c>
      <c r="V200">
        <v>1</v>
      </c>
      <c r="W200" t="s">
        <v>2713</v>
      </c>
      <c r="X200" t="s">
        <v>4313</v>
      </c>
      <c r="Y200" t="s">
        <v>2448</v>
      </c>
      <c r="Z200">
        <v>132</v>
      </c>
      <c r="AB200" t="s">
        <v>2716</v>
      </c>
      <c r="AC200" t="s">
        <v>2738</v>
      </c>
      <c r="AE200">
        <v>0</v>
      </c>
      <c r="AH200" t="s">
        <v>1788</v>
      </c>
      <c r="AI200">
        <v>45992</v>
      </c>
      <c r="AJ200">
        <v>12</v>
      </c>
      <c r="AK200" t="s">
        <v>4314</v>
      </c>
      <c r="AL200" t="s">
        <v>4315</v>
      </c>
      <c r="AM200" t="s">
        <v>4316</v>
      </c>
      <c r="AN200" t="s">
        <v>2804</v>
      </c>
      <c r="AO200" t="s">
        <v>4317</v>
      </c>
      <c r="AP200">
        <v>11346</v>
      </c>
      <c r="AQ200" t="s">
        <v>4318</v>
      </c>
      <c r="AR200" t="s">
        <v>4319</v>
      </c>
      <c r="AS200">
        <v>81</v>
      </c>
      <c r="AT200" t="s">
        <v>4309</v>
      </c>
      <c r="AW200" t="str">
        <f>Plan_2026[[#This Row],[Tên brand]]&amp;" "&amp;Plan_2026[[#This Row],[Trục đường chính]]&amp;Plan_2026[[#This Row],[Tên mall
(chuẩn hóa)]]&amp;Plan_2026[[#This Row],[Địa chỉ đầy đủ]]</f>
        <v>The Coffee House Phan Huy ÍchEmart Gò VấpPhan Huy Ích, Phường 14, Gò Vấp, Hồ Chí Minh</v>
      </c>
    </row>
    <row r="201" spans="1:49" hidden="1" x14ac:dyDescent="0.35">
      <c r="A201">
        <v>191</v>
      </c>
      <c r="B201" t="s">
        <v>4320</v>
      </c>
      <c r="C201" t="s">
        <v>2787</v>
      </c>
      <c r="D201" t="s">
        <v>3111</v>
      </c>
      <c r="E201">
        <v>2026</v>
      </c>
      <c r="F201">
        <v>2</v>
      </c>
      <c r="G201">
        <v>4</v>
      </c>
      <c r="H201">
        <v>8</v>
      </c>
      <c r="J201" t="s">
        <v>350</v>
      </c>
      <c r="K201" t="s">
        <v>2704</v>
      </c>
      <c r="L201" t="s">
        <v>3052</v>
      </c>
      <c r="M201" t="s">
        <v>3053</v>
      </c>
      <c r="N201" t="s">
        <v>4321</v>
      </c>
      <c r="O201" t="s">
        <v>4312</v>
      </c>
      <c r="P201" t="s">
        <v>4322</v>
      </c>
      <c r="Q201" t="s">
        <v>2709</v>
      </c>
      <c r="R201" t="s">
        <v>2751</v>
      </c>
      <c r="S201" t="s">
        <v>2751</v>
      </c>
      <c r="T201" t="s">
        <v>2790</v>
      </c>
      <c r="U201" t="s">
        <v>2790</v>
      </c>
      <c r="V201">
        <v>1</v>
      </c>
      <c r="W201" t="s">
        <v>2735</v>
      </c>
      <c r="Z201">
        <v>132</v>
      </c>
      <c r="AB201" t="s">
        <v>2716</v>
      </c>
      <c r="AC201" t="s">
        <v>2738</v>
      </c>
      <c r="AE201">
        <v>0</v>
      </c>
      <c r="AH201" t="s">
        <v>1788</v>
      </c>
      <c r="AI201">
        <v>46113</v>
      </c>
      <c r="AJ201">
        <v>4</v>
      </c>
      <c r="AK201" t="s">
        <v>4323</v>
      </c>
      <c r="AL201" t="s">
        <v>4324</v>
      </c>
      <c r="AM201" t="s">
        <v>4325</v>
      </c>
      <c r="AN201" t="s">
        <v>2793</v>
      </c>
      <c r="AO201" t="s">
        <v>4326</v>
      </c>
      <c r="AP201">
        <v>18405</v>
      </c>
      <c r="AQ201" t="s">
        <v>4327</v>
      </c>
      <c r="AR201" t="s">
        <v>4328</v>
      </c>
      <c r="AS201">
        <v>81</v>
      </c>
      <c r="AT201" t="s">
        <v>4329</v>
      </c>
      <c r="AW201" t="str">
        <f>Plan_2026[[#This Row],[Tên brand]]&amp;" "&amp;Plan_2026[[#This Row],[Trục đường chính]]&amp;Plan_2026[[#This Row],[Tên mall
(chuẩn hóa)]]&amp;Plan_2026[[#This Row],[Địa chỉ đầy đủ]]</f>
        <v>The Coffee House Tam ĐảoTam Đảo, Phường 14, Quận 10, Hồ Chí Minh</v>
      </c>
    </row>
    <row r="202" spans="1:49" hidden="1" x14ac:dyDescent="0.35">
      <c r="A202">
        <v>192</v>
      </c>
      <c r="B202" t="s">
        <v>2332</v>
      </c>
      <c r="C202" t="s">
        <v>2702</v>
      </c>
      <c r="D202" t="s">
        <v>3051</v>
      </c>
      <c r="E202">
        <v>2026</v>
      </c>
      <c r="F202">
        <v>1</v>
      </c>
      <c r="G202">
        <v>2</v>
      </c>
      <c r="H202">
        <v>6</v>
      </c>
      <c r="J202" t="s">
        <v>350</v>
      </c>
      <c r="K202" t="s">
        <v>2704</v>
      </c>
      <c r="L202" t="s">
        <v>3052</v>
      </c>
      <c r="M202" t="s">
        <v>3053</v>
      </c>
      <c r="N202" t="s">
        <v>4321</v>
      </c>
      <c r="O202" t="s">
        <v>4330</v>
      </c>
      <c r="Q202" t="s">
        <v>2709</v>
      </c>
      <c r="R202">
        <v>8</v>
      </c>
      <c r="S202" t="s">
        <v>2710</v>
      </c>
      <c r="T202" t="s">
        <v>2711</v>
      </c>
      <c r="U202" t="s">
        <v>2712</v>
      </c>
      <c r="V202">
        <v>1</v>
      </c>
      <c r="W202" t="s">
        <v>2713</v>
      </c>
      <c r="Z202" t="s">
        <v>2715</v>
      </c>
      <c r="AB202" t="s">
        <v>2716</v>
      </c>
      <c r="AC202" t="s">
        <v>2738</v>
      </c>
      <c r="AE202">
        <v>0</v>
      </c>
      <c r="AF202" t="s">
        <v>4331</v>
      </c>
      <c r="AH202" t="s">
        <v>76</v>
      </c>
      <c r="AI202">
        <v>46054</v>
      </c>
      <c r="AJ202">
        <v>2</v>
      </c>
      <c r="AK202" t="s">
        <v>4332</v>
      </c>
      <c r="AL202" t="s">
        <v>4332</v>
      </c>
      <c r="AM202" t="s">
        <v>4333</v>
      </c>
      <c r="AN202" t="s">
        <v>2721</v>
      </c>
      <c r="AO202" t="s">
        <v>4334</v>
      </c>
      <c r="AP202">
        <v>20574</v>
      </c>
      <c r="AQ202" t="s">
        <v>4335</v>
      </c>
      <c r="AR202" t="s">
        <v>4336</v>
      </c>
      <c r="AS202">
        <v>144</v>
      </c>
      <c r="AT202" t="s">
        <v>4337</v>
      </c>
      <c r="AW202" t="str">
        <f>Plan_2026[[#This Row],[Tên brand]]&amp;" "&amp;Plan_2026[[#This Row],[Trục đường chính]]&amp;Plan_2026[[#This Row],[Tên mall
(chuẩn hóa)]]&amp;Plan_2026[[#This Row],[Địa chỉ đầy đủ]]</f>
        <v>Gogi House Phường 15, Quận 10, Hồ Chí Minh</v>
      </c>
    </row>
    <row r="203" spans="1:49" hidden="1" x14ac:dyDescent="0.35">
      <c r="A203">
        <v>193</v>
      </c>
      <c r="B203" t="s">
        <v>2344</v>
      </c>
      <c r="C203" t="s">
        <v>2702</v>
      </c>
      <c r="D203" t="s">
        <v>3051</v>
      </c>
      <c r="E203">
        <v>2026</v>
      </c>
      <c r="F203">
        <v>2</v>
      </c>
      <c r="G203">
        <v>5</v>
      </c>
      <c r="H203">
        <v>9</v>
      </c>
      <c r="J203" t="s">
        <v>350</v>
      </c>
      <c r="K203" t="s">
        <v>2704</v>
      </c>
      <c r="L203" t="s">
        <v>3052</v>
      </c>
      <c r="M203" t="s">
        <v>3053</v>
      </c>
      <c r="N203" t="s">
        <v>4338</v>
      </c>
      <c r="O203" t="s">
        <v>4330</v>
      </c>
      <c r="Q203" t="s">
        <v>2709</v>
      </c>
      <c r="R203">
        <v>8</v>
      </c>
      <c r="S203" t="s">
        <v>2710</v>
      </c>
      <c r="T203" t="s">
        <v>2711</v>
      </c>
      <c r="U203" t="s">
        <v>2712</v>
      </c>
      <c r="V203">
        <v>1</v>
      </c>
      <c r="W203" t="s">
        <v>2713</v>
      </c>
      <c r="Z203" t="s">
        <v>2715</v>
      </c>
      <c r="AB203" t="s">
        <v>2716</v>
      </c>
      <c r="AC203" t="s">
        <v>2738</v>
      </c>
      <c r="AE203">
        <v>0</v>
      </c>
      <c r="AF203" t="s">
        <v>4339</v>
      </c>
      <c r="AH203" t="s">
        <v>76</v>
      </c>
      <c r="AI203">
        <v>46143</v>
      </c>
      <c r="AJ203">
        <v>5</v>
      </c>
      <c r="AK203" t="s">
        <v>4340</v>
      </c>
      <c r="AL203" t="s">
        <v>4340</v>
      </c>
      <c r="AM203" t="s">
        <v>4341</v>
      </c>
      <c r="AN203" t="s">
        <v>2721</v>
      </c>
      <c r="AO203" t="s">
        <v>4342</v>
      </c>
      <c r="AP203">
        <v>14649</v>
      </c>
      <c r="AQ203" t="s">
        <v>4343</v>
      </c>
      <c r="AR203" t="s">
        <v>4344</v>
      </c>
      <c r="AS203">
        <v>144</v>
      </c>
      <c r="AT203" t="s">
        <v>4345</v>
      </c>
      <c r="AW203" t="str">
        <f>Plan_2026[[#This Row],[Tên brand]]&amp;" "&amp;Plan_2026[[#This Row],[Trục đường chính]]&amp;Plan_2026[[#This Row],[Tên mall
(chuẩn hóa)]]&amp;Plan_2026[[#This Row],[Địa chỉ đầy đủ]]</f>
        <v>Gogi House Phường 15, Quận 11, Hồ Chí Minh</v>
      </c>
    </row>
    <row r="204" spans="1:49" hidden="1" x14ac:dyDescent="0.35">
      <c r="A204">
        <v>194</v>
      </c>
      <c r="B204" t="s">
        <v>1861</v>
      </c>
      <c r="C204" t="s">
        <v>2135</v>
      </c>
      <c r="D204" t="s">
        <v>3327</v>
      </c>
      <c r="E204">
        <v>2025</v>
      </c>
      <c r="F204">
        <v>4</v>
      </c>
      <c r="G204">
        <v>10</v>
      </c>
      <c r="H204">
        <v>2</v>
      </c>
      <c r="J204" t="s">
        <v>350</v>
      </c>
      <c r="K204" t="s">
        <v>2704</v>
      </c>
      <c r="L204" t="s">
        <v>3052</v>
      </c>
      <c r="M204" t="s">
        <v>3053</v>
      </c>
      <c r="N204" t="s">
        <v>2929</v>
      </c>
      <c r="O204" t="s">
        <v>4346</v>
      </c>
      <c r="P204" t="s">
        <v>4347</v>
      </c>
      <c r="Q204" t="s">
        <v>2709</v>
      </c>
      <c r="R204" t="s">
        <v>3356</v>
      </c>
      <c r="S204" t="s">
        <v>3357</v>
      </c>
      <c r="T204" t="s">
        <v>2790</v>
      </c>
      <c r="U204" t="s">
        <v>2790</v>
      </c>
      <c r="V204">
        <v>1</v>
      </c>
      <c r="W204" t="s">
        <v>2735</v>
      </c>
      <c r="Z204" t="s">
        <v>3331</v>
      </c>
      <c r="AB204" t="s">
        <v>1794</v>
      </c>
      <c r="AC204" t="s">
        <v>2778</v>
      </c>
      <c r="AE204">
        <v>0</v>
      </c>
      <c r="AF204" t="s">
        <v>4254</v>
      </c>
      <c r="AH204" t="s">
        <v>1446</v>
      </c>
      <c r="AI204">
        <v>45931</v>
      </c>
      <c r="AJ204">
        <v>10</v>
      </c>
      <c r="AK204" t="s">
        <v>4348</v>
      </c>
      <c r="AL204" t="s">
        <v>4349</v>
      </c>
      <c r="AM204" t="s">
        <v>4350</v>
      </c>
      <c r="AN204" t="s">
        <v>3361</v>
      </c>
      <c r="AO204" t="s">
        <v>4351</v>
      </c>
      <c r="AP204">
        <v>19544</v>
      </c>
      <c r="AQ204" t="s">
        <v>4352</v>
      </c>
      <c r="AR204" t="s">
        <v>4353</v>
      </c>
      <c r="AS204">
        <v>16</v>
      </c>
      <c r="AT204" t="s">
        <v>4354</v>
      </c>
      <c r="AW204" t="str">
        <f>Plan_2026[[#This Row],[Tên brand]]&amp;" "&amp;Plan_2026[[#This Row],[Trục đường chính]]&amp;Plan_2026[[#This Row],[Tên mall
(chuẩn hóa)]]&amp;Plan_2026[[#This Row],[Địa chỉ đầy đủ]]</f>
        <v>Universal Tea 141-143 Tân Sơn Nhì141-143 Tân Sơn Nhì, Tân Sơn Nhì, Tân Phú, Hồ Chí Minh</v>
      </c>
    </row>
    <row r="205" spans="1:49" hidden="1" x14ac:dyDescent="0.35">
      <c r="A205">
        <v>195</v>
      </c>
      <c r="B205" t="s">
        <v>2186</v>
      </c>
      <c r="C205" t="s">
        <v>4355</v>
      </c>
      <c r="D205" t="s">
        <v>3226</v>
      </c>
      <c r="E205">
        <v>2026</v>
      </c>
      <c r="F205">
        <v>1</v>
      </c>
      <c r="G205">
        <v>2</v>
      </c>
      <c r="H205">
        <v>6</v>
      </c>
      <c r="J205" t="s">
        <v>350</v>
      </c>
      <c r="K205" t="s">
        <v>2704</v>
      </c>
      <c r="L205" t="s">
        <v>3052</v>
      </c>
      <c r="M205" t="s">
        <v>3053</v>
      </c>
      <c r="N205" t="s">
        <v>4251</v>
      </c>
      <c r="O205" t="s">
        <v>4356</v>
      </c>
      <c r="P205" t="s">
        <v>4357</v>
      </c>
      <c r="Q205" t="s">
        <v>2709</v>
      </c>
      <c r="R205">
        <v>6</v>
      </c>
      <c r="S205" t="s">
        <v>2733</v>
      </c>
      <c r="T205" t="s">
        <v>2800</v>
      </c>
      <c r="U205" t="s">
        <v>2800</v>
      </c>
      <c r="V205">
        <v>1</v>
      </c>
      <c r="W205" t="s">
        <v>2713</v>
      </c>
      <c r="X205" t="s">
        <v>4357</v>
      </c>
      <c r="Z205" t="s">
        <v>2715</v>
      </c>
      <c r="AB205" t="s">
        <v>2857</v>
      </c>
      <c r="AC205" t="s">
        <v>2763</v>
      </c>
      <c r="AE205">
        <v>1</v>
      </c>
      <c r="AF205" t="s">
        <v>1788</v>
      </c>
      <c r="AH205" t="s">
        <v>4355</v>
      </c>
      <c r="AI205">
        <v>46054</v>
      </c>
      <c r="AJ205">
        <v>2</v>
      </c>
      <c r="AK205" t="s">
        <v>4358</v>
      </c>
      <c r="AL205" t="s">
        <v>4359</v>
      </c>
      <c r="AM205" t="s">
        <v>4360</v>
      </c>
      <c r="AN205" t="s">
        <v>4361</v>
      </c>
      <c r="AO205" t="s">
        <v>4362</v>
      </c>
      <c r="AP205">
        <v>15807</v>
      </c>
      <c r="AQ205" t="s">
        <v>4363</v>
      </c>
      <c r="AR205" t="s">
        <v>4364</v>
      </c>
      <c r="AS205">
        <v>10</v>
      </c>
      <c r="AT205" t="s">
        <v>2886</v>
      </c>
      <c r="AW205" t="str">
        <f>Plan_2026[[#This Row],[Tên brand]]&amp;" "&amp;Plan_2026[[#This Row],[Trục đường chính]]&amp;Plan_2026[[#This Row],[Tên mall
(chuẩn hóa)]]&amp;Plan_2026[[#This Row],[Địa chỉ đầy đủ]]</f>
        <v>Flychef Điện Biên PhủĐiện Biên Phủ, Phường 25, Bình Thạnh, Hồ Chí Minh</v>
      </c>
    </row>
    <row r="206" spans="1:49" hidden="1" x14ac:dyDescent="0.35">
      <c r="A206">
        <v>196</v>
      </c>
      <c r="B206" t="s">
        <v>2645</v>
      </c>
      <c r="C206" t="s">
        <v>2135</v>
      </c>
      <c r="D206" t="s">
        <v>3327</v>
      </c>
      <c r="E206">
        <v>2025</v>
      </c>
      <c r="F206">
        <v>4</v>
      </c>
      <c r="G206">
        <v>10</v>
      </c>
      <c r="H206">
        <v>2</v>
      </c>
      <c r="J206" t="s">
        <v>350</v>
      </c>
      <c r="K206" t="s">
        <v>2704</v>
      </c>
      <c r="L206" t="s">
        <v>3052</v>
      </c>
      <c r="M206" t="s">
        <v>3053</v>
      </c>
      <c r="N206" t="s">
        <v>4251</v>
      </c>
      <c r="O206" t="s">
        <v>4356</v>
      </c>
      <c r="P206" t="s">
        <v>4365</v>
      </c>
      <c r="Q206" t="s">
        <v>2709</v>
      </c>
      <c r="R206" t="s">
        <v>3356</v>
      </c>
      <c r="S206" t="s">
        <v>3357</v>
      </c>
      <c r="T206" t="s">
        <v>2790</v>
      </c>
      <c r="U206" t="s">
        <v>2790</v>
      </c>
      <c r="V206">
        <v>1</v>
      </c>
      <c r="W206" t="s">
        <v>2735</v>
      </c>
      <c r="X206" t="s">
        <v>4366</v>
      </c>
      <c r="Z206" t="s">
        <v>3331</v>
      </c>
      <c r="AB206" t="s">
        <v>1794</v>
      </c>
      <c r="AC206" t="s">
        <v>2778</v>
      </c>
      <c r="AE206">
        <v>0</v>
      </c>
      <c r="AF206" t="s">
        <v>4254</v>
      </c>
      <c r="AH206" t="s">
        <v>1446</v>
      </c>
      <c r="AI206">
        <v>45931</v>
      </c>
      <c r="AJ206">
        <v>10</v>
      </c>
      <c r="AK206" t="s">
        <v>4358</v>
      </c>
      <c r="AL206" t="s">
        <v>4367</v>
      </c>
      <c r="AM206" t="s">
        <v>4360</v>
      </c>
      <c r="AN206" t="s">
        <v>3361</v>
      </c>
      <c r="AO206" t="s">
        <v>4368</v>
      </c>
      <c r="AP206">
        <v>15807</v>
      </c>
      <c r="AQ206" t="s">
        <v>4363</v>
      </c>
      <c r="AR206" t="s">
        <v>4364</v>
      </c>
      <c r="AS206">
        <v>16</v>
      </c>
      <c r="AT206" t="s">
        <v>3365</v>
      </c>
      <c r="AW206" t="str">
        <f>Plan_2026[[#This Row],[Tên brand]]&amp;" "&amp;Plan_2026[[#This Row],[Trục đường chính]]&amp;Plan_2026[[#This Row],[Tên mall
(chuẩn hóa)]]&amp;Plan_2026[[#This Row],[Địa chỉ đầy đủ]]</f>
        <v>Universal Tea 75 Nguyen Van Thuong75 Nguyen Van Thuong, Phường 25, Bình Thạnh, Hồ Chí Minh</v>
      </c>
    </row>
    <row r="207" spans="1:49" hidden="1" x14ac:dyDescent="0.35">
      <c r="A207">
        <v>197</v>
      </c>
      <c r="B207" t="s">
        <v>2340</v>
      </c>
      <c r="C207" t="s">
        <v>2702</v>
      </c>
      <c r="D207" t="s">
        <v>3051</v>
      </c>
      <c r="E207">
        <v>2026</v>
      </c>
      <c r="F207">
        <v>2</v>
      </c>
      <c r="G207">
        <v>5</v>
      </c>
      <c r="H207">
        <v>9</v>
      </c>
      <c r="J207" t="s">
        <v>350</v>
      </c>
      <c r="K207" t="s">
        <v>2704</v>
      </c>
      <c r="L207" t="s">
        <v>3052</v>
      </c>
      <c r="M207" t="s">
        <v>3053</v>
      </c>
      <c r="N207" t="s">
        <v>3054</v>
      </c>
      <c r="O207" t="s">
        <v>2399</v>
      </c>
      <c r="P207" t="s">
        <v>4369</v>
      </c>
      <c r="Q207" t="s">
        <v>2709</v>
      </c>
      <c r="R207">
        <v>8</v>
      </c>
      <c r="S207" t="s">
        <v>2710</v>
      </c>
      <c r="T207" t="s">
        <v>2711</v>
      </c>
      <c r="U207" t="s">
        <v>2712</v>
      </c>
      <c r="V207">
        <v>1</v>
      </c>
      <c r="W207" t="s">
        <v>2713</v>
      </c>
      <c r="Z207" t="s">
        <v>2715</v>
      </c>
      <c r="AB207" t="s">
        <v>2716</v>
      </c>
      <c r="AC207" t="s">
        <v>2738</v>
      </c>
      <c r="AE207">
        <v>0</v>
      </c>
      <c r="AF207" t="s">
        <v>3085</v>
      </c>
      <c r="AH207" t="s">
        <v>76</v>
      </c>
      <c r="AI207">
        <v>46143</v>
      </c>
      <c r="AJ207">
        <v>5</v>
      </c>
      <c r="AK207" t="s">
        <v>3057</v>
      </c>
      <c r="AL207" t="s">
        <v>4370</v>
      </c>
      <c r="AM207" t="s">
        <v>3059</v>
      </c>
      <c r="AN207" t="s">
        <v>2721</v>
      </c>
      <c r="AO207" t="s">
        <v>4371</v>
      </c>
      <c r="AP207">
        <v>15403</v>
      </c>
      <c r="AQ207" t="s">
        <v>3061</v>
      </c>
      <c r="AR207" t="s">
        <v>3062</v>
      </c>
      <c r="AS207">
        <v>144</v>
      </c>
      <c r="AT207" t="s">
        <v>3063</v>
      </c>
      <c r="AW207" t="str">
        <f>Plan_2026[[#This Row],[Tên brand]]&amp;" "&amp;Plan_2026[[#This Row],[Trục đường chính]]&amp;Plan_2026[[#This Row],[Tên mall
(chuẩn hóa)]]&amp;Plan_2026[[#This Row],[Địa chỉ đầy đủ]]</f>
        <v>Gogi House Gần khu chợ Hòa Bình cuối đường Nguyễn TrãiGần khu chợ Hòa Bình cuối đường Nguyễn Trãi, Nguyễn Cư Trinh, Quận 1, Hồ Chí Minh</v>
      </c>
    </row>
    <row r="208" spans="1:49" hidden="1" x14ac:dyDescent="0.35">
      <c r="A208">
        <v>168</v>
      </c>
      <c r="B208" t="s">
        <v>4372</v>
      </c>
      <c r="C208" t="s">
        <v>2702</v>
      </c>
      <c r="D208" t="s">
        <v>3018</v>
      </c>
      <c r="E208">
        <v>2026</v>
      </c>
      <c r="F208">
        <v>2</v>
      </c>
      <c r="G208">
        <v>4</v>
      </c>
      <c r="H208">
        <v>8</v>
      </c>
      <c r="J208" t="s">
        <v>2241</v>
      </c>
      <c r="K208" t="s">
        <v>2774</v>
      </c>
      <c r="L208" t="s">
        <v>4172</v>
      </c>
      <c r="M208" t="s">
        <v>4173</v>
      </c>
      <c r="N208" t="s">
        <v>4172</v>
      </c>
      <c r="O208" t="s">
        <v>4174</v>
      </c>
      <c r="P208" t="s">
        <v>4175</v>
      </c>
      <c r="Q208" t="s">
        <v>2732</v>
      </c>
      <c r="R208">
        <v>6</v>
      </c>
      <c r="S208" t="s">
        <v>2733</v>
      </c>
      <c r="T208" t="s">
        <v>2973</v>
      </c>
      <c r="U208" t="s">
        <v>2712</v>
      </c>
      <c r="V208">
        <v>1</v>
      </c>
      <c r="W208" t="s">
        <v>2713</v>
      </c>
      <c r="X208" t="s">
        <v>4176</v>
      </c>
      <c r="Y208" t="s">
        <v>4176</v>
      </c>
      <c r="Z208" t="s">
        <v>2715</v>
      </c>
      <c r="AB208" t="s">
        <v>2716</v>
      </c>
      <c r="AC208" t="s">
        <v>2763</v>
      </c>
      <c r="AE208">
        <v>1</v>
      </c>
      <c r="AF208" t="s">
        <v>4373</v>
      </c>
      <c r="AH208" t="s">
        <v>76</v>
      </c>
      <c r="AI208">
        <v>46113</v>
      </c>
      <c r="AJ208">
        <v>4</v>
      </c>
      <c r="AK208" t="s">
        <v>4178</v>
      </c>
      <c r="AL208" t="s">
        <v>4179</v>
      </c>
      <c r="AM208" t="s">
        <v>4180</v>
      </c>
      <c r="AN208" t="s">
        <v>2979</v>
      </c>
      <c r="AO208" t="s">
        <v>4374</v>
      </c>
      <c r="AP208">
        <v>273</v>
      </c>
      <c r="AQ208" t="s">
        <v>4182</v>
      </c>
      <c r="AR208" t="s">
        <v>4183</v>
      </c>
      <c r="AS208">
        <v>144</v>
      </c>
      <c r="AT208" t="s">
        <v>2983</v>
      </c>
      <c r="AW208" t="str">
        <f>Plan_2026[[#This Row],[Tên brand]]&amp;" "&amp;Plan_2026[[#This Row],[Trục đường chính]]&amp;Plan_2026[[#This Row],[Tên mall
(chuẩn hóa)]]&amp;Plan_2026[[#This Row],[Địa chỉ đầy đủ]]</f>
        <v>Gogi House Đại lộ Võ Nguyên GiápAeon Mall Hải DươngĐại lộ Võ Nguyên Giáp, Thạch Khôi, Hải Dương, Hải Dương</v>
      </c>
    </row>
    <row r="209" spans="1:49" hidden="1" x14ac:dyDescent="0.35">
      <c r="A209">
        <v>199</v>
      </c>
      <c r="B209" t="s">
        <v>2398</v>
      </c>
      <c r="C209" t="s">
        <v>2772</v>
      </c>
      <c r="D209" t="s">
        <v>2868</v>
      </c>
      <c r="E209">
        <v>2026</v>
      </c>
      <c r="F209">
        <v>2</v>
      </c>
      <c r="G209">
        <v>4</v>
      </c>
      <c r="H209">
        <v>8</v>
      </c>
      <c r="J209" t="s">
        <v>350</v>
      </c>
      <c r="K209" t="s">
        <v>2704</v>
      </c>
      <c r="L209" t="s">
        <v>3052</v>
      </c>
      <c r="M209" t="s">
        <v>3053</v>
      </c>
      <c r="N209" t="s">
        <v>3054</v>
      </c>
      <c r="O209" t="s">
        <v>2399</v>
      </c>
      <c r="P209" t="s">
        <v>4375</v>
      </c>
      <c r="Q209" t="s">
        <v>2810</v>
      </c>
      <c r="R209" t="s">
        <v>2751</v>
      </c>
      <c r="S209" t="s">
        <v>2751</v>
      </c>
      <c r="T209" t="s">
        <v>2762</v>
      </c>
      <c r="U209" t="s">
        <v>2762</v>
      </c>
      <c r="V209">
        <v>1</v>
      </c>
      <c r="W209" t="s">
        <v>2713</v>
      </c>
      <c r="X209" t="s">
        <v>4376</v>
      </c>
      <c r="Z209">
        <v>200</v>
      </c>
      <c r="AB209" t="s">
        <v>2716</v>
      </c>
      <c r="AC209" t="s">
        <v>2738</v>
      </c>
      <c r="AE209">
        <v>0</v>
      </c>
      <c r="AF209" t="s">
        <v>4377</v>
      </c>
      <c r="AH209" t="s">
        <v>112</v>
      </c>
      <c r="AI209">
        <v>46113</v>
      </c>
      <c r="AJ209">
        <v>4</v>
      </c>
      <c r="AK209" t="s">
        <v>3057</v>
      </c>
      <c r="AL209" t="s">
        <v>4378</v>
      </c>
      <c r="AM209" t="s">
        <v>3059</v>
      </c>
      <c r="AN209" t="s">
        <v>2876</v>
      </c>
      <c r="AO209" t="s">
        <v>4379</v>
      </c>
      <c r="AP209">
        <v>15403</v>
      </c>
      <c r="AQ209" t="s">
        <v>3061</v>
      </c>
      <c r="AR209" t="s">
        <v>3062</v>
      </c>
      <c r="AS209">
        <v>55</v>
      </c>
      <c r="AT209" t="s">
        <v>4380</v>
      </c>
      <c r="AW209" t="str">
        <f>Plan_2026[[#This Row],[Tên brand]]&amp;" "&amp;Plan_2026[[#This Row],[Trục đường chính]]&amp;Plan_2026[[#This Row],[Tên mall
(chuẩn hóa)]]&amp;Plan_2026[[#This Row],[Địa chỉ đầy đủ]]</f>
        <v>Manwah Lê Thánh TônLê Thánh Tôn, Nguyễn Cư Trinh, Quận 1, Hồ Chí Minh</v>
      </c>
    </row>
    <row r="210" spans="1:49" hidden="1" x14ac:dyDescent="0.35">
      <c r="A210">
        <v>200</v>
      </c>
      <c r="B210" t="s">
        <v>4381</v>
      </c>
      <c r="C210" t="s">
        <v>184</v>
      </c>
      <c r="D210" t="s">
        <v>4382</v>
      </c>
      <c r="E210">
        <v>2026</v>
      </c>
      <c r="F210">
        <v>3</v>
      </c>
      <c r="G210">
        <v>7</v>
      </c>
      <c r="H210">
        <v>11</v>
      </c>
      <c r="J210" t="s">
        <v>350</v>
      </c>
      <c r="K210" t="s">
        <v>2704</v>
      </c>
      <c r="L210" t="s">
        <v>3052</v>
      </c>
      <c r="M210" t="s">
        <v>3053</v>
      </c>
      <c r="N210" t="s">
        <v>3054</v>
      </c>
      <c r="O210" t="s">
        <v>2399</v>
      </c>
      <c r="P210" t="s">
        <v>4383</v>
      </c>
      <c r="Q210" t="s">
        <v>2709</v>
      </c>
      <c r="R210" t="s">
        <v>2710</v>
      </c>
      <c r="S210" t="s">
        <v>2710</v>
      </c>
      <c r="T210" t="s">
        <v>2822</v>
      </c>
      <c r="U210" t="s">
        <v>2790</v>
      </c>
      <c r="V210">
        <v>1</v>
      </c>
      <c r="W210" t="s">
        <v>2735</v>
      </c>
      <c r="Z210">
        <v>220</v>
      </c>
      <c r="AA210" t="s">
        <v>4384</v>
      </c>
      <c r="AB210" t="s">
        <v>2716</v>
      </c>
      <c r="AC210" t="s">
        <v>2738</v>
      </c>
      <c r="AE210">
        <v>0</v>
      </c>
      <c r="AH210" t="s">
        <v>183</v>
      </c>
      <c r="AI210">
        <v>46204</v>
      </c>
      <c r="AJ210">
        <v>7</v>
      </c>
      <c r="AK210" t="s">
        <v>3057</v>
      </c>
      <c r="AL210" t="s">
        <v>4385</v>
      </c>
      <c r="AM210" t="s">
        <v>3059</v>
      </c>
      <c r="AN210" t="s">
        <v>3302</v>
      </c>
      <c r="AO210" t="s">
        <v>4386</v>
      </c>
      <c r="AP210">
        <v>15403</v>
      </c>
      <c r="AQ210" t="s">
        <v>3061</v>
      </c>
      <c r="AR210" t="s">
        <v>3062</v>
      </c>
      <c r="AS210">
        <v>10</v>
      </c>
      <c r="AT210" t="s">
        <v>3413</v>
      </c>
      <c r="AW210" t="str">
        <f>Plan_2026[[#This Row],[Tên brand]]&amp;" "&amp;Plan_2026[[#This Row],[Trục đường chính]]&amp;Plan_2026[[#This Row],[Tên mall
(chuẩn hóa)]]&amp;Plan_2026[[#This Row],[Địa chỉ đầy đủ]]</f>
        <v>Shogun Phạm Viết ChánhPhạm Viết Chánh, Nguyễn Cư Trinh, Quận 1, Hồ Chí Minh</v>
      </c>
    </row>
    <row r="211" spans="1:49" hidden="1" x14ac:dyDescent="0.35">
      <c r="A211">
        <v>201</v>
      </c>
      <c r="B211" t="s">
        <v>2330</v>
      </c>
      <c r="C211" t="s">
        <v>2702</v>
      </c>
      <c r="D211" t="s">
        <v>3051</v>
      </c>
      <c r="E211">
        <v>2026</v>
      </c>
      <c r="F211">
        <v>1</v>
      </c>
      <c r="G211">
        <v>2</v>
      </c>
      <c r="H211">
        <v>6</v>
      </c>
      <c r="J211" t="s">
        <v>350</v>
      </c>
      <c r="K211" t="s">
        <v>2704</v>
      </c>
      <c r="L211" t="s">
        <v>3052</v>
      </c>
      <c r="M211" t="s">
        <v>3053</v>
      </c>
      <c r="N211" t="s">
        <v>4311</v>
      </c>
      <c r="O211" t="s">
        <v>4387</v>
      </c>
      <c r="P211" t="s">
        <v>4388</v>
      </c>
      <c r="Q211" t="s">
        <v>2709</v>
      </c>
      <c r="R211">
        <v>8</v>
      </c>
      <c r="S211" t="s">
        <v>2710</v>
      </c>
      <c r="T211" t="s">
        <v>2711</v>
      </c>
      <c r="U211" t="s">
        <v>2712</v>
      </c>
      <c r="V211">
        <v>1</v>
      </c>
      <c r="W211" t="s">
        <v>2713</v>
      </c>
      <c r="Z211" t="s">
        <v>2715</v>
      </c>
      <c r="AB211" t="s">
        <v>2716</v>
      </c>
      <c r="AC211" t="s">
        <v>2738</v>
      </c>
      <c r="AE211">
        <v>0</v>
      </c>
      <c r="AF211" t="s">
        <v>4389</v>
      </c>
      <c r="AH211" t="s">
        <v>76</v>
      </c>
      <c r="AI211">
        <v>46054</v>
      </c>
      <c r="AJ211">
        <v>2</v>
      </c>
      <c r="AK211" t="s">
        <v>4390</v>
      </c>
      <c r="AL211" t="s">
        <v>4391</v>
      </c>
      <c r="AM211" t="s">
        <v>4392</v>
      </c>
      <c r="AN211" t="s">
        <v>2721</v>
      </c>
      <c r="AO211" t="s">
        <v>4393</v>
      </c>
      <c r="AP211">
        <v>22554</v>
      </c>
      <c r="AQ211" t="s">
        <v>4394</v>
      </c>
      <c r="AR211" t="s">
        <v>4395</v>
      </c>
      <c r="AS211">
        <v>144</v>
      </c>
      <c r="AT211" t="s">
        <v>4396</v>
      </c>
      <c r="AW211" t="str">
        <f>Plan_2026[[#This Row],[Tên brand]]&amp;" "&amp;Plan_2026[[#This Row],[Trục đường chính]]&amp;Plan_2026[[#This Row],[Tên mall
(chuẩn hóa)]]&amp;Plan_2026[[#This Row],[Địa chỉ đầy đủ]]</f>
        <v>Gogi House Vòng xoay ngã 5 GVVòng xoay ngã 5 GV, Phường 7, Gò Vấp, Hồ Chí Minh</v>
      </c>
    </row>
    <row r="212" spans="1:49" hidden="1" x14ac:dyDescent="0.35">
      <c r="A212">
        <v>202</v>
      </c>
      <c r="B212" t="s">
        <v>2275</v>
      </c>
      <c r="C212" t="s">
        <v>35</v>
      </c>
      <c r="D212" t="s">
        <v>2820</v>
      </c>
      <c r="E212">
        <v>2025</v>
      </c>
      <c r="F212">
        <v>4</v>
      </c>
      <c r="G212">
        <v>12</v>
      </c>
      <c r="H212">
        <v>4</v>
      </c>
      <c r="J212" t="s">
        <v>350</v>
      </c>
      <c r="K212" t="s">
        <v>2704</v>
      </c>
      <c r="L212" t="s">
        <v>3052</v>
      </c>
      <c r="M212" t="s">
        <v>3053</v>
      </c>
      <c r="N212" t="s">
        <v>4311</v>
      </c>
      <c r="O212" t="s">
        <v>4397</v>
      </c>
      <c r="P212" t="s">
        <v>2243</v>
      </c>
      <c r="Q212" t="s">
        <v>2709</v>
      </c>
      <c r="R212" t="s">
        <v>2710</v>
      </c>
      <c r="S212" t="s">
        <v>2710</v>
      </c>
      <c r="T212" t="s">
        <v>2882</v>
      </c>
      <c r="U212" t="s">
        <v>2800</v>
      </c>
      <c r="V212">
        <v>1</v>
      </c>
      <c r="W212" t="s">
        <v>2713</v>
      </c>
      <c r="X212" t="s">
        <v>4398</v>
      </c>
      <c r="Z212" t="s">
        <v>2715</v>
      </c>
      <c r="AA212" t="s">
        <v>3317</v>
      </c>
      <c r="AB212" t="s">
        <v>2716</v>
      </c>
      <c r="AC212" t="s">
        <v>2952</v>
      </c>
      <c r="AE212">
        <v>1</v>
      </c>
      <c r="AF212" t="s">
        <v>4399</v>
      </c>
      <c r="AH212" t="s">
        <v>34</v>
      </c>
      <c r="AI212">
        <v>45992</v>
      </c>
      <c r="AJ212">
        <v>12</v>
      </c>
      <c r="AK212" t="s">
        <v>4400</v>
      </c>
      <c r="AL212" t="s">
        <v>4401</v>
      </c>
      <c r="AM212" t="s">
        <v>4402</v>
      </c>
      <c r="AN212" t="s">
        <v>2911</v>
      </c>
      <c r="AO212" t="s">
        <v>4403</v>
      </c>
      <c r="AP212">
        <v>11470</v>
      </c>
      <c r="AQ212" t="s">
        <v>4404</v>
      </c>
      <c r="AR212" t="s">
        <v>4405</v>
      </c>
      <c r="AS212">
        <v>107</v>
      </c>
      <c r="AT212" t="s">
        <v>4406</v>
      </c>
      <c r="AW212" t="str">
        <f>Plan_2026[[#This Row],[Tên brand]]&amp;" "&amp;Plan_2026[[#This Row],[Trục đường chính]]&amp;Plan_2026[[#This Row],[Tên mall
(chuẩn hóa)]]&amp;Plan_2026[[#This Row],[Địa chỉ đầy đủ]]</f>
        <v>Kichi Kichi Quang TrungQuang Trung, Phường 10, Gò Vấp, Hồ Chí Minh</v>
      </c>
    </row>
    <row r="213" spans="1:49" hidden="1" x14ac:dyDescent="0.35">
      <c r="A213">
        <v>203</v>
      </c>
      <c r="B213" t="s">
        <v>1876</v>
      </c>
      <c r="C213" t="s">
        <v>2135</v>
      </c>
      <c r="D213" t="s">
        <v>3327</v>
      </c>
      <c r="E213">
        <v>2025</v>
      </c>
      <c r="F213">
        <v>4</v>
      </c>
      <c r="G213">
        <v>12</v>
      </c>
      <c r="H213">
        <v>4</v>
      </c>
      <c r="J213" t="s">
        <v>350</v>
      </c>
      <c r="K213" t="s">
        <v>2704</v>
      </c>
      <c r="L213" t="s">
        <v>3052</v>
      </c>
      <c r="M213" t="s">
        <v>3053</v>
      </c>
      <c r="N213" t="s">
        <v>4311</v>
      </c>
      <c r="O213" t="s">
        <v>4387</v>
      </c>
      <c r="P213" t="s">
        <v>4407</v>
      </c>
      <c r="Q213" t="s">
        <v>2709</v>
      </c>
      <c r="R213" t="s">
        <v>3356</v>
      </c>
      <c r="S213" t="s">
        <v>3357</v>
      </c>
      <c r="T213" t="s">
        <v>2790</v>
      </c>
      <c r="U213" t="s">
        <v>2790</v>
      </c>
      <c r="V213">
        <v>1</v>
      </c>
      <c r="W213" t="s">
        <v>2735</v>
      </c>
      <c r="Z213" t="s">
        <v>3331</v>
      </c>
      <c r="AB213" t="s">
        <v>1794</v>
      </c>
      <c r="AC213" t="s">
        <v>2778</v>
      </c>
      <c r="AE213">
        <v>0</v>
      </c>
      <c r="AF213" t="s">
        <v>4254</v>
      </c>
      <c r="AH213" t="s">
        <v>1446</v>
      </c>
      <c r="AI213">
        <v>45992</v>
      </c>
      <c r="AJ213">
        <v>12</v>
      </c>
      <c r="AK213" t="s">
        <v>4390</v>
      </c>
      <c r="AL213" t="s">
        <v>4408</v>
      </c>
      <c r="AM213" t="s">
        <v>4392</v>
      </c>
      <c r="AN213" t="s">
        <v>3361</v>
      </c>
      <c r="AO213" t="s">
        <v>4409</v>
      </c>
      <c r="AP213">
        <v>22554</v>
      </c>
      <c r="AQ213" t="s">
        <v>4394</v>
      </c>
      <c r="AR213" t="s">
        <v>4395</v>
      </c>
      <c r="AS213">
        <v>16</v>
      </c>
      <c r="AT213" t="s">
        <v>4410</v>
      </c>
      <c r="AW213" t="str">
        <f>Plan_2026[[#This Row],[Tên brand]]&amp;" "&amp;Plan_2026[[#This Row],[Trục đường chính]]&amp;Plan_2026[[#This Row],[Tên mall
(chuẩn hóa)]]&amp;Plan_2026[[#This Row],[Địa chỉ đầy đủ]]</f>
        <v>Universal Tea 771 Đường Phan Văn Trị771 Đường Phan Văn Trị, Phường 7, Gò Vấp, Hồ Chí Minh</v>
      </c>
    </row>
    <row r="214" spans="1:49" hidden="1" x14ac:dyDescent="0.35">
      <c r="A214">
        <v>204</v>
      </c>
      <c r="B214" t="s">
        <v>2520</v>
      </c>
      <c r="C214" t="s">
        <v>2787</v>
      </c>
      <c r="D214" t="s">
        <v>3111</v>
      </c>
      <c r="E214">
        <v>2026</v>
      </c>
      <c r="F214">
        <v>3</v>
      </c>
      <c r="G214">
        <v>7</v>
      </c>
      <c r="H214">
        <v>11</v>
      </c>
      <c r="J214" t="s">
        <v>350</v>
      </c>
      <c r="K214" t="s">
        <v>2704</v>
      </c>
      <c r="L214" t="s">
        <v>3052</v>
      </c>
      <c r="M214" t="s">
        <v>3053</v>
      </c>
      <c r="N214" t="s">
        <v>4411</v>
      </c>
      <c r="O214" t="s">
        <v>4387</v>
      </c>
      <c r="P214" t="s">
        <v>2521</v>
      </c>
      <c r="Q214" t="s">
        <v>2709</v>
      </c>
      <c r="R214" t="s">
        <v>2751</v>
      </c>
      <c r="S214" t="s">
        <v>2751</v>
      </c>
      <c r="T214" t="s">
        <v>2790</v>
      </c>
      <c r="U214" t="s">
        <v>2790</v>
      </c>
      <c r="V214">
        <v>1</v>
      </c>
      <c r="W214" t="s">
        <v>2735</v>
      </c>
      <c r="X214" t="s">
        <v>4412</v>
      </c>
      <c r="Z214">
        <v>132</v>
      </c>
      <c r="AB214" t="s">
        <v>2857</v>
      </c>
      <c r="AC214" t="s">
        <v>2952</v>
      </c>
      <c r="AE214">
        <v>1</v>
      </c>
      <c r="AF214" t="s">
        <v>4413</v>
      </c>
      <c r="AH214" t="s">
        <v>1788</v>
      </c>
      <c r="AI214">
        <v>46204</v>
      </c>
      <c r="AJ214">
        <v>7</v>
      </c>
      <c r="AK214" t="s">
        <v>4414</v>
      </c>
      <c r="AL214" t="s">
        <v>4415</v>
      </c>
      <c r="AM214" t="s">
        <v>4416</v>
      </c>
      <c r="AN214" t="s">
        <v>2793</v>
      </c>
      <c r="AO214" t="s">
        <v>4417</v>
      </c>
      <c r="AP214">
        <v>20181</v>
      </c>
      <c r="AQ214" t="s">
        <v>4418</v>
      </c>
      <c r="AR214" t="s">
        <v>4419</v>
      </c>
      <c r="AS214">
        <v>81</v>
      </c>
      <c r="AT214" t="s">
        <v>3190</v>
      </c>
      <c r="AW214" t="str">
        <f>Plan_2026[[#This Row],[Tên brand]]&amp;" "&amp;Plan_2026[[#This Row],[Trục đường chính]]&amp;Plan_2026[[#This Row],[Tên mall
(chuẩn hóa)]]&amp;Plan_2026[[#This Row],[Địa chỉ đầy đủ]]</f>
        <v>The Coffee House Trương Công ĐịnhTrương Công Định, Phường 7, Tân Bình, Hồ Chí Minh</v>
      </c>
    </row>
    <row r="215" spans="1:49" hidden="1" x14ac:dyDescent="0.35">
      <c r="A215">
        <v>205</v>
      </c>
      <c r="B215" t="s">
        <v>2490</v>
      </c>
      <c r="C215" t="s">
        <v>2787</v>
      </c>
      <c r="D215" t="s">
        <v>3111</v>
      </c>
      <c r="E215">
        <v>2025</v>
      </c>
      <c r="F215">
        <v>4</v>
      </c>
      <c r="G215">
        <v>12</v>
      </c>
      <c r="H215">
        <v>4</v>
      </c>
      <c r="J215" t="s">
        <v>350</v>
      </c>
      <c r="K215" t="s">
        <v>2704</v>
      </c>
      <c r="L215" t="s">
        <v>3052</v>
      </c>
      <c r="M215" t="s">
        <v>3053</v>
      </c>
      <c r="N215" t="s">
        <v>3054</v>
      </c>
      <c r="O215" t="s">
        <v>4420</v>
      </c>
      <c r="P215" t="s">
        <v>2491</v>
      </c>
      <c r="Q215" t="s">
        <v>2810</v>
      </c>
      <c r="R215" t="s">
        <v>2710</v>
      </c>
      <c r="S215" t="s">
        <v>2710</v>
      </c>
      <c r="T215" t="s">
        <v>2800</v>
      </c>
      <c r="U215" t="s">
        <v>2800</v>
      </c>
      <c r="V215">
        <v>1</v>
      </c>
      <c r="W215" t="s">
        <v>2713</v>
      </c>
      <c r="X215" t="s">
        <v>4421</v>
      </c>
      <c r="Z215">
        <v>132</v>
      </c>
      <c r="AA215" t="s">
        <v>4088</v>
      </c>
      <c r="AB215" t="s">
        <v>2716</v>
      </c>
      <c r="AC215" t="s">
        <v>2738</v>
      </c>
      <c r="AE215">
        <v>0</v>
      </c>
      <c r="AF215" t="s">
        <v>4297</v>
      </c>
      <c r="AH215" t="s">
        <v>1788</v>
      </c>
      <c r="AI215">
        <v>45992</v>
      </c>
      <c r="AJ215">
        <v>12</v>
      </c>
      <c r="AK215" t="s">
        <v>4422</v>
      </c>
      <c r="AL215" t="s">
        <v>4423</v>
      </c>
      <c r="AM215" t="s">
        <v>4424</v>
      </c>
      <c r="AN215" t="s">
        <v>2814</v>
      </c>
      <c r="AO215" t="s">
        <v>4425</v>
      </c>
      <c r="AP215">
        <v>12535</v>
      </c>
      <c r="AQ215" t="s">
        <v>4426</v>
      </c>
      <c r="AR215" t="s">
        <v>4427</v>
      </c>
      <c r="AS215">
        <v>81</v>
      </c>
      <c r="AT215" t="s">
        <v>4428</v>
      </c>
      <c r="AW215" t="str">
        <f>Plan_2026[[#This Row],[Tên brand]]&amp;" "&amp;Plan_2026[[#This Row],[Trục đường chính]]&amp;Plan_2026[[#This Row],[Tên mall
(chuẩn hóa)]]&amp;Plan_2026[[#This Row],[Địa chỉ đầy đủ]]</f>
        <v>The Coffee House Nguyễn Đình Chiểu/Nguyễn Bỉnh KhiêmNguyễn Đình Chiểu/Nguyễn Bỉnh Khiêm, Đa Kao, Quận 1, Hồ Chí Minh</v>
      </c>
    </row>
    <row r="216" spans="1:49" x14ac:dyDescent="0.35">
      <c r="A216">
        <v>206</v>
      </c>
      <c r="B216" t="s">
        <v>2183</v>
      </c>
      <c r="C216" t="s">
        <v>2787</v>
      </c>
      <c r="D216" t="s">
        <v>3111</v>
      </c>
      <c r="E216">
        <v>2026</v>
      </c>
      <c r="F216">
        <v>3</v>
      </c>
      <c r="G216">
        <v>7</v>
      </c>
      <c r="H216">
        <v>11</v>
      </c>
      <c r="J216" t="s">
        <v>350</v>
      </c>
      <c r="K216" t="s">
        <v>2704</v>
      </c>
      <c r="L216" t="s">
        <v>3052</v>
      </c>
      <c r="M216" t="s">
        <v>3053</v>
      </c>
      <c r="N216" t="s">
        <v>3054</v>
      </c>
      <c r="O216" t="s">
        <v>4420</v>
      </c>
      <c r="Q216" t="s">
        <v>2709</v>
      </c>
      <c r="R216" t="s">
        <v>2751</v>
      </c>
      <c r="S216" t="s">
        <v>2751</v>
      </c>
      <c r="T216" t="s">
        <v>2790</v>
      </c>
      <c r="U216" t="s">
        <v>2790</v>
      </c>
      <c r="V216">
        <v>1</v>
      </c>
      <c r="W216" t="s">
        <v>2713</v>
      </c>
      <c r="X216" t="s">
        <v>4429</v>
      </c>
      <c r="Z216">
        <v>132</v>
      </c>
      <c r="AB216" t="s">
        <v>2716</v>
      </c>
      <c r="AC216" t="s">
        <v>2763</v>
      </c>
      <c r="AE216">
        <v>1</v>
      </c>
      <c r="AH216" t="s">
        <v>1788</v>
      </c>
      <c r="AI216">
        <v>46204</v>
      </c>
      <c r="AJ216">
        <v>7</v>
      </c>
      <c r="AK216" t="s">
        <v>4422</v>
      </c>
      <c r="AL216" t="s">
        <v>4422</v>
      </c>
      <c r="AM216" t="s">
        <v>4424</v>
      </c>
      <c r="AN216" t="s">
        <v>2793</v>
      </c>
      <c r="AO216" t="s">
        <v>4425</v>
      </c>
      <c r="AP216">
        <v>12535</v>
      </c>
      <c r="AQ216" t="s">
        <v>4426</v>
      </c>
      <c r="AR216" t="s">
        <v>4427</v>
      </c>
      <c r="AS216">
        <v>81</v>
      </c>
      <c r="AT216" t="s">
        <v>4428</v>
      </c>
      <c r="AW216" t="str">
        <f>Plan_2026[[#This Row],[Tên brand]]&amp;" "&amp;Plan_2026[[#This Row],[Trục đường chính]]&amp;Plan_2026[[#This Row],[Tên mall
(chuẩn hóa)]]&amp;Plan_2026[[#This Row],[Địa chỉ đầy đủ]]</f>
        <v>The Coffee House Đa Kao, Quận 1, Hồ Chí Minh</v>
      </c>
    </row>
    <row r="217" spans="1:49" hidden="1" x14ac:dyDescent="0.35">
      <c r="A217">
        <v>228</v>
      </c>
      <c r="B217" t="s">
        <v>4430</v>
      </c>
      <c r="C217" t="s">
        <v>2702</v>
      </c>
      <c r="D217" t="s">
        <v>2703</v>
      </c>
      <c r="E217">
        <v>2026</v>
      </c>
      <c r="F217">
        <v>1</v>
      </c>
      <c r="G217">
        <v>1</v>
      </c>
      <c r="H217">
        <v>5</v>
      </c>
      <c r="J217" t="s">
        <v>350</v>
      </c>
      <c r="K217" t="s">
        <v>2704</v>
      </c>
      <c r="L217" t="s">
        <v>3052</v>
      </c>
      <c r="M217" t="s">
        <v>3053</v>
      </c>
      <c r="N217" t="s">
        <v>2929</v>
      </c>
      <c r="O217" t="s">
        <v>4431</v>
      </c>
      <c r="Q217" t="s">
        <v>2732</v>
      </c>
      <c r="R217">
        <v>6</v>
      </c>
      <c r="S217" t="s">
        <v>2733</v>
      </c>
      <c r="T217" t="s">
        <v>2973</v>
      </c>
      <c r="U217" t="s">
        <v>2712</v>
      </c>
      <c r="V217">
        <v>1</v>
      </c>
      <c r="W217" t="s">
        <v>2735</v>
      </c>
      <c r="X217" t="s">
        <v>4432</v>
      </c>
      <c r="Y217" t="s">
        <v>4432</v>
      </c>
      <c r="Z217" t="s">
        <v>2715</v>
      </c>
      <c r="AB217" t="s">
        <v>2716</v>
      </c>
      <c r="AC217" t="s">
        <v>2763</v>
      </c>
      <c r="AE217">
        <v>1</v>
      </c>
      <c r="AH217" t="s">
        <v>76</v>
      </c>
      <c r="AI217">
        <v>46023</v>
      </c>
      <c r="AJ217">
        <v>1</v>
      </c>
      <c r="AK217" t="s">
        <v>4433</v>
      </c>
      <c r="AM217" t="s">
        <v>4434</v>
      </c>
      <c r="AN217" t="s">
        <v>2979</v>
      </c>
      <c r="AO217" t="s">
        <v>4435</v>
      </c>
      <c r="AP217">
        <v>7998</v>
      </c>
      <c r="AQ217" t="s">
        <v>4436</v>
      </c>
      <c r="AR217" t="s">
        <v>4437</v>
      </c>
      <c r="AS217">
        <v>144</v>
      </c>
      <c r="AT217" t="s">
        <v>3513</v>
      </c>
      <c r="AW217" t="str">
        <f>Plan_2026[[#This Row],[Tên brand]]&amp;" "&amp;Plan_2026[[#This Row],[Trục đường chính]]&amp;Plan_2026[[#This Row],[Tên mall
(chuẩn hóa)]]&amp;Plan_2026[[#This Row],[Địa chỉ đầy đủ]]</f>
        <v>Gogi House Pandora Trường Chinh SS</v>
      </c>
    </row>
    <row r="218" spans="1:49" hidden="1" x14ac:dyDescent="0.35">
      <c r="A218">
        <v>208</v>
      </c>
      <c r="B218" t="s">
        <v>4438</v>
      </c>
      <c r="C218" t="s">
        <v>25</v>
      </c>
      <c r="D218" t="s">
        <v>4263</v>
      </c>
      <c r="E218">
        <v>2026</v>
      </c>
      <c r="F218">
        <v>2</v>
      </c>
      <c r="G218">
        <v>5</v>
      </c>
      <c r="H218">
        <v>9</v>
      </c>
      <c r="J218" t="s">
        <v>350</v>
      </c>
      <c r="K218" t="s">
        <v>2704</v>
      </c>
      <c r="L218" t="s">
        <v>3052</v>
      </c>
      <c r="M218" t="s">
        <v>3053</v>
      </c>
      <c r="N218" t="s">
        <v>4300</v>
      </c>
      <c r="O218" t="s">
        <v>4301</v>
      </c>
      <c r="P218" t="s">
        <v>4439</v>
      </c>
      <c r="Q218" t="s">
        <v>2732</v>
      </c>
      <c r="R218" t="s">
        <v>2751</v>
      </c>
      <c r="S218" t="s">
        <v>2751</v>
      </c>
      <c r="T218" t="s">
        <v>2712</v>
      </c>
      <c r="U218" t="s">
        <v>2712</v>
      </c>
      <c r="V218">
        <v>1</v>
      </c>
      <c r="W218" t="s">
        <v>2735</v>
      </c>
      <c r="X218" t="s">
        <v>4440</v>
      </c>
      <c r="Y218" t="s">
        <v>4440</v>
      </c>
      <c r="Z218" t="s">
        <v>2715</v>
      </c>
      <c r="AB218" t="s">
        <v>2716</v>
      </c>
      <c r="AC218" t="s">
        <v>3232</v>
      </c>
      <c r="AE218">
        <v>0</v>
      </c>
      <c r="AF218" t="s">
        <v>4441</v>
      </c>
      <c r="AH218" t="s">
        <v>24</v>
      </c>
      <c r="AI218">
        <v>46143</v>
      </c>
      <c r="AJ218">
        <v>5</v>
      </c>
      <c r="AK218" t="s">
        <v>4303</v>
      </c>
      <c r="AM218" t="s">
        <v>4305</v>
      </c>
      <c r="AN218" t="s">
        <v>3438</v>
      </c>
      <c r="AO218" t="s">
        <v>4442</v>
      </c>
      <c r="AP218">
        <v>11079</v>
      </c>
      <c r="AQ218" t="s">
        <v>4307</v>
      </c>
      <c r="AR218" t="s">
        <v>4308</v>
      </c>
      <c r="AS218">
        <v>9</v>
      </c>
      <c r="AT218" t="s">
        <v>3442</v>
      </c>
      <c r="AW218" t="str">
        <f>Plan_2026[[#This Row],[Tên brand]]&amp;" "&amp;Plan_2026[[#This Row],[Trục đường chính]]&amp;Plan_2026[[#This Row],[Tên mall
(chuẩn hóa)]]&amp;Plan_2026[[#This Row],[Địa chỉ đầy đủ]]</f>
        <v>Ashima 547 – 549 Tạ Quang BửuParc Mall Q8</v>
      </c>
    </row>
    <row r="219" spans="1:49" hidden="1" x14ac:dyDescent="0.35">
      <c r="A219">
        <v>209</v>
      </c>
      <c r="B219" t="s">
        <v>2427</v>
      </c>
      <c r="C219" t="s">
        <v>3225</v>
      </c>
      <c r="D219" t="s">
        <v>3226</v>
      </c>
      <c r="E219">
        <v>2026</v>
      </c>
      <c r="F219">
        <v>2</v>
      </c>
      <c r="G219">
        <v>5</v>
      </c>
      <c r="H219">
        <v>9</v>
      </c>
      <c r="J219" t="s">
        <v>350</v>
      </c>
      <c r="K219" t="s">
        <v>2704</v>
      </c>
      <c r="L219" t="s">
        <v>3052</v>
      </c>
      <c r="M219" t="s">
        <v>3053</v>
      </c>
      <c r="N219" t="s">
        <v>4300</v>
      </c>
      <c r="O219" t="s">
        <v>4301</v>
      </c>
      <c r="P219" t="s">
        <v>4439</v>
      </c>
      <c r="Q219" t="s">
        <v>2732</v>
      </c>
      <c r="R219" t="s">
        <v>3730</v>
      </c>
      <c r="S219" t="s">
        <v>2733</v>
      </c>
      <c r="T219" t="s">
        <v>3286</v>
      </c>
      <c r="U219" t="s">
        <v>3286</v>
      </c>
      <c r="V219">
        <v>1</v>
      </c>
      <c r="W219" t="s">
        <v>2713</v>
      </c>
      <c r="X219" t="s">
        <v>4440</v>
      </c>
      <c r="Y219" t="s">
        <v>4440</v>
      </c>
      <c r="Z219" t="s">
        <v>2715</v>
      </c>
      <c r="AB219" t="s">
        <v>2716</v>
      </c>
      <c r="AC219" t="s">
        <v>3232</v>
      </c>
      <c r="AE219">
        <v>0</v>
      </c>
      <c r="AF219" t="s">
        <v>4443</v>
      </c>
      <c r="AH219" t="s">
        <v>1319</v>
      </c>
      <c r="AI219">
        <v>46143</v>
      </c>
      <c r="AJ219">
        <v>5</v>
      </c>
      <c r="AK219" t="s">
        <v>4303</v>
      </c>
      <c r="AM219" t="s">
        <v>4305</v>
      </c>
      <c r="AN219" t="s">
        <v>3237</v>
      </c>
      <c r="AO219" t="s">
        <v>4444</v>
      </c>
      <c r="AP219">
        <v>11079</v>
      </c>
      <c r="AQ219" t="s">
        <v>4307</v>
      </c>
      <c r="AR219" t="s">
        <v>4308</v>
      </c>
      <c r="AS219">
        <v>3</v>
      </c>
      <c r="AT219" t="s">
        <v>3241</v>
      </c>
      <c r="AW219" t="str">
        <f>Plan_2026[[#This Row],[Tên brand]]&amp;" "&amp;Plan_2026[[#This Row],[Trục đường chính]]&amp;Plan_2026[[#This Row],[Tên mall
(chuẩn hóa)]]&amp;Plan_2026[[#This Row],[Địa chỉ đầy đủ]]</f>
        <v>Chix Max 547 – 549 Tạ Quang BửuParc Mall Q8</v>
      </c>
    </row>
    <row r="220" spans="1:49" hidden="1" x14ac:dyDescent="0.35">
      <c r="A220">
        <v>210</v>
      </c>
      <c r="B220" t="s">
        <v>2176</v>
      </c>
      <c r="C220" t="s">
        <v>3255</v>
      </c>
      <c r="D220" t="s">
        <v>4275</v>
      </c>
      <c r="E220">
        <v>2025</v>
      </c>
      <c r="F220">
        <v>3</v>
      </c>
      <c r="G220">
        <v>9</v>
      </c>
      <c r="H220">
        <v>1</v>
      </c>
      <c r="I220">
        <v>1</v>
      </c>
      <c r="J220" t="s">
        <v>350</v>
      </c>
      <c r="K220" t="s">
        <v>2704</v>
      </c>
      <c r="L220" t="s">
        <v>3052</v>
      </c>
      <c r="M220" t="s">
        <v>3053</v>
      </c>
      <c r="N220" t="s">
        <v>4300</v>
      </c>
      <c r="O220" t="s">
        <v>4301</v>
      </c>
      <c r="P220" t="s">
        <v>2606</v>
      </c>
      <c r="Q220" t="s">
        <v>2732</v>
      </c>
      <c r="R220" t="s">
        <v>2751</v>
      </c>
      <c r="S220" t="s">
        <v>2751</v>
      </c>
      <c r="T220" t="s">
        <v>2712</v>
      </c>
      <c r="U220" t="s">
        <v>2712</v>
      </c>
      <c r="V220">
        <v>1</v>
      </c>
      <c r="W220" t="s">
        <v>2713</v>
      </c>
      <c r="X220" t="s">
        <v>4440</v>
      </c>
      <c r="Y220" t="s">
        <v>4440</v>
      </c>
      <c r="Z220">
        <v>220</v>
      </c>
      <c r="AB220" t="s">
        <v>2716</v>
      </c>
      <c r="AC220" t="s">
        <v>2763</v>
      </c>
      <c r="AE220">
        <v>1</v>
      </c>
      <c r="AF220" t="s">
        <v>4445</v>
      </c>
      <c r="AH220" t="s">
        <v>379</v>
      </c>
      <c r="AI220">
        <v>45901</v>
      </c>
      <c r="AJ220">
        <v>9</v>
      </c>
      <c r="AK220" t="s">
        <v>4303</v>
      </c>
      <c r="AM220" t="s">
        <v>4305</v>
      </c>
      <c r="AN220" t="s">
        <v>3257</v>
      </c>
      <c r="AO220" t="s">
        <v>4446</v>
      </c>
      <c r="AP220">
        <v>11079</v>
      </c>
      <c r="AQ220" t="s">
        <v>4307</v>
      </c>
      <c r="AR220" t="s">
        <v>4308</v>
      </c>
      <c r="AS220">
        <v>8</v>
      </c>
      <c r="AT220" t="s">
        <v>4447</v>
      </c>
      <c r="AW220" t="str">
        <f>Plan_2026[[#This Row],[Tên brand]]&amp;" "&amp;Plan_2026[[#This Row],[Trục đường chính]]&amp;Plan_2026[[#This Row],[Tên mall
(chuẩn hóa)]]&amp;Plan_2026[[#This Row],[Địa chỉ đầy đủ]]</f>
        <v>Crystal Jade 547-549 Đường Tạ Quang BửuParc Mall Q8</v>
      </c>
    </row>
    <row r="221" spans="1:49" hidden="1" x14ac:dyDescent="0.35">
      <c r="A221">
        <v>211</v>
      </c>
      <c r="B221" t="s">
        <v>2461</v>
      </c>
      <c r="C221" t="s">
        <v>2008</v>
      </c>
      <c r="D221" t="s">
        <v>2728</v>
      </c>
      <c r="E221">
        <v>2026</v>
      </c>
      <c r="F221">
        <v>2</v>
      </c>
      <c r="G221">
        <v>4</v>
      </c>
      <c r="H221">
        <v>8</v>
      </c>
      <c r="J221" t="s">
        <v>350</v>
      </c>
      <c r="K221" t="s">
        <v>2704</v>
      </c>
      <c r="L221" t="s">
        <v>3052</v>
      </c>
      <c r="M221" t="s">
        <v>3053</v>
      </c>
      <c r="N221" t="s">
        <v>4300</v>
      </c>
      <c r="O221" t="s">
        <v>4301</v>
      </c>
      <c r="P221" t="s">
        <v>4448</v>
      </c>
      <c r="Q221" t="s">
        <v>2732</v>
      </c>
      <c r="R221" t="s">
        <v>2751</v>
      </c>
      <c r="S221" t="s">
        <v>2751</v>
      </c>
      <c r="T221" t="s">
        <v>2712</v>
      </c>
      <c r="U221" t="s">
        <v>2712</v>
      </c>
      <c r="V221">
        <v>1</v>
      </c>
      <c r="W221" t="s">
        <v>2713</v>
      </c>
      <c r="X221" t="s">
        <v>4440</v>
      </c>
      <c r="Y221" t="s">
        <v>4440</v>
      </c>
      <c r="Z221">
        <v>160</v>
      </c>
      <c r="AB221" t="s">
        <v>2716</v>
      </c>
      <c r="AC221" t="s">
        <v>2738</v>
      </c>
      <c r="AE221">
        <v>0</v>
      </c>
      <c r="AF221" t="s">
        <v>4449</v>
      </c>
      <c r="AH221" t="s">
        <v>2044</v>
      </c>
      <c r="AI221">
        <v>46113</v>
      </c>
      <c r="AJ221">
        <v>4</v>
      </c>
      <c r="AK221" t="s">
        <v>4303</v>
      </c>
      <c r="AM221" t="s">
        <v>4305</v>
      </c>
      <c r="AN221" t="s">
        <v>4281</v>
      </c>
      <c r="AO221" t="s">
        <v>4450</v>
      </c>
      <c r="AP221">
        <v>11079</v>
      </c>
      <c r="AQ221" t="s">
        <v>4307</v>
      </c>
      <c r="AR221" t="s">
        <v>4308</v>
      </c>
      <c r="AS221">
        <v>6</v>
      </c>
      <c r="AT221" t="s">
        <v>2835</v>
      </c>
      <c r="AW221" t="str">
        <f>Plan_2026[[#This Row],[Tên brand]]&amp;" "&amp;Plan_2026[[#This Row],[Trục đường chính]]&amp;Plan_2026[[#This Row],[Tên mall
(chuẩn hóa)]]&amp;Plan_2026[[#This Row],[Địa chỉ đầy đủ]]</f>
        <v>Dao Niu Guo 547 - 549 Đường Tạ Quang BửuParc Mall Q8</v>
      </c>
    </row>
    <row r="222" spans="1:49" hidden="1" x14ac:dyDescent="0.35">
      <c r="A222">
        <v>212</v>
      </c>
      <c r="B222" t="s">
        <v>4451</v>
      </c>
      <c r="C222" t="s">
        <v>2772</v>
      </c>
      <c r="D222" t="s">
        <v>2868</v>
      </c>
      <c r="E222">
        <v>2026</v>
      </c>
      <c r="F222">
        <v>3</v>
      </c>
      <c r="G222">
        <v>7</v>
      </c>
      <c r="H222">
        <v>11</v>
      </c>
      <c r="J222" t="s">
        <v>350</v>
      </c>
      <c r="K222" t="s">
        <v>2704</v>
      </c>
      <c r="L222" t="s">
        <v>3052</v>
      </c>
      <c r="M222" t="s">
        <v>3053</v>
      </c>
      <c r="N222" t="s">
        <v>4452</v>
      </c>
      <c r="O222" t="s">
        <v>4301</v>
      </c>
      <c r="P222" t="s">
        <v>4453</v>
      </c>
      <c r="Q222" t="s">
        <v>2709</v>
      </c>
      <c r="R222" t="s">
        <v>2751</v>
      </c>
      <c r="S222" t="s">
        <v>2751</v>
      </c>
      <c r="T222">
        <v>300</v>
      </c>
      <c r="U222" t="s">
        <v>2762</v>
      </c>
      <c r="V222">
        <v>1</v>
      </c>
      <c r="W222" t="s">
        <v>2735</v>
      </c>
      <c r="Z222">
        <v>200</v>
      </c>
      <c r="AA222" t="s">
        <v>4454</v>
      </c>
      <c r="AB222" t="s">
        <v>2716</v>
      </c>
      <c r="AC222" t="s">
        <v>2738</v>
      </c>
      <c r="AE222">
        <v>0</v>
      </c>
      <c r="AH222" t="s">
        <v>112</v>
      </c>
      <c r="AI222">
        <v>46204</v>
      </c>
      <c r="AJ222">
        <v>7</v>
      </c>
      <c r="AK222" t="s">
        <v>4455</v>
      </c>
      <c r="AM222" t="s">
        <v>4456</v>
      </c>
      <c r="AN222" t="s">
        <v>2782</v>
      </c>
      <c r="AO222" t="s">
        <v>4457</v>
      </c>
      <c r="AP222">
        <v>14648</v>
      </c>
      <c r="AQ222" t="s">
        <v>4458</v>
      </c>
      <c r="AR222" t="s">
        <v>4459</v>
      </c>
      <c r="AS222">
        <v>55</v>
      </c>
      <c r="AT222" t="s">
        <v>4460</v>
      </c>
      <c r="AW222" t="str">
        <f>Plan_2026[[#This Row],[Tên brand]]&amp;" "&amp;Plan_2026[[#This Row],[Trục đường chính]]&amp;Plan_2026[[#This Row],[Tên mall
(chuẩn hóa)]]&amp;Plan_2026[[#This Row],[Địa chỉ đầy đủ]]</f>
        <v>Manwah Trần Bình Trọng</v>
      </c>
    </row>
    <row r="223" spans="1:49" hidden="1" x14ac:dyDescent="0.35">
      <c r="A223">
        <v>213</v>
      </c>
      <c r="B223" t="s">
        <v>4461</v>
      </c>
      <c r="C223" t="s">
        <v>3208</v>
      </c>
      <c r="D223" t="s">
        <v>2850</v>
      </c>
      <c r="E223">
        <v>2026</v>
      </c>
      <c r="F223">
        <v>3</v>
      </c>
      <c r="G223">
        <v>7</v>
      </c>
      <c r="H223">
        <v>11</v>
      </c>
      <c r="J223" t="s">
        <v>350</v>
      </c>
      <c r="K223" t="s">
        <v>2704</v>
      </c>
      <c r="L223" t="s">
        <v>3052</v>
      </c>
      <c r="M223" t="s">
        <v>3053</v>
      </c>
      <c r="N223" t="s">
        <v>4300</v>
      </c>
      <c r="O223" t="s">
        <v>4301</v>
      </c>
      <c r="P223" t="s">
        <v>4462</v>
      </c>
      <c r="Q223" t="s">
        <v>2732</v>
      </c>
      <c r="R223" t="s">
        <v>2710</v>
      </c>
      <c r="S223" t="s">
        <v>2710</v>
      </c>
      <c r="T223" t="s">
        <v>2712</v>
      </c>
      <c r="U223" t="s">
        <v>2712</v>
      </c>
      <c r="V223">
        <v>1</v>
      </c>
      <c r="W223" t="s">
        <v>2735</v>
      </c>
      <c r="X223" t="s">
        <v>4440</v>
      </c>
      <c r="Y223" t="s">
        <v>4440</v>
      </c>
      <c r="Z223" t="s">
        <v>2715</v>
      </c>
      <c r="AB223" t="s">
        <v>2716</v>
      </c>
      <c r="AC223" t="s">
        <v>3232</v>
      </c>
      <c r="AE223">
        <v>0</v>
      </c>
      <c r="AF223" t="s">
        <v>4463</v>
      </c>
      <c r="AH223" t="s">
        <v>51</v>
      </c>
      <c r="AI223">
        <v>46204</v>
      </c>
      <c r="AJ223">
        <v>7</v>
      </c>
      <c r="AK223" t="s">
        <v>4303</v>
      </c>
      <c r="AM223" t="s">
        <v>4305</v>
      </c>
      <c r="AN223" t="s">
        <v>3264</v>
      </c>
      <c r="AO223" t="s">
        <v>4464</v>
      </c>
      <c r="AP223">
        <v>11079</v>
      </c>
      <c r="AQ223" t="s">
        <v>4307</v>
      </c>
      <c r="AR223" t="s">
        <v>4308</v>
      </c>
      <c r="AS223">
        <v>11</v>
      </c>
      <c r="AT223" t="s">
        <v>3480</v>
      </c>
      <c r="AW223" t="str">
        <f>Plan_2026[[#This Row],[Tên brand]]&amp;" "&amp;Plan_2026[[#This Row],[Trục đường chính]]&amp;Plan_2026[[#This Row],[Tên mall
(chuẩn hóa)]]&amp;Plan_2026[[#This Row],[Địa chỉ đầy đủ]]</f>
        <v>Sumogoya Số 498, Đường Tạ Quang BửuParc Mall Q8</v>
      </c>
    </row>
    <row r="224" spans="1:49" hidden="1" x14ac:dyDescent="0.35">
      <c r="A224">
        <v>214</v>
      </c>
      <c r="B224" t="s">
        <v>2453</v>
      </c>
      <c r="C224" t="s">
        <v>2849</v>
      </c>
      <c r="D224" t="s">
        <v>2850</v>
      </c>
      <c r="E224">
        <v>2026</v>
      </c>
      <c r="F224">
        <v>2</v>
      </c>
      <c r="G224">
        <v>4</v>
      </c>
      <c r="H224">
        <v>8</v>
      </c>
      <c r="J224" t="s">
        <v>350</v>
      </c>
      <c r="K224" t="s">
        <v>2704</v>
      </c>
      <c r="L224" t="s">
        <v>3052</v>
      </c>
      <c r="M224" t="s">
        <v>3053</v>
      </c>
      <c r="N224" t="s">
        <v>4300</v>
      </c>
      <c r="O224" t="s">
        <v>4301</v>
      </c>
      <c r="P224" t="s">
        <v>2606</v>
      </c>
      <c r="Q224" t="s">
        <v>2732</v>
      </c>
      <c r="R224" t="s">
        <v>2751</v>
      </c>
      <c r="S224" t="s">
        <v>2751</v>
      </c>
      <c r="T224" t="s">
        <v>2790</v>
      </c>
      <c r="U224" t="s">
        <v>2790</v>
      </c>
      <c r="V224">
        <v>1</v>
      </c>
      <c r="W224" t="s">
        <v>2735</v>
      </c>
      <c r="X224" t="s">
        <v>4440</v>
      </c>
      <c r="Y224" t="s">
        <v>4440</v>
      </c>
      <c r="Z224" t="s">
        <v>2715</v>
      </c>
      <c r="AB224" t="s">
        <v>2716</v>
      </c>
      <c r="AC224" t="s">
        <v>2738</v>
      </c>
      <c r="AE224">
        <v>0</v>
      </c>
      <c r="AF224" t="s">
        <v>4465</v>
      </c>
      <c r="AH224" t="s">
        <v>1771</v>
      </c>
      <c r="AI224">
        <v>46113</v>
      </c>
      <c r="AJ224">
        <v>4</v>
      </c>
      <c r="AK224" t="s">
        <v>4303</v>
      </c>
      <c r="AM224" t="s">
        <v>4305</v>
      </c>
      <c r="AN224" t="s">
        <v>2862</v>
      </c>
      <c r="AO224" t="s">
        <v>4466</v>
      </c>
      <c r="AP224">
        <v>11079</v>
      </c>
      <c r="AQ224" t="s">
        <v>4307</v>
      </c>
      <c r="AR224" t="s">
        <v>4308</v>
      </c>
      <c r="AS224">
        <v>2</v>
      </c>
      <c r="AT224" t="s">
        <v>2866</v>
      </c>
      <c r="AW224" t="str">
        <f>Plan_2026[[#This Row],[Tên brand]]&amp;" "&amp;Plan_2026[[#This Row],[Trục đường chính]]&amp;Plan_2026[[#This Row],[Tên mall
(chuẩn hóa)]]&amp;Plan_2026[[#This Row],[Địa chỉ đầy đủ]]</f>
        <v>Wow!Yakiniku 547-549 Đường Tạ Quang BửuParc Mall Q8</v>
      </c>
    </row>
    <row r="225" spans="1:49" hidden="1" x14ac:dyDescent="0.35">
      <c r="A225">
        <v>215</v>
      </c>
      <c r="B225" t="s">
        <v>2164</v>
      </c>
      <c r="C225" t="s">
        <v>229</v>
      </c>
      <c r="D225" t="s">
        <v>2881</v>
      </c>
      <c r="E225">
        <v>2025</v>
      </c>
      <c r="F225">
        <v>4</v>
      </c>
      <c r="G225">
        <v>10</v>
      </c>
      <c r="H225">
        <v>2</v>
      </c>
      <c r="J225" t="s">
        <v>350</v>
      </c>
      <c r="K225" t="s">
        <v>2704</v>
      </c>
      <c r="L225" t="s">
        <v>3052</v>
      </c>
      <c r="M225" t="s">
        <v>3053</v>
      </c>
      <c r="N225" t="s">
        <v>4411</v>
      </c>
      <c r="O225" t="s">
        <v>4301</v>
      </c>
      <c r="P225" t="s">
        <v>4467</v>
      </c>
      <c r="Q225" t="s">
        <v>2732</v>
      </c>
      <c r="R225">
        <v>8</v>
      </c>
      <c r="S225" t="s">
        <v>2710</v>
      </c>
      <c r="T225" t="s">
        <v>2882</v>
      </c>
      <c r="U225" t="s">
        <v>2800</v>
      </c>
      <c r="V225">
        <v>1</v>
      </c>
      <c r="W225" t="s">
        <v>2735</v>
      </c>
      <c r="X225" t="s">
        <v>4468</v>
      </c>
      <c r="Y225" t="s">
        <v>4468</v>
      </c>
      <c r="Z225" t="s">
        <v>2715</v>
      </c>
      <c r="AB225" t="s">
        <v>2716</v>
      </c>
      <c r="AC225" t="s">
        <v>2763</v>
      </c>
      <c r="AE225">
        <v>1</v>
      </c>
      <c r="AH225" t="s">
        <v>228</v>
      </c>
      <c r="AI225">
        <v>45931</v>
      </c>
      <c r="AJ225">
        <v>10</v>
      </c>
      <c r="AK225" t="s">
        <v>4469</v>
      </c>
      <c r="AM225" t="s">
        <v>4470</v>
      </c>
      <c r="AN225" t="s">
        <v>3127</v>
      </c>
      <c r="AO225" t="s">
        <v>4471</v>
      </c>
      <c r="AP225">
        <v>18057</v>
      </c>
      <c r="AQ225" t="s">
        <v>4472</v>
      </c>
      <c r="AR225" t="s">
        <v>4473</v>
      </c>
      <c r="AS225">
        <v>10</v>
      </c>
      <c r="AT225" t="s">
        <v>3874</v>
      </c>
      <c r="AW225" t="str">
        <f>Plan_2026[[#This Row],[Tên brand]]&amp;" "&amp;Plan_2026[[#This Row],[Trục đường chính]]&amp;Plan_2026[[#This Row],[Tên mall
(chuẩn hóa)]]&amp;Plan_2026[[#This Row],[Địa chỉ đầy đủ]]</f>
        <v>Yutang 20 Đường Cộng HòaLotte Mart Tân Bình</v>
      </c>
    </row>
    <row r="226" spans="1:49" hidden="1" x14ac:dyDescent="0.35">
      <c r="A226">
        <v>216</v>
      </c>
      <c r="B226" t="s">
        <v>2557</v>
      </c>
      <c r="C226" t="s">
        <v>2787</v>
      </c>
      <c r="D226" t="s">
        <v>3111</v>
      </c>
      <c r="E226">
        <v>2026</v>
      </c>
      <c r="F226">
        <v>1</v>
      </c>
      <c r="G226">
        <v>3</v>
      </c>
      <c r="H226">
        <v>7</v>
      </c>
      <c r="J226" t="s">
        <v>350</v>
      </c>
      <c r="K226" t="s">
        <v>2704</v>
      </c>
      <c r="L226" t="s">
        <v>3052</v>
      </c>
      <c r="M226" t="s">
        <v>3053</v>
      </c>
      <c r="N226" t="s">
        <v>4300</v>
      </c>
      <c r="O226" t="s">
        <v>4301</v>
      </c>
      <c r="P226" t="s">
        <v>2558</v>
      </c>
      <c r="Q226" t="s">
        <v>2732</v>
      </c>
      <c r="R226" t="s">
        <v>2710</v>
      </c>
      <c r="S226" t="s">
        <v>2710</v>
      </c>
      <c r="T226" t="s">
        <v>3229</v>
      </c>
      <c r="U226" t="s">
        <v>3229</v>
      </c>
      <c r="V226">
        <v>1</v>
      </c>
      <c r="W226" t="s">
        <v>2713</v>
      </c>
      <c r="X226" t="s">
        <v>4440</v>
      </c>
      <c r="Y226" t="s">
        <v>4440</v>
      </c>
      <c r="Z226">
        <v>132</v>
      </c>
      <c r="AB226" t="s">
        <v>2716</v>
      </c>
      <c r="AC226" t="s">
        <v>2738</v>
      </c>
      <c r="AE226">
        <v>0</v>
      </c>
      <c r="AH226" t="s">
        <v>1788</v>
      </c>
      <c r="AI226">
        <v>46082</v>
      </c>
      <c r="AJ226">
        <v>3</v>
      </c>
      <c r="AK226" t="s">
        <v>4303</v>
      </c>
      <c r="AM226" t="s">
        <v>4305</v>
      </c>
      <c r="AN226" t="s">
        <v>2804</v>
      </c>
      <c r="AO226" t="s">
        <v>4474</v>
      </c>
      <c r="AP226">
        <v>11079</v>
      </c>
      <c r="AQ226" t="s">
        <v>4307</v>
      </c>
      <c r="AR226" t="s">
        <v>4308</v>
      </c>
      <c r="AS226">
        <v>81</v>
      </c>
      <c r="AT226" t="s">
        <v>4309</v>
      </c>
      <c r="AW226" t="str">
        <f>Plan_2026[[#This Row],[Tên brand]]&amp;" "&amp;Plan_2026[[#This Row],[Trục đường chính]]&amp;Plan_2026[[#This Row],[Tên mall
(chuẩn hóa)]]&amp;Plan_2026[[#This Row],[Địa chỉ đầy đủ]]</f>
        <v>The Coffee House Tạ Quang BửuParc Mall Q8</v>
      </c>
    </row>
    <row r="227" spans="1:49" hidden="1" x14ac:dyDescent="0.35">
      <c r="A227">
        <v>217</v>
      </c>
      <c r="B227" t="s">
        <v>2277</v>
      </c>
      <c r="C227" t="s">
        <v>35</v>
      </c>
      <c r="D227" t="s">
        <v>2820</v>
      </c>
      <c r="E227">
        <v>2026</v>
      </c>
      <c r="F227">
        <v>1</v>
      </c>
      <c r="G227">
        <v>3</v>
      </c>
      <c r="H227">
        <v>7</v>
      </c>
      <c r="J227" t="s">
        <v>350</v>
      </c>
      <c r="K227" t="s">
        <v>2704</v>
      </c>
      <c r="L227" t="s">
        <v>3052</v>
      </c>
      <c r="M227" t="s">
        <v>3053</v>
      </c>
      <c r="N227" t="s">
        <v>3054</v>
      </c>
      <c r="O227" t="s">
        <v>4475</v>
      </c>
      <c r="P227" t="s">
        <v>4476</v>
      </c>
      <c r="Q227" t="s">
        <v>2709</v>
      </c>
      <c r="R227" t="s">
        <v>2710</v>
      </c>
      <c r="S227" t="s">
        <v>2710</v>
      </c>
      <c r="T227" t="s">
        <v>2882</v>
      </c>
      <c r="U227" t="s">
        <v>2800</v>
      </c>
      <c r="V227">
        <v>1</v>
      </c>
      <c r="W227" t="s">
        <v>2713</v>
      </c>
      <c r="Z227" t="s">
        <v>2715</v>
      </c>
      <c r="AA227" t="s">
        <v>3317</v>
      </c>
      <c r="AB227" t="s">
        <v>2716</v>
      </c>
      <c r="AC227" t="s">
        <v>2738</v>
      </c>
      <c r="AE227">
        <v>0</v>
      </c>
      <c r="AF227" t="s">
        <v>2907</v>
      </c>
      <c r="AH227" t="s">
        <v>34</v>
      </c>
      <c r="AI227">
        <v>46082</v>
      </c>
      <c r="AJ227">
        <v>3</v>
      </c>
      <c r="AK227" t="s">
        <v>4477</v>
      </c>
      <c r="AM227" t="s">
        <v>4478</v>
      </c>
      <c r="AN227" t="s">
        <v>2911</v>
      </c>
      <c r="AO227" t="s">
        <v>4479</v>
      </c>
      <c r="AP227">
        <v>9897</v>
      </c>
      <c r="AQ227" t="s">
        <v>4480</v>
      </c>
      <c r="AR227" t="s">
        <v>4481</v>
      </c>
      <c r="AS227">
        <v>107</v>
      </c>
      <c r="AT227" t="s">
        <v>2830</v>
      </c>
      <c r="AW227" t="str">
        <f>Plan_2026[[#This Row],[Tên brand]]&amp;" "&amp;Plan_2026[[#This Row],[Trục đường chính]]&amp;Plan_2026[[#This Row],[Tên mall
(chuẩn hóa)]]&amp;Plan_2026[[#This Row],[Địa chỉ đầy đủ]]</f>
        <v>Kichi Kichi Phạm Ngũ Lão</v>
      </c>
    </row>
    <row r="228" spans="1:49" hidden="1" x14ac:dyDescent="0.35">
      <c r="A228">
        <v>218</v>
      </c>
      <c r="B228" t="s">
        <v>4482</v>
      </c>
      <c r="C228" t="s">
        <v>2135</v>
      </c>
      <c r="D228" t="s">
        <v>3327</v>
      </c>
      <c r="E228">
        <v>2026</v>
      </c>
      <c r="F228">
        <v>1</v>
      </c>
      <c r="G228">
        <v>2</v>
      </c>
      <c r="H228">
        <v>6</v>
      </c>
      <c r="J228" t="s">
        <v>350</v>
      </c>
      <c r="K228" t="s">
        <v>2704</v>
      </c>
      <c r="L228" t="s">
        <v>3052</v>
      </c>
      <c r="M228" t="s">
        <v>3053</v>
      </c>
      <c r="N228" t="s">
        <v>3054</v>
      </c>
      <c r="O228" t="s">
        <v>4475</v>
      </c>
      <c r="Q228" t="s">
        <v>2709</v>
      </c>
      <c r="R228" t="s">
        <v>3356</v>
      </c>
      <c r="S228" t="s">
        <v>3357</v>
      </c>
      <c r="T228" t="s">
        <v>2790</v>
      </c>
      <c r="U228" t="s">
        <v>2790</v>
      </c>
      <c r="V228">
        <v>1</v>
      </c>
      <c r="W228" t="s">
        <v>2735</v>
      </c>
      <c r="Z228" t="s">
        <v>3331</v>
      </c>
      <c r="AB228" t="s">
        <v>2716</v>
      </c>
      <c r="AC228" t="s">
        <v>2778</v>
      </c>
      <c r="AE228">
        <v>0</v>
      </c>
      <c r="AH228" t="s">
        <v>1446</v>
      </c>
      <c r="AI228">
        <v>46054</v>
      </c>
      <c r="AJ228">
        <v>2</v>
      </c>
      <c r="AK228" t="s">
        <v>4477</v>
      </c>
      <c r="AM228" t="s">
        <v>4478</v>
      </c>
      <c r="AN228" t="s">
        <v>3361</v>
      </c>
      <c r="AO228" t="s">
        <v>4483</v>
      </c>
      <c r="AP228">
        <v>9897</v>
      </c>
      <c r="AQ228" t="s">
        <v>4480</v>
      </c>
      <c r="AR228" t="s">
        <v>4481</v>
      </c>
      <c r="AS228">
        <v>16</v>
      </c>
      <c r="AT228" t="s">
        <v>3483</v>
      </c>
      <c r="AW228" t="str">
        <f>Plan_2026[[#This Row],[Tên brand]]&amp;" "&amp;Plan_2026[[#This Row],[Trục đường chính]]&amp;Plan_2026[[#This Row],[Tên mall
(chuẩn hóa)]]&amp;Plan_2026[[#This Row],[Địa chỉ đầy đủ]]</f>
        <v xml:space="preserve">Universal Tea </v>
      </c>
    </row>
    <row r="229" spans="1:49" hidden="1" x14ac:dyDescent="0.35">
      <c r="A229">
        <v>219</v>
      </c>
      <c r="B229" t="s">
        <v>2506</v>
      </c>
      <c r="C229" t="s">
        <v>2787</v>
      </c>
      <c r="D229" t="s">
        <v>3111</v>
      </c>
      <c r="E229">
        <v>2026</v>
      </c>
      <c r="F229">
        <v>1</v>
      </c>
      <c r="G229">
        <v>1</v>
      </c>
      <c r="H229">
        <v>5</v>
      </c>
      <c r="J229" t="s">
        <v>350</v>
      </c>
      <c r="K229" t="s">
        <v>2704</v>
      </c>
      <c r="L229" t="s">
        <v>3052</v>
      </c>
      <c r="M229" t="s">
        <v>3053</v>
      </c>
      <c r="N229" t="s">
        <v>3054</v>
      </c>
      <c r="O229" t="s">
        <v>4475</v>
      </c>
      <c r="P229" t="s">
        <v>2507</v>
      </c>
      <c r="Q229" t="s">
        <v>2732</v>
      </c>
      <c r="R229" t="s">
        <v>2710</v>
      </c>
      <c r="S229" t="s">
        <v>2710</v>
      </c>
      <c r="T229" t="s">
        <v>3229</v>
      </c>
      <c r="U229" t="s">
        <v>3229</v>
      </c>
      <c r="V229">
        <v>1</v>
      </c>
      <c r="W229" t="s">
        <v>2713</v>
      </c>
      <c r="X229" t="s">
        <v>4484</v>
      </c>
      <c r="Y229" t="s">
        <v>4484</v>
      </c>
      <c r="Z229">
        <v>132</v>
      </c>
      <c r="AB229" t="s">
        <v>2716</v>
      </c>
      <c r="AC229" t="s">
        <v>2738</v>
      </c>
      <c r="AE229">
        <v>0</v>
      </c>
      <c r="AH229" t="s">
        <v>1788</v>
      </c>
      <c r="AI229">
        <v>46023</v>
      </c>
      <c r="AJ229">
        <v>1</v>
      </c>
      <c r="AK229" t="s">
        <v>4477</v>
      </c>
      <c r="AM229" t="s">
        <v>4478</v>
      </c>
      <c r="AN229" t="s">
        <v>2804</v>
      </c>
      <c r="AO229" t="s">
        <v>4485</v>
      </c>
      <c r="AP229">
        <v>9897</v>
      </c>
      <c r="AQ229" t="s">
        <v>4480</v>
      </c>
      <c r="AR229" t="s">
        <v>4481</v>
      </c>
      <c r="AS229">
        <v>81</v>
      </c>
      <c r="AT229" t="s">
        <v>3070</v>
      </c>
      <c r="AW229" t="str">
        <f>Plan_2026[[#This Row],[Tên brand]]&amp;" "&amp;Plan_2026[[#This Row],[Trục đường chính]]&amp;Plan_2026[[#This Row],[Tên mall
(chuẩn hóa)]]&amp;Plan_2026[[#This Row],[Địa chỉ đầy đủ]]</f>
        <v>The Coffee House Lê LợiSaigon Centre</v>
      </c>
    </row>
    <row r="230" spans="1:49" hidden="1" x14ac:dyDescent="0.35">
      <c r="A230">
        <v>220</v>
      </c>
      <c r="B230" t="s">
        <v>4486</v>
      </c>
      <c r="C230" t="s">
        <v>2702</v>
      </c>
      <c r="D230" t="s">
        <v>2703</v>
      </c>
      <c r="E230">
        <v>2026</v>
      </c>
      <c r="F230">
        <v>3</v>
      </c>
      <c r="G230">
        <v>7</v>
      </c>
      <c r="H230">
        <v>11</v>
      </c>
      <c r="J230" t="s">
        <v>350</v>
      </c>
      <c r="K230" t="s">
        <v>2704</v>
      </c>
      <c r="L230" t="s">
        <v>3052</v>
      </c>
      <c r="M230" t="s">
        <v>3053</v>
      </c>
      <c r="N230" t="s">
        <v>3054</v>
      </c>
      <c r="O230" t="s">
        <v>4475</v>
      </c>
      <c r="P230" t="s">
        <v>4487</v>
      </c>
      <c r="Q230" t="s">
        <v>2709</v>
      </c>
      <c r="R230">
        <v>8</v>
      </c>
      <c r="S230" t="s">
        <v>2710</v>
      </c>
      <c r="T230" t="s">
        <v>2711</v>
      </c>
      <c r="U230" t="s">
        <v>2712</v>
      </c>
      <c r="V230">
        <v>1</v>
      </c>
      <c r="W230" t="s">
        <v>2735</v>
      </c>
      <c r="X230" t="s">
        <v>4488</v>
      </c>
      <c r="Z230" t="s">
        <v>2715</v>
      </c>
      <c r="AB230" t="s">
        <v>2716</v>
      </c>
      <c r="AC230" t="s">
        <v>2717</v>
      </c>
      <c r="AE230">
        <v>0</v>
      </c>
      <c r="AF230" t="s">
        <v>4489</v>
      </c>
      <c r="AH230" t="s">
        <v>76</v>
      </c>
      <c r="AI230">
        <v>46204</v>
      </c>
      <c r="AJ230">
        <v>7</v>
      </c>
      <c r="AK230" t="s">
        <v>4477</v>
      </c>
      <c r="AM230" t="s">
        <v>4478</v>
      </c>
      <c r="AN230" t="s">
        <v>2721</v>
      </c>
      <c r="AO230" t="s">
        <v>4490</v>
      </c>
      <c r="AP230">
        <v>9897</v>
      </c>
      <c r="AQ230" t="s">
        <v>4480</v>
      </c>
      <c r="AR230" t="s">
        <v>4481</v>
      </c>
      <c r="AS230">
        <v>144</v>
      </c>
      <c r="AT230" t="s">
        <v>4289</v>
      </c>
      <c r="AW230" t="str">
        <f>Plan_2026[[#This Row],[Tên brand]]&amp;" "&amp;Plan_2026[[#This Row],[Trục đường chính]]&amp;Plan_2026[[#This Row],[Tên mall
(chuẩn hóa)]]&amp;Plan_2026[[#This Row],[Địa chỉ đầy đủ]]</f>
        <v>Gogi House Cách Mạng Tháng 8</v>
      </c>
    </row>
    <row r="231" spans="1:49" hidden="1" x14ac:dyDescent="0.35">
      <c r="A231">
        <v>221</v>
      </c>
      <c r="B231" t="s">
        <v>2196</v>
      </c>
      <c r="C231" t="s">
        <v>4355</v>
      </c>
      <c r="D231" t="s">
        <v>3226</v>
      </c>
      <c r="E231">
        <v>2026</v>
      </c>
      <c r="F231">
        <v>1</v>
      </c>
      <c r="G231">
        <v>2</v>
      </c>
      <c r="H231">
        <v>6</v>
      </c>
      <c r="J231" t="s">
        <v>350</v>
      </c>
      <c r="K231" t="s">
        <v>2704</v>
      </c>
      <c r="L231" t="s">
        <v>3052</v>
      </c>
      <c r="M231" t="s">
        <v>3053</v>
      </c>
      <c r="N231" t="s">
        <v>3054</v>
      </c>
      <c r="O231" t="s">
        <v>4366</v>
      </c>
      <c r="P231" t="s">
        <v>4366</v>
      </c>
      <c r="Q231" t="s">
        <v>2709</v>
      </c>
      <c r="R231">
        <v>6</v>
      </c>
      <c r="S231" t="s">
        <v>2733</v>
      </c>
      <c r="T231" t="s">
        <v>2800</v>
      </c>
      <c r="U231" t="s">
        <v>2800</v>
      </c>
      <c r="V231">
        <v>1</v>
      </c>
      <c r="W231" t="s">
        <v>2713</v>
      </c>
      <c r="X231" t="s">
        <v>4366</v>
      </c>
      <c r="Z231" t="s">
        <v>2715</v>
      </c>
      <c r="AB231" t="s">
        <v>2857</v>
      </c>
      <c r="AC231" t="s">
        <v>2763</v>
      </c>
      <c r="AE231">
        <v>1</v>
      </c>
      <c r="AF231" t="s">
        <v>1788</v>
      </c>
      <c r="AH231" t="s">
        <v>4355</v>
      </c>
      <c r="AI231">
        <v>46054</v>
      </c>
      <c r="AJ231">
        <v>2</v>
      </c>
      <c r="AK231" t="s">
        <v>4491</v>
      </c>
      <c r="AM231" t="s">
        <v>4492</v>
      </c>
      <c r="AN231" t="s">
        <v>4361</v>
      </c>
      <c r="AO231" t="s">
        <v>4493</v>
      </c>
      <c r="AP231">
        <v>9696</v>
      </c>
      <c r="AQ231" t="s">
        <v>4494</v>
      </c>
      <c r="AR231" t="s">
        <v>4495</v>
      </c>
      <c r="AS231">
        <v>10</v>
      </c>
      <c r="AT231" t="s">
        <v>4496</v>
      </c>
      <c r="AW231" t="str">
        <f>Plan_2026[[#This Row],[Tên brand]]&amp;" "&amp;Plan_2026[[#This Row],[Trục đường chính]]&amp;Plan_2026[[#This Row],[Tên mall
(chuẩn hóa)]]&amp;Plan_2026[[#This Row],[Địa chỉ đầy đủ]]</f>
        <v>Flychef Nguyễn Thái Bình</v>
      </c>
    </row>
    <row r="232" spans="1:49" hidden="1" x14ac:dyDescent="0.35">
      <c r="A232">
        <v>222</v>
      </c>
      <c r="B232" t="s">
        <v>4497</v>
      </c>
      <c r="C232" t="s">
        <v>3225</v>
      </c>
      <c r="D232" t="s">
        <v>3226</v>
      </c>
      <c r="E232">
        <v>2026</v>
      </c>
      <c r="F232">
        <v>3</v>
      </c>
      <c r="G232">
        <v>7</v>
      </c>
      <c r="H232">
        <v>11</v>
      </c>
      <c r="J232" t="s">
        <v>350</v>
      </c>
      <c r="K232" t="s">
        <v>2704</v>
      </c>
      <c r="L232" t="s">
        <v>3052</v>
      </c>
      <c r="M232" t="s">
        <v>3053</v>
      </c>
      <c r="N232" t="s">
        <v>4498</v>
      </c>
      <c r="O232" t="s">
        <v>4499</v>
      </c>
      <c r="P232" t="s">
        <v>4500</v>
      </c>
      <c r="Q232" t="s">
        <v>2732</v>
      </c>
      <c r="R232" t="s">
        <v>2710</v>
      </c>
      <c r="S232" t="s">
        <v>2710</v>
      </c>
      <c r="T232" t="s">
        <v>3229</v>
      </c>
      <c r="U232" t="s">
        <v>3229</v>
      </c>
      <c r="V232">
        <v>1</v>
      </c>
      <c r="W232" t="s">
        <v>2735</v>
      </c>
      <c r="X232" t="s">
        <v>2282</v>
      </c>
      <c r="Y232" t="s">
        <v>2282</v>
      </c>
      <c r="Z232" t="s">
        <v>2715</v>
      </c>
      <c r="AB232" t="s">
        <v>2716</v>
      </c>
      <c r="AC232" t="s">
        <v>3232</v>
      </c>
      <c r="AE232">
        <v>0</v>
      </c>
      <c r="AF232" t="s">
        <v>4501</v>
      </c>
      <c r="AH232" t="s">
        <v>1319</v>
      </c>
      <c r="AI232">
        <v>46204</v>
      </c>
      <c r="AJ232">
        <v>7</v>
      </c>
      <c r="AK232" t="s">
        <v>4502</v>
      </c>
      <c r="AM232" t="s">
        <v>4503</v>
      </c>
      <c r="AN232" t="s">
        <v>3237</v>
      </c>
      <c r="AO232" t="s">
        <v>4504</v>
      </c>
      <c r="AP232">
        <v>8951</v>
      </c>
      <c r="AQ232" t="s">
        <v>4505</v>
      </c>
      <c r="AR232" t="s">
        <v>4506</v>
      </c>
      <c r="AS232">
        <v>3</v>
      </c>
      <c r="AT232" t="s">
        <v>3241</v>
      </c>
      <c r="AW232" t="str">
        <f>Plan_2026[[#This Row],[Tên brand]]&amp;" "&amp;Plan_2026[[#This Row],[Trục đường chính]]&amp;Plan_2026[[#This Row],[Tên mall
(chuẩn hóa)]]&amp;Plan_2026[[#This Row],[Địa chỉ đầy đủ]]</f>
        <v>Chix Max 240 - 242 đường Phạm Văn ĐồngGiga Mall</v>
      </c>
    </row>
    <row r="233" spans="1:49" hidden="1" x14ac:dyDescent="0.35">
      <c r="A233">
        <v>223</v>
      </c>
      <c r="B233" t="s">
        <v>2281</v>
      </c>
      <c r="C233" t="s">
        <v>4012</v>
      </c>
      <c r="D233" t="s">
        <v>4507</v>
      </c>
      <c r="E233">
        <v>2026</v>
      </c>
      <c r="F233">
        <v>2</v>
      </c>
      <c r="G233">
        <v>4</v>
      </c>
      <c r="H233">
        <v>8</v>
      </c>
      <c r="J233" t="s">
        <v>350</v>
      </c>
      <c r="K233" t="s">
        <v>2704</v>
      </c>
      <c r="L233" t="s">
        <v>3052</v>
      </c>
      <c r="M233" t="s">
        <v>3053</v>
      </c>
      <c r="N233" t="s">
        <v>4498</v>
      </c>
      <c r="O233" t="s">
        <v>4499</v>
      </c>
      <c r="P233" t="s">
        <v>4508</v>
      </c>
      <c r="Q233" t="s">
        <v>2732</v>
      </c>
      <c r="R233" t="s">
        <v>2751</v>
      </c>
      <c r="S233" t="s">
        <v>2751</v>
      </c>
      <c r="T233" t="s">
        <v>2790</v>
      </c>
      <c r="U233" t="s">
        <v>2790</v>
      </c>
      <c r="V233">
        <v>1</v>
      </c>
      <c r="W233" t="s">
        <v>2713</v>
      </c>
      <c r="X233" t="s">
        <v>4440</v>
      </c>
      <c r="Y233" t="s">
        <v>4440</v>
      </c>
      <c r="Z233" t="s">
        <v>4014</v>
      </c>
      <c r="AB233" t="s">
        <v>2716</v>
      </c>
      <c r="AC233" t="s">
        <v>2738</v>
      </c>
      <c r="AE233">
        <v>0</v>
      </c>
      <c r="AF233" t="s">
        <v>4509</v>
      </c>
      <c r="AH233" t="s">
        <v>1777</v>
      </c>
      <c r="AI233">
        <v>46113</v>
      </c>
      <c r="AJ233">
        <v>4</v>
      </c>
      <c r="AK233" t="s">
        <v>4502</v>
      </c>
      <c r="AM233" t="s">
        <v>4503</v>
      </c>
      <c r="AN233" t="s">
        <v>4015</v>
      </c>
      <c r="AO233" t="s">
        <v>4510</v>
      </c>
      <c r="AP233">
        <v>8951</v>
      </c>
      <c r="AQ233" t="s">
        <v>4505</v>
      </c>
      <c r="AR233" t="s">
        <v>4506</v>
      </c>
      <c r="AS233">
        <v>3</v>
      </c>
      <c r="AT233" t="s">
        <v>4511</v>
      </c>
      <c r="AW233" t="str">
        <f>Plan_2026[[#This Row],[Tên brand]]&amp;" "&amp;Plan_2026[[#This Row],[Trục đường chính]]&amp;Plan_2026[[#This Row],[Tên mall
(chuẩn hóa)]]&amp;Plan_2026[[#This Row],[Địa chỉ đầy đủ]]</f>
        <v>SushiX Phạm Văn ĐồngParc Mall Q8</v>
      </c>
    </row>
    <row r="234" spans="1:49" hidden="1" x14ac:dyDescent="0.35">
      <c r="A234">
        <v>224</v>
      </c>
      <c r="B234" t="s">
        <v>4512</v>
      </c>
      <c r="C234" t="s">
        <v>2849</v>
      </c>
      <c r="D234" t="s">
        <v>2850</v>
      </c>
      <c r="E234">
        <v>2026</v>
      </c>
      <c r="F234">
        <v>2</v>
      </c>
      <c r="G234">
        <v>6</v>
      </c>
      <c r="H234">
        <v>10</v>
      </c>
      <c r="J234" t="s">
        <v>350</v>
      </c>
      <c r="K234" t="s">
        <v>2704</v>
      </c>
      <c r="L234" t="s">
        <v>3052</v>
      </c>
      <c r="M234" t="s">
        <v>3053</v>
      </c>
      <c r="N234" t="s">
        <v>4498</v>
      </c>
      <c r="O234" t="s">
        <v>4499</v>
      </c>
      <c r="P234" t="s">
        <v>4500</v>
      </c>
      <c r="Q234" t="s">
        <v>2732</v>
      </c>
      <c r="R234" t="s">
        <v>2751</v>
      </c>
      <c r="S234" t="s">
        <v>2751</v>
      </c>
      <c r="T234" t="s">
        <v>2790</v>
      </c>
      <c r="U234" t="s">
        <v>2790</v>
      </c>
      <c r="V234">
        <v>1</v>
      </c>
      <c r="W234" t="s">
        <v>2735</v>
      </c>
      <c r="X234" t="s">
        <v>2282</v>
      </c>
      <c r="Y234" t="s">
        <v>2282</v>
      </c>
      <c r="Z234" t="s">
        <v>2715</v>
      </c>
      <c r="AB234" t="s">
        <v>2716</v>
      </c>
      <c r="AC234" t="s">
        <v>2778</v>
      </c>
      <c r="AE234">
        <v>0</v>
      </c>
      <c r="AF234" t="s">
        <v>4513</v>
      </c>
      <c r="AH234" t="s">
        <v>1771</v>
      </c>
      <c r="AI234">
        <v>46174</v>
      </c>
      <c r="AJ234">
        <v>6</v>
      </c>
      <c r="AK234" t="s">
        <v>4502</v>
      </c>
      <c r="AM234" t="s">
        <v>4503</v>
      </c>
      <c r="AN234" t="s">
        <v>2862</v>
      </c>
      <c r="AO234" t="s">
        <v>4514</v>
      </c>
      <c r="AP234">
        <v>8951</v>
      </c>
      <c r="AQ234" t="s">
        <v>4505</v>
      </c>
      <c r="AR234" t="s">
        <v>4506</v>
      </c>
      <c r="AS234">
        <v>2</v>
      </c>
      <c r="AT234" t="s">
        <v>2866</v>
      </c>
      <c r="AW234" t="str">
        <f>Plan_2026[[#This Row],[Tên brand]]&amp;" "&amp;Plan_2026[[#This Row],[Trục đường chính]]&amp;Plan_2026[[#This Row],[Tên mall
(chuẩn hóa)]]&amp;Plan_2026[[#This Row],[Địa chỉ đầy đủ]]</f>
        <v>Wow!Yakiniku 240 - 242 đường Phạm Văn ĐồngGiga Mall</v>
      </c>
    </row>
    <row r="235" spans="1:49" hidden="1" x14ac:dyDescent="0.35">
      <c r="A235">
        <v>225</v>
      </c>
      <c r="B235" t="s">
        <v>2597</v>
      </c>
      <c r="C235" t="s">
        <v>2787</v>
      </c>
      <c r="D235" t="s">
        <v>3111</v>
      </c>
      <c r="E235">
        <v>2026</v>
      </c>
      <c r="F235">
        <v>2</v>
      </c>
      <c r="G235">
        <v>6</v>
      </c>
      <c r="H235">
        <v>10</v>
      </c>
      <c r="J235" t="s">
        <v>350</v>
      </c>
      <c r="K235" t="s">
        <v>2704</v>
      </c>
      <c r="L235" t="s">
        <v>3052</v>
      </c>
      <c r="M235" t="s">
        <v>3053</v>
      </c>
      <c r="N235" t="s">
        <v>4498</v>
      </c>
      <c r="O235" t="s">
        <v>4499</v>
      </c>
      <c r="P235" t="s">
        <v>2598</v>
      </c>
      <c r="Q235" t="s">
        <v>2732</v>
      </c>
      <c r="R235" t="s">
        <v>2710</v>
      </c>
      <c r="S235" t="s">
        <v>2710</v>
      </c>
      <c r="T235" t="s">
        <v>3229</v>
      </c>
      <c r="U235" t="s">
        <v>3229</v>
      </c>
      <c r="V235">
        <v>1</v>
      </c>
      <c r="W235" t="s">
        <v>2713</v>
      </c>
      <c r="X235" t="s">
        <v>2282</v>
      </c>
      <c r="Y235" t="s">
        <v>2282</v>
      </c>
      <c r="Z235">
        <v>132</v>
      </c>
      <c r="AB235" t="s">
        <v>2716</v>
      </c>
      <c r="AC235" t="s">
        <v>2738</v>
      </c>
      <c r="AE235">
        <v>0</v>
      </c>
      <c r="AH235" t="s">
        <v>1788</v>
      </c>
      <c r="AI235">
        <v>46174</v>
      </c>
      <c r="AJ235">
        <v>6</v>
      </c>
      <c r="AK235" t="s">
        <v>4502</v>
      </c>
      <c r="AM235" t="s">
        <v>4503</v>
      </c>
      <c r="AN235" t="s">
        <v>2804</v>
      </c>
      <c r="AO235" t="s">
        <v>4515</v>
      </c>
      <c r="AP235">
        <v>8951</v>
      </c>
      <c r="AQ235" t="s">
        <v>4505</v>
      </c>
      <c r="AR235" t="s">
        <v>4506</v>
      </c>
      <c r="AS235">
        <v>81</v>
      </c>
      <c r="AT235" t="s">
        <v>4516</v>
      </c>
      <c r="AW235" t="str">
        <f>Plan_2026[[#This Row],[Tên brand]]&amp;" "&amp;Plan_2026[[#This Row],[Trục đường chính]]&amp;Plan_2026[[#This Row],[Tên mall
(chuẩn hóa)]]&amp;Plan_2026[[#This Row],[Địa chỉ đầy đủ]]</f>
        <v>The Coffee House 240 - 242 Phạm Văn ĐồngGiga Mall</v>
      </c>
    </row>
    <row r="236" spans="1:49" hidden="1" x14ac:dyDescent="0.35">
      <c r="A236">
        <v>226</v>
      </c>
      <c r="B236" t="s">
        <v>2553</v>
      </c>
      <c r="C236" t="s">
        <v>2787</v>
      </c>
      <c r="D236" t="s">
        <v>3111</v>
      </c>
      <c r="E236">
        <v>2026</v>
      </c>
      <c r="F236">
        <v>1</v>
      </c>
      <c r="G236">
        <v>3</v>
      </c>
      <c r="H236">
        <v>7</v>
      </c>
      <c r="J236" t="s">
        <v>350</v>
      </c>
      <c r="K236" t="s">
        <v>2704</v>
      </c>
      <c r="L236" t="s">
        <v>3052</v>
      </c>
      <c r="M236" t="s">
        <v>3053</v>
      </c>
      <c r="N236" t="s">
        <v>2238</v>
      </c>
      <c r="O236" t="s">
        <v>4517</v>
      </c>
      <c r="P236" t="s">
        <v>4518</v>
      </c>
      <c r="Q236" t="s">
        <v>2709</v>
      </c>
      <c r="R236" t="s">
        <v>2751</v>
      </c>
      <c r="S236" t="s">
        <v>2751</v>
      </c>
      <c r="T236" t="s">
        <v>2790</v>
      </c>
      <c r="U236" t="s">
        <v>2790</v>
      </c>
      <c r="V236">
        <v>1</v>
      </c>
      <c r="W236" t="s">
        <v>2713</v>
      </c>
      <c r="Z236">
        <v>132</v>
      </c>
      <c r="AB236" t="s">
        <v>2716</v>
      </c>
      <c r="AC236" t="s">
        <v>2738</v>
      </c>
      <c r="AE236">
        <v>0</v>
      </c>
      <c r="AF236" t="s">
        <v>4519</v>
      </c>
      <c r="AH236" t="s">
        <v>1788</v>
      </c>
      <c r="AI236">
        <v>46082</v>
      </c>
      <c r="AJ236">
        <v>3</v>
      </c>
      <c r="AK236" t="s">
        <v>4520</v>
      </c>
      <c r="AM236" t="s">
        <v>4521</v>
      </c>
      <c r="AN236" t="s">
        <v>2793</v>
      </c>
      <c r="AO236" t="s">
        <v>4522</v>
      </c>
      <c r="AP236">
        <v>8894</v>
      </c>
      <c r="AQ236" t="s">
        <v>4523</v>
      </c>
      <c r="AR236" t="s">
        <v>4524</v>
      </c>
      <c r="AS236">
        <v>81</v>
      </c>
      <c r="AT236" t="s">
        <v>4516</v>
      </c>
      <c r="AW236" t="str">
        <f>Plan_2026[[#This Row],[Tên brand]]&amp;" "&amp;Plan_2026[[#This Row],[Trục đường chính]]&amp;Plan_2026[[#This Row],[Tên mall
(chuẩn hóa)]]&amp;Plan_2026[[#This Row],[Địa chỉ đầy đủ]]</f>
        <v>The Coffee House Hoàng Diệu</v>
      </c>
    </row>
    <row r="237" spans="1:49" hidden="1" x14ac:dyDescent="0.35">
      <c r="A237">
        <v>227</v>
      </c>
      <c r="B237" t="s">
        <v>2581</v>
      </c>
      <c r="C237" t="s">
        <v>2787</v>
      </c>
      <c r="D237" t="s">
        <v>3111</v>
      </c>
      <c r="E237">
        <v>2026</v>
      </c>
      <c r="F237">
        <v>2</v>
      </c>
      <c r="G237">
        <v>5</v>
      </c>
      <c r="H237">
        <v>9</v>
      </c>
      <c r="J237" t="s">
        <v>350</v>
      </c>
      <c r="K237" t="s">
        <v>2704</v>
      </c>
      <c r="L237" t="s">
        <v>3052</v>
      </c>
      <c r="M237" t="s">
        <v>3053</v>
      </c>
      <c r="N237" t="s">
        <v>2238</v>
      </c>
      <c r="O237" t="s">
        <v>4517</v>
      </c>
      <c r="P237" t="s">
        <v>2582</v>
      </c>
      <c r="Q237" t="s">
        <v>2810</v>
      </c>
      <c r="R237" t="s">
        <v>2710</v>
      </c>
      <c r="S237" t="s">
        <v>2710</v>
      </c>
      <c r="T237" t="s">
        <v>2800</v>
      </c>
      <c r="U237" t="s">
        <v>2800</v>
      </c>
      <c r="V237">
        <v>1</v>
      </c>
      <c r="W237" t="s">
        <v>2713</v>
      </c>
      <c r="X237" t="s">
        <v>4525</v>
      </c>
      <c r="Z237">
        <v>132</v>
      </c>
      <c r="AA237" t="s">
        <v>4088</v>
      </c>
      <c r="AB237" t="s">
        <v>2716</v>
      </c>
      <c r="AC237" t="s">
        <v>2738</v>
      </c>
      <c r="AE237">
        <v>0</v>
      </c>
      <c r="AF237" t="s">
        <v>4526</v>
      </c>
      <c r="AH237" t="s">
        <v>1788</v>
      </c>
      <c r="AI237">
        <v>46143</v>
      </c>
      <c r="AJ237">
        <v>5</v>
      </c>
      <c r="AK237" t="s">
        <v>4520</v>
      </c>
      <c r="AM237" t="s">
        <v>4521</v>
      </c>
      <c r="AN237" t="s">
        <v>2814</v>
      </c>
      <c r="AO237" t="s">
        <v>4522</v>
      </c>
      <c r="AP237">
        <v>8894</v>
      </c>
      <c r="AQ237" t="s">
        <v>4523</v>
      </c>
      <c r="AR237" t="s">
        <v>4524</v>
      </c>
      <c r="AS237">
        <v>81</v>
      </c>
      <c r="AT237" t="s">
        <v>4516</v>
      </c>
      <c r="AW237" t="str">
        <f>Plan_2026[[#This Row],[Tên brand]]&amp;" "&amp;Plan_2026[[#This Row],[Trục đường chính]]&amp;Plan_2026[[#This Row],[Tên mall
(chuẩn hóa)]]&amp;Plan_2026[[#This Row],[Địa chỉ đầy đủ]]</f>
        <v>The Coffee House Đoàn Văn Bơ</v>
      </c>
    </row>
    <row r="238" spans="1:49" hidden="1" x14ac:dyDescent="0.35">
      <c r="A238">
        <v>298</v>
      </c>
      <c r="B238" t="s">
        <v>2629</v>
      </c>
      <c r="C238" t="s">
        <v>2702</v>
      </c>
      <c r="D238" t="s">
        <v>3051</v>
      </c>
      <c r="E238">
        <v>2025</v>
      </c>
      <c r="F238">
        <v>4</v>
      </c>
      <c r="G238">
        <v>11</v>
      </c>
      <c r="H238">
        <v>3</v>
      </c>
      <c r="J238" t="s">
        <v>350</v>
      </c>
      <c r="K238" t="s">
        <v>2704</v>
      </c>
      <c r="L238" t="s">
        <v>3052</v>
      </c>
      <c r="M238" t="s">
        <v>3053</v>
      </c>
      <c r="N238" t="s">
        <v>4452</v>
      </c>
      <c r="O238" t="s">
        <v>4527</v>
      </c>
      <c r="P238" t="s">
        <v>4528</v>
      </c>
      <c r="Q238" t="s">
        <v>2732</v>
      </c>
      <c r="R238">
        <v>6</v>
      </c>
      <c r="S238" t="s">
        <v>2733</v>
      </c>
      <c r="T238" t="s">
        <v>2973</v>
      </c>
      <c r="U238" t="s">
        <v>2712</v>
      </c>
      <c r="V238">
        <v>1</v>
      </c>
      <c r="W238" t="s">
        <v>2713</v>
      </c>
      <c r="X238" t="s">
        <v>4529</v>
      </c>
      <c r="Y238" t="s">
        <v>4529</v>
      </c>
      <c r="Z238" t="s">
        <v>2715</v>
      </c>
      <c r="AB238" t="s">
        <v>1794</v>
      </c>
      <c r="AC238" t="s">
        <v>2763</v>
      </c>
      <c r="AE238">
        <v>1</v>
      </c>
      <c r="AF238" t="s">
        <v>4530</v>
      </c>
      <c r="AH238" t="s">
        <v>76</v>
      </c>
      <c r="AI238">
        <v>45962</v>
      </c>
      <c r="AJ238">
        <v>11</v>
      </c>
      <c r="AK238" t="s">
        <v>4531</v>
      </c>
      <c r="AM238" t="s">
        <v>4532</v>
      </c>
      <c r="AN238" t="s">
        <v>2979</v>
      </c>
      <c r="AO238" t="s">
        <v>4533</v>
      </c>
      <c r="AP238">
        <v>9303</v>
      </c>
      <c r="AQ238" t="s">
        <v>4534</v>
      </c>
      <c r="AR238" t="s">
        <v>4535</v>
      </c>
      <c r="AS238">
        <v>144</v>
      </c>
      <c r="AT238" t="s">
        <v>4536</v>
      </c>
      <c r="AW238" t="str">
        <f>Plan_2026[[#This Row],[Tên brand]]&amp;" "&amp;Plan_2026[[#This Row],[Trục đường chính]]&amp;Plan_2026[[#This Row],[Tên mall
(chuẩn hóa)]]&amp;Plan_2026[[#This Row],[Địa chỉ đầy đủ]]</f>
        <v>Gogi House 190 Hồng BàngThe Garden Mall</v>
      </c>
    </row>
    <row r="239" spans="1:49" hidden="1" x14ac:dyDescent="0.35">
      <c r="A239">
        <v>229</v>
      </c>
      <c r="B239" t="s">
        <v>1844</v>
      </c>
      <c r="C239" t="s">
        <v>2135</v>
      </c>
      <c r="D239" t="s">
        <v>3327</v>
      </c>
      <c r="E239">
        <v>2025</v>
      </c>
      <c r="F239">
        <v>4</v>
      </c>
      <c r="G239">
        <v>12</v>
      </c>
      <c r="H239">
        <v>4</v>
      </c>
      <c r="J239" t="s">
        <v>350</v>
      </c>
      <c r="K239" t="s">
        <v>2704</v>
      </c>
      <c r="L239" t="s">
        <v>3052</v>
      </c>
      <c r="M239" t="s">
        <v>3053</v>
      </c>
      <c r="N239" t="s">
        <v>4338</v>
      </c>
      <c r="O239" t="s">
        <v>2760</v>
      </c>
      <c r="P239" t="s">
        <v>4537</v>
      </c>
      <c r="Q239" t="s">
        <v>2709</v>
      </c>
      <c r="R239" t="s">
        <v>3356</v>
      </c>
      <c r="S239" t="s">
        <v>3357</v>
      </c>
      <c r="T239" t="s">
        <v>2790</v>
      </c>
      <c r="U239" t="s">
        <v>2790</v>
      </c>
      <c r="V239">
        <v>1</v>
      </c>
      <c r="W239" t="s">
        <v>2735</v>
      </c>
      <c r="Z239" t="s">
        <v>3331</v>
      </c>
      <c r="AB239" t="s">
        <v>1794</v>
      </c>
      <c r="AC239" t="s">
        <v>2778</v>
      </c>
      <c r="AE239">
        <v>0</v>
      </c>
      <c r="AF239" t="s">
        <v>4254</v>
      </c>
      <c r="AH239" t="s">
        <v>1446</v>
      </c>
      <c r="AI239">
        <v>45992</v>
      </c>
      <c r="AJ239">
        <v>12</v>
      </c>
      <c r="AK239" t="s">
        <v>4538</v>
      </c>
      <c r="AM239" t="s">
        <v>4539</v>
      </c>
      <c r="AN239" t="s">
        <v>3361</v>
      </c>
      <c r="AO239" t="s">
        <v>4540</v>
      </c>
      <c r="AP239">
        <v>11446</v>
      </c>
      <c r="AQ239" t="s">
        <v>4541</v>
      </c>
      <c r="AR239" t="s">
        <v>4542</v>
      </c>
      <c r="AS239">
        <v>16</v>
      </c>
      <c r="AT239" t="s">
        <v>4543</v>
      </c>
      <c r="AW239" t="str">
        <f>Plan_2026[[#This Row],[Tên brand]]&amp;" "&amp;Plan_2026[[#This Row],[Trục đường chính]]&amp;Plan_2026[[#This Row],[Tên mall
(chuẩn hóa)]]&amp;Plan_2026[[#This Row],[Địa chỉ đầy đủ]]</f>
        <v>Universal Tea 45 Duong So 5 - Cu xa Binh Thoi</v>
      </c>
    </row>
    <row r="240" spans="1:49" hidden="1" x14ac:dyDescent="0.35">
      <c r="A240">
        <v>230</v>
      </c>
      <c r="B240" t="s">
        <v>2615</v>
      </c>
      <c r="C240" t="s">
        <v>2787</v>
      </c>
      <c r="D240" t="s">
        <v>3111</v>
      </c>
      <c r="E240">
        <v>2026</v>
      </c>
      <c r="F240">
        <v>2</v>
      </c>
      <c r="G240">
        <v>4</v>
      </c>
      <c r="H240">
        <v>8</v>
      </c>
      <c r="J240" t="s">
        <v>350</v>
      </c>
      <c r="K240" t="s">
        <v>2704</v>
      </c>
      <c r="L240" t="s">
        <v>3052</v>
      </c>
      <c r="M240" t="s">
        <v>3053</v>
      </c>
      <c r="N240" t="s">
        <v>4544</v>
      </c>
      <c r="O240" t="s">
        <v>4545</v>
      </c>
      <c r="P240" t="s">
        <v>2616</v>
      </c>
      <c r="Q240" t="s">
        <v>2709</v>
      </c>
      <c r="R240" t="s">
        <v>2751</v>
      </c>
      <c r="S240" t="s">
        <v>2751</v>
      </c>
      <c r="T240" t="s">
        <v>2790</v>
      </c>
      <c r="U240" t="s">
        <v>2790</v>
      </c>
      <c r="V240">
        <v>1</v>
      </c>
      <c r="W240" t="s">
        <v>2735</v>
      </c>
      <c r="Z240">
        <v>132</v>
      </c>
      <c r="AB240" t="s">
        <v>2716</v>
      </c>
      <c r="AC240" t="s">
        <v>2738</v>
      </c>
      <c r="AE240">
        <v>0</v>
      </c>
      <c r="AH240" t="s">
        <v>1788</v>
      </c>
      <c r="AI240">
        <v>46113</v>
      </c>
      <c r="AJ240">
        <v>4</v>
      </c>
      <c r="AK240" t="s">
        <v>4546</v>
      </c>
      <c r="AM240" t="s">
        <v>4547</v>
      </c>
      <c r="AN240" t="s">
        <v>2793</v>
      </c>
      <c r="AO240" t="s">
        <v>4548</v>
      </c>
      <c r="AP240">
        <v>5967</v>
      </c>
      <c r="AQ240" t="s">
        <v>4549</v>
      </c>
      <c r="AR240" t="s">
        <v>4550</v>
      </c>
      <c r="AS240">
        <v>81</v>
      </c>
      <c r="AT240" t="s">
        <v>3646</v>
      </c>
      <c r="AW240" t="str">
        <f>Plan_2026[[#This Row],[Tên brand]]&amp;" "&amp;Plan_2026[[#This Row],[Trục đường chính]]&amp;Plan_2026[[#This Row],[Tên mall
(chuẩn hóa)]]&amp;Plan_2026[[#This Row],[Địa chỉ đầy đủ]]</f>
        <v>The Coffee House Tô Ký</v>
      </c>
    </row>
    <row r="241" spans="1:49" hidden="1" x14ac:dyDescent="0.35">
      <c r="A241">
        <v>231</v>
      </c>
      <c r="B241" t="s">
        <v>2431</v>
      </c>
      <c r="C241" t="s">
        <v>3225</v>
      </c>
      <c r="D241" t="s">
        <v>3226</v>
      </c>
      <c r="E241">
        <v>2026</v>
      </c>
      <c r="F241">
        <v>3</v>
      </c>
      <c r="G241">
        <v>7</v>
      </c>
      <c r="H241">
        <v>11</v>
      </c>
      <c r="J241" t="s">
        <v>350</v>
      </c>
      <c r="K241" t="s">
        <v>2704</v>
      </c>
      <c r="L241" t="s">
        <v>3052</v>
      </c>
      <c r="M241" t="s">
        <v>3053</v>
      </c>
      <c r="N241" t="s">
        <v>4551</v>
      </c>
      <c r="O241" t="s">
        <v>4552</v>
      </c>
      <c r="P241" t="s">
        <v>4553</v>
      </c>
      <c r="Q241" t="s">
        <v>2732</v>
      </c>
      <c r="R241" t="s">
        <v>2710</v>
      </c>
      <c r="S241" t="s">
        <v>2710</v>
      </c>
      <c r="T241" t="s">
        <v>3229</v>
      </c>
      <c r="U241" t="s">
        <v>3229</v>
      </c>
      <c r="V241">
        <v>1</v>
      </c>
      <c r="W241" t="s">
        <v>2713</v>
      </c>
      <c r="X241" t="s">
        <v>4554</v>
      </c>
      <c r="Y241" t="s">
        <v>4554</v>
      </c>
      <c r="Z241" t="s">
        <v>2715</v>
      </c>
      <c r="AB241" t="s">
        <v>2716</v>
      </c>
      <c r="AC241" t="s">
        <v>3232</v>
      </c>
      <c r="AE241">
        <v>0</v>
      </c>
      <c r="AF241" t="s">
        <v>4555</v>
      </c>
      <c r="AH241" t="s">
        <v>1319</v>
      </c>
      <c r="AI241">
        <v>46204</v>
      </c>
      <c r="AJ241">
        <v>7</v>
      </c>
      <c r="AK241" t="s">
        <v>4556</v>
      </c>
      <c r="AM241" t="s">
        <v>4557</v>
      </c>
      <c r="AN241" t="s">
        <v>3237</v>
      </c>
      <c r="AO241" t="s">
        <v>4558</v>
      </c>
      <c r="AP241">
        <v>5770</v>
      </c>
      <c r="AQ241" t="s">
        <v>4559</v>
      </c>
      <c r="AR241" t="s">
        <v>4560</v>
      </c>
      <c r="AS241">
        <v>3</v>
      </c>
      <c r="AT241" t="s">
        <v>3241</v>
      </c>
      <c r="AW241" t="str">
        <f>Plan_2026[[#This Row],[Tên brand]]&amp;" "&amp;Plan_2026[[#This Row],[Trục đường chính]]&amp;Plan_2026[[#This Row],[Tên mall
(chuẩn hóa)]]&amp;Plan_2026[[#This Row],[Địa chỉ đầy đủ]]</f>
        <v>Chix Max 161 Võ Nguyên GiápVincom Mega Mall Thảo Điền</v>
      </c>
    </row>
    <row r="242" spans="1:49" hidden="1" x14ac:dyDescent="0.35">
      <c r="A242">
        <v>232</v>
      </c>
      <c r="B242" t="s">
        <v>4561</v>
      </c>
      <c r="C242" t="s">
        <v>4055</v>
      </c>
      <c r="D242" t="s">
        <v>3209</v>
      </c>
      <c r="E242">
        <v>2026</v>
      </c>
      <c r="F242">
        <v>3</v>
      </c>
      <c r="G242">
        <v>7</v>
      </c>
      <c r="H242">
        <v>11</v>
      </c>
      <c r="J242" t="s">
        <v>350</v>
      </c>
      <c r="K242" t="s">
        <v>2704</v>
      </c>
      <c r="L242" t="s">
        <v>3052</v>
      </c>
      <c r="M242" t="s">
        <v>3053</v>
      </c>
      <c r="N242" t="s">
        <v>4551</v>
      </c>
      <c r="O242" t="s">
        <v>4552</v>
      </c>
      <c r="P242" t="s">
        <v>2505</v>
      </c>
      <c r="Q242" t="s">
        <v>2709</v>
      </c>
      <c r="R242" t="s">
        <v>2710</v>
      </c>
      <c r="S242" t="s">
        <v>2710</v>
      </c>
      <c r="T242" t="s">
        <v>2973</v>
      </c>
      <c r="U242" t="s">
        <v>2712</v>
      </c>
      <c r="V242">
        <v>1</v>
      </c>
      <c r="W242" t="s">
        <v>2735</v>
      </c>
      <c r="Z242" t="s">
        <v>4056</v>
      </c>
      <c r="AA242" t="s">
        <v>4057</v>
      </c>
      <c r="AB242" t="s">
        <v>2716</v>
      </c>
      <c r="AC242" t="s">
        <v>2738</v>
      </c>
      <c r="AE242">
        <v>0</v>
      </c>
      <c r="AF242" t="s">
        <v>4562</v>
      </c>
      <c r="AH242" t="s">
        <v>4058</v>
      </c>
      <c r="AI242">
        <v>46204</v>
      </c>
      <c r="AJ242">
        <v>7</v>
      </c>
      <c r="AK242" t="s">
        <v>4556</v>
      </c>
      <c r="AM242" t="s">
        <v>4557</v>
      </c>
      <c r="AN242" t="s">
        <v>4059</v>
      </c>
      <c r="AO242" t="s">
        <v>4563</v>
      </c>
      <c r="AP242">
        <v>5770</v>
      </c>
      <c r="AQ242" t="s">
        <v>4559</v>
      </c>
      <c r="AR242" t="s">
        <v>4560</v>
      </c>
      <c r="AS242">
        <v>3</v>
      </c>
      <c r="AT242" t="s">
        <v>4017</v>
      </c>
      <c r="AW242" t="str">
        <f>Plan_2026[[#This Row],[Tên brand]]&amp;" "&amp;Plan_2026[[#This Row],[Trục đường chính]]&amp;Plan_2026[[#This Row],[Tên mall
(chuẩn hóa)]]&amp;Plan_2026[[#This Row],[Địa chỉ đầy đủ]]</f>
        <v>Sakura Yakiniku Võ Nguyên Giáp</v>
      </c>
    </row>
    <row r="243" spans="1:49" hidden="1" x14ac:dyDescent="0.35">
      <c r="A243">
        <v>233</v>
      </c>
      <c r="B243" t="s">
        <v>2308</v>
      </c>
      <c r="C243" t="s">
        <v>3861</v>
      </c>
      <c r="D243" t="s">
        <v>3862</v>
      </c>
      <c r="E243">
        <v>2025</v>
      </c>
      <c r="F243">
        <v>4</v>
      </c>
      <c r="G243">
        <v>12</v>
      </c>
      <c r="H243">
        <v>4</v>
      </c>
      <c r="J243" t="s">
        <v>350</v>
      </c>
      <c r="K243" t="s">
        <v>2704</v>
      </c>
      <c r="L243" t="s">
        <v>3052</v>
      </c>
      <c r="M243" t="s">
        <v>3053</v>
      </c>
      <c r="N243" t="s">
        <v>4551</v>
      </c>
      <c r="O243" t="s">
        <v>4552</v>
      </c>
      <c r="P243" t="s">
        <v>4564</v>
      </c>
      <c r="Q243" t="s">
        <v>2732</v>
      </c>
      <c r="R243" t="s">
        <v>2751</v>
      </c>
      <c r="S243" t="s">
        <v>2751</v>
      </c>
      <c r="T243" t="s">
        <v>2762</v>
      </c>
      <c r="U243" t="s">
        <v>2762</v>
      </c>
      <c r="V243">
        <v>1</v>
      </c>
      <c r="W243" t="s">
        <v>2713</v>
      </c>
      <c r="X243" t="s">
        <v>4554</v>
      </c>
      <c r="Y243" t="s">
        <v>4554</v>
      </c>
      <c r="Z243" t="s">
        <v>2715</v>
      </c>
      <c r="AB243" t="s">
        <v>2716</v>
      </c>
      <c r="AC243" t="s">
        <v>3232</v>
      </c>
      <c r="AE243">
        <v>0</v>
      </c>
      <c r="AF243" t="s">
        <v>3864</v>
      </c>
      <c r="AH243" t="s">
        <v>301</v>
      </c>
      <c r="AI243">
        <v>45992</v>
      </c>
      <c r="AJ243">
        <v>12</v>
      </c>
      <c r="AK243" t="s">
        <v>4556</v>
      </c>
      <c r="AM243" t="s">
        <v>4557</v>
      </c>
      <c r="AN243" t="s">
        <v>3866</v>
      </c>
      <c r="AO243" t="s">
        <v>4565</v>
      </c>
      <c r="AP243">
        <v>5770</v>
      </c>
      <c r="AQ243" t="s">
        <v>4559</v>
      </c>
      <c r="AR243" t="s">
        <v>4560</v>
      </c>
      <c r="AS243">
        <v>14</v>
      </c>
      <c r="AT243" t="s">
        <v>4566</v>
      </c>
      <c r="AW243" t="str">
        <f>Plan_2026[[#This Row],[Tên brand]]&amp;" "&amp;Plan_2026[[#This Row],[Trục đường chính]]&amp;Plan_2026[[#This Row],[Tên mall
(chuẩn hóa)]]&amp;Plan_2026[[#This Row],[Địa chỉ đầy đủ]]</f>
        <v>Lách ca lách cách 161 Xa lộ Hà NộiVincom Mega Mall Thảo Điền</v>
      </c>
    </row>
    <row r="244" spans="1:49" hidden="1" x14ac:dyDescent="0.35">
      <c r="A244">
        <v>234</v>
      </c>
      <c r="B244" t="s">
        <v>2504</v>
      </c>
      <c r="C244" t="s">
        <v>2787</v>
      </c>
      <c r="D244" t="s">
        <v>3111</v>
      </c>
      <c r="E244">
        <v>2026</v>
      </c>
      <c r="F244">
        <v>1</v>
      </c>
      <c r="G244">
        <v>1</v>
      </c>
      <c r="H244">
        <v>5</v>
      </c>
      <c r="J244" t="s">
        <v>350</v>
      </c>
      <c r="K244" t="s">
        <v>2704</v>
      </c>
      <c r="L244" t="s">
        <v>3052</v>
      </c>
      <c r="M244" t="s">
        <v>3053</v>
      </c>
      <c r="N244" t="s">
        <v>4551</v>
      </c>
      <c r="O244" t="s">
        <v>4552</v>
      </c>
      <c r="P244" t="s">
        <v>2505</v>
      </c>
      <c r="Q244" t="s">
        <v>2732</v>
      </c>
      <c r="R244" t="s">
        <v>2710</v>
      </c>
      <c r="S244" t="s">
        <v>2710</v>
      </c>
      <c r="T244" t="s">
        <v>3229</v>
      </c>
      <c r="U244" t="s">
        <v>3229</v>
      </c>
      <c r="V244">
        <v>1</v>
      </c>
      <c r="W244" t="s">
        <v>2713</v>
      </c>
      <c r="X244" t="s">
        <v>4554</v>
      </c>
      <c r="Y244" t="s">
        <v>4554</v>
      </c>
      <c r="Z244">
        <v>132</v>
      </c>
      <c r="AB244" t="s">
        <v>2716</v>
      </c>
      <c r="AC244" t="s">
        <v>2738</v>
      </c>
      <c r="AE244">
        <v>0</v>
      </c>
      <c r="AH244" t="s">
        <v>1788</v>
      </c>
      <c r="AI244">
        <v>46023</v>
      </c>
      <c r="AJ244">
        <v>1</v>
      </c>
      <c r="AK244" t="s">
        <v>4556</v>
      </c>
      <c r="AM244" t="s">
        <v>4557</v>
      </c>
      <c r="AN244" t="s">
        <v>2804</v>
      </c>
      <c r="AO244" t="s">
        <v>4567</v>
      </c>
      <c r="AP244">
        <v>5770</v>
      </c>
      <c r="AQ244" t="s">
        <v>4559</v>
      </c>
      <c r="AR244" t="s">
        <v>4560</v>
      </c>
      <c r="AS244">
        <v>81</v>
      </c>
      <c r="AT244" t="s">
        <v>2924</v>
      </c>
      <c r="AW244" t="str">
        <f>Plan_2026[[#This Row],[Tên brand]]&amp;" "&amp;Plan_2026[[#This Row],[Trục đường chính]]&amp;Plan_2026[[#This Row],[Tên mall
(chuẩn hóa)]]&amp;Plan_2026[[#This Row],[Địa chỉ đầy đủ]]</f>
        <v>The Coffee House Võ Nguyên GiápVincom Mega Mall Thảo Điền</v>
      </c>
    </row>
    <row r="245" spans="1:49" hidden="1" x14ac:dyDescent="0.35">
      <c r="A245">
        <v>235</v>
      </c>
      <c r="B245" t="s">
        <v>4568</v>
      </c>
      <c r="C245" t="s">
        <v>2008</v>
      </c>
      <c r="D245" t="s">
        <v>2728</v>
      </c>
      <c r="E245">
        <v>2026</v>
      </c>
      <c r="F245">
        <v>3</v>
      </c>
      <c r="G245">
        <v>7</v>
      </c>
      <c r="H245">
        <v>11</v>
      </c>
      <c r="J245" t="s">
        <v>350</v>
      </c>
      <c r="K245" t="s">
        <v>2704</v>
      </c>
      <c r="L245" t="s">
        <v>3052</v>
      </c>
      <c r="M245" t="s">
        <v>3053</v>
      </c>
      <c r="N245" t="s">
        <v>4569</v>
      </c>
      <c r="O245" t="s">
        <v>4570</v>
      </c>
      <c r="P245" t="s">
        <v>4571</v>
      </c>
      <c r="Q245" t="s">
        <v>2709</v>
      </c>
      <c r="R245" t="s">
        <v>2751</v>
      </c>
      <c r="S245" t="s">
        <v>2751</v>
      </c>
      <c r="T245" t="s">
        <v>2712</v>
      </c>
      <c r="U245" t="s">
        <v>2712</v>
      </c>
      <c r="V245">
        <v>1</v>
      </c>
      <c r="W245" t="s">
        <v>2735</v>
      </c>
      <c r="X245" t="s">
        <v>4571</v>
      </c>
      <c r="Z245">
        <v>160</v>
      </c>
      <c r="AB245" t="s">
        <v>2716</v>
      </c>
      <c r="AC245" t="s">
        <v>2763</v>
      </c>
      <c r="AE245">
        <v>1</v>
      </c>
      <c r="AH245" t="s">
        <v>2044</v>
      </c>
      <c r="AI245">
        <v>46204</v>
      </c>
      <c r="AJ245">
        <v>7</v>
      </c>
      <c r="AK245" t="s">
        <v>4572</v>
      </c>
      <c r="AM245" t="s">
        <v>4573</v>
      </c>
      <c r="AN245" t="s">
        <v>2767</v>
      </c>
      <c r="AO245" t="s">
        <v>4574</v>
      </c>
      <c r="AP245">
        <v>4881</v>
      </c>
      <c r="AQ245" t="s">
        <v>4575</v>
      </c>
      <c r="AR245" t="s">
        <v>4576</v>
      </c>
      <c r="AS245">
        <v>6</v>
      </c>
      <c r="AT245" t="s">
        <v>2771</v>
      </c>
      <c r="AW245" t="str">
        <f>Plan_2026[[#This Row],[Tên brand]]&amp;" "&amp;Plan_2026[[#This Row],[Trục đường chính]]&amp;Plan_2026[[#This Row],[Tên mall
(chuẩn hóa)]]&amp;Plan_2026[[#This Row],[Địa chỉ đầy đủ]]</f>
        <v>Dao Niu Guo 108 đường số 7</v>
      </c>
    </row>
    <row r="246" spans="1:49" hidden="1" x14ac:dyDescent="0.35">
      <c r="A246">
        <v>236</v>
      </c>
      <c r="B246" t="s">
        <v>2631</v>
      </c>
      <c r="C246" t="s">
        <v>2772</v>
      </c>
      <c r="D246" t="s">
        <v>2868</v>
      </c>
      <c r="E246">
        <v>2025</v>
      </c>
      <c r="F246">
        <v>4</v>
      </c>
      <c r="G246">
        <v>11</v>
      </c>
      <c r="H246">
        <v>3</v>
      </c>
      <c r="J246" t="s">
        <v>350</v>
      </c>
      <c r="K246" t="s">
        <v>2704</v>
      </c>
      <c r="L246" t="s">
        <v>3052</v>
      </c>
      <c r="M246" t="s">
        <v>3053</v>
      </c>
      <c r="N246" t="s">
        <v>4569</v>
      </c>
      <c r="O246" t="s">
        <v>4570</v>
      </c>
      <c r="P246" t="s">
        <v>4577</v>
      </c>
      <c r="Q246" t="s">
        <v>2732</v>
      </c>
      <c r="R246" t="s">
        <v>2751</v>
      </c>
      <c r="S246" t="s">
        <v>2751</v>
      </c>
      <c r="T246" t="s">
        <v>2712</v>
      </c>
      <c r="U246" t="s">
        <v>2712</v>
      </c>
      <c r="V246">
        <v>1</v>
      </c>
      <c r="W246" t="s">
        <v>2713</v>
      </c>
      <c r="X246" t="s">
        <v>2216</v>
      </c>
      <c r="Y246" t="s">
        <v>2216</v>
      </c>
      <c r="Z246">
        <v>200</v>
      </c>
      <c r="AB246" t="s">
        <v>1794</v>
      </c>
      <c r="AC246" t="s">
        <v>2763</v>
      </c>
      <c r="AE246">
        <v>1</v>
      </c>
      <c r="AF246" t="s">
        <v>4578</v>
      </c>
      <c r="AH246" t="s">
        <v>112</v>
      </c>
      <c r="AI246">
        <v>45962</v>
      </c>
      <c r="AJ246">
        <v>11</v>
      </c>
      <c r="AK246" t="s">
        <v>4572</v>
      </c>
      <c r="AM246" t="s">
        <v>4573</v>
      </c>
      <c r="AN246" t="s">
        <v>3033</v>
      </c>
      <c r="AO246" t="s">
        <v>4579</v>
      </c>
      <c r="AP246">
        <v>4881</v>
      </c>
      <c r="AQ246" t="s">
        <v>4575</v>
      </c>
      <c r="AR246" t="s">
        <v>4576</v>
      </c>
      <c r="AS246">
        <v>55</v>
      </c>
      <c r="AT246" t="s">
        <v>4580</v>
      </c>
      <c r="AW246" t="str">
        <f>Plan_2026[[#This Row],[Tên brand]]&amp;" "&amp;Plan_2026[[#This Row],[Trục đường chính]]&amp;Plan_2026[[#This Row],[Tên mall
(chuẩn hóa)]]&amp;Plan_2026[[#This Row],[Địa chỉ đầy đủ]]</f>
        <v>Manwah 1 Đường số 17A, Khu phố 11Aeon Mall Bình Tân</v>
      </c>
    </row>
    <row r="247" spans="1:49" hidden="1" x14ac:dyDescent="0.35">
      <c r="A247">
        <v>237</v>
      </c>
      <c r="B247" t="s">
        <v>4581</v>
      </c>
      <c r="C247" t="s">
        <v>25</v>
      </c>
      <c r="D247" t="s">
        <v>4263</v>
      </c>
      <c r="E247">
        <v>2026</v>
      </c>
      <c r="F247">
        <v>2</v>
      </c>
      <c r="G247">
        <v>5</v>
      </c>
      <c r="H247">
        <v>9</v>
      </c>
      <c r="J247" t="s">
        <v>350</v>
      </c>
      <c r="K247" t="s">
        <v>2704</v>
      </c>
      <c r="L247" t="s">
        <v>3052</v>
      </c>
      <c r="M247" t="s">
        <v>3053</v>
      </c>
      <c r="N247" t="s">
        <v>3054</v>
      </c>
      <c r="O247" t="s">
        <v>4582</v>
      </c>
      <c r="P247" t="s">
        <v>4583</v>
      </c>
      <c r="Q247" t="s">
        <v>2732</v>
      </c>
      <c r="R247" t="s">
        <v>2751</v>
      </c>
      <c r="S247" t="s">
        <v>2751</v>
      </c>
      <c r="T247" t="s">
        <v>2712</v>
      </c>
      <c r="U247" t="s">
        <v>2712</v>
      </c>
      <c r="V247">
        <v>1</v>
      </c>
      <c r="W247" t="s">
        <v>2735</v>
      </c>
      <c r="X247" t="s">
        <v>4584</v>
      </c>
      <c r="Y247" t="s">
        <v>4585</v>
      </c>
      <c r="Z247" t="s">
        <v>2715</v>
      </c>
      <c r="AB247" t="s">
        <v>2716</v>
      </c>
      <c r="AC247" t="s">
        <v>3232</v>
      </c>
      <c r="AE247">
        <v>0</v>
      </c>
      <c r="AH247" t="s">
        <v>24</v>
      </c>
      <c r="AI247">
        <v>46143</v>
      </c>
      <c r="AJ247">
        <v>5</v>
      </c>
      <c r="AK247" t="s">
        <v>4586</v>
      </c>
      <c r="AM247" t="s">
        <v>4587</v>
      </c>
      <c r="AN247" t="s">
        <v>3438</v>
      </c>
      <c r="AO247" t="s">
        <v>4588</v>
      </c>
      <c r="AP247">
        <v>4486</v>
      </c>
      <c r="AQ247" t="s">
        <v>4589</v>
      </c>
      <c r="AR247" t="s">
        <v>4590</v>
      </c>
      <c r="AS247">
        <v>9</v>
      </c>
      <c r="AT247" t="s">
        <v>4591</v>
      </c>
      <c r="AW247" t="str">
        <f>Plan_2026[[#This Row],[Tên brand]]&amp;" "&amp;Plan_2026[[#This Row],[Trục đường chính]]&amp;Plan_2026[[#This Row],[Tên mall
(chuẩn hóa)]]&amp;Plan_2026[[#This Row],[Địa chỉ đầy đủ]]</f>
        <v>Ashima 72 Lê Thánh TônVincom Center Đồng Khởi</v>
      </c>
    </row>
    <row r="248" spans="1:49" hidden="1" x14ac:dyDescent="0.35">
      <c r="A248">
        <v>238</v>
      </c>
      <c r="B248" t="s">
        <v>2287</v>
      </c>
      <c r="C248" t="s">
        <v>2727</v>
      </c>
      <c r="D248" t="s">
        <v>2728</v>
      </c>
      <c r="E248">
        <v>2026</v>
      </c>
      <c r="F248">
        <v>2</v>
      </c>
      <c r="G248">
        <v>6</v>
      </c>
      <c r="H248">
        <v>10</v>
      </c>
      <c r="J248" t="s">
        <v>350</v>
      </c>
      <c r="K248" t="s">
        <v>2704</v>
      </c>
      <c r="L248" t="s">
        <v>3052</v>
      </c>
      <c r="M248" t="s">
        <v>3053</v>
      </c>
      <c r="N248" t="s">
        <v>3054</v>
      </c>
      <c r="O248" t="s">
        <v>4582</v>
      </c>
      <c r="P248" t="s">
        <v>4592</v>
      </c>
      <c r="Q248" t="s">
        <v>2732</v>
      </c>
      <c r="R248">
        <v>6</v>
      </c>
      <c r="S248" t="s">
        <v>2733</v>
      </c>
      <c r="T248" t="s">
        <v>2734</v>
      </c>
      <c r="U248" t="s">
        <v>2712</v>
      </c>
      <c r="V248">
        <v>1</v>
      </c>
      <c r="W248" t="s">
        <v>2713</v>
      </c>
      <c r="X248" t="s">
        <v>4593</v>
      </c>
      <c r="Y248" t="s">
        <v>4484</v>
      </c>
      <c r="Z248">
        <v>180</v>
      </c>
      <c r="AB248" t="s">
        <v>2716</v>
      </c>
      <c r="AC248" t="s">
        <v>2738</v>
      </c>
      <c r="AE248">
        <v>0</v>
      </c>
      <c r="AF248" t="s">
        <v>4594</v>
      </c>
      <c r="AH248" t="s">
        <v>1019</v>
      </c>
      <c r="AI248">
        <v>46174</v>
      </c>
      <c r="AJ248">
        <v>6</v>
      </c>
      <c r="AK248" t="s">
        <v>4586</v>
      </c>
      <c r="AM248" t="s">
        <v>4587</v>
      </c>
      <c r="AN248" t="s">
        <v>2743</v>
      </c>
      <c r="AO248" t="s">
        <v>4595</v>
      </c>
      <c r="AP248">
        <v>4486</v>
      </c>
      <c r="AQ248" t="s">
        <v>4589</v>
      </c>
      <c r="AR248" t="s">
        <v>4590</v>
      </c>
      <c r="AS248">
        <v>17</v>
      </c>
      <c r="AT248" t="s">
        <v>2747</v>
      </c>
      <c r="AW248" t="str">
        <f>Plan_2026[[#This Row],[Tên brand]]&amp;" "&amp;Plan_2026[[#This Row],[Trục đường chính]]&amp;Plan_2026[[#This Row],[Tên mall
(chuẩn hóa)]]&amp;Plan_2026[[#This Row],[Địa chỉ đầy đủ]]</f>
        <v>CloudPot 22 Lê Thánh TônSaigon Centre</v>
      </c>
    </row>
    <row r="249" spans="1:49" hidden="1" x14ac:dyDescent="0.35">
      <c r="A249">
        <v>239</v>
      </c>
      <c r="B249" t="s">
        <v>4596</v>
      </c>
      <c r="C249" t="s">
        <v>3255</v>
      </c>
      <c r="D249" t="s">
        <v>4275</v>
      </c>
      <c r="E249">
        <v>2026</v>
      </c>
      <c r="F249">
        <v>3</v>
      </c>
      <c r="G249">
        <v>7</v>
      </c>
      <c r="H249">
        <v>11</v>
      </c>
      <c r="J249" t="s">
        <v>350</v>
      </c>
      <c r="K249" t="s">
        <v>2704</v>
      </c>
      <c r="L249" t="s">
        <v>3052</v>
      </c>
      <c r="M249" t="s">
        <v>3053</v>
      </c>
      <c r="N249" t="s">
        <v>3054</v>
      </c>
      <c r="O249" t="s">
        <v>4582</v>
      </c>
      <c r="P249" t="s">
        <v>4583</v>
      </c>
      <c r="Q249" t="s">
        <v>2732</v>
      </c>
      <c r="R249" t="s">
        <v>2751</v>
      </c>
      <c r="S249" t="s">
        <v>2751</v>
      </c>
      <c r="T249" t="s">
        <v>2712</v>
      </c>
      <c r="U249" t="s">
        <v>2712</v>
      </c>
      <c r="V249">
        <v>1</v>
      </c>
      <c r="W249" t="s">
        <v>2735</v>
      </c>
      <c r="X249" t="s">
        <v>4585</v>
      </c>
      <c r="Y249" t="s">
        <v>4585</v>
      </c>
      <c r="Z249">
        <v>220</v>
      </c>
      <c r="AB249" t="s">
        <v>2716</v>
      </c>
      <c r="AC249" t="s">
        <v>2738</v>
      </c>
      <c r="AE249">
        <v>0</v>
      </c>
      <c r="AH249" t="s">
        <v>379</v>
      </c>
      <c r="AI249">
        <v>46204</v>
      </c>
      <c r="AJ249">
        <v>7</v>
      </c>
      <c r="AK249" t="s">
        <v>4586</v>
      </c>
      <c r="AM249" t="s">
        <v>4587</v>
      </c>
      <c r="AN249" t="s">
        <v>3257</v>
      </c>
      <c r="AO249" t="s">
        <v>4597</v>
      </c>
      <c r="AP249">
        <v>4486</v>
      </c>
      <c r="AQ249" t="s">
        <v>4589</v>
      </c>
      <c r="AR249" t="s">
        <v>4590</v>
      </c>
      <c r="AS249">
        <v>8</v>
      </c>
      <c r="AT249" t="s">
        <v>4598</v>
      </c>
      <c r="AW249" t="str">
        <f>Plan_2026[[#This Row],[Tên brand]]&amp;" "&amp;Plan_2026[[#This Row],[Trục đường chính]]&amp;Plan_2026[[#This Row],[Tên mall
(chuẩn hóa)]]&amp;Plan_2026[[#This Row],[Địa chỉ đầy đủ]]</f>
        <v>Crystal Jade 72 Lê Thánh TônVincom Center Đồng Khởi</v>
      </c>
    </row>
    <row r="250" spans="1:49" hidden="1" x14ac:dyDescent="0.35">
      <c r="A250">
        <v>240</v>
      </c>
      <c r="B250" t="s">
        <v>2443</v>
      </c>
      <c r="C250" t="s">
        <v>4127</v>
      </c>
      <c r="D250" t="s">
        <v>3226</v>
      </c>
      <c r="E250">
        <v>2026</v>
      </c>
      <c r="F250">
        <v>2</v>
      </c>
      <c r="G250">
        <v>6</v>
      </c>
      <c r="H250">
        <v>10</v>
      </c>
      <c r="J250" t="s">
        <v>350</v>
      </c>
      <c r="K250" t="s">
        <v>2704</v>
      </c>
      <c r="L250" t="s">
        <v>3052</v>
      </c>
      <c r="M250" t="s">
        <v>3053</v>
      </c>
      <c r="N250" t="s">
        <v>3054</v>
      </c>
      <c r="O250" t="s">
        <v>4582</v>
      </c>
      <c r="P250" t="s">
        <v>4599</v>
      </c>
      <c r="Q250" t="s">
        <v>2732</v>
      </c>
      <c r="R250" t="s">
        <v>2751</v>
      </c>
      <c r="S250" t="s">
        <v>2751</v>
      </c>
      <c r="T250" t="s">
        <v>2790</v>
      </c>
      <c r="U250" t="s">
        <v>2790</v>
      </c>
      <c r="V250">
        <v>1</v>
      </c>
      <c r="W250" t="s">
        <v>2713</v>
      </c>
      <c r="X250" t="s">
        <v>4585</v>
      </c>
      <c r="Y250" t="s">
        <v>4585</v>
      </c>
      <c r="Z250" t="s">
        <v>2715</v>
      </c>
      <c r="AB250" t="s">
        <v>2716</v>
      </c>
      <c r="AC250" t="s">
        <v>3232</v>
      </c>
      <c r="AE250">
        <v>0</v>
      </c>
      <c r="AH250" t="s">
        <v>2132</v>
      </c>
      <c r="AI250">
        <v>46174</v>
      </c>
      <c r="AJ250">
        <v>6</v>
      </c>
      <c r="AK250" t="s">
        <v>4586</v>
      </c>
      <c r="AM250" t="s">
        <v>4587</v>
      </c>
      <c r="AN250" t="s">
        <v>4129</v>
      </c>
      <c r="AO250" t="s">
        <v>4600</v>
      </c>
      <c r="AP250">
        <v>4486</v>
      </c>
      <c r="AQ250" t="s">
        <v>4589</v>
      </c>
      <c r="AR250" t="s">
        <v>4590</v>
      </c>
      <c r="AS250">
        <v>1</v>
      </c>
      <c r="AT250" t="s">
        <v>4131</v>
      </c>
      <c r="AW250" t="str">
        <f>Plan_2026[[#This Row],[Tên brand]]&amp;" "&amp;Plan_2026[[#This Row],[Trục đường chính]]&amp;Plan_2026[[#This Row],[Tên mall
(chuẩn hóa)]]&amp;Plan_2026[[#This Row],[Địa chỉ đầy đủ]]</f>
        <v>Pizza360 72 Đường Lê Thánh Tôn và 45A Đường Lý Tự TrọngVincom Center Đồng Khởi</v>
      </c>
    </row>
    <row r="251" spans="1:49" hidden="1" x14ac:dyDescent="0.35">
      <c r="A251">
        <v>241</v>
      </c>
      <c r="B251" t="s">
        <v>4601</v>
      </c>
      <c r="C251" t="s">
        <v>2135</v>
      </c>
      <c r="D251" t="s">
        <v>3327</v>
      </c>
      <c r="E251">
        <v>2026</v>
      </c>
      <c r="F251">
        <v>1</v>
      </c>
      <c r="G251">
        <v>1</v>
      </c>
      <c r="H251">
        <v>5</v>
      </c>
      <c r="J251" t="s">
        <v>350</v>
      </c>
      <c r="K251" t="s">
        <v>2704</v>
      </c>
      <c r="L251" t="s">
        <v>3052</v>
      </c>
      <c r="M251" t="s">
        <v>3053</v>
      </c>
      <c r="N251" t="s">
        <v>3054</v>
      </c>
      <c r="O251" t="s">
        <v>4582</v>
      </c>
      <c r="Q251" t="s">
        <v>2709</v>
      </c>
      <c r="R251" t="s">
        <v>3356</v>
      </c>
      <c r="S251" t="s">
        <v>3357</v>
      </c>
      <c r="T251" t="s">
        <v>2790</v>
      </c>
      <c r="U251" t="s">
        <v>2790</v>
      </c>
      <c r="V251">
        <v>1</v>
      </c>
      <c r="W251" t="s">
        <v>2735</v>
      </c>
      <c r="Z251" t="s">
        <v>3331</v>
      </c>
      <c r="AB251" t="s">
        <v>2716</v>
      </c>
      <c r="AC251" t="s">
        <v>2778</v>
      </c>
      <c r="AE251">
        <v>0</v>
      </c>
      <c r="AH251" t="s">
        <v>1446</v>
      </c>
      <c r="AI251">
        <v>46023</v>
      </c>
      <c r="AJ251">
        <v>1</v>
      </c>
      <c r="AK251" t="s">
        <v>4586</v>
      </c>
      <c r="AM251" t="s">
        <v>4587</v>
      </c>
      <c r="AN251" t="s">
        <v>3361</v>
      </c>
      <c r="AO251" t="s">
        <v>4602</v>
      </c>
      <c r="AP251">
        <v>4486</v>
      </c>
      <c r="AQ251" t="s">
        <v>4589</v>
      </c>
      <c r="AR251" t="s">
        <v>4590</v>
      </c>
      <c r="AS251">
        <v>16</v>
      </c>
      <c r="AT251" t="s">
        <v>3483</v>
      </c>
      <c r="AW251" t="str">
        <f>Plan_2026[[#This Row],[Tên brand]]&amp;" "&amp;Plan_2026[[#This Row],[Trục đường chính]]&amp;Plan_2026[[#This Row],[Tên mall
(chuẩn hóa)]]&amp;Plan_2026[[#This Row],[Địa chỉ đầy đủ]]</f>
        <v xml:space="preserve">Universal Tea </v>
      </c>
    </row>
    <row r="252" spans="1:49" hidden="1" x14ac:dyDescent="0.35">
      <c r="A252">
        <v>242</v>
      </c>
      <c r="B252" t="s">
        <v>4603</v>
      </c>
      <c r="C252" t="s">
        <v>2727</v>
      </c>
      <c r="D252" t="s">
        <v>2728</v>
      </c>
      <c r="E252">
        <v>2026</v>
      </c>
      <c r="F252">
        <v>2</v>
      </c>
      <c r="G252">
        <v>6</v>
      </c>
      <c r="H252">
        <v>10</v>
      </c>
      <c r="J252" t="s">
        <v>350</v>
      </c>
      <c r="K252" t="s">
        <v>2704</v>
      </c>
      <c r="L252" t="s">
        <v>3052</v>
      </c>
      <c r="M252" t="s">
        <v>3053</v>
      </c>
      <c r="N252" t="s">
        <v>3054</v>
      </c>
      <c r="O252" t="s">
        <v>4582</v>
      </c>
      <c r="P252" t="s">
        <v>4604</v>
      </c>
      <c r="Q252" t="s">
        <v>2732</v>
      </c>
      <c r="R252">
        <v>6</v>
      </c>
      <c r="S252" t="s">
        <v>2733</v>
      </c>
      <c r="T252" t="s">
        <v>2734</v>
      </c>
      <c r="U252" t="s">
        <v>2712</v>
      </c>
      <c r="V252">
        <v>1</v>
      </c>
      <c r="W252" t="s">
        <v>2713</v>
      </c>
      <c r="X252" t="s">
        <v>4593</v>
      </c>
      <c r="Y252" t="s">
        <v>4484</v>
      </c>
      <c r="Z252">
        <v>180</v>
      </c>
      <c r="AB252" t="s">
        <v>2716</v>
      </c>
      <c r="AC252" t="s">
        <v>3232</v>
      </c>
      <c r="AE252">
        <v>0</v>
      </c>
      <c r="AF252" t="s">
        <v>4594</v>
      </c>
      <c r="AH252" t="s">
        <v>1019</v>
      </c>
      <c r="AI252">
        <v>46174</v>
      </c>
      <c r="AJ252">
        <v>6</v>
      </c>
      <c r="AK252" t="s">
        <v>4586</v>
      </c>
      <c r="AM252" t="s">
        <v>4587</v>
      </c>
      <c r="AN252" t="s">
        <v>2743</v>
      </c>
      <c r="AO252" t="s">
        <v>4595</v>
      </c>
      <c r="AP252">
        <v>4486</v>
      </c>
      <c r="AQ252" t="s">
        <v>4589</v>
      </c>
      <c r="AR252" t="s">
        <v>4590</v>
      </c>
      <c r="AS252">
        <v>17</v>
      </c>
      <c r="AT252" t="s">
        <v>2747</v>
      </c>
      <c r="AW252" t="str">
        <f>Plan_2026[[#This Row],[Tên brand]]&amp;" "&amp;Plan_2026[[#This Row],[Trục đường chính]]&amp;Plan_2026[[#This Row],[Tên mall
(chuẩn hóa)]]&amp;Plan_2026[[#This Row],[Địa chỉ đầy đủ]]</f>
        <v>CloudPot 65 Lê LợiSaigon Centre</v>
      </c>
    </row>
    <row r="253" spans="1:49" hidden="1" x14ac:dyDescent="0.35">
      <c r="A253">
        <v>243</v>
      </c>
      <c r="B253" t="s">
        <v>2601</v>
      </c>
      <c r="C253" t="s">
        <v>2787</v>
      </c>
      <c r="D253" t="s">
        <v>3111</v>
      </c>
      <c r="E253">
        <v>2026</v>
      </c>
      <c r="F253">
        <v>2</v>
      </c>
      <c r="G253">
        <v>6</v>
      </c>
      <c r="H253">
        <v>10</v>
      </c>
      <c r="J253" t="s">
        <v>350</v>
      </c>
      <c r="K253" t="s">
        <v>2704</v>
      </c>
      <c r="L253" t="s">
        <v>3052</v>
      </c>
      <c r="M253" t="s">
        <v>3053</v>
      </c>
      <c r="N253" t="s">
        <v>3054</v>
      </c>
      <c r="O253" t="s">
        <v>4582</v>
      </c>
      <c r="P253" t="s">
        <v>2602</v>
      </c>
      <c r="Q253" t="s">
        <v>2732</v>
      </c>
      <c r="R253" t="s">
        <v>2751</v>
      </c>
      <c r="S253" t="s">
        <v>2751</v>
      </c>
      <c r="T253" t="s">
        <v>2800</v>
      </c>
      <c r="U253" t="s">
        <v>2800</v>
      </c>
      <c r="V253">
        <v>1</v>
      </c>
      <c r="W253" t="s">
        <v>2713</v>
      </c>
      <c r="X253" t="s">
        <v>4605</v>
      </c>
      <c r="Y253" t="s">
        <v>4484</v>
      </c>
      <c r="Z253">
        <v>132</v>
      </c>
      <c r="AB253" t="s">
        <v>2716</v>
      </c>
      <c r="AC253" t="s">
        <v>2738</v>
      </c>
      <c r="AE253">
        <v>0</v>
      </c>
      <c r="AH253" t="s">
        <v>1788</v>
      </c>
      <c r="AI253">
        <v>46174</v>
      </c>
      <c r="AJ253">
        <v>6</v>
      </c>
      <c r="AK253" t="s">
        <v>4586</v>
      </c>
      <c r="AM253" t="s">
        <v>4587</v>
      </c>
      <c r="AN253" t="s">
        <v>2804</v>
      </c>
      <c r="AO253" t="s">
        <v>4485</v>
      </c>
      <c r="AP253">
        <v>4486</v>
      </c>
      <c r="AQ253" t="s">
        <v>4589</v>
      </c>
      <c r="AR253" t="s">
        <v>4590</v>
      </c>
      <c r="AS253">
        <v>81</v>
      </c>
      <c r="AT253" t="s">
        <v>4606</v>
      </c>
      <c r="AW253" t="str">
        <f>Plan_2026[[#This Row],[Tên brand]]&amp;" "&amp;Plan_2026[[#This Row],[Trục đường chính]]&amp;Plan_2026[[#This Row],[Tên mall
(chuẩn hóa)]]&amp;Plan_2026[[#This Row],[Địa chỉ đầy đủ]]</f>
        <v>The Coffee House 92 - 94 Nam Kỳ Khởi NghĩaSaigon Centre</v>
      </c>
    </row>
    <row r="254" spans="1:49" hidden="1" x14ac:dyDescent="0.35">
      <c r="A254">
        <v>244</v>
      </c>
      <c r="B254" t="s">
        <v>4607</v>
      </c>
      <c r="C254" t="s">
        <v>2787</v>
      </c>
      <c r="D254" t="s">
        <v>3111</v>
      </c>
      <c r="E254">
        <v>2026</v>
      </c>
      <c r="F254">
        <v>2</v>
      </c>
      <c r="G254">
        <v>6</v>
      </c>
      <c r="H254">
        <v>10</v>
      </c>
      <c r="J254" t="s">
        <v>350</v>
      </c>
      <c r="K254" t="s">
        <v>2704</v>
      </c>
      <c r="L254" t="s">
        <v>3052</v>
      </c>
      <c r="M254" t="s">
        <v>3053</v>
      </c>
      <c r="N254" t="s">
        <v>3054</v>
      </c>
      <c r="O254" t="s">
        <v>4582</v>
      </c>
      <c r="P254" t="s">
        <v>4608</v>
      </c>
      <c r="Q254" t="s">
        <v>2709</v>
      </c>
      <c r="R254" t="s">
        <v>3356</v>
      </c>
      <c r="S254" t="s">
        <v>3357</v>
      </c>
      <c r="T254" t="s">
        <v>2790</v>
      </c>
      <c r="U254" t="s">
        <v>2790</v>
      </c>
      <c r="V254">
        <v>1</v>
      </c>
      <c r="W254" t="s">
        <v>2713</v>
      </c>
      <c r="Z254">
        <v>132</v>
      </c>
      <c r="AB254" t="s">
        <v>2716</v>
      </c>
      <c r="AC254" t="s">
        <v>2738</v>
      </c>
      <c r="AE254">
        <v>0</v>
      </c>
      <c r="AH254" t="s">
        <v>1788</v>
      </c>
      <c r="AI254">
        <v>46174</v>
      </c>
      <c r="AJ254">
        <v>6</v>
      </c>
      <c r="AK254" t="s">
        <v>4586</v>
      </c>
      <c r="AM254" t="s">
        <v>4587</v>
      </c>
      <c r="AN254" t="s">
        <v>2793</v>
      </c>
      <c r="AO254" t="s">
        <v>4609</v>
      </c>
      <c r="AP254">
        <v>4486</v>
      </c>
      <c r="AQ254" t="s">
        <v>4589</v>
      </c>
      <c r="AR254" t="s">
        <v>4590</v>
      </c>
      <c r="AS254">
        <v>81</v>
      </c>
      <c r="AT254" t="s">
        <v>4606</v>
      </c>
      <c r="AW254" t="str">
        <f>Plan_2026[[#This Row],[Tên brand]]&amp;" "&amp;Plan_2026[[#This Row],[Trục đường chính]]&amp;Plan_2026[[#This Row],[Tên mall
(chuẩn hóa)]]&amp;Plan_2026[[#This Row],[Địa chỉ đầy đủ]]</f>
        <v xml:space="preserve">The Coffee House Hai Bà Trưng </v>
      </c>
    </row>
    <row r="255" spans="1:49" hidden="1" x14ac:dyDescent="0.35">
      <c r="A255">
        <v>245</v>
      </c>
      <c r="B255" t="s">
        <v>4610</v>
      </c>
      <c r="C255" t="s">
        <v>4127</v>
      </c>
      <c r="D255" t="s">
        <v>3226</v>
      </c>
      <c r="E255">
        <v>2025</v>
      </c>
      <c r="F255">
        <v>4</v>
      </c>
      <c r="G255">
        <v>11</v>
      </c>
      <c r="H255">
        <v>3</v>
      </c>
      <c r="J255" t="s">
        <v>350</v>
      </c>
      <c r="K255" t="s">
        <v>2704</v>
      </c>
      <c r="L255" t="s">
        <v>3052</v>
      </c>
      <c r="M255" t="s">
        <v>3053</v>
      </c>
      <c r="N255" t="s">
        <v>4569</v>
      </c>
      <c r="O255" t="s">
        <v>4611</v>
      </c>
      <c r="P255" t="s">
        <v>4612</v>
      </c>
      <c r="Q255" t="s">
        <v>2732</v>
      </c>
      <c r="R255" t="s">
        <v>2751</v>
      </c>
      <c r="S255" t="s">
        <v>2751</v>
      </c>
      <c r="T255" t="s">
        <v>2790</v>
      </c>
      <c r="U255" t="s">
        <v>2790</v>
      </c>
      <c r="V255">
        <v>1</v>
      </c>
      <c r="W255" t="s">
        <v>2735</v>
      </c>
      <c r="X255" t="s">
        <v>2216</v>
      </c>
      <c r="Y255" t="s">
        <v>2216</v>
      </c>
      <c r="Z255" t="s">
        <v>2715</v>
      </c>
      <c r="AB255" t="s">
        <v>2716</v>
      </c>
      <c r="AC255" t="s">
        <v>3232</v>
      </c>
      <c r="AE255">
        <v>0</v>
      </c>
      <c r="AF255" t="s">
        <v>4613</v>
      </c>
      <c r="AH255" t="s">
        <v>2132</v>
      </c>
      <c r="AI255">
        <v>45962</v>
      </c>
      <c r="AJ255">
        <v>11</v>
      </c>
      <c r="AK255" t="s">
        <v>4614</v>
      </c>
      <c r="AM255" t="s">
        <v>4615</v>
      </c>
      <c r="AN255" t="s">
        <v>4129</v>
      </c>
      <c r="AO255" t="s">
        <v>4616</v>
      </c>
      <c r="AP255">
        <v>4003</v>
      </c>
      <c r="AQ255" t="s">
        <v>4617</v>
      </c>
      <c r="AR255" t="s">
        <v>4618</v>
      </c>
      <c r="AS255">
        <v>1</v>
      </c>
      <c r="AT255" t="s">
        <v>4131</v>
      </c>
      <c r="AW255" t="str">
        <f>Plan_2026[[#This Row],[Tên brand]]&amp;" "&amp;Plan_2026[[#This Row],[Trục đường chính]]&amp;Plan_2026[[#This Row],[Tên mall
(chuẩn hóa)]]&amp;Plan_2026[[#This Row],[Địa chỉ đầy đủ]]</f>
        <v>Pizza360 Số 1 Đường số 17A, Khu phố 11Aeon Mall Bình Tân</v>
      </c>
    </row>
    <row r="256" spans="1:49" hidden="1" x14ac:dyDescent="0.35">
      <c r="A256">
        <v>246</v>
      </c>
      <c r="B256" t="s">
        <v>2215</v>
      </c>
      <c r="C256" t="s">
        <v>3208</v>
      </c>
      <c r="D256" t="s">
        <v>2850</v>
      </c>
      <c r="E256">
        <v>2026</v>
      </c>
      <c r="F256">
        <v>2</v>
      </c>
      <c r="G256">
        <v>6</v>
      </c>
      <c r="H256">
        <v>10</v>
      </c>
      <c r="J256" t="s">
        <v>350</v>
      </c>
      <c r="K256" t="s">
        <v>2704</v>
      </c>
      <c r="L256" t="s">
        <v>3052</v>
      </c>
      <c r="M256" t="s">
        <v>3053</v>
      </c>
      <c r="N256" t="s">
        <v>4569</v>
      </c>
      <c r="O256" t="s">
        <v>4611</v>
      </c>
      <c r="P256" t="s">
        <v>4619</v>
      </c>
      <c r="Q256" t="s">
        <v>2732</v>
      </c>
      <c r="R256" t="s">
        <v>2710</v>
      </c>
      <c r="S256" t="s">
        <v>2710</v>
      </c>
      <c r="T256" t="s">
        <v>2712</v>
      </c>
      <c r="U256" t="s">
        <v>2712</v>
      </c>
      <c r="V256">
        <v>1</v>
      </c>
      <c r="W256" t="s">
        <v>2735</v>
      </c>
      <c r="X256" t="s">
        <v>2216</v>
      </c>
      <c r="Y256" t="s">
        <v>2216</v>
      </c>
      <c r="Z256" t="s">
        <v>2715</v>
      </c>
      <c r="AB256" t="s">
        <v>2716</v>
      </c>
      <c r="AC256" t="s">
        <v>3232</v>
      </c>
      <c r="AE256">
        <v>0</v>
      </c>
      <c r="AF256" t="s">
        <v>4620</v>
      </c>
      <c r="AH256" t="s">
        <v>51</v>
      </c>
      <c r="AI256">
        <v>46174</v>
      </c>
      <c r="AJ256">
        <v>6</v>
      </c>
      <c r="AK256" t="s">
        <v>4614</v>
      </c>
      <c r="AM256" t="s">
        <v>4615</v>
      </c>
      <c r="AN256" t="s">
        <v>3264</v>
      </c>
      <c r="AO256" t="s">
        <v>4621</v>
      </c>
      <c r="AP256">
        <v>4003</v>
      </c>
      <c r="AQ256" t="s">
        <v>4617</v>
      </c>
      <c r="AR256" t="s">
        <v>4618</v>
      </c>
      <c r="AS256">
        <v>11</v>
      </c>
      <c r="AT256" t="s">
        <v>4622</v>
      </c>
      <c r="AW256" t="str">
        <f>Plan_2026[[#This Row],[Tên brand]]&amp;" "&amp;Plan_2026[[#This Row],[Trục đường chính]]&amp;Plan_2026[[#This Row],[Tên mall
(chuẩn hóa)]]&amp;Plan_2026[[#This Row],[Địa chỉ đầy đủ]]</f>
        <v>Sumogoya Số 1 đường số 17A, KP 11Aeon Mall Bình Tân</v>
      </c>
    </row>
    <row r="257" spans="1:49" hidden="1" x14ac:dyDescent="0.35">
      <c r="A257">
        <v>247</v>
      </c>
      <c r="B257" t="s">
        <v>4623</v>
      </c>
      <c r="C257" t="s">
        <v>25</v>
      </c>
      <c r="D257" t="s">
        <v>4263</v>
      </c>
      <c r="E257">
        <v>2026</v>
      </c>
      <c r="F257">
        <v>2</v>
      </c>
      <c r="G257">
        <v>5</v>
      </c>
      <c r="H257">
        <v>9</v>
      </c>
      <c r="J257" t="s">
        <v>350</v>
      </c>
      <c r="K257" t="s">
        <v>2704</v>
      </c>
      <c r="L257" t="s">
        <v>3052</v>
      </c>
      <c r="M257" t="s">
        <v>3053</v>
      </c>
      <c r="N257" t="s">
        <v>4569</v>
      </c>
      <c r="O257" t="s">
        <v>4611</v>
      </c>
      <c r="P257" t="s">
        <v>4624</v>
      </c>
      <c r="Q257" t="s">
        <v>2732</v>
      </c>
      <c r="R257" t="s">
        <v>2751</v>
      </c>
      <c r="S257" t="s">
        <v>2751</v>
      </c>
      <c r="T257" t="s">
        <v>2712</v>
      </c>
      <c r="U257" t="s">
        <v>2712</v>
      </c>
      <c r="V257">
        <v>1</v>
      </c>
      <c r="W257" t="s">
        <v>2735</v>
      </c>
      <c r="X257" t="s">
        <v>2216</v>
      </c>
      <c r="Y257" t="s">
        <v>2216</v>
      </c>
      <c r="Z257" t="s">
        <v>2715</v>
      </c>
      <c r="AB257" t="s">
        <v>2716</v>
      </c>
      <c r="AC257" t="s">
        <v>3232</v>
      </c>
      <c r="AE257">
        <v>0</v>
      </c>
      <c r="AH257" t="s">
        <v>24</v>
      </c>
      <c r="AI257">
        <v>46143</v>
      </c>
      <c r="AJ257">
        <v>5</v>
      </c>
      <c r="AK257" t="s">
        <v>4614</v>
      </c>
      <c r="AM257" t="s">
        <v>4615</v>
      </c>
      <c r="AN257" t="s">
        <v>3438</v>
      </c>
      <c r="AO257" t="s">
        <v>4625</v>
      </c>
      <c r="AP257">
        <v>4003</v>
      </c>
      <c r="AQ257" t="s">
        <v>4617</v>
      </c>
      <c r="AR257" t="s">
        <v>4618</v>
      </c>
      <c r="AS257">
        <v>9</v>
      </c>
      <c r="AT257" t="s">
        <v>4591</v>
      </c>
      <c r="AW257" t="str">
        <f>Plan_2026[[#This Row],[Tên brand]]&amp;" "&amp;Plan_2026[[#This Row],[Trục đường chính]]&amp;Plan_2026[[#This Row],[Tên mall
(chuẩn hóa)]]&amp;Plan_2026[[#This Row],[Địa chỉ đầy đủ]]</f>
        <v>Ashima Đường số 17AAeon Mall Bình Tân</v>
      </c>
    </row>
    <row r="258" spans="1:49" hidden="1" x14ac:dyDescent="0.35">
      <c r="A258">
        <v>248</v>
      </c>
      <c r="B258" t="s">
        <v>2452</v>
      </c>
      <c r="C258" t="s">
        <v>2849</v>
      </c>
      <c r="D258" t="s">
        <v>2850</v>
      </c>
      <c r="E258">
        <v>2025</v>
      </c>
      <c r="F258">
        <v>4</v>
      </c>
      <c r="G258">
        <v>12</v>
      </c>
      <c r="H258">
        <v>4</v>
      </c>
      <c r="J258" t="s">
        <v>350</v>
      </c>
      <c r="K258" t="s">
        <v>2704</v>
      </c>
      <c r="L258" t="s">
        <v>3052</v>
      </c>
      <c r="M258" t="s">
        <v>3053</v>
      </c>
      <c r="N258" t="s">
        <v>4569</v>
      </c>
      <c r="O258" t="s">
        <v>4611</v>
      </c>
      <c r="P258" t="s">
        <v>4577</v>
      </c>
      <c r="Q258" t="s">
        <v>2732</v>
      </c>
      <c r="R258" t="s">
        <v>2751</v>
      </c>
      <c r="S258" t="s">
        <v>2751</v>
      </c>
      <c r="T258" t="s">
        <v>2790</v>
      </c>
      <c r="U258" t="s">
        <v>2790</v>
      </c>
      <c r="V258">
        <v>1</v>
      </c>
      <c r="W258" t="s">
        <v>2713</v>
      </c>
      <c r="X258" t="s">
        <v>2216</v>
      </c>
      <c r="Y258" t="s">
        <v>2216</v>
      </c>
      <c r="Z258" t="s">
        <v>2715</v>
      </c>
      <c r="AB258" t="s">
        <v>2716</v>
      </c>
      <c r="AC258" t="s">
        <v>2763</v>
      </c>
      <c r="AE258">
        <v>1</v>
      </c>
      <c r="AH258" t="s">
        <v>1771</v>
      </c>
      <c r="AI258">
        <v>45992</v>
      </c>
      <c r="AJ258">
        <v>12</v>
      </c>
      <c r="AK258" t="s">
        <v>4614</v>
      </c>
      <c r="AM258" t="s">
        <v>4615</v>
      </c>
      <c r="AN258" t="s">
        <v>2862</v>
      </c>
      <c r="AO258" t="s">
        <v>4626</v>
      </c>
      <c r="AP258">
        <v>4003</v>
      </c>
      <c r="AQ258" t="s">
        <v>4617</v>
      </c>
      <c r="AR258" t="s">
        <v>4618</v>
      </c>
      <c r="AS258">
        <v>2</v>
      </c>
      <c r="AT258" t="s">
        <v>2866</v>
      </c>
      <c r="AW258" t="str">
        <f>Plan_2026[[#This Row],[Tên brand]]&amp;" "&amp;Plan_2026[[#This Row],[Trục đường chính]]&amp;Plan_2026[[#This Row],[Tên mall
(chuẩn hóa)]]&amp;Plan_2026[[#This Row],[Địa chỉ đầy đủ]]</f>
        <v>Wow!Yakiniku 1 Đường số 17A, Khu phố 11Aeon Mall Bình Tân</v>
      </c>
    </row>
    <row r="259" spans="1:49" hidden="1" x14ac:dyDescent="0.35">
      <c r="A259">
        <v>249</v>
      </c>
      <c r="B259" t="s">
        <v>2306</v>
      </c>
      <c r="C259" t="s">
        <v>3861</v>
      </c>
      <c r="D259" t="s">
        <v>3862</v>
      </c>
      <c r="E259">
        <v>2025</v>
      </c>
      <c r="F259">
        <v>4</v>
      </c>
      <c r="G259">
        <v>12</v>
      </c>
      <c r="H259">
        <v>4</v>
      </c>
      <c r="J259" t="s">
        <v>350</v>
      </c>
      <c r="K259" t="s">
        <v>2704</v>
      </c>
      <c r="L259" t="s">
        <v>3052</v>
      </c>
      <c r="M259" t="s">
        <v>3053</v>
      </c>
      <c r="N259" t="s">
        <v>4569</v>
      </c>
      <c r="O259" t="s">
        <v>4611</v>
      </c>
      <c r="P259" t="s">
        <v>4577</v>
      </c>
      <c r="Q259" t="s">
        <v>2732</v>
      </c>
      <c r="R259" t="s">
        <v>2751</v>
      </c>
      <c r="S259" t="s">
        <v>2751</v>
      </c>
      <c r="T259" t="s">
        <v>2762</v>
      </c>
      <c r="U259" t="s">
        <v>2762</v>
      </c>
      <c r="V259">
        <v>1</v>
      </c>
      <c r="W259" t="s">
        <v>2713</v>
      </c>
      <c r="X259" t="s">
        <v>2216</v>
      </c>
      <c r="Y259" t="s">
        <v>2216</v>
      </c>
      <c r="Z259" t="s">
        <v>2715</v>
      </c>
      <c r="AB259" t="s">
        <v>1794</v>
      </c>
      <c r="AC259" t="s">
        <v>3232</v>
      </c>
      <c r="AE259">
        <v>0</v>
      </c>
      <c r="AF259" t="s">
        <v>4627</v>
      </c>
      <c r="AH259" t="s">
        <v>301</v>
      </c>
      <c r="AI259">
        <v>45992</v>
      </c>
      <c r="AJ259">
        <v>12</v>
      </c>
      <c r="AK259" t="s">
        <v>4614</v>
      </c>
      <c r="AM259" t="s">
        <v>4615</v>
      </c>
      <c r="AN259" t="s">
        <v>3866</v>
      </c>
      <c r="AO259" t="s">
        <v>4628</v>
      </c>
      <c r="AP259">
        <v>4003</v>
      </c>
      <c r="AQ259" t="s">
        <v>4617</v>
      </c>
      <c r="AR259" t="s">
        <v>4618</v>
      </c>
      <c r="AS259">
        <v>14</v>
      </c>
      <c r="AT259" t="s">
        <v>4629</v>
      </c>
      <c r="AW259" t="str">
        <f>Plan_2026[[#This Row],[Tên brand]]&amp;" "&amp;Plan_2026[[#This Row],[Trục đường chính]]&amp;Plan_2026[[#This Row],[Tên mall
(chuẩn hóa)]]&amp;Plan_2026[[#This Row],[Địa chỉ đầy đủ]]</f>
        <v>Lách ca lách cách 1 Đường số 17A, Khu phố 11Aeon Mall Bình Tân</v>
      </c>
    </row>
    <row r="260" spans="1:49" hidden="1" x14ac:dyDescent="0.35">
      <c r="A260">
        <v>250</v>
      </c>
      <c r="B260" t="s">
        <v>2537</v>
      </c>
      <c r="C260" t="s">
        <v>2787</v>
      </c>
      <c r="D260" t="s">
        <v>3111</v>
      </c>
      <c r="E260">
        <v>2026</v>
      </c>
      <c r="F260">
        <v>1</v>
      </c>
      <c r="G260">
        <v>2</v>
      </c>
      <c r="H260">
        <v>6</v>
      </c>
      <c r="J260" t="s">
        <v>350</v>
      </c>
      <c r="K260" t="s">
        <v>2704</v>
      </c>
      <c r="L260" t="s">
        <v>3052</v>
      </c>
      <c r="M260" t="s">
        <v>3053</v>
      </c>
      <c r="N260" t="s">
        <v>4569</v>
      </c>
      <c r="O260" t="s">
        <v>4611</v>
      </c>
      <c r="P260" t="s">
        <v>2538</v>
      </c>
      <c r="Q260" t="s">
        <v>2732</v>
      </c>
      <c r="R260" t="s">
        <v>2710</v>
      </c>
      <c r="S260" t="s">
        <v>2710</v>
      </c>
      <c r="T260" t="s">
        <v>3229</v>
      </c>
      <c r="U260" t="s">
        <v>3229</v>
      </c>
      <c r="V260">
        <v>1</v>
      </c>
      <c r="W260" t="s">
        <v>2713</v>
      </c>
      <c r="X260" t="s">
        <v>2216</v>
      </c>
      <c r="Y260" t="s">
        <v>2216</v>
      </c>
      <c r="Z260">
        <v>132</v>
      </c>
      <c r="AB260" t="s">
        <v>2716</v>
      </c>
      <c r="AC260" t="s">
        <v>2738</v>
      </c>
      <c r="AE260">
        <v>0</v>
      </c>
      <c r="AH260" t="s">
        <v>1788</v>
      </c>
      <c r="AI260">
        <v>46054</v>
      </c>
      <c r="AJ260">
        <v>2</v>
      </c>
      <c r="AK260" t="s">
        <v>4614</v>
      </c>
      <c r="AM260" t="s">
        <v>4615</v>
      </c>
      <c r="AN260" t="s">
        <v>2804</v>
      </c>
      <c r="AO260" t="s">
        <v>4630</v>
      </c>
      <c r="AP260">
        <v>4003</v>
      </c>
      <c r="AQ260" t="s">
        <v>4617</v>
      </c>
      <c r="AR260" t="s">
        <v>4618</v>
      </c>
      <c r="AS260">
        <v>81</v>
      </c>
      <c r="AT260" t="s">
        <v>4631</v>
      </c>
      <c r="AW260" t="str">
        <f>Plan_2026[[#This Row],[Tên brand]]&amp;" "&amp;Plan_2026[[#This Row],[Trục đường chính]]&amp;Plan_2026[[#This Row],[Tên mall
(chuẩn hóa)]]&amp;Plan_2026[[#This Row],[Địa chỉ đầy đủ]]</f>
        <v>The Coffee House Đường 17AAeon Mall Bình Tân</v>
      </c>
    </row>
    <row r="261" spans="1:49" hidden="1" x14ac:dyDescent="0.35">
      <c r="A261">
        <v>251</v>
      </c>
      <c r="B261" t="s">
        <v>2555</v>
      </c>
      <c r="C261" t="s">
        <v>2787</v>
      </c>
      <c r="D261" t="s">
        <v>3111</v>
      </c>
      <c r="E261">
        <v>2026</v>
      </c>
      <c r="F261">
        <v>1</v>
      </c>
      <c r="G261">
        <v>3</v>
      </c>
      <c r="H261">
        <v>7</v>
      </c>
      <c r="J261" t="s">
        <v>350</v>
      </c>
      <c r="K261" t="s">
        <v>2704</v>
      </c>
      <c r="L261" t="s">
        <v>3052</v>
      </c>
      <c r="M261" t="s">
        <v>3053</v>
      </c>
      <c r="N261" t="s">
        <v>4498</v>
      </c>
      <c r="O261" t="s">
        <v>4632</v>
      </c>
      <c r="P261" t="s">
        <v>2556</v>
      </c>
      <c r="Q261" t="s">
        <v>2709</v>
      </c>
      <c r="R261" t="s">
        <v>2751</v>
      </c>
      <c r="S261" t="s">
        <v>2751</v>
      </c>
      <c r="T261" t="s">
        <v>2790</v>
      </c>
      <c r="U261" t="s">
        <v>2790</v>
      </c>
      <c r="V261">
        <v>1</v>
      </c>
      <c r="W261" t="s">
        <v>2713</v>
      </c>
      <c r="X261" t="s">
        <v>4633</v>
      </c>
      <c r="Z261">
        <v>132</v>
      </c>
      <c r="AB261" t="s">
        <v>2716</v>
      </c>
      <c r="AC261" t="s">
        <v>2952</v>
      </c>
      <c r="AE261">
        <v>1</v>
      </c>
      <c r="AF261" t="s">
        <v>4519</v>
      </c>
      <c r="AH261" t="s">
        <v>1788</v>
      </c>
      <c r="AI261">
        <v>46082</v>
      </c>
      <c r="AJ261">
        <v>3</v>
      </c>
      <c r="AK261" t="s">
        <v>4634</v>
      </c>
      <c r="AM261" t="s">
        <v>4635</v>
      </c>
      <c r="AN261" t="s">
        <v>2793</v>
      </c>
      <c r="AO261" t="s">
        <v>4636</v>
      </c>
      <c r="AP261">
        <v>3589</v>
      </c>
      <c r="AQ261" t="s">
        <v>4637</v>
      </c>
      <c r="AR261" t="s">
        <v>4638</v>
      </c>
      <c r="AS261">
        <v>81</v>
      </c>
      <c r="AT261" t="s">
        <v>4639</v>
      </c>
      <c r="AW261" t="str">
        <f>Plan_2026[[#This Row],[Tên brand]]&amp;" "&amp;Plan_2026[[#This Row],[Trục đường chính]]&amp;Plan_2026[[#This Row],[Tên mall
(chuẩn hóa)]]&amp;Plan_2026[[#This Row],[Địa chỉ đầy đủ]]</f>
        <v>The Coffee House Đặng Văn Bi cũ</v>
      </c>
    </row>
    <row r="262" spans="1:49" hidden="1" x14ac:dyDescent="0.35">
      <c r="A262">
        <v>252</v>
      </c>
      <c r="B262" t="s">
        <v>4640</v>
      </c>
      <c r="C262" t="s">
        <v>2772</v>
      </c>
      <c r="D262" t="s">
        <v>2868</v>
      </c>
      <c r="E262">
        <v>2026</v>
      </c>
      <c r="F262">
        <v>3</v>
      </c>
      <c r="G262">
        <v>7</v>
      </c>
      <c r="H262">
        <v>11</v>
      </c>
      <c r="J262" t="s">
        <v>350</v>
      </c>
      <c r="K262" t="s">
        <v>2704</v>
      </c>
      <c r="L262" t="s">
        <v>3052</v>
      </c>
      <c r="M262" t="s">
        <v>3053</v>
      </c>
      <c r="N262" t="s">
        <v>2238</v>
      </c>
      <c r="O262" t="s">
        <v>4641</v>
      </c>
      <c r="Q262" t="s">
        <v>2732</v>
      </c>
      <c r="R262" t="s">
        <v>2751</v>
      </c>
      <c r="S262" t="s">
        <v>2751</v>
      </c>
      <c r="T262">
        <v>300</v>
      </c>
      <c r="U262" t="s">
        <v>2762</v>
      </c>
      <c r="V262">
        <v>1</v>
      </c>
      <c r="W262" t="s">
        <v>2735</v>
      </c>
      <c r="X262" t="s">
        <v>4642</v>
      </c>
      <c r="Z262">
        <v>200</v>
      </c>
      <c r="AA262" t="s">
        <v>4643</v>
      </c>
      <c r="AB262" t="s">
        <v>2716</v>
      </c>
      <c r="AC262" t="s">
        <v>2738</v>
      </c>
      <c r="AE262">
        <v>0</v>
      </c>
      <c r="AF262" t="s">
        <v>4642</v>
      </c>
      <c r="AH262" t="s">
        <v>112</v>
      </c>
      <c r="AI262">
        <v>46204</v>
      </c>
      <c r="AJ262">
        <v>7</v>
      </c>
      <c r="AK262" t="s">
        <v>4644</v>
      </c>
      <c r="AM262" t="s">
        <v>4645</v>
      </c>
      <c r="AN262" t="s">
        <v>3033</v>
      </c>
      <c r="AO262" t="s">
        <v>2772</v>
      </c>
      <c r="AP262">
        <v>23125</v>
      </c>
      <c r="AQ262" t="s">
        <v>4646</v>
      </c>
      <c r="AR262" t="s">
        <v>4647</v>
      </c>
      <c r="AS262">
        <v>55</v>
      </c>
      <c r="AT262" t="s">
        <v>4648</v>
      </c>
      <c r="AW262" t="str">
        <f>Plan_2026[[#This Row],[Tên brand]]&amp;" "&amp;Plan_2026[[#This Row],[Trục đường chính]]&amp;Plan_2026[[#This Row],[Tên mall
(chuẩn hóa)]]&amp;Plan_2026[[#This Row],[Địa chỉ đầy đủ]]</f>
        <v xml:space="preserve">Manwah </v>
      </c>
    </row>
    <row r="263" spans="1:49" hidden="1" x14ac:dyDescent="0.35">
      <c r="A263">
        <v>253</v>
      </c>
      <c r="B263" t="s">
        <v>2649</v>
      </c>
      <c r="C263" t="s">
        <v>2135</v>
      </c>
      <c r="D263" t="s">
        <v>3327</v>
      </c>
      <c r="E263">
        <v>2025</v>
      </c>
      <c r="F263">
        <v>4</v>
      </c>
      <c r="G263">
        <v>10</v>
      </c>
      <c r="H263">
        <v>2</v>
      </c>
      <c r="J263" t="s">
        <v>350</v>
      </c>
      <c r="K263" t="s">
        <v>2704</v>
      </c>
      <c r="L263" t="s">
        <v>3052</v>
      </c>
      <c r="M263" t="s">
        <v>3053</v>
      </c>
      <c r="N263" t="s">
        <v>4411</v>
      </c>
      <c r="O263" t="s">
        <v>4641</v>
      </c>
      <c r="P263" t="s">
        <v>4649</v>
      </c>
      <c r="Q263" t="s">
        <v>2709</v>
      </c>
      <c r="R263" t="s">
        <v>3356</v>
      </c>
      <c r="S263" t="s">
        <v>3357</v>
      </c>
      <c r="T263" t="s">
        <v>2790</v>
      </c>
      <c r="U263" t="s">
        <v>2790</v>
      </c>
      <c r="V263">
        <v>1</v>
      </c>
      <c r="W263" t="s">
        <v>2735</v>
      </c>
      <c r="Z263" t="s">
        <v>3331</v>
      </c>
      <c r="AB263" t="s">
        <v>1794</v>
      </c>
      <c r="AC263" t="s">
        <v>2778</v>
      </c>
      <c r="AE263">
        <v>0</v>
      </c>
      <c r="AF263" t="s">
        <v>4254</v>
      </c>
      <c r="AH263" t="s">
        <v>1446</v>
      </c>
      <c r="AI263">
        <v>45931</v>
      </c>
      <c r="AJ263">
        <v>10</v>
      </c>
      <c r="AK263" t="s">
        <v>4650</v>
      </c>
      <c r="AM263" t="s">
        <v>4651</v>
      </c>
      <c r="AN263" t="s">
        <v>3361</v>
      </c>
      <c r="AO263" t="s">
        <v>4652</v>
      </c>
      <c r="AP263">
        <v>24697</v>
      </c>
      <c r="AQ263" t="s">
        <v>4653</v>
      </c>
      <c r="AR263" t="s">
        <v>4654</v>
      </c>
      <c r="AS263">
        <v>16</v>
      </c>
      <c r="AT263" t="s">
        <v>4655</v>
      </c>
      <c r="AW263" t="str">
        <f>Plan_2026[[#This Row],[Tên brand]]&amp;" "&amp;Plan_2026[[#This Row],[Trục đường chính]]&amp;Plan_2026[[#This Row],[Tên mall
(chuẩn hóa)]]&amp;Plan_2026[[#This Row],[Địa chỉ đầy đủ]]</f>
        <v>Universal Tea 281 Đường Lê Văn Sỹ</v>
      </c>
    </row>
    <row r="264" spans="1:49" hidden="1" x14ac:dyDescent="0.35">
      <c r="A264">
        <v>254</v>
      </c>
      <c r="B264" t="s">
        <v>2500</v>
      </c>
      <c r="C264" t="s">
        <v>2787</v>
      </c>
      <c r="D264" t="s">
        <v>3111</v>
      </c>
      <c r="E264">
        <v>2026</v>
      </c>
      <c r="F264">
        <v>1</v>
      </c>
      <c r="G264">
        <v>1</v>
      </c>
      <c r="H264">
        <v>5</v>
      </c>
      <c r="J264" t="s">
        <v>350</v>
      </c>
      <c r="K264" t="s">
        <v>2704</v>
      </c>
      <c r="L264" t="s">
        <v>3052</v>
      </c>
      <c r="M264" t="s">
        <v>3053</v>
      </c>
      <c r="N264" t="s">
        <v>4251</v>
      </c>
      <c r="O264" t="s">
        <v>4641</v>
      </c>
      <c r="P264" t="s">
        <v>2501</v>
      </c>
      <c r="Q264" t="s">
        <v>2709</v>
      </c>
      <c r="R264" t="s">
        <v>2751</v>
      </c>
      <c r="S264" t="s">
        <v>2751</v>
      </c>
      <c r="T264" t="s">
        <v>2790</v>
      </c>
      <c r="U264" t="s">
        <v>2790</v>
      </c>
      <c r="V264">
        <v>1</v>
      </c>
      <c r="W264" t="s">
        <v>2713</v>
      </c>
      <c r="Z264">
        <v>132</v>
      </c>
      <c r="AB264" t="s">
        <v>2716</v>
      </c>
      <c r="AC264" t="s">
        <v>2738</v>
      </c>
      <c r="AE264">
        <v>0</v>
      </c>
      <c r="AF264" t="s">
        <v>4519</v>
      </c>
      <c r="AH264" t="s">
        <v>1788</v>
      </c>
      <c r="AI264">
        <v>46023</v>
      </c>
      <c r="AJ264">
        <v>1</v>
      </c>
      <c r="AK264" t="s">
        <v>4656</v>
      </c>
      <c r="AM264" t="s">
        <v>4657</v>
      </c>
      <c r="AN264" t="s">
        <v>2793</v>
      </c>
      <c r="AO264" t="s">
        <v>4658</v>
      </c>
      <c r="AP264">
        <v>17444</v>
      </c>
      <c r="AQ264" t="s">
        <v>4659</v>
      </c>
      <c r="AR264" t="s">
        <v>4660</v>
      </c>
      <c r="AS264">
        <v>81</v>
      </c>
      <c r="AT264" t="s">
        <v>3314</v>
      </c>
      <c r="AW264" t="str">
        <f>Plan_2026[[#This Row],[Tên brand]]&amp;" "&amp;Plan_2026[[#This Row],[Trục đường chính]]&amp;Plan_2026[[#This Row],[Tên mall
(chuẩn hóa)]]&amp;Plan_2026[[#This Row],[Địa chỉ đầy đủ]]</f>
        <v>The Coffee House Hoàng Hoa Thám (giao Lê Quang Định)</v>
      </c>
    </row>
    <row r="265" spans="1:49" hidden="1" x14ac:dyDescent="0.35">
      <c r="A265">
        <v>255</v>
      </c>
      <c r="B265" t="s">
        <v>2488</v>
      </c>
      <c r="C265" t="s">
        <v>2787</v>
      </c>
      <c r="D265" t="s">
        <v>3111</v>
      </c>
      <c r="E265">
        <v>2026</v>
      </c>
      <c r="F265">
        <v>1</v>
      </c>
      <c r="G265">
        <v>1</v>
      </c>
      <c r="H265">
        <v>5</v>
      </c>
      <c r="J265" t="s">
        <v>350</v>
      </c>
      <c r="K265" t="s">
        <v>2704</v>
      </c>
      <c r="L265" t="s">
        <v>3052</v>
      </c>
      <c r="M265" t="s">
        <v>3053</v>
      </c>
      <c r="N265" t="s">
        <v>2238</v>
      </c>
      <c r="O265" t="s">
        <v>4641</v>
      </c>
      <c r="P265" t="s">
        <v>2489</v>
      </c>
      <c r="Q265" t="s">
        <v>2810</v>
      </c>
      <c r="R265" t="s">
        <v>2710</v>
      </c>
      <c r="S265" t="s">
        <v>2710</v>
      </c>
      <c r="T265" t="s">
        <v>2800</v>
      </c>
      <c r="U265" t="s">
        <v>2800</v>
      </c>
      <c r="V265">
        <v>1</v>
      </c>
      <c r="W265" t="s">
        <v>2713</v>
      </c>
      <c r="X265" t="s">
        <v>4661</v>
      </c>
      <c r="Z265">
        <v>132</v>
      </c>
      <c r="AA265" t="s">
        <v>4088</v>
      </c>
      <c r="AB265" t="s">
        <v>2716</v>
      </c>
      <c r="AC265" t="s">
        <v>2738</v>
      </c>
      <c r="AE265">
        <v>0</v>
      </c>
      <c r="AF265" t="s">
        <v>4297</v>
      </c>
      <c r="AH265" t="s">
        <v>1788</v>
      </c>
      <c r="AI265">
        <v>46023</v>
      </c>
      <c r="AJ265">
        <v>1</v>
      </c>
      <c r="AK265" t="s">
        <v>4644</v>
      </c>
      <c r="AM265" t="s">
        <v>4645</v>
      </c>
      <c r="AN265" t="s">
        <v>2814</v>
      </c>
      <c r="AO265" t="s">
        <v>4662</v>
      </c>
      <c r="AP265">
        <v>23125</v>
      </c>
      <c r="AQ265" t="s">
        <v>4646</v>
      </c>
      <c r="AR265" t="s">
        <v>4647</v>
      </c>
      <c r="AS265">
        <v>81</v>
      </c>
      <c r="AT265" t="s">
        <v>3162</v>
      </c>
      <c r="AW265" t="str">
        <f>Plan_2026[[#This Row],[Tên brand]]&amp;" "&amp;Plan_2026[[#This Row],[Trục đường chính]]&amp;Plan_2026[[#This Row],[Tên mall
(chuẩn hóa)]]&amp;Plan_2026[[#This Row],[Địa chỉ đầy đủ]]</f>
        <v>The Coffee House Bến Vân Đồn</v>
      </c>
    </row>
    <row r="266" spans="1:49" hidden="1" x14ac:dyDescent="0.35">
      <c r="A266">
        <v>256</v>
      </c>
      <c r="B266" t="s">
        <v>4663</v>
      </c>
      <c r="C266" t="s">
        <v>2702</v>
      </c>
      <c r="D266" t="s">
        <v>3051</v>
      </c>
      <c r="E266">
        <v>2026</v>
      </c>
      <c r="F266">
        <v>3</v>
      </c>
      <c r="G266">
        <v>7</v>
      </c>
      <c r="H266">
        <v>11</v>
      </c>
      <c r="J266" t="s">
        <v>350</v>
      </c>
      <c r="K266" t="s">
        <v>2704</v>
      </c>
      <c r="L266" t="s">
        <v>3052</v>
      </c>
      <c r="M266" t="s">
        <v>3053</v>
      </c>
      <c r="N266" t="s">
        <v>4569</v>
      </c>
      <c r="O266" t="s">
        <v>4664</v>
      </c>
      <c r="P266" t="s">
        <v>4665</v>
      </c>
      <c r="Q266" t="s">
        <v>2709</v>
      </c>
      <c r="R266">
        <v>8</v>
      </c>
      <c r="S266" t="s">
        <v>2710</v>
      </c>
      <c r="T266" t="s">
        <v>4666</v>
      </c>
      <c r="U266" t="s">
        <v>2790</v>
      </c>
      <c r="V266">
        <v>1</v>
      </c>
      <c r="W266" t="s">
        <v>2735</v>
      </c>
      <c r="X266" t="s">
        <v>4667</v>
      </c>
      <c r="Z266" t="s">
        <v>2715</v>
      </c>
      <c r="AB266" t="s">
        <v>2716</v>
      </c>
      <c r="AC266" t="s">
        <v>2717</v>
      </c>
      <c r="AE266">
        <v>0</v>
      </c>
      <c r="AF266" t="s">
        <v>4668</v>
      </c>
      <c r="AH266" t="s">
        <v>76</v>
      </c>
      <c r="AI266">
        <v>46204</v>
      </c>
      <c r="AJ266">
        <v>7</v>
      </c>
      <c r="AK266" t="s">
        <v>4669</v>
      </c>
      <c r="AM266" t="s">
        <v>4670</v>
      </c>
      <c r="AN266" t="s">
        <v>2721</v>
      </c>
      <c r="AO266" t="s">
        <v>4671</v>
      </c>
      <c r="AP266">
        <v>2373</v>
      </c>
      <c r="AQ266" t="s">
        <v>4672</v>
      </c>
      <c r="AR266" t="s">
        <v>4673</v>
      </c>
      <c r="AS266">
        <v>144</v>
      </c>
      <c r="AT266" t="s">
        <v>4674</v>
      </c>
      <c r="AW266" t="str">
        <f>Plan_2026[[#This Row],[Tên brand]]&amp;" "&amp;Plan_2026[[#This Row],[Trục đường chính]]&amp;Plan_2026[[#This Row],[Tên mall
(chuẩn hóa)]]&amp;Plan_2026[[#This Row],[Địa chỉ đầy đủ]]</f>
        <v>Gogi House Nguyễn Thị Tú</v>
      </c>
    </row>
    <row r="267" spans="1:49" hidden="1" x14ac:dyDescent="0.35">
      <c r="A267">
        <v>257</v>
      </c>
      <c r="B267" t="s">
        <v>4675</v>
      </c>
      <c r="C267" t="s">
        <v>35</v>
      </c>
      <c r="D267" t="s">
        <v>2820</v>
      </c>
      <c r="E267">
        <v>2026</v>
      </c>
      <c r="F267">
        <v>3</v>
      </c>
      <c r="G267">
        <v>7</v>
      </c>
      <c r="H267">
        <v>11</v>
      </c>
      <c r="J267" t="s">
        <v>350</v>
      </c>
      <c r="K267" t="s">
        <v>2704</v>
      </c>
      <c r="L267" t="s">
        <v>3052</v>
      </c>
      <c r="M267" t="s">
        <v>3053</v>
      </c>
      <c r="N267" t="s">
        <v>4569</v>
      </c>
      <c r="O267" t="s">
        <v>4664</v>
      </c>
      <c r="P267" t="s">
        <v>4665</v>
      </c>
      <c r="Q267" t="s">
        <v>2709</v>
      </c>
      <c r="R267" t="s">
        <v>2710</v>
      </c>
      <c r="S267" t="s">
        <v>2710</v>
      </c>
      <c r="T267" t="s">
        <v>2882</v>
      </c>
      <c r="U267" t="s">
        <v>2790</v>
      </c>
      <c r="V267">
        <v>1</v>
      </c>
      <c r="W267" t="s">
        <v>2735</v>
      </c>
      <c r="X267" t="s">
        <v>4676</v>
      </c>
      <c r="Z267" t="s">
        <v>2715</v>
      </c>
      <c r="AA267" t="s">
        <v>3317</v>
      </c>
      <c r="AB267" t="s">
        <v>2716</v>
      </c>
      <c r="AC267" t="s">
        <v>2952</v>
      </c>
      <c r="AE267">
        <v>1</v>
      </c>
      <c r="AF267" t="s">
        <v>4677</v>
      </c>
      <c r="AH267" t="s">
        <v>34</v>
      </c>
      <c r="AI267">
        <v>46204</v>
      </c>
      <c r="AJ267">
        <v>7</v>
      </c>
      <c r="AK267" t="s">
        <v>4669</v>
      </c>
      <c r="AM267" t="s">
        <v>4670</v>
      </c>
      <c r="AN267" t="s">
        <v>2911</v>
      </c>
      <c r="AO267" t="s">
        <v>4678</v>
      </c>
      <c r="AP267">
        <v>2373</v>
      </c>
      <c r="AQ267" t="s">
        <v>4672</v>
      </c>
      <c r="AR267" t="s">
        <v>4673</v>
      </c>
      <c r="AS267">
        <v>107</v>
      </c>
      <c r="AT267" t="s">
        <v>3707</v>
      </c>
      <c r="AW267" t="str">
        <f>Plan_2026[[#This Row],[Tên brand]]&amp;" "&amp;Plan_2026[[#This Row],[Trục đường chính]]&amp;Plan_2026[[#This Row],[Tên mall
(chuẩn hóa)]]&amp;Plan_2026[[#This Row],[Địa chỉ đầy đủ]]</f>
        <v>Kichi Kichi Nguyễn Thị Tú</v>
      </c>
    </row>
    <row r="268" spans="1:49" hidden="1" x14ac:dyDescent="0.35">
      <c r="A268">
        <v>258</v>
      </c>
      <c r="B268" t="s">
        <v>2346</v>
      </c>
      <c r="C268" t="s">
        <v>2702</v>
      </c>
      <c r="D268" t="s">
        <v>3051</v>
      </c>
      <c r="E268">
        <v>2026</v>
      </c>
      <c r="F268">
        <v>2</v>
      </c>
      <c r="G268">
        <v>5</v>
      </c>
      <c r="H268">
        <v>9</v>
      </c>
      <c r="J268" t="s">
        <v>350</v>
      </c>
      <c r="K268" t="s">
        <v>2704</v>
      </c>
      <c r="L268" t="s">
        <v>3052</v>
      </c>
      <c r="M268" t="s">
        <v>3053</v>
      </c>
      <c r="N268" t="s">
        <v>4551</v>
      </c>
      <c r="O268" t="s">
        <v>3710</v>
      </c>
      <c r="P268" t="s">
        <v>4679</v>
      </c>
      <c r="Q268" t="s">
        <v>2709</v>
      </c>
      <c r="R268">
        <v>8</v>
      </c>
      <c r="S268" t="s">
        <v>2710</v>
      </c>
      <c r="T268" t="s">
        <v>2711</v>
      </c>
      <c r="U268" t="s">
        <v>2712</v>
      </c>
      <c r="V268">
        <v>1</v>
      </c>
      <c r="W268" t="s">
        <v>2713</v>
      </c>
      <c r="Z268" t="s">
        <v>2715</v>
      </c>
      <c r="AB268" t="s">
        <v>2716</v>
      </c>
      <c r="AC268" t="s">
        <v>2738</v>
      </c>
      <c r="AE268">
        <v>0</v>
      </c>
      <c r="AF268" t="s">
        <v>4284</v>
      </c>
      <c r="AH268" t="s">
        <v>76</v>
      </c>
      <c r="AI268">
        <v>46143</v>
      </c>
      <c r="AJ268">
        <v>5</v>
      </c>
      <c r="AK268" t="s">
        <v>4680</v>
      </c>
      <c r="AM268" t="s">
        <v>4681</v>
      </c>
      <c r="AN268" t="s">
        <v>2721</v>
      </c>
      <c r="AO268" t="s">
        <v>4682</v>
      </c>
      <c r="AP268">
        <v>149</v>
      </c>
      <c r="AQ268" t="s">
        <v>4683</v>
      </c>
      <c r="AR268" t="s">
        <v>4684</v>
      </c>
      <c r="AS268">
        <v>144</v>
      </c>
      <c r="AT268" t="s">
        <v>2904</v>
      </c>
      <c r="AW268" t="str">
        <f>Plan_2026[[#This Row],[Tên brand]]&amp;" "&amp;Plan_2026[[#This Row],[Trục đường chính]]&amp;Plan_2026[[#This Row],[Tên mall
(chuẩn hóa)]]&amp;Plan_2026[[#This Row],[Địa chỉ đầy đủ]]</f>
        <v>Gogi House Trần Não, Nguyễn Duy Trinh</v>
      </c>
    </row>
    <row r="269" spans="1:49" hidden="1" x14ac:dyDescent="0.35">
      <c r="A269">
        <v>259</v>
      </c>
      <c r="B269" t="s">
        <v>4685</v>
      </c>
      <c r="C269" t="s">
        <v>3208</v>
      </c>
      <c r="D269" t="s">
        <v>2850</v>
      </c>
      <c r="E269">
        <v>2026</v>
      </c>
      <c r="F269">
        <v>3</v>
      </c>
      <c r="G269">
        <v>7</v>
      </c>
      <c r="H269">
        <v>11</v>
      </c>
      <c r="J269" t="s">
        <v>350</v>
      </c>
      <c r="K269" t="s">
        <v>2704</v>
      </c>
      <c r="L269" t="s">
        <v>3052</v>
      </c>
      <c r="M269" t="s">
        <v>3053</v>
      </c>
      <c r="N269" t="s">
        <v>4551</v>
      </c>
      <c r="O269" t="s">
        <v>3710</v>
      </c>
      <c r="P269" t="s">
        <v>4686</v>
      </c>
      <c r="Q269" t="s">
        <v>2732</v>
      </c>
      <c r="R269" t="s">
        <v>2710</v>
      </c>
      <c r="S269" t="s">
        <v>2710</v>
      </c>
      <c r="T269" t="s">
        <v>2712</v>
      </c>
      <c r="U269" t="s">
        <v>2712</v>
      </c>
      <c r="V269">
        <v>1</v>
      </c>
      <c r="W269" t="s">
        <v>2735</v>
      </c>
      <c r="X269" t="s">
        <v>4687</v>
      </c>
      <c r="Y269" t="s">
        <v>4687</v>
      </c>
      <c r="Z269" t="s">
        <v>2715</v>
      </c>
      <c r="AB269" t="s">
        <v>2716</v>
      </c>
      <c r="AC269" t="s">
        <v>2738</v>
      </c>
      <c r="AE269">
        <v>0</v>
      </c>
      <c r="AH269" t="s">
        <v>51</v>
      </c>
      <c r="AI269">
        <v>46204</v>
      </c>
      <c r="AJ269">
        <v>7</v>
      </c>
      <c r="AK269" t="s">
        <v>4680</v>
      </c>
      <c r="AM269" t="s">
        <v>4681</v>
      </c>
      <c r="AN269" t="s">
        <v>3264</v>
      </c>
      <c r="AO269" t="s">
        <v>4688</v>
      </c>
      <c r="AP269">
        <v>149</v>
      </c>
      <c r="AQ269" t="s">
        <v>4683</v>
      </c>
      <c r="AR269" t="s">
        <v>4684</v>
      </c>
      <c r="AS269">
        <v>11</v>
      </c>
      <c r="AT269" t="s">
        <v>4689</v>
      </c>
      <c r="AW269" t="str">
        <f>Plan_2026[[#This Row],[Tên brand]]&amp;" "&amp;Plan_2026[[#This Row],[Trục đường chính]]&amp;Plan_2026[[#This Row],[Tên mall
(chuẩn hóa)]]&amp;Plan_2026[[#This Row],[Địa chỉ đầy đủ]]</f>
        <v>Sumogoya Mai Chí ThoThiso Mall Sala</v>
      </c>
    </row>
    <row r="270" spans="1:49" hidden="1" x14ac:dyDescent="0.35">
      <c r="A270">
        <v>260</v>
      </c>
      <c r="B270" t="s">
        <v>4690</v>
      </c>
      <c r="C270" t="s">
        <v>4012</v>
      </c>
      <c r="D270" t="s">
        <v>4507</v>
      </c>
      <c r="E270">
        <v>2026</v>
      </c>
      <c r="F270">
        <v>2</v>
      </c>
      <c r="G270">
        <v>4</v>
      </c>
      <c r="H270">
        <v>8</v>
      </c>
      <c r="J270" t="s">
        <v>350</v>
      </c>
      <c r="K270" t="s">
        <v>2704</v>
      </c>
      <c r="L270" t="s">
        <v>3052</v>
      </c>
      <c r="M270" t="s">
        <v>3053</v>
      </c>
      <c r="N270" t="s">
        <v>4551</v>
      </c>
      <c r="O270" t="s">
        <v>3710</v>
      </c>
      <c r="P270" t="s">
        <v>2588</v>
      </c>
      <c r="Q270" t="s">
        <v>2732</v>
      </c>
      <c r="R270" t="s">
        <v>2751</v>
      </c>
      <c r="S270" t="s">
        <v>2751</v>
      </c>
      <c r="T270" t="s">
        <v>2790</v>
      </c>
      <c r="U270" t="s">
        <v>2790</v>
      </c>
      <c r="V270">
        <v>1</v>
      </c>
      <c r="W270" t="s">
        <v>2735</v>
      </c>
      <c r="X270" t="s">
        <v>4687</v>
      </c>
      <c r="Y270" t="s">
        <v>4687</v>
      </c>
      <c r="Z270" t="s">
        <v>4014</v>
      </c>
      <c r="AB270" t="s">
        <v>2716</v>
      </c>
      <c r="AC270" t="s">
        <v>2738</v>
      </c>
      <c r="AE270">
        <v>0</v>
      </c>
      <c r="AH270" t="s">
        <v>1777</v>
      </c>
      <c r="AI270">
        <v>46113</v>
      </c>
      <c r="AJ270">
        <v>4</v>
      </c>
      <c r="AK270" t="s">
        <v>4680</v>
      </c>
      <c r="AM270" t="s">
        <v>4681</v>
      </c>
      <c r="AN270" t="s">
        <v>4015</v>
      </c>
      <c r="AO270" t="s">
        <v>4691</v>
      </c>
      <c r="AP270">
        <v>149</v>
      </c>
      <c r="AQ270" t="s">
        <v>4683</v>
      </c>
      <c r="AR270" t="s">
        <v>4684</v>
      </c>
      <c r="AS270">
        <v>3</v>
      </c>
      <c r="AT270" t="s">
        <v>4017</v>
      </c>
      <c r="AW270" t="str">
        <f>Plan_2026[[#This Row],[Tên brand]]&amp;" "&amp;Plan_2026[[#This Row],[Trục đường chính]]&amp;Plan_2026[[#This Row],[Tên mall
(chuẩn hóa)]]&amp;Plan_2026[[#This Row],[Địa chỉ đầy đủ]]</f>
        <v>SushiX 10 Mai Chí ThọThiso Mall Sala</v>
      </c>
    </row>
    <row r="271" spans="1:49" hidden="1" x14ac:dyDescent="0.35">
      <c r="A271">
        <v>261</v>
      </c>
      <c r="B271" t="s">
        <v>2573</v>
      </c>
      <c r="C271" t="s">
        <v>2787</v>
      </c>
      <c r="D271" t="s">
        <v>3111</v>
      </c>
      <c r="E271">
        <v>2026</v>
      </c>
      <c r="F271">
        <v>2</v>
      </c>
      <c r="G271">
        <v>4</v>
      </c>
      <c r="H271">
        <v>8</v>
      </c>
      <c r="J271" t="s">
        <v>350</v>
      </c>
      <c r="K271" t="s">
        <v>2704</v>
      </c>
      <c r="L271" t="s">
        <v>3052</v>
      </c>
      <c r="M271" t="s">
        <v>3053</v>
      </c>
      <c r="N271" t="s">
        <v>4551</v>
      </c>
      <c r="O271" t="s">
        <v>3710</v>
      </c>
      <c r="P271" t="s">
        <v>2574</v>
      </c>
      <c r="Q271" t="s">
        <v>2810</v>
      </c>
      <c r="R271" t="s">
        <v>3356</v>
      </c>
      <c r="S271" t="s">
        <v>3357</v>
      </c>
      <c r="T271" t="s">
        <v>2790</v>
      </c>
      <c r="U271" t="s">
        <v>2790</v>
      </c>
      <c r="V271">
        <v>1</v>
      </c>
      <c r="W271" t="s">
        <v>2713</v>
      </c>
      <c r="X271" t="s">
        <v>4692</v>
      </c>
      <c r="Z271">
        <v>132</v>
      </c>
      <c r="AB271" t="s">
        <v>2716</v>
      </c>
      <c r="AC271" t="s">
        <v>2738</v>
      </c>
      <c r="AE271">
        <v>0</v>
      </c>
      <c r="AH271" t="s">
        <v>1788</v>
      </c>
      <c r="AI271">
        <v>46113</v>
      </c>
      <c r="AJ271">
        <v>4</v>
      </c>
      <c r="AK271" t="s">
        <v>4680</v>
      </c>
      <c r="AM271" t="s">
        <v>4681</v>
      </c>
      <c r="AN271" t="s">
        <v>2814</v>
      </c>
      <c r="AO271" t="s">
        <v>4693</v>
      </c>
      <c r="AP271">
        <v>149</v>
      </c>
      <c r="AQ271" t="s">
        <v>4683</v>
      </c>
      <c r="AR271" t="s">
        <v>4684</v>
      </c>
      <c r="AS271">
        <v>81</v>
      </c>
      <c r="AT271" t="s">
        <v>4694</v>
      </c>
      <c r="AW271" t="str">
        <f>Plan_2026[[#This Row],[Tên brand]]&amp;" "&amp;Plan_2026[[#This Row],[Trục đường chính]]&amp;Plan_2026[[#This Row],[Tên mall
(chuẩn hóa)]]&amp;Plan_2026[[#This Row],[Địa chỉ đầy đủ]]</f>
        <v>The Coffee House Tố Hữu</v>
      </c>
    </row>
    <row r="272" spans="1:49" hidden="1" x14ac:dyDescent="0.35">
      <c r="A272">
        <v>262</v>
      </c>
      <c r="B272" t="s">
        <v>2524</v>
      </c>
      <c r="C272" t="s">
        <v>2787</v>
      </c>
      <c r="D272" t="s">
        <v>3111</v>
      </c>
      <c r="E272">
        <v>2026</v>
      </c>
      <c r="F272">
        <v>1</v>
      </c>
      <c r="G272">
        <v>2</v>
      </c>
      <c r="H272">
        <v>6</v>
      </c>
      <c r="J272" t="s">
        <v>350</v>
      </c>
      <c r="K272" t="s">
        <v>2704</v>
      </c>
      <c r="L272" t="s">
        <v>3052</v>
      </c>
      <c r="M272" t="s">
        <v>3053</v>
      </c>
      <c r="N272" t="s">
        <v>4695</v>
      </c>
      <c r="O272" t="s">
        <v>4696</v>
      </c>
      <c r="P272" t="s">
        <v>2525</v>
      </c>
      <c r="Q272" t="s">
        <v>2709</v>
      </c>
      <c r="R272" t="s">
        <v>2751</v>
      </c>
      <c r="S272" t="s">
        <v>2751</v>
      </c>
      <c r="T272" t="s">
        <v>2790</v>
      </c>
      <c r="U272" t="s">
        <v>2790</v>
      </c>
      <c r="V272">
        <v>1</v>
      </c>
      <c r="W272" t="s">
        <v>2713</v>
      </c>
      <c r="Z272">
        <v>132</v>
      </c>
      <c r="AB272" t="s">
        <v>2716</v>
      </c>
      <c r="AC272" t="s">
        <v>2738</v>
      </c>
      <c r="AE272">
        <v>0</v>
      </c>
      <c r="AF272" t="s">
        <v>4519</v>
      </c>
      <c r="AH272" t="s">
        <v>1788</v>
      </c>
      <c r="AI272">
        <v>46054</v>
      </c>
      <c r="AJ272">
        <v>2</v>
      </c>
      <c r="AK272" t="s">
        <v>4697</v>
      </c>
      <c r="AM272" t="s">
        <v>4698</v>
      </c>
      <c r="AN272" t="s">
        <v>2793</v>
      </c>
      <c r="AO272" t="s">
        <v>4699</v>
      </c>
      <c r="AP272">
        <v>2153</v>
      </c>
      <c r="AQ272" t="s">
        <v>4700</v>
      </c>
      <c r="AR272" t="s">
        <v>4701</v>
      </c>
      <c r="AS272">
        <v>81</v>
      </c>
      <c r="AT272" t="s">
        <v>2818</v>
      </c>
      <c r="AW272" t="str">
        <f>Plan_2026[[#This Row],[Tên brand]]&amp;" "&amp;Plan_2026[[#This Row],[Trục đường chính]]&amp;Plan_2026[[#This Row],[Tên mall
(chuẩn hóa)]]&amp;Plan_2026[[#This Row],[Địa chỉ đầy đủ]]</f>
        <v>The Coffee House Lê Thị Hà</v>
      </c>
    </row>
    <row r="273" spans="1:49" hidden="1" x14ac:dyDescent="0.35">
      <c r="A273">
        <v>263</v>
      </c>
      <c r="B273" t="s">
        <v>2456</v>
      </c>
      <c r="C273" t="s">
        <v>2849</v>
      </c>
      <c r="D273" t="s">
        <v>2850</v>
      </c>
      <c r="E273">
        <v>2025</v>
      </c>
      <c r="F273">
        <v>4</v>
      </c>
      <c r="G273">
        <v>12</v>
      </c>
      <c r="H273">
        <v>4</v>
      </c>
      <c r="J273" t="s">
        <v>350</v>
      </c>
      <c r="K273" t="s">
        <v>2704</v>
      </c>
      <c r="L273" t="s">
        <v>3052</v>
      </c>
      <c r="M273" t="s">
        <v>3053</v>
      </c>
      <c r="N273" t="s">
        <v>4311</v>
      </c>
      <c r="O273" t="s">
        <v>4397</v>
      </c>
      <c r="P273" t="s">
        <v>4702</v>
      </c>
      <c r="Q273" t="s">
        <v>2732</v>
      </c>
      <c r="R273" t="s">
        <v>2751</v>
      </c>
      <c r="S273" t="s">
        <v>2751</v>
      </c>
      <c r="T273" t="s">
        <v>2790</v>
      </c>
      <c r="U273" t="s">
        <v>2790</v>
      </c>
      <c r="V273">
        <v>1</v>
      </c>
      <c r="W273" t="s">
        <v>2713</v>
      </c>
      <c r="X273" t="s">
        <v>2450</v>
      </c>
      <c r="Y273" t="s">
        <v>2450</v>
      </c>
      <c r="Z273" t="s">
        <v>2715</v>
      </c>
      <c r="AB273" t="s">
        <v>2716</v>
      </c>
      <c r="AC273" t="s">
        <v>2738</v>
      </c>
      <c r="AE273">
        <v>0</v>
      </c>
      <c r="AF273" t="s">
        <v>4703</v>
      </c>
      <c r="AH273" t="s">
        <v>1771</v>
      </c>
      <c r="AI273">
        <v>45992</v>
      </c>
      <c r="AJ273">
        <v>12</v>
      </c>
      <c r="AK273" t="s">
        <v>4400</v>
      </c>
      <c r="AM273" t="s">
        <v>4402</v>
      </c>
      <c r="AN273" t="s">
        <v>2862</v>
      </c>
      <c r="AO273" t="s">
        <v>4704</v>
      </c>
      <c r="AP273">
        <v>11470</v>
      </c>
      <c r="AQ273" t="s">
        <v>4404</v>
      </c>
      <c r="AR273" t="s">
        <v>4405</v>
      </c>
      <c r="AS273">
        <v>2</v>
      </c>
      <c r="AT273" t="s">
        <v>2866</v>
      </c>
      <c r="AW273" t="str">
        <f>Plan_2026[[#This Row],[Tên brand]]&amp;" "&amp;Plan_2026[[#This Row],[Trục đường chính]]&amp;Plan_2026[[#This Row],[Tên mall
(chuẩn hóa)]]&amp;Plan_2026[[#This Row],[Địa chỉ đầy đủ]]</f>
        <v>Wow!Yakiniku 242 Đường Nguyễn Văn LượngLotte Mart Gò Vấp</v>
      </c>
    </row>
    <row r="274" spans="1:49" hidden="1" x14ac:dyDescent="0.35">
      <c r="A274">
        <v>264</v>
      </c>
      <c r="B274" t="s">
        <v>2449</v>
      </c>
      <c r="C274" t="s">
        <v>3208</v>
      </c>
      <c r="D274" t="s">
        <v>2850</v>
      </c>
      <c r="E274">
        <v>2026</v>
      </c>
      <c r="F274">
        <v>2</v>
      </c>
      <c r="G274">
        <v>5</v>
      </c>
      <c r="H274">
        <v>9</v>
      </c>
      <c r="J274" t="s">
        <v>350</v>
      </c>
      <c r="K274" t="s">
        <v>2704</v>
      </c>
      <c r="L274" t="s">
        <v>3052</v>
      </c>
      <c r="M274" t="s">
        <v>3053</v>
      </c>
      <c r="N274" t="s">
        <v>4311</v>
      </c>
      <c r="O274" t="s">
        <v>4397</v>
      </c>
      <c r="P274" t="s">
        <v>4702</v>
      </c>
      <c r="Q274" t="s">
        <v>2732</v>
      </c>
      <c r="R274" t="s">
        <v>2710</v>
      </c>
      <c r="S274" t="s">
        <v>2710</v>
      </c>
      <c r="T274" t="s">
        <v>2712</v>
      </c>
      <c r="U274" t="s">
        <v>2712</v>
      </c>
      <c r="V274">
        <v>1</v>
      </c>
      <c r="W274" t="s">
        <v>2713</v>
      </c>
      <c r="X274" t="s">
        <v>2450</v>
      </c>
      <c r="Y274" t="s">
        <v>2450</v>
      </c>
      <c r="Z274" t="s">
        <v>2715</v>
      </c>
      <c r="AB274" t="s">
        <v>2716</v>
      </c>
      <c r="AC274" t="s">
        <v>2738</v>
      </c>
      <c r="AE274">
        <v>0</v>
      </c>
      <c r="AF274" t="s">
        <v>4705</v>
      </c>
      <c r="AH274" t="s">
        <v>51</v>
      </c>
      <c r="AI274">
        <v>46143</v>
      </c>
      <c r="AJ274">
        <v>5</v>
      </c>
      <c r="AK274" t="s">
        <v>4400</v>
      </c>
      <c r="AM274" t="s">
        <v>4402</v>
      </c>
      <c r="AN274" t="s">
        <v>3264</v>
      </c>
      <c r="AO274" t="s">
        <v>4706</v>
      </c>
      <c r="AP274">
        <v>11470</v>
      </c>
      <c r="AQ274" t="s">
        <v>4404</v>
      </c>
      <c r="AR274" t="s">
        <v>4405</v>
      </c>
      <c r="AS274">
        <v>11</v>
      </c>
      <c r="AT274" t="s">
        <v>3480</v>
      </c>
      <c r="AW274" t="str">
        <f>Plan_2026[[#This Row],[Tên brand]]&amp;" "&amp;Plan_2026[[#This Row],[Trục đường chính]]&amp;Plan_2026[[#This Row],[Tên mall
(chuẩn hóa)]]&amp;Plan_2026[[#This Row],[Địa chỉ đầy đủ]]</f>
        <v>Sumogoya 242 Đường Nguyễn Văn LượngLotte Mart Gò Vấp</v>
      </c>
    </row>
    <row r="275" spans="1:49" hidden="1" x14ac:dyDescent="0.35">
      <c r="A275">
        <v>265</v>
      </c>
      <c r="B275" t="s">
        <v>4707</v>
      </c>
      <c r="C275" t="s">
        <v>184</v>
      </c>
      <c r="D275" t="s">
        <v>4382</v>
      </c>
      <c r="E275">
        <v>2026</v>
      </c>
      <c r="F275">
        <v>1</v>
      </c>
      <c r="G275">
        <v>2</v>
      </c>
      <c r="H275">
        <v>6</v>
      </c>
      <c r="J275" t="s">
        <v>350</v>
      </c>
      <c r="K275" t="s">
        <v>2704</v>
      </c>
      <c r="L275" t="s">
        <v>3052</v>
      </c>
      <c r="M275" t="s">
        <v>3053</v>
      </c>
      <c r="N275" t="s">
        <v>4311</v>
      </c>
      <c r="O275" t="s">
        <v>4397</v>
      </c>
      <c r="P275" t="s">
        <v>4708</v>
      </c>
      <c r="Q275" t="s">
        <v>2732</v>
      </c>
      <c r="R275" t="s">
        <v>2710</v>
      </c>
      <c r="S275" t="s">
        <v>2710</v>
      </c>
      <c r="T275" t="s">
        <v>2790</v>
      </c>
      <c r="U275" t="s">
        <v>2790</v>
      </c>
      <c r="V275">
        <v>1</v>
      </c>
      <c r="W275" t="s">
        <v>2735</v>
      </c>
      <c r="X275" t="s">
        <v>4709</v>
      </c>
      <c r="Y275" t="s">
        <v>2450</v>
      </c>
      <c r="Z275">
        <v>220</v>
      </c>
      <c r="AB275" t="s">
        <v>2716</v>
      </c>
      <c r="AC275" t="s">
        <v>3232</v>
      </c>
      <c r="AE275">
        <v>0</v>
      </c>
      <c r="AF275" t="s">
        <v>4710</v>
      </c>
      <c r="AH275" t="s">
        <v>183</v>
      </c>
      <c r="AI275">
        <v>46054</v>
      </c>
      <c r="AJ275">
        <v>2</v>
      </c>
      <c r="AK275" t="s">
        <v>4400</v>
      </c>
      <c r="AM275" t="s">
        <v>4402</v>
      </c>
      <c r="AN275" t="s">
        <v>3411</v>
      </c>
      <c r="AO275" t="s">
        <v>4711</v>
      </c>
      <c r="AP275">
        <v>11470</v>
      </c>
      <c r="AQ275" t="s">
        <v>4404</v>
      </c>
      <c r="AR275" t="s">
        <v>4405</v>
      </c>
      <c r="AS275">
        <v>10</v>
      </c>
      <c r="AT275" t="s">
        <v>3130</v>
      </c>
      <c r="AW275" t="str">
        <f>Plan_2026[[#This Row],[Tên brand]]&amp;" "&amp;Plan_2026[[#This Row],[Trục đường chính]]&amp;Plan_2026[[#This Row],[Tên mall
(chuẩn hóa)]]&amp;Plan_2026[[#This Row],[Địa chỉ đầy đủ]]</f>
        <v>Shogun Số 242, Đường Nguyễn Văn LượngLotte Mart Gò Vấp</v>
      </c>
    </row>
    <row r="276" spans="1:49" hidden="1" x14ac:dyDescent="0.35">
      <c r="A276">
        <v>266</v>
      </c>
      <c r="B276" t="s">
        <v>2338</v>
      </c>
      <c r="C276" t="s">
        <v>2702</v>
      </c>
      <c r="D276" t="s">
        <v>3051</v>
      </c>
      <c r="E276">
        <v>2026</v>
      </c>
      <c r="F276">
        <v>2</v>
      </c>
      <c r="G276">
        <v>5</v>
      </c>
      <c r="H276">
        <v>9</v>
      </c>
      <c r="J276" t="s">
        <v>350</v>
      </c>
      <c r="K276" t="s">
        <v>2704</v>
      </c>
      <c r="L276" t="s">
        <v>3052</v>
      </c>
      <c r="M276" t="s">
        <v>3053</v>
      </c>
      <c r="N276" t="s">
        <v>4712</v>
      </c>
      <c r="O276" t="s">
        <v>4713</v>
      </c>
      <c r="P276" t="s">
        <v>4714</v>
      </c>
      <c r="Q276" t="s">
        <v>2709</v>
      </c>
      <c r="R276">
        <v>8</v>
      </c>
      <c r="S276" t="s">
        <v>2710</v>
      </c>
      <c r="T276" t="s">
        <v>2711</v>
      </c>
      <c r="U276" t="s">
        <v>2712</v>
      </c>
      <c r="V276">
        <v>1</v>
      </c>
      <c r="W276" t="s">
        <v>2713</v>
      </c>
      <c r="Z276" t="s">
        <v>2715</v>
      </c>
      <c r="AB276" t="s">
        <v>2716</v>
      </c>
      <c r="AC276" t="s">
        <v>2738</v>
      </c>
      <c r="AE276">
        <v>0</v>
      </c>
      <c r="AH276" t="s">
        <v>76</v>
      </c>
      <c r="AI276">
        <v>46143</v>
      </c>
      <c r="AJ276">
        <v>5</v>
      </c>
      <c r="AK276" t="s">
        <v>4715</v>
      </c>
      <c r="AM276" t="s">
        <v>4716</v>
      </c>
      <c r="AN276" t="s">
        <v>2721</v>
      </c>
      <c r="AO276" t="s">
        <v>4717</v>
      </c>
      <c r="AP276">
        <v>2079</v>
      </c>
      <c r="AQ276" t="s">
        <v>4718</v>
      </c>
      <c r="AR276" t="s">
        <v>4719</v>
      </c>
      <c r="AS276">
        <v>144</v>
      </c>
      <c r="AT276" t="s">
        <v>4720</v>
      </c>
      <c r="AW276" t="str">
        <f>Plan_2026[[#This Row],[Tên brand]]&amp;" "&amp;Plan_2026[[#This Row],[Trục đường chính]]&amp;Plan_2026[[#This Row],[Tên mall
(chuẩn hóa)]]&amp;Plan_2026[[#This Row],[Địa chỉ đầy đủ]]</f>
        <v>Gogi House Khu Phạm Thế Hiển</v>
      </c>
    </row>
    <row r="277" spans="1:49" hidden="1" x14ac:dyDescent="0.35">
      <c r="A277">
        <v>267</v>
      </c>
      <c r="B277" t="s">
        <v>4721</v>
      </c>
      <c r="C277" t="s">
        <v>2702</v>
      </c>
      <c r="D277" t="s">
        <v>3051</v>
      </c>
      <c r="E277">
        <v>2026</v>
      </c>
      <c r="F277">
        <v>3</v>
      </c>
      <c r="G277">
        <v>7</v>
      </c>
      <c r="H277">
        <v>11</v>
      </c>
      <c r="J277" t="s">
        <v>350</v>
      </c>
      <c r="K277" t="s">
        <v>2704</v>
      </c>
      <c r="L277" t="s">
        <v>3052</v>
      </c>
      <c r="M277" t="s">
        <v>3053</v>
      </c>
      <c r="N277" t="s">
        <v>4722</v>
      </c>
      <c r="O277" t="s">
        <v>4723</v>
      </c>
      <c r="Q277" t="s">
        <v>2709</v>
      </c>
      <c r="R277">
        <v>8</v>
      </c>
      <c r="S277" t="s">
        <v>2710</v>
      </c>
      <c r="T277" t="s">
        <v>2822</v>
      </c>
      <c r="U277" t="s">
        <v>2790</v>
      </c>
      <c r="V277">
        <v>1</v>
      </c>
      <c r="W277" t="s">
        <v>2735</v>
      </c>
      <c r="X277" t="s">
        <v>4724</v>
      </c>
      <c r="Z277" t="s">
        <v>2715</v>
      </c>
      <c r="AB277" t="s">
        <v>2716</v>
      </c>
      <c r="AC277" t="s">
        <v>2952</v>
      </c>
      <c r="AE277">
        <v>1</v>
      </c>
      <c r="AF277" t="s">
        <v>4725</v>
      </c>
      <c r="AH277" t="s">
        <v>76</v>
      </c>
      <c r="AI277">
        <v>46204</v>
      </c>
      <c r="AJ277">
        <v>7</v>
      </c>
      <c r="AK277" t="s">
        <v>4726</v>
      </c>
      <c r="AM277" t="s">
        <v>4727</v>
      </c>
      <c r="AN277" t="s">
        <v>2721</v>
      </c>
      <c r="AO277" t="s">
        <v>4728</v>
      </c>
      <c r="AP277">
        <v>1456</v>
      </c>
      <c r="AQ277" t="s">
        <v>4729</v>
      </c>
      <c r="AR277" t="s">
        <v>4730</v>
      </c>
      <c r="AS277">
        <v>144</v>
      </c>
      <c r="AT277" t="s">
        <v>4731</v>
      </c>
      <c r="AW277" t="str">
        <f>Plan_2026[[#This Row],[Tên brand]]&amp;" "&amp;Plan_2026[[#This Row],[Trục đường chính]]&amp;Plan_2026[[#This Row],[Tên mall
(chuẩn hóa)]]&amp;Plan_2026[[#This Row],[Địa chỉ đầy đủ]]</f>
        <v xml:space="preserve">Gogi House </v>
      </c>
    </row>
    <row r="278" spans="1:49" hidden="1" x14ac:dyDescent="0.35">
      <c r="A278">
        <v>268</v>
      </c>
      <c r="B278" t="s">
        <v>4732</v>
      </c>
      <c r="C278" t="s">
        <v>2008</v>
      </c>
      <c r="D278" t="s">
        <v>2728</v>
      </c>
      <c r="E278">
        <v>2026</v>
      </c>
      <c r="F278">
        <v>1</v>
      </c>
      <c r="G278">
        <v>1</v>
      </c>
      <c r="H278">
        <v>5</v>
      </c>
      <c r="J278" t="s">
        <v>350</v>
      </c>
      <c r="K278" t="s">
        <v>2704</v>
      </c>
      <c r="L278" t="s">
        <v>3052</v>
      </c>
      <c r="M278" t="s">
        <v>3053</v>
      </c>
      <c r="N278" t="s">
        <v>4733</v>
      </c>
      <c r="O278" t="s">
        <v>4734</v>
      </c>
      <c r="P278" t="s">
        <v>4735</v>
      </c>
      <c r="Q278" t="s">
        <v>2709</v>
      </c>
      <c r="R278" t="s">
        <v>2751</v>
      </c>
      <c r="S278" t="s">
        <v>2751</v>
      </c>
      <c r="T278" t="s">
        <v>2712</v>
      </c>
      <c r="U278" t="s">
        <v>2712</v>
      </c>
      <c r="V278">
        <v>1</v>
      </c>
      <c r="W278" t="s">
        <v>2713</v>
      </c>
      <c r="Z278">
        <v>160</v>
      </c>
      <c r="AB278" t="s">
        <v>1794</v>
      </c>
      <c r="AC278" t="s">
        <v>2763</v>
      </c>
      <c r="AE278">
        <v>1</v>
      </c>
      <c r="AF278" t="s">
        <v>4736</v>
      </c>
      <c r="AH278" t="s">
        <v>2044</v>
      </c>
      <c r="AI278">
        <v>46023</v>
      </c>
      <c r="AJ278">
        <v>1</v>
      </c>
      <c r="AK278" t="s">
        <v>4737</v>
      </c>
      <c r="AM278" t="s">
        <v>4738</v>
      </c>
      <c r="AN278" t="s">
        <v>2767</v>
      </c>
      <c r="AO278" t="s">
        <v>4739</v>
      </c>
      <c r="AP278">
        <v>9915</v>
      </c>
      <c r="AQ278" t="s">
        <v>4740</v>
      </c>
      <c r="AR278" t="s">
        <v>4741</v>
      </c>
      <c r="AS278">
        <v>6</v>
      </c>
      <c r="AT278" t="s">
        <v>2835</v>
      </c>
      <c r="AW278" t="str">
        <f>Plan_2026[[#This Row],[Tên brand]]&amp;" "&amp;Plan_2026[[#This Row],[Trục đường chính]]&amp;Plan_2026[[#This Row],[Tên mall
(chuẩn hóa)]]&amp;Plan_2026[[#This Row],[Địa chỉ đầy đủ]]</f>
        <v>Dao Niu Guo DNG Lê Quý Đôn Q3</v>
      </c>
    </row>
    <row r="279" spans="1:49" hidden="1" x14ac:dyDescent="0.35">
      <c r="A279">
        <v>269</v>
      </c>
      <c r="B279" t="s">
        <v>2372</v>
      </c>
      <c r="C279" t="s">
        <v>2702</v>
      </c>
      <c r="D279" t="s">
        <v>3051</v>
      </c>
      <c r="E279">
        <v>2026</v>
      </c>
      <c r="F279">
        <v>3</v>
      </c>
      <c r="G279">
        <v>8</v>
      </c>
      <c r="H279">
        <v>12</v>
      </c>
      <c r="J279" t="s">
        <v>350</v>
      </c>
      <c r="K279" t="s">
        <v>2704</v>
      </c>
      <c r="L279" t="s">
        <v>3052</v>
      </c>
      <c r="M279" t="s">
        <v>3053</v>
      </c>
      <c r="N279" t="s">
        <v>4733</v>
      </c>
      <c r="O279" t="s">
        <v>4734</v>
      </c>
      <c r="P279" t="s">
        <v>4742</v>
      </c>
      <c r="Q279" t="s">
        <v>2709</v>
      </c>
      <c r="R279">
        <v>8</v>
      </c>
      <c r="S279" t="s">
        <v>2710</v>
      </c>
      <c r="T279" t="s">
        <v>2711</v>
      </c>
      <c r="U279" t="s">
        <v>2712</v>
      </c>
      <c r="V279">
        <v>1</v>
      </c>
      <c r="W279" t="s">
        <v>2713</v>
      </c>
      <c r="Z279" t="s">
        <v>2715</v>
      </c>
      <c r="AB279" t="s">
        <v>2716</v>
      </c>
      <c r="AC279" t="s">
        <v>2738</v>
      </c>
      <c r="AE279">
        <v>0</v>
      </c>
      <c r="AH279" t="s">
        <v>76</v>
      </c>
      <c r="AI279">
        <v>46235</v>
      </c>
      <c r="AJ279">
        <v>8</v>
      </c>
      <c r="AK279" t="s">
        <v>4737</v>
      </c>
      <c r="AM279" t="s">
        <v>4738</v>
      </c>
      <c r="AN279" t="s">
        <v>2721</v>
      </c>
      <c r="AO279" t="s">
        <v>4743</v>
      </c>
      <c r="AP279">
        <v>9915</v>
      </c>
      <c r="AQ279" t="s">
        <v>4740</v>
      </c>
      <c r="AR279" t="s">
        <v>4741</v>
      </c>
      <c r="AS279">
        <v>144</v>
      </c>
      <c r="AT279" t="s">
        <v>4289</v>
      </c>
      <c r="AW279" t="str">
        <f>Plan_2026[[#This Row],[Tên brand]]&amp;" "&amp;Plan_2026[[#This Row],[Trục đường chính]]&amp;Plan_2026[[#This Row],[Tên mall
(chuẩn hóa)]]&amp;Plan_2026[[#This Row],[Địa chỉ đầy đủ]]</f>
        <v>Gogi House Vo Thi Sau, Pham Ngoc Thach</v>
      </c>
    </row>
    <row r="280" spans="1:49" hidden="1" x14ac:dyDescent="0.35">
      <c r="A280">
        <v>270</v>
      </c>
      <c r="B280" t="s">
        <v>2237</v>
      </c>
      <c r="C280" t="s">
        <v>35</v>
      </c>
      <c r="D280" t="s">
        <v>2820</v>
      </c>
      <c r="E280">
        <v>2025</v>
      </c>
      <c r="F280">
        <v>4</v>
      </c>
      <c r="G280">
        <v>12</v>
      </c>
      <c r="H280">
        <v>4</v>
      </c>
      <c r="J280" t="s">
        <v>350</v>
      </c>
      <c r="K280" t="s">
        <v>2704</v>
      </c>
      <c r="L280" t="s">
        <v>3052</v>
      </c>
      <c r="M280" t="s">
        <v>3053</v>
      </c>
      <c r="N280" t="s">
        <v>2238</v>
      </c>
      <c r="O280" t="s">
        <v>4734</v>
      </c>
      <c r="P280" t="s">
        <v>4518</v>
      </c>
      <c r="Q280" t="s">
        <v>2709</v>
      </c>
      <c r="R280" t="s">
        <v>2751</v>
      </c>
      <c r="S280" t="s">
        <v>2751</v>
      </c>
      <c r="T280">
        <v>200</v>
      </c>
      <c r="U280" t="s">
        <v>2712</v>
      </c>
      <c r="V280">
        <v>1</v>
      </c>
      <c r="W280" t="s">
        <v>2713</v>
      </c>
      <c r="X280" t="s">
        <v>4744</v>
      </c>
      <c r="Z280" t="s">
        <v>2715</v>
      </c>
      <c r="AB280" t="s">
        <v>2716</v>
      </c>
      <c r="AC280" t="s">
        <v>2952</v>
      </c>
      <c r="AE280">
        <v>1</v>
      </c>
      <c r="AF280" t="s">
        <v>4745</v>
      </c>
      <c r="AH280" t="s">
        <v>34</v>
      </c>
      <c r="AI280">
        <v>45992</v>
      </c>
      <c r="AJ280">
        <v>12</v>
      </c>
      <c r="AK280" t="s">
        <v>4746</v>
      </c>
      <c r="AM280" t="s">
        <v>4747</v>
      </c>
      <c r="AN280" t="s">
        <v>2911</v>
      </c>
      <c r="AO280" t="s">
        <v>4748</v>
      </c>
      <c r="AP280">
        <v>26311</v>
      </c>
      <c r="AQ280" t="s">
        <v>4749</v>
      </c>
      <c r="AR280" t="s">
        <v>4750</v>
      </c>
      <c r="AS280">
        <v>107</v>
      </c>
      <c r="AT280" t="s">
        <v>4293</v>
      </c>
      <c r="AW280" t="str">
        <f>Plan_2026[[#This Row],[Tên brand]]&amp;" "&amp;Plan_2026[[#This Row],[Trục đường chính]]&amp;Plan_2026[[#This Row],[Tên mall
(chuẩn hóa)]]&amp;Plan_2026[[#This Row],[Địa chỉ đầy đủ]]</f>
        <v>Kichi Kichi Hoàng Diệu</v>
      </c>
    </row>
    <row r="281" spans="1:49" hidden="1" x14ac:dyDescent="0.35">
      <c r="A281">
        <v>271</v>
      </c>
      <c r="B281" t="s">
        <v>4751</v>
      </c>
      <c r="C281" t="s">
        <v>2135</v>
      </c>
      <c r="D281" t="s">
        <v>3327</v>
      </c>
      <c r="E281">
        <v>2026</v>
      </c>
      <c r="F281">
        <v>2</v>
      </c>
      <c r="G281">
        <v>6</v>
      </c>
      <c r="H281">
        <v>10</v>
      </c>
      <c r="J281" t="s">
        <v>350</v>
      </c>
      <c r="K281" t="s">
        <v>2704</v>
      </c>
      <c r="L281" t="s">
        <v>3052</v>
      </c>
      <c r="M281" t="s">
        <v>3053</v>
      </c>
      <c r="N281" t="s">
        <v>4733</v>
      </c>
      <c r="O281" t="s">
        <v>4734</v>
      </c>
      <c r="P281" t="s">
        <v>3103</v>
      </c>
      <c r="Q281" t="s">
        <v>2709</v>
      </c>
      <c r="R281" t="s">
        <v>3356</v>
      </c>
      <c r="S281" t="s">
        <v>3357</v>
      </c>
      <c r="T281" t="s">
        <v>2790</v>
      </c>
      <c r="U281" t="s">
        <v>2790</v>
      </c>
      <c r="V281">
        <v>1</v>
      </c>
      <c r="W281" t="s">
        <v>2735</v>
      </c>
      <c r="Z281" t="s">
        <v>3331</v>
      </c>
      <c r="AB281" t="s">
        <v>2716</v>
      </c>
      <c r="AC281" t="s">
        <v>2778</v>
      </c>
      <c r="AE281">
        <v>0</v>
      </c>
      <c r="AH281" t="s">
        <v>1446</v>
      </c>
      <c r="AI281">
        <v>46174</v>
      </c>
      <c r="AJ281">
        <v>6</v>
      </c>
      <c r="AK281" t="s">
        <v>4737</v>
      </c>
      <c r="AM281" t="s">
        <v>4738</v>
      </c>
      <c r="AN281" t="s">
        <v>3361</v>
      </c>
      <c r="AO281" t="s">
        <v>4752</v>
      </c>
      <c r="AP281">
        <v>9915</v>
      </c>
      <c r="AQ281" t="s">
        <v>4740</v>
      </c>
      <c r="AR281" t="s">
        <v>4741</v>
      </c>
      <c r="AS281">
        <v>16</v>
      </c>
      <c r="AT281" t="s">
        <v>3483</v>
      </c>
      <c r="AW281" t="str">
        <f>Plan_2026[[#This Row],[Tên brand]]&amp;" "&amp;Plan_2026[[#This Row],[Trục đường chính]]&amp;Plan_2026[[#This Row],[Tên mall
(chuẩn hóa)]]&amp;Plan_2026[[#This Row],[Địa chỉ đầy đủ]]</f>
        <v>Universal Tea Võ Thị Sáu</v>
      </c>
    </row>
    <row r="282" spans="1:49" hidden="1" x14ac:dyDescent="0.35">
      <c r="A282">
        <v>272</v>
      </c>
      <c r="B282" t="s">
        <v>2480</v>
      </c>
      <c r="C282" t="s">
        <v>2787</v>
      </c>
      <c r="D282" t="s">
        <v>3111</v>
      </c>
      <c r="E282">
        <v>2025</v>
      </c>
      <c r="F282">
        <v>4</v>
      </c>
      <c r="G282">
        <v>12</v>
      </c>
      <c r="H282">
        <v>4</v>
      </c>
      <c r="J282" t="s">
        <v>350</v>
      </c>
      <c r="K282" t="s">
        <v>2704</v>
      </c>
      <c r="L282" t="s">
        <v>3052</v>
      </c>
      <c r="M282" t="s">
        <v>3053</v>
      </c>
      <c r="N282" t="s">
        <v>4733</v>
      </c>
      <c r="O282" t="s">
        <v>4753</v>
      </c>
      <c r="P282" t="s">
        <v>4754</v>
      </c>
      <c r="Q282" t="s">
        <v>2709</v>
      </c>
      <c r="R282" t="s">
        <v>2751</v>
      </c>
      <c r="S282" t="s">
        <v>2751</v>
      </c>
      <c r="T282" t="s">
        <v>2790</v>
      </c>
      <c r="U282" t="s">
        <v>2790</v>
      </c>
      <c r="V282">
        <v>1</v>
      </c>
      <c r="W282" t="s">
        <v>2713</v>
      </c>
      <c r="Z282">
        <v>132</v>
      </c>
      <c r="AB282" t="s">
        <v>2716</v>
      </c>
      <c r="AC282" t="s">
        <v>2738</v>
      </c>
      <c r="AE282">
        <v>0</v>
      </c>
      <c r="AF282" t="s">
        <v>4755</v>
      </c>
      <c r="AH282" t="s">
        <v>1788</v>
      </c>
      <c r="AI282">
        <v>45992</v>
      </c>
      <c r="AJ282">
        <v>12</v>
      </c>
      <c r="AK282" t="s">
        <v>4756</v>
      </c>
      <c r="AM282" t="s">
        <v>4757</v>
      </c>
      <c r="AN282" t="s">
        <v>2793</v>
      </c>
      <c r="AO282" t="s">
        <v>4758</v>
      </c>
      <c r="AP282">
        <v>17862</v>
      </c>
      <c r="AQ282" t="s">
        <v>4759</v>
      </c>
      <c r="AR282" t="s">
        <v>4760</v>
      </c>
      <c r="AS282">
        <v>81</v>
      </c>
      <c r="AT282" t="s">
        <v>3314</v>
      </c>
      <c r="AW282" t="str">
        <f>Plan_2026[[#This Row],[Tên brand]]&amp;" "&amp;Plan_2026[[#This Row],[Trục đường chính]]&amp;Plan_2026[[#This Row],[Tên mall
(chuẩn hóa)]]&amp;Plan_2026[[#This Row],[Địa chỉ đầy đủ]]</f>
        <v>The Coffee House Võ Thị Sáu (đoạn Hai Bà Trưng, lấy khúc ngã 4), Hoàng Sa/Trường Sa</v>
      </c>
    </row>
    <row r="283" spans="1:49" hidden="1" x14ac:dyDescent="0.35">
      <c r="A283">
        <v>273</v>
      </c>
      <c r="B283" t="s">
        <v>2488</v>
      </c>
      <c r="C283" t="s">
        <v>2787</v>
      </c>
      <c r="D283" t="s">
        <v>3111</v>
      </c>
      <c r="E283">
        <v>2025</v>
      </c>
      <c r="F283">
        <v>4</v>
      </c>
      <c r="G283">
        <v>12</v>
      </c>
      <c r="H283">
        <v>4</v>
      </c>
      <c r="J283" t="s">
        <v>350</v>
      </c>
      <c r="K283" t="s">
        <v>2704</v>
      </c>
      <c r="L283" t="s">
        <v>3052</v>
      </c>
      <c r="M283" t="s">
        <v>3053</v>
      </c>
      <c r="N283" t="s">
        <v>2238</v>
      </c>
      <c r="O283" t="s">
        <v>4753</v>
      </c>
      <c r="P283" t="s">
        <v>2489</v>
      </c>
      <c r="Q283" t="s">
        <v>2810</v>
      </c>
      <c r="R283" t="s">
        <v>2710</v>
      </c>
      <c r="S283" t="s">
        <v>2710</v>
      </c>
      <c r="T283" t="s">
        <v>2800</v>
      </c>
      <c r="U283" t="s">
        <v>2800</v>
      </c>
      <c r="V283">
        <v>1</v>
      </c>
      <c r="W283" t="s">
        <v>2713</v>
      </c>
      <c r="X283" t="s">
        <v>4761</v>
      </c>
      <c r="Z283">
        <v>132</v>
      </c>
      <c r="AA283" t="s">
        <v>4088</v>
      </c>
      <c r="AB283" t="s">
        <v>2716</v>
      </c>
      <c r="AC283" t="s">
        <v>2738</v>
      </c>
      <c r="AE283">
        <v>0</v>
      </c>
      <c r="AF283" t="s">
        <v>4297</v>
      </c>
      <c r="AH283" t="s">
        <v>1788</v>
      </c>
      <c r="AI283">
        <v>45992</v>
      </c>
      <c r="AJ283">
        <v>12</v>
      </c>
      <c r="AK283" t="s">
        <v>4762</v>
      </c>
      <c r="AM283" t="s">
        <v>4763</v>
      </c>
      <c r="AN283" t="s">
        <v>2814</v>
      </c>
      <c r="AO283" t="s">
        <v>4764</v>
      </c>
      <c r="AP283">
        <v>28690</v>
      </c>
      <c r="AQ283" t="s">
        <v>4765</v>
      </c>
      <c r="AR283" t="s">
        <v>4766</v>
      </c>
      <c r="AS283">
        <v>81</v>
      </c>
      <c r="AT283" t="s">
        <v>4767</v>
      </c>
      <c r="AW283" t="str">
        <f>Plan_2026[[#This Row],[Tên brand]]&amp;" "&amp;Plan_2026[[#This Row],[Trục đường chính]]&amp;Plan_2026[[#This Row],[Tên mall
(chuẩn hóa)]]&amp;Plan_2026[[#This Row],[Địa chỉ đầy đủ]]</f>
        <v>The Coffee House Bến Vân Đồn</v>
      </c>
    </row>
    <row r="284" spans="1:49" hidden="1" x14ac:dyDescent="0.35">
      <c r="A284">
        <v>274</v>
      </c>
      <c r="B284" t="s">
        <v>4768</v>
      </c>
      <c r="C284" t="s">
        <v>35</v>
      </c>
      <c r="D284" t="s">
        <v>2820</v>
      </c>
      <c r="E284">
        <v>2026</v>
      </c>
      <c r="F284">
        <v>3</v>
      </c>
      <c r="G284">
        <v>7</v>
      </c>
      <c r="H284">
        <v>11</v>
      </c>
      <c r="J284" t="s">
        <v>350</v>
      </c>
      <c r="K284" t="s">
        <v>2704</v>
      </c>
      <c r="L284" t="s">
        <v>3052</v>
      </c>
      <c r="M284" t="s">
        <v>3053</v>
      </c>
      <c r="N284" t="s">
        <v>4722</v>
      </c>
      <c r="O284" t="s">
        <v>4723</v>
      </c>
      <c r="P284" t="s">
        <v>4769</v>
      </c>
      <c r="Q284" t="s">
        <v>2709</v>
      </c>
      <c r="R284" t="s">
        <v>2710</v>
      </c>
      <c r="S284" t="s">
        <v>2710</v>
      </c>
      <c r="T284" t="s">
        <v>2882</v>
      </c>
      <c r="U284" t="s">
        <v>2712</v>
      </c>
      <c r="V284">
        <v>1</v>
      </c>
      <c r="W284" t="s">
        <v>2735</v>
      </c>
      <c r="X284" t="s">
        <v>4724</v>
      </c>
      <c r="Z284" t="s">
        <v>2715</v>
      </c>
      <c r="AA284" t="s">
        <v>3317</v>
      </c>
      <c r="AB284" t="s">
        <v>2716</v>
      </c>
      <c r="AC284" t="s">
        <v>2952</v>
      </c>
      <c r="AE284">
        <v>1</v>
      </c>
      <c r="AF284" t="s">
        <v>4725</v>
      </c>
      <c r="AH284" t="s">
        <v>34</v>
      </c>
      <c r="AI284">
        <v>46204</v>
      </c>
      <c r="AJ284">
        <v>7</v>
      </c>
      <c r="AK284" t="s">
        <v>4726</v>
      </c>
      <c r="AM284" t="s">
        <v>4727</v>
      </c>
      <c r="AN284" t="s">
        <v>2911</v>
      </c>
      <c r="AO284" t="s">
        <v>4770</v>
      </c>
      <c r="AP284">
        <v>1456</v>
      </c>
      <c r="AQ284" t="s">
        <v>4729</v>
      </c>
      <c r="AR284" t="s">
        <v>4730</v>
      </c>
      <c r="AS284">
        <v>107</v>
      </c>
      <c r="AT284" t="s">
        <v>2936</v>
      </c>
      <c r="AW284" t="str">
        <f>Plan_2026[[#This Row],[Tên brand]]&amp;" "&amp;Plan_2026[[#This Row],[Trục đường chính]]&amp;Plan_2026[[#This Row],[Tên mall
(chuẩn hóa)]]&amp;Plan_2026[[#This Row],[Địa chỉ đầy đủ]]</f>
        <v>Kichi Kichi Lê Văn Lương</v>
      </c>
    </row>
    <row r="285" spans="1:49" hidden="1" x14ac:dyDescent="0.35">
      <c r="A285">
        <v>275</v>
      </c>
      <c r="B285" t="s">
        <v>2423</v>
      </c>
      <c r="C285" t="s">
        <v>25</v>
      </c>
      <c r="D285" t="s">
        <v>4263</v>
      </c>
      <c r="E285">
        <v>2026</v>
      </c>
      <c r="F285">
        <v>1</v>
      </c>
      <c r="G285">
        <v>2</v>
      </c>
      <c r="H285">
        <v>6</v>
      </c>
      <c r="J285" t="s">
        <v>350</v>
      </c>
      <c r="K285" t="s">
        <v>2704</v>
      </c>
      <c r="L285" t="s">
        <v>3052</v>
      </c>
      <c r="M285" t="s">
        <v>3053</v>
      </c>
      <c r="N285" t="s">
        <v>4551</v>
      </c>
      <c r="O285" t="s">
        <v>4771</v>
      </c>
      <c r="P285" t="s">
        <v>2588</v>
      </c>
      <c r="Q285" t="s">
        <v>2732</v>
      </c>
      <c r="R285" t="s">
        <v>2751</v>
      </c>
      <c r="S285" t="s">
        <v>2751</v>
      </c>
      <c r="T285" t="s">
        <v>2712</v>
      </c>
      <c r="U285" t="s">
        <v>2712</v>
      </c>
      <c r="V285">
        <v>1</v>
      </c>
      <c r="W285" t="s">
        <v>2713</v>
      </c>
      <c r="X285" t="s">
        <v>4687</v>
      </c>
      <c r="Y285" t="s">
        <v>4687</v>
      </c>
      <c r="Z285" t="s">
        <v>2715</v>
      </c>
      <c r="AB285" t="s">
        <v>2716</v>
      </c>
      <c r="AC285" t="s">
        <v>2952</v>
      </c>
      <c r="AE285">
        <v>1</v>
      </c>
      <c r="AF285" t="s">
        <v>4772</v>
      </c>
      <c r="AH285" t="s">
        <v>24</v>
      </c>
      <c r="AI285">
        <v>46054</v>
      </c>
      <c r="AJ285">
        <v>2</v>
      </c>
      <c r="AK285" t="s">
        <v>4773</v>
      </c>
      <c r="AM285" t="s">
        <v>4774</v>
      </c>
      <c r="AN285" t="s">
        <v>3438</v>
      </c>
      <c r="AO285" t="s">
        <v>4775</v>
      </c>
      <c r="AP285">
        <v>998</v>
      </c>
      <c r="AQ285" t="s">
        <v>4776</v>
      </c>
      <c r="AR285" t="s">
        <v>4777</v>
      </c>
      <c r="AS285">
        <v>9</v>
      </c>
      <c r="AT285" t="s">
        <v>4591</v>
      </c>
      <c r="AW285" t="str">
        <f>Plan_2026[[#This Row],[Tên brand]]&amp;" "&amp;Plan_2026[[#This Row],[Trục đường chính]]&amp;Plan_2026[[#This Row],[Tên mall
(chuẩn hóa)]]&amp;Plan_2026[[#This Row],[Địa chỉ đầy đủ]]</f>
        <v>Ashima 10 Mai Chí ThọThiso Mall Sala</v>
      </c>
    </row>
    <row r="286" spans="1:49" hidden="1" x14ac:dyDescent="0.35">
      <c r="A286">
        <v>276</v>
      </c>
      <c r="B286" t="s">
        <v>2289</v>
      </c>
      <c r="C286" t="s">
        <v>2727</v>
      </c>
      <c r="D286" t="s">
        <v>2728</v>
      </c>
      <c r="E286">
        <v>2026</v>
      </c>
      <c r="F286">
        <v>1</v>
      </c>
      <c r="G286">
        <v>1</v>
      </c>
      <c r="H286">
        <v>5</v>
      </c>
      <c r="J286" t="s">
        <v>350</v>
      </c>
      <c r="K286" t="s">
        <v>2704</v>
      </c>
      <c r="L286" t="s">
        <v>3052</v>
      </c>
      <c r="M286" t="s">
        <v>3053</v>
      </c>
      <c r="N286" t="s">
        <v>4551</v>
      </c>
      <c r="O286" t="s">
        <v>4771</v>
      </c>
      <c r="P286" t="s">
        <v>2588</v>
      </c>
      <c r="Q286" t="s">
        <v>2732</v>
      </c>
      <c r="R286">
        <v>6</v>
      </c>
      <c r="S286" t="s">
        <v>2733</v>
      </c>
      <c r="T286" t="s">
        <v>2734</v>
      </c>
      <c r="U286" t="s">
        <v>2712</v>
      </c>
      <c r="V286">
        <v>1</v>
      </c>
      <c r="W286" t="s">
        <v>2713</v>
      </c>
      <c r="X286" t="s">
        <v>4687</v>
      </c>
      <c r="Y286" t="s">
        <v>4687</v>
      </c>
      <c r="Z286">
        <v>180</v>
      </c>
      <c r="AB286" t="s">
        <v>2716</v>
      </c>
      <c r="AC286" t="s">
        <v>2952</v>
      </c>
      <c r="AE286">
        <v>1</v>
      </c>
      <c r="AF286" t="s">
        <v>4778</v>
      </c>
      <c r="AH286" t="s">
        <v>1019</v>
      </c>
      <c r="AI286">
        <v>46023</v>
      </c>
      <c r="AJ286">
        <v>1</v>
      </c>
      <c r="AK286" t="s">
        <v>4773</v>
      </c>
      <c r="AM286" t="s">
        <v>4774</v>
      </c>
      <c r="AN286" t="s">
        <v>2743</v>
      </c>
      <c r="AO286" t="s">
        <v>4779</v>
      </c>
      <c r="AP286">
        <v>998</v>
      </c>
      <c r="AQ286" t="s">
        <v>4776</v>
      </c>
      <c r="AR286" t="s">
        <v>4777</v>
      </c>
      <c r="AS286">
        <v>17</v>
      </c>
      <c r="AT286" t="s">
        <v>4780</v>
      </c>
      <c r="AW286" t="str">
        <f>Plan_2026[[#This Row],[Tên brand]]&amp;" "&amp;Plan_2026[[#This Row],[Trục đường chính]]&amp;Plan_2026[[#This Row],[Tên mall
(chuẩn hóa)]]&amp;Plan_2026[[#This Row],[Địa chỉ đầy đủ]]</f>
        <v>CloudPot 10 Mai Chí ThọThiso Mall Sala</v>
      </c>
    </row>
    <row r="287" spans="1:49" hidden="1" x14ac:dyDescent="0.35">
      <c r="A287">
        <v>277</v>
      </c>
      <c r="B287" t="s">
        <v>2463</v>
      </c>
      <c r="C287" t="s">
        <v>2008</v>
      </c>
      <c r="D287" t="s">
        <v>2728</v>
      </c>
      <c r="E287">
        <v>2026</v>
      </c>
      <c r="F287">
        <v>3</v>
      </c>
      <c r="G287">
        <v>7</v>
      </c>
      <c r="H287">
        <v>11</v>
      </c>
      <c r="J287" t="s">
        <v>350</v>
      </c>
      <c r="K287" t="s">
        <v>2704</v>
      </c>
      <c r="L287" t="s">
        <v>3052</v>
      </c>
      <c r="M287" t="s">
        <v>3053</v>
      </c>
      <c r="N287" t="s">
        <v>4551</v>
      </c>
      <c r="O287" t="s">
        <v>4771</v>
      </c>
      <c r="P287" t="s">
        <v>2588</v>
      </c>
      <c r="Q287" t="s">
        <v>2732</v>
      </c>
      <c r="R287" t="s">
        <v>2751</v>
      </c>
      <c r="S287" t="s">
        <v>2751</v>
      </c>
      <c r="T287" t="s">
        <v>2712</v>
      </c>
      <c r="U287" t="s">
        <v>2712</v>
      </c>
      <c r="V287">
        <v>1</v>
      </c>
      <c r="W287" t="s">
        <v>2713</v>
      </c>
      <c r="X287" t="s">
        <v>4687</v>
      </c>
      <c r="Y287" t="s">
        <v>4687</v>
      </c>
      <c r="Z287">
        <v>160</v>
      </c>
      <c r="AB287" t="s">
        <v>2716</v>
      </c>
      <c r="AC287" t="s">
        <v>3115</v>
      </c>
      <c r="AE287">
        <v>1</v>
      </c>
      <c r="AF287" t="s">
        <v>4781</v>
      </c>
      <c r="AH287" t="s">
        <v>2044</v>
      </c>
      <c r="AI287">
        <v>46204</v>
      </c>
      <c r="AJ287">
        <v>7</v>
      </c>
      <c r="AK287" t="s">
        <v>4773</v>
      </c>
      <c r="AM287" t="s">
        <v>4774</v>
      </c>
      <c r="AN287" t="s">
        <v>4281</v>
      </c>
      <c r="AO287" t="s">
        <v>4782</v>
      </c>
      <c r="AP287">
        <v>998</v>
      </c>
      <c r="AQ287" t="s">
        <v>4776</v>
      </c>
      <c r="AR287" t="s">
        <v>4777</v>
      </c>
      <c r="AS287">
        <v>6</v>
      </c>
      <c r="AT287" t="s">
        <v>4783</v>
      </c>
      <c r="AW287" t="str">
        <f>Plan_2026[[#This Row],[Tên brand]]&amp;" "&amp;Plan_2026[[#This Row],[Trục đường chính]]&amp;Plan_2026[[#This Row],[Tên mall
(chuẩn hóa)]]&amp;Plan_2026[[#This Row],[Địa chỉ đầy đủ]]</f>
        <v>Dao Niu Guo 10 Mai Chí ThọThiso Mall Sala</v>
      </c>
    </row>
    <row r="288" spans="1:49" hidden="1" x14ac:dyDescent="0.35">
      <c r="A288">
        <v>278</v>
      </c>
      <c r="B288" t="s">
        <v>2304</v>
      </c>
      <c r="C288" t="s">
        <v>3861</v>
      </c>
      <c r="D288" t="s">
        <v>3862</v>
      </c>
      <c r="E288">
        <v>2025</v>
      </c>
      <c r="F288">
        <v>4</v>
      </c>
      <c r="G288">
        <v>11</v>
      </c>
      <c r="H288">
        <v>3</v>
      </c>
      <c r="J288" t="s">
        <v>350</v>
      </c>
      <c r="K288" t="s">
        <v>2704</v>
      </c>
      <c r="L288" t="s">
        <v>3052</v>
      </c>
      <c r="M288" t="s">
        <v>3053</v>
      </c>
      <c r="N288" t="s">
        <v>4551</v>
      </c>
      <c r="O288" t="s">
        <v>4771</v>
      </c>
      <c r="P288" t="s">
        <v>2588</v>
      </c>
      <c r="Q288" t="s">
        <v>2732</v>
      </c>
      <c r="R288" t="s">
        <v>2751</v>
      </c>
      <c r="S288" t="s">
        <v>2751</v>
      </c>
      <c r="T288" t="s">
        <v>2762</v>
      </c>
      <c r="U288" t="s">
        <v>2762</v>
      </c>
      <c r="V288">
        <v>1</v>
      </c>
      <c r="W288" t="s">
        <v>2713</v>
      </c>
      <c r="X288" t="s">
        <v>4687</v>
      </c>
      <c r="Y288" t="s">
        <v>4687</v>
      </c>
      <c r="Z288" t="s">
        <v>2715</v>
      </c>
      <c r="AB288" t="s">
        <v>2716</v>
      </c>
      <c r="AC288" t="s">
        <v>2778</v>
      </c>
      <c r="AE288">
        <v>0</v>
      </c>
      <c r="AF288" t="s">
        <v>3864</v>
      </c>
      <c r="AH288" t="s">
        <v>301</v>
      </c>
      <c r="AI288">
        <v>45962</v>
      </c>
      <c r="AJ288">
        <v>11</v>
      </c>
      <c r="AK288" t="s">
        <v>4773</v>
      </c>
      <c r="AM288" t="s">
        <v>4774</v>
      </c>
      <c r="AN288" t="s">
        <v>3866</v>
      </c>
      <c r="AO288" t="s">
        <v>4784</v>
      </c>
      <c r="AP288">
        <v>998</v>
      </c>
      <c r="AQ288" t="s">
        <v>4776</v>
      </c>
      <c r="AR288" t="s">
        <v>4777</v>
      </c>
      <c r="AS288">
        <v>14</v>
      </c>
      <c r="AT288" t="s">
        <v>4785</v>
      </c>
      <c r="AW288" t="str">
        <f>Plan_2026[[#This Row],[Tên brand]]&amp;" "&amp;Plan_2026[[#This Row],[Trục đường chính]]&amp;Plan_2026[[#This Row],[Tên mall
(chuẩn hóa)]]&amp;Plan_2026[[#This Row],[Địa chỉ đầy đủ]]</f>
        <v>Lách ca lách cách 10 Mai Chí ThọThiso Mall Sala</v>
      </c>
    </row>
    <row r="289" spans="1:49" hidden="1" x14ac:dyDescent="0.35">
      <c r="A289">
        <v>279</v>
      </c>
      <c r="B289" t="s">
        <v>2455</v>
      </c>
      <c r="C289" t="s">
        <v>2849</v>
      </c>
      <c r="D289" t="s">
        <v>2850</v>
      </c>
      <c r="E289">
        <v>2026</v>
      </c>
      <c r="F289">
        <v>2</v>
      </c>
      <c r="G289">
        <v>6</v>
      </c>
      <c r="H289">
        <v>10</v>
      </c>
      <c r="J289" t="s">
        <v>350</v>
      </c>
      <c r="K289" t="s">
        <v>2704</v>
      </c>
      <c r="L289" t="s">
        <v>3052</v>
      </c>
      <c r="M289" t="s">
        <v>3053</v>
      </c>
      <c r="N289" t="s">
        <v>4551</v>
      </c>
      <c r="O289" t="s">
        <v>4771</v>
      </c>
      <c r="P289" t="s">
        <v>2588</v>
      </c>
      <c r="Q289" t="s">
        <v>2732</v>
      </c>
      <c r="R289" t="s">
        <v>2751</v>
      </c>
      <c r="S289" t="s">
        <v>2751</v>
      </c>
      <c r="T289" t="s">
        <v>2790</v>
      </c>
      <c r="U289" t="s">
        <v>2790</v>
      </c>
      <c r="V289">
        <v>1</v>
      </c>
      <c r="W289" t="s">
        <v>2713</v>
      </c>
      <c r="X289" t="s">
        <v>4687</v>
      </c>
      <c r="Y289" t="s">
        <v>4687</v>
      </c>
      <c r="Z289" t="s">
        <v>2715</v>
      </c>
      <c r="AB289" t="s">
        <v>2716</v>
      </c>
      <c r="AC289" t="s">
        <v>2952</v>
      </c>
      <c r="AE289">
        <v>1</v>
      </c>
      <c r="AF289" t="s">
        <v>4786</v>
      </c>
      <c r="AH289" t="s">
        <v>1771</v>
      </c>
      <c r="AI289">
        <v>46174</v>
      </c>
      <c r="AJ289">
        <v>6</v>
      </c>
      <c r="AK289" t="s">
        <v>4773</v>
      </c>
      <c r="AM289" t="s">
        <v>4774</v>
      </c>
      <c r="AN289" t="s">
        <v>2862</v>
      </c>
      <c r="AO289" t="s">
        <v>4787</v>
      </c>
      <c r="AP289">
        <v>998</v>
      </c>
      <c r="AQ289" t="s">
        <v>4776</v>
      </c>
      <c r="AR289" t="s">
        <v>4777</v>
      </c>
      <c r="AS289">
        <v>2</v>
      </c>
      <c r="AT289" t="s">
        <v>2866</v>
      </c>
      <c r="AW289" t="str">
        <f>Plan_2026[[#This Row],[Tên brand]]&amp;" "&amp;Plan_2026[[#This Row],[Trục đường chính]]&amp;Plan_2026[[#This Row],[Tên mall
(chuẩn hóa)]]&amp;Plan_2026[[#This Row],[Địa chỉ đầy đủ]]</f>
        <v>Wow!Yakiniku 10 Mai Chí ThọThiso Mall Sala</v>
      </c>
    </row>
    <row r="290" spans="1:49" hidden="1" x14ac:dyDescent="0.35">
      <c r="A290">
        <v>280</v>
      </c>
      <c r="B290" t="s">
        <v>2543</v>
      </c>
      <c r="C290" t="s">
        <v>2787</v>
      </c>
      <c r="D290" t="s">
        <v>3111</v>
      </c>
      <c r="E290">
        <v>2026</v>
      </c>
      <c r="F290">
        <v>1</v>
      </c>
      <c r="G290">
        <v>2</v>
      </c>
      <c r="H290">
        <v>6</v>
      </c>
      <c r="J290" t="s">
        <v>350</v>
      </c>
      <c r="K290" t="s">
        <v>2704</v>
      </c>
      <c r="L290" t="s">
        <v>3052</v>
      </c>
      <c r="M290" t="s">
        <v>3053</v>
      </c>
      <c r="N290" t="s">
        <v>4551</v>
      </c>
      <c r="O290" t="s">
        <v>4771</v>
      </c>
      <c r="Q290" t="s">
        <v>2810</v>
      </c>
      <c r="R290" t="s">
        <v>2710</v>
      </c>
      <c r="S290" t="s">
        <v>2710</v>
      </c>
      <c r="T290" t="s">
        <v>3229</v>
      </c>
      <c r="U290" t="s">
        <v>3229</v>
      </c>
      <c r="V290">
        <v>1</v>
      </c>
      <c r="W290" t="s">
        <v>2713</v>
      </c>
      <c r="X290" t="s">
        <v>2544</v>
      </c>
      <c r="Z290">
        <v>132</v>
      </c>
      <c r="AA290" t="s">
        <v>4088</v>
      </c>
      <c r="AB290" t="s">
        <v>2716</v>
      </c>
      <c r="AC290" t="s">
        <v>2738</v>
      </c>
      <c r="AE290">
        <v>0</v>
      </c>
      <c r="AF290" t="s">
        <v>4788</v>
      </c>
      <c r="AH290" t="s">
        <v>1788</v>
      </c>
      <c r="AI290">
        <v>46054</v>
      </c>
      <c r="AJ290">
        <v>2</v>
      </c>
      <c r="AK290" t="s">
        <v>4773</v>
      </c>
      <c r="AM290" t="s">
        <v>4774</v>
      </c>
      <c r="AN290" t="s">
        <v>2814</v>
      </c>
      <c r="AO290" t="s">
        <v>4789</v>
      </c>
      <c r="AP290">
        <v>998</v>
      </c>
      <c r="AQ290" t="s">
        <v>4776</v>
      </c>
      <c r="AR290" t="s">
        <v>4777</v>
      </c>
      <c r="AS290">
        <v>81</v>
      </c>
      <c r="AT290" t="s">
        <v>4790</v>
      </c>
      <c r="AW290" t="str">
        <f>Plan_2026[[#This Row],[Tên brand]]&amp;" "&amp;Plan_2026[[#This Row],[Trục đường chính]]&amp;Plan_2026[[#This Row],[Tên mall
(chuẩn hóa)]]&amp;Plan_2026[[#This Row],[Địa chỉ đầy đủ]]</f>
        <v xml:space="preserve">The Coffee House </v>
      </c>
    </row>
    <row r="291" spans="1:49" hidden="1" x14ac:dyDescent="0.35">
      <c r="A291">
        <v>281</v>
      </c>
      <c r="B291" t="s">
        <v>2587</v>
      </c>
      <c r="C291" t="s">
        <v>2787</v>
      </c>
      <c r="D291" t="s">
        <v>3111</v>
      </c>
      <c r="E291">
        <v>2026</v>
      </c>
      <c r="F291">
        <v>2</v>
      </c>
      <c r="G291">
        <v>5</v>
      </c>
      <c r="H291">
        <v>9</v>
      </c>
      <c r="J291" t="s">
        <v>350</v>
      </c>
      <c r="K291" t="s">
        <v>2704</v>
      </c>
      <c r="L291" t="s">
        <v>3052</v>
      </c>
      <c r="M291" t="s">
        <v>3053</v>
      </c>
      <c r="N291" t="s">
        <v>4551</v>
      </c>
      <c r="O291" t="s">
        <v>4771</v>
      </c>
      <c r="P291" t="s">
        <v>2588</v>
      </c>
      <c r="Q291" t="s">
        <v>2810</v>
      </c>
      <c r="R291" t="s">
        <v>2751</v>
      </c>
      <c r="S291" t="s">
        <v>2751</v>
      </c>
      <c r="T291" t="s">
        <v>2800</v>
      </c>
      <c r="U291" t="s">
        <v>2800</v>
      </c>
      <c r="V291">
        <v>1</v>
      </c>
      <c r="W291" t="s">
        <v>2713</v>
      </c>
      <c r="X291" t="s">
        <v>4687</v>
      </c>
      <c r="Y291" t="s">
        <v>4687</v>
      </c>
      <c r="Z291">
        <v>132</v>
      </c>
      <c r="AB291" t="s">
        <v>2716</v>
      </c>
      <c r="AC291" t="s">
        <v>2738</v>
      </c>
      <c r="AE291">
        <v>0</v>
      </c>
      <c r="AH291" t="s">
        <v>1788</v>
      </c>
      <c r="AI291">
        <v>46143</v>
      </c>
      <c r="AJ291">
        <v>5</v>
      </c>
      <c r="AK291" t="s">
        <v>4773</v>
      </c>
      <c r="AM291" t="s">
        <v>4774</v>
      </c>
      <c r="AN291" t="s">
        <v>2814</v>
      </c>
      <c r="AO291" t="s">
        <v>4789</v>
      </c>
      <c r="AP291">
        <v>998</v>
      </c>
      <c r="AQ291" t="s">
        <v>4776</v>
      </c>
      <c r="AR291" t="s">
        <v>4777</v>
      </c>
      <c r="AS291">
        <v>81</v>
      </c>
      <c r="AT291" t="s">
        <v>4790</v>
      </c>
      <c r="AW291" t="str">
        <f>Plan_2026[[#This Row],[Tên brand]]&amp;" "&amp;Plan_2026[[#This Row],[Trục đường chính]]&amp;Plan_2026[[#This Row],[Tên mall
(chuẩn hóa)]]&amp;Plan_2026[[#This Row],[Địa chỉ đầy đủ]]</f>
        <v>The Coffee House 10 Mai Chí ThọThiso Mall Sala</v>
      </c>
    </row>
    <row r="292" spans="1:49" hidden="1" x14ac:dyDescent="0.35">
      <c r="A292">
        <v>282</v>
      </c>
      <c r="B292" t="s">
        <v>2400</v>
      </c>
      <c r="C292" t="s">
        <v>2772</v>
      </c>
      <c r="D292" t="s">
        <v>2868</v>
      </c>
      <c r="E292">
        <v>2026</v>
      </c>
      <c r="F292">
        <v>1</v>
      </c>
      <c r="G292">
        <v>1</v>
      </c>
      <c r="H292">
        <v>5</v>
      </c>
      <c r="J292" t="s">
        <v>350</v>
      </c>
      <c r="K292" t="s">
        <v>2704</v>
      </c>
      <c r="L292" t="s">
        <v>3052</v>
      </c>
      <c r="M292" t="s">
        <v>3053</v>
      </c>
      <c r="N292" t="s">
        <v>4452</v>
      </c>
      <c r="O292" t="s">
        <v>2401</v>
      </c>
      <c r="Q292" t="s">
        <v>2709</v>
      </c>
      <c r="R292" t="s">
        <v>2751</v>
      </c>
      <c r="S292" t="s">
        <v>2751</v>
      </c>
      <c r="T292" t="s">
        <v>2712</v>
      </c>
      <c r="U292" t="s">
        <v>2712</v>
      </c>
      <c r="V292">
        <v>1</v>
      </c>
      <c r="W292" t="s">
        <v>2713</v>
      </c>
      <c r="Z292">
        <v>200</v>
      </c>
      <c r="AB292" t="s">
        <v>2716</v>
      </c>
      <c r="AC292" t="s">
        <v>2738</v>
      </c>
      <c r="AE292">
        <v>0</v>
      </c>
      <c r="AF292" t="s">
        <v>4791</v>
      </c>
      <c r="AH292" t="s">
        <v>112</v>
      </c>
      <c r="AI292">
        <v>46023</v>
      </c>
      <c r="AJ292">
        <v>1</v>
      </c>
      <c r="AK292" t="s">
        <v>4792</v>
      </c>
      <c r="AM292" t="s">
        <v>4793</v>
      </c>
      <c r="AN292" t="s">
        <v>2782</v>
      </c>
      <c r="AO292" t="s">
        <v>4794</v>
      </c>
      <c r="AP292">
        <v>16066</v>
      </c>
      <c r="AQ292" t="s">
        <v>4795</v>
      </c>
      <c r="AR292" t="s">
        <v>4796</v>
      </c>
      <c r="AS292">
        <v>55</v>
      </c>
      <c r="AT292" t="s">
        <v>4797</v>
      </c>
      <c r="AW292" t="str">
        <f>Plan_2026[[#This Row],[Tên brand]]&amp;" "&amp;Plan_2026[[#This Row],[Trục đường chính]]&amp;Plan_2026[[#This Row],[Tên mall
(chuẩn hóa)]]&amp;Plan_2026[[#This Row],[Địa chỉ đầy đủ]]</f>
        <v xml:space="preserve">Manwah </v>
      </c>
    </row>
    <row r="293" spans="1:49" hidden="1" x14ac:dyDescent="0.35">
      <c r="A293">
        <v>283</v>
      </c>
      <c r="B293" t="s">
        <v>2559</v>
      </c>
      <c r="C293" t="s">
        <v>2787</v>
      </c>
      <c r="D293" t="s">
        <v>3111</v>
      </c>
      <c r="E293">
        <v>2026</v>
      </c>
      <c r="F293">
        <v>1</v>
      </c>
      <c r="G293">
        <v>3</v>
      </c>
      <c r="H293">
        <v>7</v>
      </c>
      <c r="J293" t="s">
        <v>350</v>
      </c>
      <c r="K293" t="s">
        <v>2704</v>
      </c>
      <c r="L293" t="s">
        <v>3052</v>
      </c>
      <c r="M293" t="s">
        <v>3053</v>
      </c>
      <c r="N293" t="s">
        <v>4321</v>
      </c>
      <c r="O293" t="s">
        <v>2401</v>
      </c>
      <c r="P293" t="s">
        <v>4798</v>
      </c>
      <c r="Q293" t="s">
        <v>2732</v>
      </c>
      <c r="R293" t="s">
        <v>2710</v>
      </c>
      <c r="S293" t="s">
        <v>2710</v>
      </c>
      <c r="T293" t="s">
        <v>3229</v>
      </c>
      <c r="U293" t="s">
        <v>3229</v>
      </c>
      <c r="V293">
        <v>1</v>
      </c>
      <c r="W293" t="s">
        <v>2713</v>
      </c>
      <c r="X293" t="s">
        <v>2560</v>
      </c>
      <c r="Y293" t="s">
        <v>2560</v>
      </c>
      <c r="Z293">
        <v>132</v>
      </c>
      <c r="AB293" t="s">
        <v>2716</v>
      </c>
      <c r="AC293" t="s">
        <v>2738</v>
      </c>
      <c r="AE293">
        <v>0</v>
      </c>
      <c r="AH293" t="s">
        <v>1788</v>
      </c>
      <c r="AI293">
        <v>46082</v>
      </c>
      <c r="AJ293">
        <v>3</v>
      </c>
      <c r="AK293" t="s">
        <v>4799</v>
      </c>
      <c r="AM293" t="s">
        <v>4800</v>
      </c>
      <c r="AN293" t="s">
        <v>2804</v>
      </c>
      <c r="AO293" t="s">
        <v>4801</v>
      </c>
      <c r="AP293">
        <v>23417</v>
      </c>
      <c r="AQ293" t="s">
        <v>4802</v>
      </c>
      <c r="AR293" t="s">
        <v>4803</v>
      </c>
      <c r="AS293">
        <v>81</v>
      </c>
      <c r="AT293" t="s">
        <v>3162</v>
      </c>
      <c r="AW293" t="str">
        <f>Plan_2026[[#This Row],[Tên brand]]&amp;" "&amp;Plan_2026[[#This Row],[Trục đường chính]]&amp;Plan_2026[[#This Row],[Tên mall
(chuẩn hóa)]]&amp;Plan_2026[[#This Row],[Địa chỉ đầy đủ]]</f>
        <v>The Coffee House số 3C Ba Tháng HaiVincom Plaza Ba Tháng Hai</v>
      </c>
    </row>
    <row r="294" spans="1:49" hidden="1" x14ac:dyDescent="0.35">
      <c r="A294">
        <v>284</v>
      </c>
      <c r="B294" t="s">
        <v>4804</v>
      </c>
      <c r="C294" t="s">
        <v>25</v>
      </c>
      <c r="D294" t="s">
        <v>4263</v>
      </c>
      <c r="E294">
        <v>2026</v>
      </c>
      <c r="F294">
        <v>2</v>
      </c>
      <c r="G294">
        <v>5</v>
      </c>
      <c r="H294">
        <v>9</v>
      </c>
      <c r="J294" t="s">
        <v>350</v>
      </c>
      <c r="K294" t="s">
        <v>2704</v>
      </c>
      <c r="L294" t="s">
        <v>3052</v>
      </c>
      <c r="M294" t="s">
        <v>3053</v>
      </c>
      <c r="N294" t="s">
        <v>4805</v>
      </c>
      <c r="O294" t="s">
        <v>4806</v>
      </c>
      <c r="P294" t="s">
        <v>4807</v>
      </c>
      <c r="Q294" t="s">
        <v>2732</v>
      </c>
      <c r="R294" t="s">
        <v>2751</v>
      </c>
      <c r="S294" t="s">
        <v>2751</v>
      </c>
      <c r="T294" t="s">
        <v>2712</v>
      </c>
      <c r="U294" t="s">
        <v>2712</v>
      </c>
      <c r="V294">
        <v>1</v>
      </c>
      <c r="W294" t="s">
        <v>2735</v>
      </c>
      <c r="X294" t="s">
        <v>4808</v>
      </c>
      <c r="Y294" t="s">
        <v>4809</v>
      </c>
      <c r="Z294" t="s">
        <v>2715</v>
      </c>
      <c r="AB294" t="s">
        <v>2716</v>
      </c>
      <c r="AC294" t="s">
        <v>2952</v>
      </c>
      <c r="AE294">
        <v>1</v>
      </c>
      <c r="AH294" t="s">
        <v>24</v>
      </c>
      <c r="AI294">
        <v>46143</v>
      </c>
      <c r="AJ294">
        <v>5</v>
      </c>
      <c r="AK294" t="s">
        <v>4810</v>
      </c>
      <c r="AM294" t="s">
        <v>4811</v>
      </c>
      <c r="AN294" t="s">
        <v>3438</v>
      </c>
      <c r="AO294" t="s">
        <v>4812</v>
      </c>
      <c r="AP294">
        <v>770</v>
      </c>
      <c r="AQ294" t="s">
        <v>4813</v>
      </c>
      <c r="AR294" t="s">
        <v>4814</v>
      </c>
      <c r="AS294">
        <v>9</v>
      </c>
      <c r="AT294" t="s">
        <v>4591</v>
      </c>
      <c r="AW294" t="str">
        <f>Plan_2026[[#This Row],[Tên brand]]&amp;" "&amp;Plan_2026[[#This Row],[Trục đường chính]]&amp;Plan_2026[[#This Row],[Tên mall
(chuẩn hóa)]]&amp;Plan_2026[[#This Row],[Địa chỉ đầy đủ]]</f>
        <v>Ashima 512 đường Nguyễn XiểnVincom Mega Mall Grand Park</v>
      </c>
    </row>
    <row r="295" spans="1:49" hidden="1" x14ac:dyDescent="0.35">
      <c r="A295">
        <v>285</v>
      </c>
      <c r="B295" t="s">
        <v>2429</v>
      </c>
      <c r="C295" t="s">
        <v>3225</v>
      </c>
      <c r="D295" t="s">
        <v>3226</v>
      </c>
      <c r="E295">
        <v>2026</v>
      </c>
      <c r="F295">
        <v>2</v>
      </c>
      <c r="G295">
        <v>6</v>
      </c>
      <c r="H295">
        <v>10</v>
      </c>
      <c r="J295" t="s">
        <v>350</v>
      </c>
      <c r="K295" t="s">
        <v>2704</v>
      </c>
      <c r="L295" t="s">
        <v>3052</v>
      </c>
      <c r="M295" t="s">
        <v>3053</v>
      </c>
      <c r="N295" t="s">
        <v>4805</v>
      </c>
      <c r="O295" t="s">
        <v>4806</v>
      </c>
      <c r="P295" t="s">
        <v>4815</v>
      </c>
      <c r="Q295" t="s">
        <v>2732</v>
      </c>
      <c r="R295" t="s">
        <v>2710</v>
      </c>
      <c r="S295" t="s">
        <v>2710</v>
      </c>
      <c r="T295" t="s">
        <v>3229</v>
      </c>
      <c r="U295" t="s">
        <v>3229</v>
      </c>
      <c r="V295">
        <v>1</v>
      </c>
      <c r="W295" t="s">
        <v>2713</v>
      </c>
      <c r="X295" t="s">
        <v>4809</v>
      </c>
      <c r="Y295" t="s">
        <v>4809</v>
      </c>
      <c r="Z295" t="s">
        <v>2715</v>
      </c>
      <c r="AB295" t="s">
        <v>2716</v>
      </c>
      <c r="AC295" t="s">
        <v>3232</v>
      </c>
      <c r="AE295">
        <v>0</v>
      </c>
      <c r="AF295" t="s">
        <v>4555</v>
      </c>
      <c r="AH295" t="s">
        <v>1319</v>
      </c>
      <c r="AI295">
        <v>46174</v>
      </c>
      <c r="AJ295">
        <v>6</v>
      </c>
      <c r="AK295" t="s">
        <v>4810</v>
      </c>
      <c r="AM295" t="s">
        <v>4811</v>
      </c>
      <c r="AN295" t="s">
        <v>3237</v>
      </c>
      <c r="AO295" t="s">
        <v>4816</v>
      </c>
      <c r="AP295">
        <v>770</v>
      </c>
      <c r="AQ295" t="s">
        <v>4813</v>
      </c>
      <c r="AR295" t="s">
        <v>4814</v>
      </c>
      <c r="AS295">
        <v>3</v>
      </c>
      <c r="AT295" t="s">
        <v>4017</v>
      </c>
      <c r="AW295" t="str">
        <f>Plan_2026[[#This Row],[Tên brand]]&amp;" "&amp;Plan_2026[[#This Row],[Trục đường chính]]&amp;Plan_2026[[#This Row],[Tên mall
(chuẩn hóa)]]&amp;Plan_2026[[#This Row],[Địa chỉ đầy đủ]]</f>
        <v>Chix Max Đường D2A (Khu Đô Thị Vinhomes Grand Park)Vincom Mega Mall Grand Park</v>
      </c>
    </row>
    <row r="296" spans="1:49" hidden="1" x14ac:dyDescent="0.35">
      <c r="A296">
        <v>286</v>
      </c>
      <c r="B296" t="s">
        <v>4817</v>
      </c>
      <c r="C296" t="s">
        <v>2772</v>
      </c>
      <c r="D296" t="s">
        <v>2728</v>
      </c>
      <c r="E296">
        <v>2026</v>
      </c>
      <c r="F296">
        <v>1</v>
      </c>
      <c r="G296">
        <v>1</v>
      </c>
      <c r="H296">
        <v>5</v>
      </c>
      <c r="J296" t="s">
        <v>350</v>
      </c>
      <c r="K296" t="s">
        <v>2704</v>
      </c>
      <c r="L296" t="s">
        <v>3052</v>
      </c>
      <c r="M296" t="s">
        <v>3053</v>
      </c>
      <c r="N296" t="s">
        <v>4805</v>
      </c>
      <c r="O296" t="s">
        <v>4806</v>
      </c>
      <c r="P296" t="s">
        <v>4818</v>
      </c>
      <c r="Q296" t="s">
        <v>2732</v>
      </c>
      <c r="R296" t="s">
        <v>2751</v>
      </c>
      <c r="S296" t="s">
        <v>2751</v>
      </c>
      <c r="T296" t="s">
        <v>2712</v>
      </c>
      <c r="U296" t="s">
        <v>2712</v>
      </c>
      <c r="V296">
        <v>1</v>
      </c>
      <c r="W296" t="s">
        <v>2713</v>
      </c>
      <c r="X296" t="s">
        <v>4808</v>
      </c>
      <c r="Y296" t="s">
        <v>4809</v>
      </c>
      <c r="Z296">
        <v>200</v>
      </c>
      <c r="AB296" t="s">
        <v>2716</v>
      </c>
      <c r="AC296" t="s">
        <v>2763</v>
      </c>
      <c r="AE296">
        <v>1</v>
      </c>
      <c r="AF296" t="s">
        <v>4819</v>
      </c>
      <c r="AH296" t="s">
        <v>112</v>
      </c>
      <c r="AI296">
        <v>46023</v>
      </c>
      <c r="AJ296">
        <v>1</v>
      </c>
      <c r="AK296" t="s">
        <v>4810</v>
      </c>
      <c r="AM296" t="s">
        <v>4811</v>
      </c>
      <c r="AN296" t="s">
        <v>3033</v>
      </c>
      <c r="AO296" t="s">
        <v>4820</v>
      </c>
      <c r="AP296">
        <v>770</v>
      </c>
      <c r="AQ296" t="s">
        <v>4813</v>
      </c>
      <c r="AR296" t="s">
        <v>4814</v>
      </c>
      <c r="AS296">
        <v>55</v>
      </c>
      <c r="AT296" t="s">
        <v>4821</v>
      </c>
      <c r="AW296" t="str">
        <f>Plan_2026[[#This Row],[Tên brand]]&amp;" "&amp;Plan_2026[[#This Row],[Trục đường chính]]&amp;Plan_2026[[#This Row],[Tên mall
(chuẩn hóa)]]&amp;Plan_2026[[#This Row],[Địa chỉ đầy đủ]]</f>
        <v>Manwah Nguyễn XiểnVincom Mega Mall Grand Park</v>
      </c>
    </row>
    <row r="297" spans="1:49" hidden="1" x14ac:dyDescent="0.35">
      <c r="A297">
        <v>287</v>
      </c>
      <c r="B297" t="s">
        <v>2314</v>
      </c>
      <c r="C297" t="s">
        <v>3861</v>
      </c>
      <c r="D297" t="s">
        <v>3862</v>
      </c>
      <c r="E297">
        <v>2026</v>
      </c>
      <c r="F297">
        <v>3</v>
      </c>
      <c r="G297">
        <v>7</v>
      </c>
      <c r="H297">
        <v>11</v>
      </c>
      <c r="J297" t="s">
        <v>350</v>
      </c>
      <c r="K297" t="s">
        <v>2704</v>
      </c>
      <c r="L297" t="s">
        <v>3052</v>
      </c>
      <c r="M297" t="s">
        <v>3053</v>
      </c>
      <c r="N297" t="s">
        <v>4805</v>
      </c>
      <c r="O297" t="s">
        <v>4806</v>
      </c>
      <c r="P297" t="s">
        <v>4818</v>
      </c>
      <c r="Q297" t="s">
        <v>2732</v>
      </c>
      <c r="R297" t="s">
        <v>2751</v>
      </c>
      <c r="S297" t="s">
        <v>2751</v>
      </c>
      <c r="T297" t="s">
        <v>2762</v>
      </c>
      <c r="U297" t="s">
        <v>2762</v>
      </c>
      <c r="V297">
        <v>1</v>
      </c>
      <c r="W297" t="s">
        <v>2713</v>
      </c>
      <c r="X297" t="s">
        <v>4809</v>
      </c>
      <c r="Y297" t="s">
        <v>4809</v>
      </c>
      <c r="Z297" t="s">
        <v>2715</v>
      </c>
      <c r="AB297" t="s">
        <v>2716</v>
      </c>
      <c r="AC297" t="s">
        <v>2738</v>
      </c>
      <c r="AE297">
        <v>0</v>
      </c>
      <c r="AF297" t="s">
        <v>3864</v>
      </c>
      <c r="AH297" t="s">
        <v>301</v>
      </c>
      <c r="AI297">
        <v>46204</v>
      </c>
      <c r="AJ297">
        <v>7</v>
      </c>
      <c r="AK297" t="s">
        <v>4810</v>
      </c>
      <c r="AM297" t="s">
        <v>4811</v>
      </c>
      <c r="AN297" t="s">
        <v>3866</v>
      </c>
      <c r="AO297" t="s">
        <v>4822</v>
      </c>
      <c r="AP297">
        <v>770</v>
      </c>
      <c r="AQ297" t="s">
        <v>4813</v>
      </c>
      <c r="AR297" t="s">
        <v>4814</v>
      </c>
      <c r="AS297">
        <v>14</v>
      </c>
      <c r="AT297" t="s">
        <v>4785</v>
      </c>
      <c r="AW297" t="str">
        <f>Plan_2026[[#This Row],[Tên brand]]&amp;" "&amp;Plan_2026[[#This Row],[Trục đường chính]]&amp;Plan_2026[[#This Row],[Tên mall
(chuẩn hóa)]]&amp;Plan_2026[[#This Row],[Địa chỉ đầy đủ]]</f>
        <v>Lách ca lách cách Nguyễn XiểnVincom Mega Mall Grand Park</v>
      </c>
    </row>
    <row r="298" spans="1:49" hidden="1" x14ac:dyDescent="0.35">
      <c r="A298">
        <v>288</v>
      </c>
      <c r="B298" t="s">
        <v>4823</v>
      </c>
      <c r="C298" t="s">
        <v>3208</v>
      </c>
      <c r="D298" t="s">
        <v>2850</v>
      </c>
      <c r="E298">
        <v>2026</v>
      </c>
      <c r="F298">
        <v>1</v>
      </c>
      <c r="G298">
        <v>1</v>
      </c>
      <c r="H298">
        <v>5</v>
      </c>
      <c r="J298" t="s">
        <v>350</v>
      </c>
      <c r="K298" t="s">
        <v>2704</v>
      </c>
      <c r="L298" t="s">
        <v>3052</v>
      </c>
      <c r="M298" t="s">
        <v>3053</v>
      </c>
      <c r="N298" t="s">
        <v>4805</v>
      </c>
      <c r="O298" t="s">
        <v>4806</v>
      </c>
      <c r="P298" t="s">
        <v>4824</v>
      </c>
      <c r="Q298" t="s">
        <v>2732</v>
      </c>
      <c r="R298" t="s">
        <v>2710</v>
      </c>
      <c r="S298" t="s">
        <v>2710</v>
      </c>
      <c r="T298" t="s">
        <v>2712</v>
      </c>
      <c r="U298" t="s">
        <v>2712</v>
      </c>
      <c r="V298">
        <v>1</v>
      </c>
      <c r="W298" t="s">
        <v>2735</v>
      </c>
      <c r="X298" t="s">
        <v>4808</v>
      </c>
      <c r="Y298" t="s">
        <v>4809</v>
      </c>
      <c r="Z298" t="s">
        <v>2715</v>
      </c>
      <c r="AB298" t="s">
        <v>2716</v>
      </c>
      <c r="AC298" t="s">
        <v>2763</v>
      </c>
      <c r="AE298">
        <v>1</v>
      </c>
      <c r="AG298" t="s">
        <v>2908</v>
      </c>
      <c r="AH298" t="s">
        <v>51</v>
      </c>
      <c r="AI298">
        <v>46023</v>
      </c>
      <c r="AJ298">
        <v>1</v>
      </c>
      <c r="AK298" t="s">
        <v>4810</v>
      </c>
      <c r="AM298" t="s">
        <v>4811</v>
      </c>
      <c r="AN298" t="s">
        <v>3264</v>
      </c>
      <c r="AO298" t="s">
        <v>4825</v>
      </c>
      <c r="AP298">
        <v>770</v>
      </c>
      <c r="AQ298" t="s">
        <v>4813</v>
      </c>
      <c r="AR298" t="s">
        <v>4814</v>
      </c>
      <c r="AS298">
        <v>11</v>
      </c>
      <c r="AT298" t="s">
        <v>4689</v>
      </c>
      <c r="AW298" t="str">
        <f>Plan_2026[[#This Row],[Tên brand]]&amp;" "&amp;Plan_2026[[#This Row],[Trục đường chính]]&amp;Plan_2026[[#This Row],[Tên mall
(chuẩn hóa)]]&amp;Plan_2026[[#This Row],[Địa chỉ đầy đủ]]</f>
        <v>Sumogoya Đường Nguyễn Xiển và Đường Phước ThiệnVincom Mega Mall Grand Park</v>
      </c>
    </row>
    <row r="299" spans="1:49" hidden="1" x14ac:dyDescent="0.35">
      <c r="A299">
        <v>289</v>
      </c>
      <c r="B299" t="s">
        <v>4826</v>
      </c>
      <c r="C299" t="s">
        <v>2849</v>
      </c>
      <c r="D299" t="s">
        <v>2850</v>
      </c>
      <c r="E299">
        <v>2026</v>
      </c>
      <c r="F299">
        <v>1</v>
      </c>
      <c r="G299">
        <v>1</v>
      </c>
      <c r="H299">
        <v>5</v>
      </c>
      <c r="J299" t="s">
        <v>350</v>
      </c>
      <c r="K299" t="s">
        <v>2704</v>
      </c>
      <c r="L299" t="s">
        <v>3052</v>
      </c>
      <c r="M299" t="s">
        <v>3053</v>
      </c>
      <c r="N299" t="s">
        <v>4805</v>
      </c>
      <c r="O299" t="s">
        <v>4806</v>
      </c>
      <c r="P299" t="s">
        <v>4827</v>
      </c>
      <c r="Q299" t="s">
        <v>2732</v>
      </c>
      <c r="R299" t="s">
        <v>2751</v>
      </c>
      <c r="S299" t="s">
        <v>2751</v>
      </c>
      <c r="T299" t="s">
        <v>2790</v>
      </c>
      <c r="U299" t="s">
        <v>2790</v>
      </c>
      <c r="V299">
        <v>1</v>
      </c>
      <c r="W299" t="s">
        <v>2713</v>
      </c>
      <c r="X299" t="s">
        <v>4809</v>
      </c>
      <c r="Y299" t="s">
        <v>4809</v>
      </c>
      <c r="Z299" t="s">
        <v>2715</v>
      </c>
      <c r="AB299" t="s">
        <v>2716</v>
      </c>
      <c r="AC299" t="s">
        <v>2763</v>
      </c>
      <c r="AE299">
        <v>1</v>
      </c>
      <c r="AH299" t="s">
        <v>1771</v>
      </c>
      <c r="AI299">
        <v>46023</v>
      </c>
      <c r="AJ299">
        <v>1</v>
      </c>
      <c r="AK299" t="s">
        <v>4810</v>
      </c>
      <c r="AM299" t="s">
        <v>4811</v>
      </c>
      <c r="AN299" t="s">
        <v>2862</v>
      </c>
      <c r="AO299" t="s">
        <v>4828</v>
      </c>
      <c r="AP299">
        <v>770</v>
      </c>
      <c r="AQ299" t="s">
        <v>4813</v>
      </c>
      <c r="AR299" t="s">
        <v>4814</v>
      </c>
      <c r="AS299">
        <v>2</v>
      </c>
      <c r="AT299" t="s">
        <v>2866</v>
      </c>
      <c r="AW299" t="str">
        <f>Plan_2026[[#This Row],[Tên brand]]&amp;" "&amp;Plan_2026[[#This Row],[Trục đường chính]]&amp;Plan_2026[[#This Row],[Tên mall
(chuẩn hóa)]]&amp;Plan_2026[[#This Row],[Địa chỉ đầy đủ]]</f>
        <v>Wow!Yakiniku Đường D2A, Khu đô thị Vinhomes Grand ParkVincom Mega Mall Grand Park</v>
      </c>
    </row>
    <row r="300" spans="1:49" x14ac:dyDescent="0.35">
      <c r="A300">
        <v>290</v>
      </c>
      <c r="B300" t="s">
        <v>4829</v>
      </c>
      <c r="C300" t="s">
        <v>2787</v>
      </c>
      <c r="D300" t="s">
        <v>3111</v>
      </c>
      <c r="E300">
        <v>2026</v>
      </c>
      <c r="F300">
        <v>3</v>
      </c>
      <c r="G300">
        <v>7</v>
      </c>
      <c r="H300">
        <v>11</v>
      </c>
      <c r="J300" t="s">
        <v>350</v>
      </c>
      <c r="K300" t="s">
        <v>2704</v>
      </c>
      <c r="L300" t="s">
        <v>3052</v>
      </c>
      <c r="M300" t="s">
        <v>3053</v>
      </c>
      <c r="N300" t="s">
        <v>4805</v>
      </c>
      <c r="O300" t="s">
        <v>4806</v>
      </c>
      <c r="P300" t="s">
        <v>4830</v>
      </c>
      <c r="Q300" t="s">
        <v>2709</v>
      </c>
      <c r="R300" t="s">
        <v>2751</v>
      </c>
      <c r="S300" t="s">
        <v>2751</v>
      </c>
      <c r="T300" t="s">
        <v>2790</v>
      </c>
      <c r="U300" t="s">
        <v>2790</v>
      </c>
      <c r="V300">
        <v>1</v>
      </c>
      <c r="W300" t="s">
        <v>2735</v>
      </c>
      <c r="X300" t="s">
        <v>4830</v>
      </c>
      <c r="Z300">
        <v>132</v>
      </c>
      <c r="AB300" t="s">
        <v>2716</v>
      </c>
      <c r="AC300" t="s">
        <v>2763</v>
      </c>
      <c r="AE300">
        <v>1</v>
      </c>
      <c r="AH300" t="s">
        <v>1788</v>
      </c>
      <c r="AI300">
        <v>46204</v>
      </c>
      <c r="AJ300">
        <v>7</v>
      </c>
      <c r="AK300" t="s">
        <v>4810</v>
      </c>
      <c r="AL300" t="s">
        <v>4831</v>
      </c>
      <c r="AM300" t="s">
        <v>4811</v>
      </c>
      <c r="AN300" t="s">
        <v>2793</v>
      </c>
      <c r="AO300" t="s">
        <v>4832</v>
      </c>
      <c r="AP300">
        <v>770</v>
      </c>
      <c r="AQ300" t="s">
        <v>4813</v>
      </c>
      <c r="AR300" t="s">
        <v>4814</v>
      </c>
      <c r="AS300">
        <v>81</v>
      </c>
      <c r="AT300" t="s">
        <v>4790</v>
      </c>
      <c r="AW300" t="str">
        <f>Plan_2026[[#This Row],[Tên brand]]&amp;" "&amp;Plan_2026[[#This Row],[Trục đường chính]]&amp;Plan_2026[[#This Row],[Tên mall
(chuẩn hóa)]]&amp;Plan_2026[[#This Row],[Địa chỉ đầy đủ]]</f>
        <v>The Coffee House Techcombank GrandPark HCMSố 6, Đường D1, Khu đô thị Vinhomes Grand Park, Phường Long Bình, Quận 9, TP. Hồ Chí Minh</v>
      </c>
    </row>
    <row r="301" spans="1:49" hidden="1" x14ac:dyDescent="0.35">
      <c r="A301">
        <v>291</v>
      </c>
      <c r="B301" t="s">
        <v>2433</v>
      </c>
      <c r="C301" t="s">
        <v>3225</v>
      </c>
      <c r="D301" t="s">
        <v>3226</v>
      </c>
      <c r="E301">
        <v>2026</v>
      </c>
      <c r="F301">
        <v>3</v>
      </c>
      <c r="G301">
        <v>8</v>
      </c>
      <c r="H301">
        <v>12</v>
      </c>
      <c r="J301" t="s">
        <v>350</v>
      </c>
      <c r="K301" t="s">
        <v>2704</v>
      </c>
      <c r="L301" t="s">
        <v>3052</v>
      </c>
      <c r="M301" t="s">
        <v>3053</v>
      </c>
      <c r="N301" t="s">
        <v>4551</v>
      </c>
      <c r="O301" t="s">
        <v>4833</v>
      </c>
      <c r="P301" t="s">
        <v>2588</v>
      </c>
      <c r="Q301" t="s">
        <v>2732</v>
      </c>
      <c r="R301" t="s">
        <v>2710</v>
      </c>
      <c r="S301" t="s">
        <v>2710</v>
      </c>
      <c r="T301" t="s">
        <v>3229</v>
      </c>
      <c r="U301" t="s">
        <v>3229</v>
      </c>
      <c r="V301">
        <v>1</v>
      </c>
      <c r="W301" t="s">
        <v>2713</v>
      </c>
      <c r="X301" t="s">
        <v>4687</v>
      </c>
      <c r="Y301" t="s">
        <v>4687</v>
      </c>
      <c r="Z301" t="s">
        <v>2715</v>
      </c>
      <c r="AB301" t="s">
        <v>2716</v>
      </c>
      <c r="AC301" t="s">
        <v>3232</v>
      </c>
      <c r="AE301">
        <v>0</v>
      </c>
      <c r="AF301" t="s">
        <v>4555</v>
      </c>
      <c r="AH301" t="s">
        <v>1319</v>
      </c>
      <c r="AI301">
        <v>46235</v>
      </c>
      <c r="AJ301">
        <v>8</v>
      </c>
      <c r="AK301" t="s">
        <v>4834</v>
      </c>
      <c r="AM301" t="s">
        <v>4835</v>
      </c>
      <c r="AN301" t="s">
        <v>3237</v>
      </c>
      <c r="AO301" t="s">
        <v>4836</v>
      </c>
      <c r="AP301">
        <v>513</v>
      </c>
      <c r="AQ301" t="s">
        <v>4837</v>
      </c>
      <c r="AR301" t="s">
        <v>4838</v>
      </c>
      <c r="AS301">
        <v>3</v>
      </c>
      <c r="AT301" t="s">
        <v>4017</v>
      </c>
      <c r="AW301" t="str">
        <f>Plan_2026[[#This Row],[Tên brand]]&amp;" "&amp;Plan_2026[[#This Row],[Trục đường chính]]&amp;Plan_2026[[#This Row],[Tên mall
(chuẩn hóa)]]&amp;Plan_2026[[#This Row],[Địa chỉ đầy đủ]]</f>
        <v>Chix Max 10 Mai Chí ThọThiso Mall Sala</v>
      </c>
    </row>
    <row r="302" spans="1:49" hidden="1" x14ac:dyDescent="0.35">
      <c r="A302">
        <v>292</v>
      </c>
      <c r="B302" t="s">
        <v>2447</v>
      </c>
      <c r="C302" t="s">
        <v>3208</v>
      </c>
      <c r="D302" t="s">
        <v>2850</v>
      </c>
      <c r="E302">
        <v>2026</v>
      </c>
      <c r="F302">
        <v>2</v>
      </c>
      <c r="G302">
        <v>5</v>
      </c>
      <c r="H302">
        <v>9</v>
      </c>
      <c r="J302" t="s">
        <v>350</v>
      </c>
      <c r="K302" t="s">
        <v>2704</v>
      </c>
      <c r="L302" t="s">
        <v>3052</v>
      </c>
      <c r="M302" t="s">
        <v>3053</v>
      </c>
      <c r="N302" t="s">
        <v>4311</v>
      </c>
      <c r="O302" t="s">
        <v>2940</v>
      </c>
      <c r="P302" t="s">
        <v>4839</v>
      </c>
      <c r="Q302" t="s">
        <v>2732</v>
      </c>
      <c r="R302" t="s">
        <v>2710</v>
      </c>
      <c r="S302" t="s">
        <v>2710</v>
      </c>
      <c r="T302" t="s">
        <v>2712</v>
      </c>
      <c r="U302" t="s">
        <v>2712</v>
      </c>
      <c r="V302">
        <v>1</v>
      </c>
      <c r="W302" t="s">
        <v>2713</v>
      </c>
      <c r="X302" t="s">
        <v>2448</v>
      </c>
      <c r="Y302" t="s">
        <v>2448</v>
      </c>
      <c r="Z302" t="s">
        <v>2715</v>
      </c>
      <c r="AB302" t="s">
        <v>2716</v>
      </c>
      <c r="AC302" t="s">
        <v>2738</v>
      </c>
      <c r="AE302">
        <v>0</v>
      </c>
      <c r="AH302" t="s">
        <v>51</v>
      </c>
      <c r="AI302">
        <v>46143</v>
      </c>
      <c r="AJ302">
        <v>5</v>
      </c>
      <c r="AK302" t="s">
        <v>4840</v>
      </c>
      <c r="AM302" t="s">
        <v>4841</v>
      </c>
      <c r="AN302" t="s">
        <v>3264</v>
      </c>
      <c r="AO302" t="s">
        <v>4842</v>
      </c>
      <c r="AP302">
        <v>15297</v>
      </c>
      <c r="AQ302" t="s">
        <v>4843</v>
      </c>
      <c r="AR302" t="s">
        <v>4844</v>
      </c>
      <c r="AS302">
        <v>11</v>
      </c>
      <c r="AT302" t="s">
        <v>3266</v>
      </c>
      <c r="AW302" t="str">
        <f>Plan_2026[[#This Row],[Tên brand]]&amp;" "&amp;Plan_2026[[#This Row],[Trục đường chính]]&amp;Plan_2026[[#This Row],[Tên mall
(chuẩn hóa)]]&amp;Plan_2026[[#This Row],[Địa chỉ đầy đủ]]</f>
        <v>Sumogoya 168 Đường Phan Văn TrịEmart Gò Vấp</v>
      </c>
    </row>
    <row r="303" spans="1:49" hidden="1" x14ac:dyDescent="0.35">
      <c r="A303">
        <v>293</v>
      </c>
      <c r="B303" t="s">
        <v>2623</v>
      </c>
      <c r="C303" t="s">
        <v>4355</v>
      </c>
      <c r="D303" t="s">
        <v>3226</v>
      </c>
      <c r="E303">
        <v>2026</v>
      </c>
      <c r="F303">
        <v>1</v>
      </c>
      <c r="G303">
        <v>2</v>
      </c>
      <c r="H303">
        <v>6</v>
      </c>
      <c r="J303" t="s">
        <v>350</v>
      </c>
      <c r="K303" t="s">
        <v>2704</v>
      </c>
      <c r="L303" t="s">
        <v>3052</v>
      </c>
      <c r="M303" t="s">
        <v>3053</v>
      </c>
      <c r="N303" t="s">
        <v>4845</v>
      </c>
      <c r="O303" t="s">
        <v>4846</v>
      </c>
      <c r="P303" t="s">
        <v>4847</v>
      </c>
      <c r="Q303" t="s">
        <v>2709</v>
      </c>
      <c r="R303">
        <v>6</v>
      </c>
      <c r="S303" t="s">
        <v>2733</v>
      </c>
      <c r="T303" t="s">
        <v>2800</v>
      </c>
      <c r="U303" t="s">
        <v>2800</v>
      </c>
      <c r="V303">
        <v>1</v>
      </c>
      <c r="W303" t="s">
        <v>2713</v>
      </c>
      <c r="X303" t="s">
        <v>4847</v>
      </c>
      <c r="Z303" t="s">
        <v>2715</v>
      </c>
      <c r="AB303" t="s">
        <v>2716</v>
      </c>
      <c r="AC303" t="s">
        <v>2763</v>
      </c>
      <c r="AE303">
        <v>1</v>
      </c>
      <c r="AF303" t="s">
        <v>1788</v>
      </c>
      <c r="AH303" t="s">
        <v>4355</v>
      </c>
      <c r="AI303">
        <v>46054</v>
      </c>
      <c r="AJ303">
        <v>2</v>
      </c>
      <c r="AK303" t="s">
        <v>4848</v>
      </c>
      <c r="AM303" t="s">
        <v>4849</v>
      </c>
      <c r="AN303" t="s">
        <v>4361</v>
      </c>
      <c r="AO303" t="s">
        <v>4850</v>
      </c>
      <c r="AP303">
        <v>4403</v>
      </c>
      <c r="AQ303" t="s">
        <v>4851</v>
      </c>
      <c r="AR303" t="s">
        <v>4852</v>
      </c>
      <c r="AS303">
        <v>10</v>
      </c>
      <c r="AT303" t="s">
        <v>3773</v>
      </c>
      <c r="AW303" t="str">
        <f>Plan_2026[[#This Row],[Tên brand]]&amp;" "&amp;Plan_2026[[#This Row],[Trục đường chính]]&amp;Plan_2026[[#This Row],[Tên mall
(chuẩn hóa)]]&amp;Plan_2026[[#This Row],[Địa chỉ đầy đủ]]</f>
        <v>Flychef Phạm Văn Nghị</v>
      </c>
    </row>
    <row r="304" spans="1:49" hidden="1" x14ac:dyDescent="0.35">
      <c r="A304">
        <v>294</v>
      </c>
      <c r="B304" t="s">
        <v>2502</v>
      </c>
      <c r="C304" t="s">
        <v>2787</v>
      </c>
      <c r="D304" t="s">
        <v>3111</v>
      </c>
      <c r="E304">
        <v>2026</v>
      </c>
      <c r="F304">
        <v>1</v>
      </c>
      <c r="G304">
        <v>1</v>
      </c>
      <c r="H304">
        <v>5</v>
      </c>
      <c r="J304" t="s">
        <v>350</v>
      </c>
      <c r="K304" t="s">
        <v>2704</v>
      </c>
      <c r="L304" t="s">
        <v>3052</v>
      </c>
      <c r="M304" t="s">
        <v>3053</v>
      </c>
      <c r="N304" t="s">
        <v>4845</v>
      </c>
      <c r="O304" t="s">
        <v>4846</v>
      </c>
      <c r="P304" t="s">
        <v>2503</v>
      </c>
      <c r="Q304" t="s">
        <v>2709</v>
      </c>
      <c r="R304" t="s">
        <v>2751</v>
      </c>
      <c r="S304" t="s">
        <v>2751</v>
      </c>
      <c r="T304" t="s">
        <v>2790</v>
      </c>
      <c r="U304" t="s">
        <v>2790</v>
      </c>
      <c r="V304">
        <v>1</v>
      </c>
      <c r="W304" t="s">
        <v>2713</v>
      </c>
      <c r="Z304">
        <v>132</v>
      </c>
      <c r="AB304" t="s">
        <v>2716</v>
      </c>
      <c r="AC304" t="s">
        <v>2738</v>
      </c>
      <c r="AE304">
        <v>0</v>
      </c>
      <c r="AF304" t="s">
        <v>4853</v>
      </c>
      <c r="AH304" t="s">
        <v>1788</v>
      </c>
      <c r="AI304">
        <v>46023</v>
      </c>
      <c r="AJ304">
        <v>1</v>
      </c>
      <c r="AK304" t="s">
        <v>4848</v>
      </c>
      <c r="AM304" t="s">
        <v>4849</v>
      </c>
      <c r="AN304" t="s">
        <v>2793</v>
      </c>
      <c r="AO304" t="s">
        <v>4854</v>
      </c>
      <c r="AP304">
        <v>4403</v>
      </c>
      <c r="AQ304" t="s">
        <v>4851</v>
      </c>
      <c r="AR304" t="s">
        <v>4852</v>
      </c>
      <c r="AS304">
        <v>81</v>
      </c>
      <c r="AT304" t="s">
        <v>4855</v>
      </c>
      <c r="AW304" t="str">
        <f>Plan_2026[[#This Row],[Tên brand]]&amp;" "&amp;Plan_2026[[#This Row],[Trục đường chính]]&amp;Plan_2026[[#This Row],[Tên mall
(chuẩn hóa)]]&amp;Plan_2026[[#This Row],[Địa chỉ đầy đủ]]</f>
        <v>The Coffee House Phú Mỹ Hưng, gần con The Grace</v>
      </c>
    </row>
    <row r="305" spans="1:49" hidden="1" x14ac:dyDescent="0.35">
      <c r="A305">
        <v>295</v>
      </c>
      <c r="B305" t="s">
        <v>4856</v>
      </c>
      <c r="C305" t="s">
        <v>2727</v>
      </c>
      <c r="D305" t="s">
        <v>2728</v>
      </c>
      <c r="E305">
        <v>2025</v>
      </c>
      <c r="F305">
        <v>4</v>
      </c>
      <c r="G305">
        <v>12</v>
      </c>
      <c r="H305">
        <v>4</v>
      </c>
      <c r="J305" t="s">
        <v>350</v>
      </c>
      <c r="K305" t="s">
        <v>2704</v>
      </c>
      <c r="L305" t="s">
        <v>3052</v>
      </c>
      <c r="M305" t="s">
        <v>3053</v>
      </c>
      <c r="N305" t="s">
        <v>4845</v>
      </c>
      <c r="O305" t="s">
        <v>4846</v>
      </c>
      <c r="P305" t="s">
        <v>4857</v>
      </c>
      <c r="Q305" t="s">
        <v>2732</v>
      </c>
      <c r="R305">
        <v>6</v>
      </c>
      <c r="S305" t="s">
        <v>2733</v>
      </c>
      <c r="T305" t="s">
        <v>2734</v>
      </c>
      <c r="U305" t="s">
        <v>2712</v>
      </c>
      <c r="V305">
        <v>1</v>
      </c>
      <c r="W305" t="s">
        <v>2735</v>
      </c>
      <c r="X305" t="s">
        <v>4858</v>
      </c>
      <c r="Y305" t="s">
        <v>4859</v>
      </c>
      <c r="Z305">
        <v>180</v>
      </c>
      <c r="AB305" t="s">
        <v>2857</v>
      </c>
      <c r="AC305" t="s">
        <v>2738</v>
      </c>
      <c r="AE305">
        <v>0</v>
      </c>
      <c r="AF305" t="s">
        <v>4860</v>
      </c>
      <c r="AH305" t="s">
        <v>1019</v>
      </c>
      <c r="AI305">
        <v>45992</v>
      </c>
      <c r="AJ305">
        <v>12</v>
      </c>
      <c r="AK305" t="s">
        <v>4848</v>
      </c>
      <c r="AM305" t="s">
        <v>4849</v>
      </c>
      <c r="AN305" t="s">
        <v>2743</v>
      </c>
      <c r="AO305" t="s">
        <v>4861</v>
      </c>
      <c r="AP305">
        <v>4403</v>
      </c>
      <c r="AQ305" t="s">
        <v>4851</v>
      </c>
      <c r="AR305" t="s">
        <v>4852</v>
      </c>
      <c r="AS305">
        <v>17</v>
      </c>
      <c r="AT305" t="s">
        <v>3109</v>
      </c>
      <c r="AW305" t="str">
        <f>Plan_2026[[#This Row],[Tên brand]]&amp;" "&amp;Plan_2026[[#This Row],[Trục đường chính]]&amp;Plan_2026[[#This Row],[Tên mall
(chuẩn hóa)]]&amp;Plan_2026[[#This Row],[Địa chỉ đầy đủ]]</f>
        <v>CloudPot 1058 Đại lộ Nguyễn Văn LinhSc Vivocity</v>
      </c>
    </row>
    <row r="306" spans="1:49" hidden="1" x14ac:dyDescent="0.35">
      <c r="A306">
        <v>296</v>
      </c>
      <c r="B306" t="s">
        <v>2342</v>
      </c>
      <c r="C306" t="s">
        <v>2702</v>
      </c>
      <c r="D306" t="s">
        <v>3051</v>
      </c>
      <c r="E306">
        <v>2026</v>
      </c>
      <c r="F306">
        <v>2</v>
      </c>
      <c r="G306">
        <v>5</v>
      </c>
      <c r="H306">
        <v>9</v>
      </c>
      <c r="J306" t="s">
        <v>350</v>
      </c>
      <c r="K306" t="s">
        <v>2704</v>
      </c>
      <c r="L306" t="s">
        <v>3052</v>
      </c>
      <c r="M306" t="s">
        <v>3053</v>
      </c>
      <c r="N306" t="s">
        <v>3054</v>
      </c>
      <c r="O306" t="s">
        <v>4476</v>
      </c>
      <c r="P306" t="s">
        <v>4862</v>
      </c>
      <c r="Q306" t="s">
        <v>2709</v>
      </c>
      <c r="R306">
        <v>8</v>
      </c>
      <c r="S306" t="s">
        <v>2710</v>
      </c>
      <c r="T306" t="s">
        <v>2711</v>
      </c>
      <c r="U306" t="s">
        <v>2712</v>
      </c>
      <c r="V306">
        <v>1</v>
      </c>
      <c r="W306" t="s">
        <v>2713</v>
      </c>
      <c r="Z306" t="s">
        <v>2715</v>
      </c>
      <c r="AB306" t="s">
        <v>2716</v>
      </c>
      <c r="AC306" t="s">
        <v>2738</v>
      </c>
      <c r="AE306">
        <v>0</v>
      </c>
      <c r="AF306" t="s">
        <v>4863</v>
      </c>
      <c r="AH306" t="s">
        <v>76</v>
      </c>
      <c r="AI306">
        <v>46143</v>
      </c>
      <c r="AJ306">
        <v>5</v>
      </c>
      <c r="AK306" t="s">
        <v>4864</v>
      </c>
      <c r="AM306" t="s">
        <v>4865</v>
      </c>
      <c r="AN306" t="s">
        <v>2721</v>
      </c>
      <c r="AO306" t="s">
        <v>4866</v>
      </c>
      <c r="AP306">
        <v>13190</v>
      </c>
      <c r="AQ306" t="s">
        <v>4867</v>
      </c>
      <c r="AR306" t="s">
        <v>4868</v>
      </c>
      <c r="AS306">
        <v>144</v>
      </c>
      <c r="AT306" t="s">
        <v>4869</v>
      </c>
      <c r="AW306" t="str">
        <f>Plan_2026[[#This Row],[Tên brand]]&amp;" "&amp;Plan_2026[[#This Row],[Trục đường chính]]&amp;Plan_2026[[#This Row],[Tên mall
(chuẩn hóa)]]&amp;Plan_2026[[#This Row],[Địa chỉ đầy đủ]]</f>
        <v>Gogi House Gần Nguyễn Thái Học</v>
      </c>
    </row>
    <row r="307" spans="1:49" hidden="1" x14ac:dyDescent="0.35">
      <c r="A307">
        <v>297</v>
      </c>
      <c r="B307" t="s">
        <v>2320</v>
      </c>
      <c r="C307" t="s">
        <v>2702</v>
      </c>
      <c r="D307" t="s">
        <v>3051</v>
      </c>
      <c r="E307">
        <v>2025</v>
      </c>
      <c r="F307">
        <v>4</v>
      </c>
      <c r="G307">
        <v>11</v>
      </c>
      <c r="H307">
        <v>3</v>
      </c>
      <c r="I307">
        <v>4</v>
      </c>
      <c r="J307" t="s">
        <v>350</v>
      </c>
      <c r="K307" t="s">
        <v>2704</v>
      </c>
      <c r="L307" t="s">
        <v>3052</v>
      </c>
      <c r="M307" t="s">
        <v>3053</v>
      </c>
      <c r="N307" t="s">
        <v>4321</v>
      </c>
      <c r="O307" t="s">
        <v>4527</v>
      </c>
      <c r="P307" t="s">
        <v>4870</v>
      </c>
      <c r="Q307" t="s">
        <v>2810</v>
      </c>
      <c r="R307">
        <v>8</v>
      </c>
      <c r="S307" t="s">
        <v>2710</v>
      </c>
      <c r="T307">
        <v>220</v>
      </c>
      <c r="U307" t="s">
        <v>2712</v>
      </c>
      <c r="V307">
        <v>1</v>
      </c>
      <c r="W307" t="s">
        <v>2713</v>
      </c>
      <c r="Z307" t="s">
        <v>2715</v>
      </c>
      <c r="AB307" t="s">
        <v>1794</v>
      </c>
      <c r="AC307" t="s">
        <v>2763</v>
      </c>
      <c r="AE307">
        <v>1</v>
      </c>
      <c r="AF307" t="s">
        <v>4871</v>
      </c>
      <c r="AH307" t="s">
        <v>76</v>
      </c>
      <c r="AI307">
        <v>45962</v>
      </c>
      <c r="AJ307">
        <v>11</v>
      </c>
      <c r="AK307" t="s">
        <v>4872</v>
      </c>
      <c r="AM307" t="s">
        <v>4873</v>
      </c>
      <c r="AN307" t="s">
        <v>3763</v>
      </c>
      <c r="AO307" t="s">
        <v>4874</v>
      </c>
      <c r="AP307">
        <v>12424</v>
      </c>
      <c r="AQ307" t="s">
        <v>4875</v>
      </c>
      <c r="AR307" t="s">
        <v>4876</v>
      </c>
      <c r="AS307">
        <v>144</v>
      </c>
      <c r="AT307" t="s">
        <v>4877</v>
      </c>
      <c r="AW307" t="str">
        <f>Plan_2026[[#This Row],[Tên brand]]&amp;" "&amp;Plan_2026[[#This Row],[Trục đường chính]]&amp;Plan_2026[[#This Row],[Tên mall
(chuẩn hóa)]]&amp;Plan_2026[[#This Row],[Địa chỉ đầy đủ]]</f>
        <v>Gogi House 200 Đường 3 Tháng 2</v>
      </c>
    </row>
    <row r="308" spans="1:49" hidden="1" x14ac:dyDescent="0.35">
      <c r="A308">
        <v>352</v>
      </c>
      <c r="B308" t="s">
        <v>2350</v>
      </c>
      <c r="C308" t="s">
        <v>2702</v>
      </c>
      <c r="D308" t="s">
        <v>3018</v>
      </c>
      <c r="E308">
        <v>2026</v>
      </c>
      <c r="F308">
        <v>2</v>
      </c>
      <c r="G308">
        <v>5</v>
      </c>
      <c r="H308">
        <v>9</v>
      </c>
      <c r="J308" t="s">
        <v>2241</v>
      </c>
      <c r="K308" t="s">
        <v>2774</v>
      </c>
      <c r="L308" t="s">
        <v>4878</v>
      </c>
      <c r="M308" t="s">
        <v>4879</v>
      </c>
      <c r="N308" t="s">
        <v>4880</v>
      </c>
      <c r="O308" t="s">
        <v>4881</v>
      </c>
      <c r="P308" t="s">
        <v>4882</v>
      </c>
      <c r="Q308" t="s">
        <v>2732</v>
      </c>
      <c r="R308">
        <v>6</v>
      </c>
      <c r="S308" t="s">
        <v>2733</v>
      </c>
      <c r="T308" t="s">
        <v>2973</v>
      </c>
      <c r="U308" t="s">
        <v>2712</v>
      </c>
      <c r="V308">
        <v>1</v>
      </c>
      <c r="W308" t="s">
        <v>2713</v>
      </c>
      <c r="X308" t="s">
        <v>2297</v>
      </c>
      <c r="Y308" t="s">
        <v>2297</v>
      </c>
      <c r="Z308" t="s">
        <v>2715</v>
      </c>
      <c r="AB308" t="s">
        <v>2716</v>
      </c>
      <c r="AC308" t="s">
        <v>2763</v>
      </c>
      <c r="AE308">
        <v>1</v>
      </c>
      <c r="AF308" t="s">
        <v>4883</v>
      </c>
      <c r="AH308" t="s">
        <v>76</v>
      </c>
      <c r="AI308">
        <v>46143</v>
      </c>
      <c r="AJ308">
        <v>5</v>
      </c>
      <c r="AK308" t="s">
        <v>4884</v>
      </c>
      <c r="AM308" t="s">
        <v>4885</v>
      </c>
      <c r="AN308" t="s">
        <v>2979</v>
      </c>
      <c r="AO308" t="s">
        <v>4886</v>
      </c>
      <c r="AP308">
        <v>977</v>
      </c>
      <c r="AQ308" t="s">
        <v>4887</v>
      </c>
      <c r="AR308" t="s">
        <v>4888</v>
      </c>
      <c r="AS308">
        <v>144</v>
      </c>
      <c r="AT308" t="s">
        <v>4889</v>
      </c>
      <c r="AW308" t="str">
        <f>Plan_2026[[#This Row],[Tên brand]]&amp;" "&amp;Plan_2026[[#This Row],[Trục đường chính]]&amp;Plan_2026[[#This Row],[Tên mall
(chuẩn hóa)]]&amp;Plan_2026[[#This Row],[Địa chỉ đầy đủ]]</f>
        <v>Gogi House Cái LânAeon Mall Hạ Long</v>
      </c>
    </row>
    <row r="309" spans="1:49" hidden="1" x14ac:dyDescent="0.35">
      <c r="A309">
        <v>299</v>
      </c>
      <c r="B309" t="s">
        <v>4890</v>
      </c>
      <c r="C309" t="s">
        <v>62</v>
      </c>
      <c r="D309" t="s">
        <v>2749</v>
      </c>
      <c r="E309">
        <v>2026</v>
      </c>
      <c r="F309">
        <v>3</v>
      </c>
      <c r="G309">
        <v>7</v>
      </c>
      <c r="H309">
        <v>11</v>
      </c>
      <c r="J309" t="s">
        <v>350</v>
      </c>
      <c r="K309" t="s">
        <v>2704</v>
      </c>
      <c r="L309" t="s">
        <v>3052</v>
      </c>
      <c r="M309" t="s">
        <v>3053</v>
      </c>
      <c r="N309" t="s">
        <v>4321</v>
      </c>
      <c r="O309" t="s">
        <v>4527</v>
      </c>
      <c r="P309" t="s">
        <v>2527</v>
      </c>
      <c r="Q309" t="s">
        <v>2732</v>
      </c>
      <c r="R309" t="s">
        <v>2751</v>
      </c>
      <c r="S309" t="s">
        <v>2751</v>
      </c>
      <c r="T309" t="s">
        <v>2712</v>
      </c>
      <c r="U309" t="s">
        <v>2712</v>
      </c>
      <c r="V309">
        <v>1</v>
      </c>
      <c r="W309" t="s">
        <v>2735</v>
      </c>
      <c r="X309" t="s">
        <v>4891</v>
      </c>
      <c r="Y309" t="s">
        <v>4891</v>
      </c>
      <c r="Z309">
        <v>300</v>
      </c>
      <c r="AB309" t="s">
        <v>2716</v>
      </c>
      <c r="AC309" t="s">
        <v>2738</v>
      </c>
      <c r="AE309">
        <v>0</v>
      </c>
      <c r="AH309" t="s">
        <v>61</v>
      </c>
      <c r="AI309">
        <v>46204</v>
      </c>
      <c r="AJ309">
        <v>7</v>
      </c>
      <c r="AK309" t="s">
        <v>4872</v>
      </c>
      <c r="AM309" t="s">
        <v>4873</v>
      </c>
      <c r="AN309" t="s">
        <v>2753</v>
      </c>
      <c r="AO309" t="s">
        <v>4892</v>
      </c>
      <c r="AP309">
        <v>12424</v>
      </c>
      <c r="AQ309" t="s">
        <v>4875</v>
      </c>
      <c r="AR309" t="s">
        <v>4876</v>
      </c>
      <c r="AS309">
        <v>25</v>
      </c>
      <c r="AT309" t="s">
        <v>4893</v>
      </c>
      <c r="AW309" t="str">
        <f>Plan_2026[[#This Row],[Tên brand]]&amp;" "&amp;Plan_2026[[#This Row],[Trục đường chính]]&amp;Plan_2026[[#This Row],[Tên mall
(chuẩn hóa)]]&amp;Plan_2026[[#This Row],[Địa chỉ đầy đủ]]</f>
        <v>Isushi Sư Vạn HạnhVạn Hạnh Mall</v>
      </c>
    </row>
    <row r="310" spans="1:49" hidden="1" x14ac:dyDescent="0.35">
      <c r="A310">
        <v>300</v>
      </c>
      <c r="B310" t="s">
        <v>2273</v>
      </c>
      <c r="C310" t="s">
        <v>35</v>
      </c>
      <c r="D310" t="s">
        <v>2820</v>
      </c>
      <c r="E310">
        <v>2025</v>
      </c>
      <c r="F310">
        <v>3</v>
      </c>
      <c r="G310">
        <v>9</v>
      </c>
      <c r="H310">
        <v>1</v>
      </c>
      <c r="J310" t="s">
        <v>350</v>
      </c>
      <c r="K310" t="s">
        <v>2704</v>
      </c>
      <c r="L310" t="s">
        <v>3052</v>
      </c>
      <c r="M310" t="s">
        <v>3053</v>
      </c>
      <c r="N310" t="s">
        <v>4251</v>
      </c>
      <c r="O310" t="s">
        <v>4527</v>
      </c>
      <c r="P310" t="s">
        <v>4894</v>
      </c>
      <c r="Q310" t="s">
        <v>2709</v>
      </c>
      <c r="R310" t="s">
        <v>2710</v>
      </c>
      <c r="S310" t="s">
        <v>2710</v>
      </c>
      <c r="T310" t="s">
        <v>2882</v>
      </c>
      <c r="U310" t="s">
        <v>2800</v>
      </c>
      <c r="V310">
        <v>1</v>
      </c>
      <c r="W310" t="s">
        <v>2713</v>
      </c>
      <c r="Z310" t="s">
        <v>2715</v>
      </c>
      <c r="AA310" t="s">
        <v>3317</v>
      </c>
      <c r="AB310" t="s">
        <v>2716</v>
      </c>
      <c r="AC310" t="s">
        <v>2738</v>
      </c>
      <c r="AE310">
        <v>0</v>
      </c>
      <c r="AF310" t="s">
        <v>2907</v>
      </c>
      <c r="AH310" t="s">
        <v>34</v>
      </c>
      <c r="AI310">
        <v>45901</v>
      </c>
      <c r="AJ310">
        <v>9</v>
      </c>
      <c r="AK310" t="s">
        <v>4895</v>
      </c>
      <c r="AM310" t="s">
        <v>4896</v>
      </c>
      <c r="AN310" t="s">
        <v>2911</v>
      </c>
      <c r="AO310" t="s">
        <v>4897</v>
      </c>
      <c r="AP310">
        <v>17160</v>
      </c>
      <c r="AQ310" t="s">
        <v>4898</v>
      </c>
      <c r="AR310" t="s">
        <v>4899</v>
      </c>
      <c r="AS310">
        <v>107</v>
      </c>
      <c r="AT310" t="s">
        <v>3325</v>
      </c>
      <c r="AW310" t="str">
        <f>Plan_2026[[#This Row],[Tên brand]]&amp;" "&amp;Plan_2026[[#This Row],[Trục đường chính]]&amp;Plan_2026[[#This Row],[Tên mall
(chuẩn hóa)]]&amp;Plan_2026[[#This Row],[Địa chỉ đầy đủ]]</f>
        <v>Kichi Kichi Thanh Đa</v>
      </c>
    </row>
    <row r="311" spans="1:49" hidden="1" x14ac:dyDescent="0.35">
      <c r="A311">
        <v>301</v>
      </c>
      <c r="B311" t="s">
        <v>2653</v>
      </c>
      <c r="C311" t="s">
        <v>2135</v>
      </c>
      <c r="D311" t="s">
        <v>3327</v>
      </c>
      <c r="E311">
        <v>2025</v>
      </c>
      <c r="F311">
        <v>4</v>
      </c>
      <c r="G311">
        <v>10</v>
      </c>
      <c r="H311">
        <v>2</v>
      </c>
      <c r="J311" t="s">
        <v>350</v>
      </c>
      <c r="K311" t="s">
        <v>2704</v>
      </c>
      <c r="L311" t="s">
        <v>3052</v>
      </c>
      <c r="M311" t="s">
        <v>3053</v>
      </c>
      <c r="N311" t="s">
        <v>4321</v>
      </c>
      <c r="O311" t="s">
        <v>4527</v>
      </c>
      <c r="P311" t="s">
        <v>4900</v>
      </c>
      <c r="Q311" t="s">
        <v>2709</v>
      </c>
      <c r="R311" t="s">
        <v>3356</v>
      </c>
      <c r="S311" t="s">
        <v>3357</v>
      </c>
      <c r="T311" t="s">
        <v>2790</v>
      </c>
      <c r="U311" t="s">
        <v>2790</v>
      </c>
      <c r="V311">
        <v>1</v>
      </c>
      <c r="W311" t="s">
        <v>2735</v>
      </c>
      <c r="Z311" t="s">
        <v>3331</v>
      </c>
      <c r="AB311" t="s">
        <v>1794</v>
      </c>
      <c r="AC311" t="s">
        <v>2778</v>
      </c>
      <c r="AE311">
        <v>0</v>
      </c>
      <c r="AF311" t="s">
        <v>4254</v>
      </c>
      <c r="AH311" t="s">
        <v>1446</v>
      </c>
      <c r="AI311">
        <v>45931</v>
      </c>
      <c r="AJ311">
        <v>10</v>
      </c>
      <c r="AK311" t="s">
        <v>4872</v>
      </c>
      <c r="AM311" t="s">
        <v>4873</v>
      </c>
      <c r="AN311" t="s">
        <v>3361</v>
      </c>
      <c r="AO311" t="s">
        <v>4901</v>
      </c>
      <c r="AP311">
        <v>12424</v>
      </c>
      <c r="AQ311" t="s">
        <v>4875</v>
      </c>
      <c r="AR311" t="s">
        <v>4876</v>
      </c>
      <c r="AS311">
        <v>16</v>
      </c>
      <c r="AT311" t="s">
        <v>4902</v>
      </c>
      <c r="AW311" t="str">
        <f>Plan_2026[[#This Row],[Tên brand]]&amp;" "&amp;Plan_2026[[#This Row],[Trục đường chính]]&amp;Plan_2026[[#This Row],[Tên mall
(chuẩn hóa)]]&amp;Plan_2026[[#This Row],[Địa chỉ đầy đủ]]</f>
        <v>Universal Tea 798 Đường Sư Vạn Hạnh</v>
      </c>
    </row>
    <row r="312" spans="1:49" hidden="1" x14ac:dyDescent="0.35">
      <c r="A312">
        <v>302</v>
      </c>
      <c r="B312" t="s">
        <v>2626</v>
      </c>
      <c r="C312" t="s">
        <v>229</v>
      </c>
      <c r="D312" t="s">
        <v>2881</v>
      </c>
      <c r="E312">
        <v>2025</v>
      </c>
      <c r="F312">
        <v>4</v>
      </c>
      <c r="G312">
        <v>10</v>
      </c>
      <c r="H312">
        <v>2</v>
      </c>
      <c r="I312">
        <v>2</v>
      </c>
      <c r="J312" t="s">
        <v>350</v>
      </c>
      <c r="K312" t="s">
        <v>2704</v>
      </c>
      <c r="L312" t="s">
        <v>3052</v>
      </c>
      <c r="M312" t="s">
        <v>3053</v>
      </c>
      <c r="N312" t="s">
        <v>4321</v>
      </c>
      <c r="O312" t="s">
        <v>4527</v>
      </c>
      <c r="P312" t="s">
        <v>4903</v>
      </c>
      <c r="Q312" t="s">
        <v>2732</v>
      </c>
      <c r="R312">
        <v>8</v>
      </c>
      <c r="S312" t="s">
        <v>2710</v>
      </c>
      <c r="T312" t="s">
        <v>2882</v>
      </c>
      <c r="U312" t="s">
        <v>2800</v>
      </c>
      <c r="V312">
        <v>1</v>
      </c>
      <c r="W312" t="s">
        <v>2713</v>
      </c>
      <c r="X312" t="s">
        <v>4891</v>
      </c>
      <c r="Y312" t="s">
        <v>4891</v>
      </c>
      <c r="Z312" t="s">
        <v>2715</v>
      </c>
      <c r="AB312" t="s">
        <v>1794</v>
      </c>
      <c r="AC312" t="s">
        <v>2763</v>
      </c>
      <c r="AE312">
        <v>1</v>
      </c>
      <c r="AF312" t="s">
        <v>4904</v>
      </c>
      <c r="AH312" t="s">
        <v>228</v>
      </c>
      <c r="AI312">
        <v>45931</v>
      </c>
      <c r="AJ312">
        <v>10</v>
      </c>
      <c r="AK312" t="s">
        <v>4872</v>
      </c>
      <c r="AM312" t="s">
        <v>4873</v>
      </c>
      <c r="AN312" t="s">
        <v>3127</v>
      </c>
      <c r="AO312" t="s">
        <v>4905</v>
      </c>
      <c r="AP312">
        <v>12424</v>
      </c>
      <c r="AQ312" t="s">
        <v>4875</v>
      </c>
      <c r="AR312" t="s">
        <v>4876</v>
      </c>
      <c r="AS312">
        <v>10</v>
      </c>
      <c r="AT312" t="s">
        <v>2993</v>
      </c>
      <c r="AW312" t="str">
        <f>Plan_2026[[#This Row],[Tên brand]]&amp;" "&amp;Plan_2026[[#This Row],[Trục đường chính]]&amp;Plan_2026[[#This Row],[Tên mall
(chuẩn hóa)]]&amp;Plan_2026[[#This Row],[Địa chỉ đầy đủ]]</f>
        <v>Yutang 11 Đường Sư Vạn HạnhVạn Hạnh Mall</v>
      </c>
    </row>
    <row r="313" spans="1:49" hidden="1" x14ac:dyDescent="0.35">
      <c r="A313">
        <v>303</v>
      </c>
      <c r="B313" t="s">
        <v>4906</v>
      </c>
      <c r="C313" t="s">
        <v>184</v>
      </c>
      <c r="D313" t="s">
        <v>4382</v>
      </c>
      <c r="E313">
        <v>2026</v>
      </c>
      <c r="F313">
        <v>1</v>
      </c>
      <c r="G313">
        <v>2</v>
      </c>
      <c r="H313">
        <v>6</v>
      </c>
      <c r="J313" t="s">
        <v>350</v>
      </c>
      <c r="K313" t="s">
        <v>2704</v>
      </c>
      <c r="L313" t="s">
        <v>3052</v>
      </c>
      <c r="M313" t="s">
        <v>3053</v>
      </c>
      <c r="N313" t="s">
        <v>4321</v>
      </c>
      <c r="O313" t="s">
        <v>4527</v>
      </c>
      <c r="P313" t="s">
        <v>4907</v>
      </c>
      <c r="Q313" t="s">
        <v>2732</v>
      </c>
      <c r="R313" t="s">
        <v>2710</v>
      </c>
      <c r="S313" t="s">
        <v>2710</v>
      </c>
      <c r="T313" t="s">
        <v>2790</v>
      </c>
      <c r="U313" t="s">
        <v>2790</v>
      </c>
      <c r="V313">
        <v>1</v>
      </c>
      <c r="W313" t="s">
        <v>2735</v>
      </c>
      <c r="X313" t="s">
        <v>4891</v>
      </c>
      <c r="Y313" t="s">
        <v>4891</v>
      </c>
      <c r="Z313">
        <v>220</v>
      </c>
      <c r="AB313" t="s">
        <v>2716</v>
      </c>
      <c r="AC313" t="s">
        <v>3232</v>
      </c>
      <c r="AE313">
        <v>0</v>
      </c>
      <c r="AF313" t="s">
        <v>4710</v>
      </c>
      <c r="AH313" t="s">
        <v>183</v>
      </c>
      <c r="AI313">
        <v>46054</v>
      </c>
      <c r="AJ313">
        <v>2</v>
      </c>
      <c r="AK313" t="s">
        <v>4872</v>
      </c>
      <c r="AM313" t="s">
        <v>4873</v>
      </c>
      <c r="AN313" t="s">
        <v>3411</v>
      </c>
      <c r="AO313" t="s">
        <v>4908</v>
      </c>
      <c r="AP313">
        <v>12424</v>
      </c>
      <c r="AQ313" t="s">
        <v>4875</v>
      </c>
      <c r="AR313" t="s">
        <v>4876</v>
      </c>
      <c r="AS313">
        <v>10</v>
      </c>
      <c r="AT313" t="s">
        <v>3413</v>
      </c>
      <c r="AW313" t="str">
        <f>Plan_2026[[#This Row],[Tên brand]]&amp;" "&amp;Plan_2026[[#This Row],[Trục đường chính]]&amp;Plan_2026[[#This Row],[Tên mall
(chuẩn hóa)]]&amp;Plan_2026[[#This Row],[Địa chỉ đầy đủ]]</f>
        <v>Shogun Số 11, Đường Sư Vạn HạnhVạn Hạnh Mall</v>
      </c>
    </row>
    <row r="314" spans="1:49" hidden="1" x14ac:dyDescent="0.35">
      <c r="A314">
        <v>304</v>
      </c>
      <c r="B314" t="s">
        <v>2437</v>
      </c>
      <c r="C314" t="s">
        <v>3191</v>
      </c>
      <c r="D314" t="s">
        <v>4909</v>
      </c>
      <c r="E314">
        <v>2025</v>
      </c>
      <c r="F314">
        <v>4</v>
      </c>
      <c r="G314">
        <v>12</v>
      </c>
      <c r="H314">
        <v>4</v>
      </c>
      <c r="I314">
        <v>3</v>
      </c>
      <c r="J314" t="s">
        <v>350</v>
      </c>
      <c r="K314" t="s">
        <v>2704</v>
      </c>
      <c r="L314" t="s">
        <v>3052</v>
      </c>
      <c r="M314" t="s">
        <v>3053</v>
      </c>
      <c r="N314" t="s">
        <v>4321</v>
      </c>
      <c r="O314" t="s">
        <v>4527</v>
      </c>
      <c r="P314" t="s">
        <v>4910</v>
      </c>
      <c r="Q314" t="s">
        <v>2709</v>
      </c>
      <c r="R314" t="s">
        <v>2751</v>
      </c>
      <c r="S314" t="s">
        <v>2751</v>
      </c>
      <c r="T314" t="s">
        <v>2712</v>
      </c>
      <c r="U314" t="s">
        <v>2712</v>
      </c>
      <c r="V314">
        <v>1</v>
      </c>
      <c r="W314" t="s">
        <v>2713</v>
      </c>
      <c r="Z314">
        <v>200</v>
      </c>
      <c r="AB314" t="s">
        <v>1794</v>
      </c>
      <c r="AC314" t="s">
        <v>2763</v>
      </c>
      <c r="AE314">
        <v>1</v>
      </c>
      <c r="AF314" t="s">
        <v>3194</v>
      </c>
      <c r="AH314" t="s">
        <v>1311</v>
      </c>
      <c r="AI314">
        <v>45992</v>
      </c>
      <c r="AJ314">
        <v>12</v>
      </c>
      <c r="AK314" t="s">
        <v>4872</v>
      </c>
      <c r="AM314" t="s">
        <v>4873</v>
      </c>
      <c r="AN314" t="s">
        <v>3196</v>
      </c>
      <c r="AO314" t="s">
        <v>4911</v>
      </c>
      <c r="AP314">
        <v>12424</v>
      </c>
      <c r="AQ314" t="s">
        <v>4875</v>
      </c>
      <c r="AR314" t="s">
        <v>4876</v>
      </c>
      <c r="AS314">
        <v>5</v>
      </c>
      <c r="AT314" t="s">
        <v>3198</v>
      </c>
      <c r="AW314" t="str">
        <f>Plan_2026[[#This Row],[Tên brand]]&amp;" "&amp;Plan_2026[[#This Row],[Trục đường chính]]&amp;Plan_2026[[#This Row],[Tên mall
(chuẩn hóa)]]&amp;Plan_2026[[#This Row],[Địa chỉ đầy đủ]]</f>
        <v>Union Pizza 175B Cao Thắng nối dài</v>
      </c>
    </row>
    <row r="315" spans="1:49" hidden="1" x14ac:dyDescent="0.35">
      <c r="A315">
        <v>305</v>
      </c>
      <c r="B315" t="s">
        <v>2526</v>
      </c>
      <c r="C315" t="s">
        <v>2787</v>
      </c>
      <c r="D315" t="s">
        <v>3111</v>
      </c>
      <c r="E315">
        <v>2026</v>
      </c>
      <c r="F315">
        <v>1</v>
      </c>
      <c r="G315">
        <v>2</v>
      </c>
      <c r="H315">
        <v>6</v>
      </c>
      <c r="J315" t="s">
        <v>350</v>
      </c>
      <c r="K315" t="s">
        <v>2704</v>
      </c>
      <c r="L315" t="s">
        <v>3052</v>
      </c>
      <c r="M315" t="s">
        <v>3053</v>
      </c>
      <c r="N315" t="s">
        <v>4321</v>
      </c>
      <c r="O315" t="s">
        <v>4527</v>
      </c>
      <c r="P315" t="s">
        <v>2527</v>
      </c>
      <c r="Q315" t="s">
        <v>2732</v>
      </c>
      <c r="R315" t="s">
        <v>2710</v>
      </c>
      <c r="S315" t="s">
        <v>2710</v>
      </c>
      <c r="T315" t="s">
        <v>3229</v>
      </c>
      <c r="U315" t="s">
        <v>3229</v>
      </c>
      <c r="V315">
        <v>1</v>
      </c>
      <c r="W315" t="s">
        <v>2713</v>
      </c>
      <c r="X315" t="s">
        <v>4891</v>
      </c>
      <c r="Y315" t="s">
        <v>4891</v>
      </c>
      <c r="Z315">
        <v>132</v>
      </c>
      <c r="AB315" t="s">
        <v>2716</v>
      </c>
      <c r="AC315" t="s">
        <v>2952</v>
      </c>
      <c r="AE315">
        <v>1</v>
      </c>
      <c r="AF315" t="s">
        <v>4912</v>
      </c>
      <c r="AH315" t="s">
        <v>1788</v>
      </c>
      <c r="AI315">
        <v>46054</v>
      </c>
      <c r="AJ315">
        <v>2</v>
      </c>
      <c r="AK315" t="s">
        <v>4872</v>
      </c>
      <c r="AM315" t="s">
        <v>4873</v>
      </c>
      <c r="AN315" t="s">
        <v>2804</v>
      </c>
      <c r="AO315" t="s">
        <v>4913</v>
      </c>
      <c r="AP315">
        <v>12424</v>
      </c>
      <c r="AQ315" t="s">
        <v>4875</v>
      </c>
      <c r="AR315" t="s">
        <v>4876</v>
      </c>
      <c r="AS315">
        <v>81</v>
      </c>
      <c r="AT315" t="s">
        <v>4914</v>
      </c>
      <c r="AW315" t="str">
        <f>Plan_2026[[#This Row],[Tên brand]]&amp;" "&amp;Plan_2026[[#This Row],[Trục đường chính]]&amp;Plan_2026[[#This Row],[Tên mall
(chuẩn hóa)]]&amp;Plan_2026[[#This Row],[Địa chỉ đầy đủ]]</f>
        <v>The Coffee House Sư Vạn HạnhVạn Hạnh Mall</v>
      </c>
    </row>
    <row r="316" spans="1:49" hidden="1" x14ac:dyDescent="0.35">
      <c r="A316">
        <v>306</v>
      </c>
      <c r="B316" t="s">
        <v>2539</v>
      </c>
      <c r="C316" t="s">
        <v>2787</v>
      </c>
      <c r="D316" t="s">
        <v>3111</v>
      </c>
      <c r="E316">
        <v>2026</v>
      </c>
      <c r="F316">
        <v>1</v>
      </c>
      <c r="G316">
        <v>2</v>
      </c>
      <c r="H316">
        <v>6</v>
      </c>
      <c r="J316" t="s">
        <v>350</v>
      </c>
      <c r="K316" t="s">
        <v>2704</v>
      </c>
      <c r="L316" t="s">
        <v>3052</v>
      </c>
      <c r="M316" t="s">
        <v>3053</v>
      </c>
      <c r="N316" t="s">
        <v>4452</v>
      </c>
      <c r="O316" t="s">
        <v>4527</v>
      </c>
      <c r="P316" t="s">
        <v>2540</v>
      </c>
      <c r="Q316" t="s">
        <v>2810</v>
      </c>
      <c r="R316" t="s">
        <v>2710</v>
      </c>
      <c r="S316" t="s">
        <v>2710</v>
      </c>
      <c r="T316" t="s">
        <v>2800</v>
      </c>
      <c r="U316" t="s">
        <v>2800</v>
      </c>
      <c r="V316">
        <v>1</v>
      </c>
      <c r="W316" t="s">
        <v>2713</v>
      </c>
      <c r="X316" t="s">
        <v>4915</v>
      </c>
      <c r="Y316" t="s">
        <v>4915</v>
      </c>
      <c r="Z316">
        <v>132</v>
      </c>
      <c r="AA316" t="s">
        <v>4088</v>
      </c>
      <c r="AB316" t="s">
        <v>2716</v>
      </c>
      <c r="AC316" t="s">
        <v>2738</v>
      </c>
      <c r="AE316">
        <v>0</v>
      </c>
      <c r="AF316" t="s">
        <v>4297</v>
      </c>
      <c r="AH316" t="s">
        <v>1788</v>
      </c>
      <c r="AI316">
        <v>46054</v>
      </c>
      <c r="AJ316">
        <v>2</v>
      </c>
      <c r="AK316" t="s">
        <v>4531</v>
      </c>
      <c r="AM316" t="s">
        <v>4532</v>
      </c>
      <c r="AN316" t="s">
        <v>2814</v>
      </c>
      <c r="AO316" t="s">
        <v>4916</v>
      </c>
      <c r="AP316">
        <v>9303</v>
      </c>
      <c r="AQ316" t="s">
        <v>4534</v>
      </c>
      <c r="AR316" t="s">
        <v>4535</v>
      </c>
      <c r="AS316">
        <v>81</v>
      </c>
      <c r="AT316" t="s">
        <v>3013</v>
      </c>
      <c r="AW316" t="str">
        <f>Plan_2026[[#This Row],[Tên brand]]&amp;" "&amp;Plan_2026[[#This Row],[Trục đường chính]]&amp;Plan_2026[[#This Row],[Tên mall
(chuẩn hóa)]]&amp;Plan_2026[[#This Row],[Địa chỉ đầy đủ]]</f>
        <v>The Coffee House Hồng BàngHùng Vương Plaza</v>
      </c>
    </row>
    <row r="317" spans="1:49" hidden="1" x14ac:dyDescent="0.35">
      <c r="A317">
        <v>307</v>
      </c>
      <c r="B317" t="s">
        <v>2585</v>
      </c>
      <c r="C317" t="s">
        <v>2787</v>
      </c>
      <c r="D317" t="s">
        <v>3111</v>
      </c>
      <c r="E317">
        <v>2026</v>
      </c>
      <c r="F317">
        <v>2</v>
      </c>
      <c r="G317">
        <v>5</v>
      </c>
      <c r="H317">
        <v>9</v>
      </c>
      <c r="J317" t="s">
        <v>350</v>
      </c>
      <c r="K317" t="s">
        <v>2704</v>
      </c>
      <c r="L317" t="s">
        <v>3052</v>
      </c>
      <c r="M317" t="s">
        <v>3053</v>
      </c>
      <c r="N317" t="s">
        <v>4452</v>
      </c>
      <c r="O317" t="s">
        <v>4527</v>
      </c>
      <c r="P317" t="s">
        <v>4917</v>
      </c>
      <c r="Q317" t="s">
        <v>2732</v>
      </c>
      <c r="R317" t="s">
        <v>2710</v>
      </c>
      <c r="S317" t="s">
        <v>2710</v>
      </c>
      <c r="T317" t="s">
        <v>3229</v>
      </c>
      <c r="U317" t="s">
        <v>3229</v>
      </c>
      <c r="V317">
        <v>1</v>
      </c>
      <c r="W317" t="s">
        <v>2713</v>
      </c>
      <c r="X317" t="s">
        <v>4918</v>
      </c>
      <c r="Y317" t="s">
        <v>4915</v>
      </c>
      <c r="Z317">
        <v>132</v>
      </c>
      <c r="AB317" t="s">
        <v>2716</v>
      </c>
      <c r="AC317" t="s">
        <v>2738</v>
      </c>
      <c r="AE317">
        <v>0</v>
      </c>
      <c r="AH317" t="s">
        <v>1788</v>
      </c>
      <c r="AI317">
        <v>46143</v>
      </c>
      <c r="AJ317">
        <v>5</v>
      </c>
      <c r="AK317" t="s">
        <v>4531</v>
      </c>
      <c r="AM317" t="s">
        <v>4532</v>
      </c>
      <c r="AN317" t="s">
        <v>2804</v>
      </c>
      <c r="AO317" t="s">
        <v>4919</v>
      </c>
      <c r="AP317">
        <v>9303</v>
      </c>
      <c r="AQ317" t="s">
        <v>4534</v>
      </c>
      <c r="AR317" t="s">
        <v>4535</v>
      </c>
      <c r="AS317">
        <v>81</v>
      </c>
      <c r="AT317" t="s">
        <v>3013</v>
      </c>
      <c r="AW317" t="str">
        <f>Plan_2026[[#This Row],[Tên brand]]&amp;" "&amp;Plan_2026[[#This Row],[Trục đường chính]]&amp;Plan_2026[[#This Row],[Tên mall
(chuẩn hóa)]]&amp;Plan_2026[[#This Row],[Địa chỉ đầy đủ]]</f>
        <v>The Coffee House 126 đường Hồng BàngHùng Vương Plaza</v>
      </c>
    </row>
    <row r="318" spans="1:49" hidden="1" x14ac:dyDescent="0.35">
      <c r="A318">
        <v>308</v>
      </c>
      <c r="B318" t="s">
        <v>2607</v>
      </c>
      <c r="C318" t="s">
        <v>2787</v>
      </c>
      <c r="D318" t="s">
        <v>3111</v>
      </c>
      <c r="E318">
        <v>2026</v>
      </c>
      <c r="F318">
        <v>2</v>
      </c>
      <c r="G318">
        <v>4</v>
      </c>
      <c r="H318">
        <v>8</v>
      </c>
      <c r="J318" t="s">
        <v>350</v>
      </c>
      <c r="K318" t="s">
        <v>2704</v>
      </c>
      <c r="L318" t="s">
        <v>3052</v>
      </c>
      <c r="M318" t="s">
        <v>3053</v>
      </c>
      <c r="N318" t="s">
        <v>4544</v>
      </c>
      <c r="O318" t="s">
        <v>2918</v>
      </c>
      <c r="P318" t="s">
        <v>2608</v>
      </c>
      <c r="Q318" t="s">
        <v>2709</v>
      </c>
      <c r="R318" t="s">
        <v>2751</v>
      </c>
      <c r="S318" t="s">
        <v>2751</v>
      </c>
      <c r="T318" t="s">
        <v>2790</v>
      </c>
      <c r="U318" t="s">
        <v>2790</v>
      </c>
      <c r="V318">
        <v>1</v>
      </c>
      <c r="W318" t="s">
        <v>2735</v>
      </c>
      <c r="X318" t="s">
        <v>2608</v>
      </c>
      <c r="Z318">
        <v>132</v>
      </c>
      <c r="AB318" t="s">
        <v>2716</v>
      </c>
      <c r="AC318" t="s">
        <v>2952</v>
      </c>
      <c r="AE318">
        <v>1</v>
      </c>
      <c r="AF318" t="s">
        <v>4920</v>
      </c>
      <c r="AH318" t="s">
        <v>1788</v>
      </c>
      <c r="AI318">
        <v>46113</v>
      </c>
      <c r="AJ318">
        <v>4</v>
      </c>
      <c r="AK318" t="s">
        <v>4921</v>
      </c>
      <c r="AM318" t="s">
        <v>4922</v>
      </c>
      <c r="AN318" t="s">
        <v>2793</v>
      </c>
      <c r="AO318" t="s">
        <v>4923</v>
      </c>
      <c r="AP318">
        <v>3534</v>
      </c>
      <c r="AQ318" t="s">
        <v>4924</v>
      </c>
      <c r="AR318" t="s">
        <v>4925</v>
      </c>
      <c r="AS318">
        <v>81</v>
      </c>
      <c r="AT318" t="s">
        <v>4639</v>
      </c>
      <c r="AW318" t="str">
        <f>Plan_2026[[#This Row],[Tên brand]]&amp;" "&amp;Plan_2026[[#This Row],[Trục đường chính]]&amp;Plan_2026[[#This Row],[Tên mall
(chuẩn hóa)]]&amp;Plan_2026[[#This Row],[Địa chỉ đầy đủ]]</f>
        <v>The Coffee House 1A giao giữa Lê Văn Khương, Nguyễn Ảnh Thủ</v>
      </c>
    </row>
    <row r="319" spans="1:49" hidden="1" x14ac:dyDescent="0.35">
      <c r="A319">
        <v>309</v>
      </c>
      <c r="B319" t="s">
        <v>2421</v>
      </c>
      <c r="C319" t="s">
        <v>25</v>
      </c>
      <c r="D319" t="s">
        <v>4263</v>
      </c>
      <c r="E319">
        <v>2026</v>
      </c>
      <c r="F319">
        <v>2</v>
      </c>
      <c r="G319">
        <v>6</v>
      </c>
      <c r="H319">
        <v>10</v>
      </c>
      <c r="J319" t="s">
        <v>350</v>
      </c>
      <c r="K319" t="s">
        <v>2704</v>
      </c>
      <c r="L319" t="s">
        <v>3052</v>
      </c>
      <c r="M319" t="s">
        <v>3053</v>
      </c>
      <c r="N319" t="s">
        <v>4845</v>
      </c>
      <c r="O319" t="s">
        <v>2929</v>
      </c>
      <c r="P319" t="s">
        <v>4926</v>
      </c>
      <c r="Q319" t="s">
        <v>2732</v>
      </c>
      <c r="R319" t="s">
        <v>2751</v>
      </c>
      <c r="S319" t="s">
        <v>2751</v>
      </c>
      <c r="T319" t="s">
        <v>2712</v>
      </c>
      <c r="U319" t="s">
        <v>2712</v>
      </c>
      <c r="V319">
        <v>1</v>
      </c>
      <c r="W319" t="s">
        <v>2713</v>
      </c>
      <c r="X319" t="s">
        <v>2236</v>
      </c>
      <c r="Y319" t="s">
        <v>2236</v>
      </c>
      <c r="Z319" t="s">
        <v>2715</v>
      </c>
      <c r="AB319" t="s">
        <v>2716</v>
      </c>
      <c r="AC319" t="s">
        <v>3232</v>
      </c>
      <c r="AE319">
        <v>0</v>
      </c>
      <c r="AF319" t="s">
        <v>4927</v>
      </c>
      <c r="AH319" t="s">
        <v>24</v>
      </c>
      <c r="AI319">
        <v>46174</v>
      </c>
      <c r="AJ319">
        <v>6</v>
      </c>
      <c r="AK319" t="s">
        <v>4928</v>
      </c>
      <c r="AM319" t="s">
        <v>4929</v>
      </c>
      <c r="AN319" t="s">
        <v>3438</v>
      </c>
      <c r="AO319" t="s">
        <v>4930</v>
      </c>
      <c r="AP319">
        <v>4717</v>
      </c>
      <c r="AQ319" t="s">
        <v>4931</v>
      </c>
      <c r="AR319" t="s">
        <v>4932</v>
      </c>
      <c r="AS319">
        <v>9</v>
      </c>
      <c r="AT319" t="s">
        <v>4591</v>
      </c>
      <c r="AW319" t="str">
        <f>Plan_2026[[#This Row],[Tên brand]]&amp;" "&amp;Plan_2026[[#This Row],[Trục đường chính]]&amp;Plan_2026[[#This Row],[Tên mall
(chuẩn hóa)]]&amp;Plan_2026[[#This Row],[Địa chỉ đầy đủ]]</f>
        <v>Ashima 101 Tôn Dật TiênCrescent Mall</v>
      </c>
    </row>
    <row r="320" spans="1:49" hidden="1" x14ac:dyDescent="0.35">
      <c r="A320">
        <v>361</v>
      </c>
      <c r="B320" t="s">
        <v>2352</v>
      </c>
      <c r="C320" t="s">
        <v>2702</v>
      </c>
      <c r="D320" t="s">
        <v>3018</v>
      </c>
      <c r="E320">
        <v>2026</v>
      </c>
      <c r="F320">
        <v>3</v>
      </c>
      <c r="G320">
        <v>8</v>
      </c>
      <c r="H320">
        <v>12</v>
      </c>
      <c r="J320" t="s">
        <v>2241</v>
      </c>
      <c r="K320" t="s">
        <v>3000</v>
      </c>
      <c r="L320" t="s">
        <v>4933</v>
      </c>
      <c r="M320" t="s">
        <v>4934</v>
      </c>
      <c r="N320" t="s">
        <v>4933</v>
      </c>
      <c r="O320" t="s">
        <v>4935</v>
      </c>
      <c r="P320" t="s">
        <v>4936</v>
      </c>
      <c r="Q320" t="s">
        <v>2732</v>
      </c>
      <c r="R320">
        <v>6</v>
      </c>
      <c r="S320" t="s">
        <v>2733</v>
      </c>
      <c r="T320" t="s">
        <v>2973</v>
      </c>
      <c r="U320" t="s">
        <v>2712</v>
      </c>
      <c r="V320">
        <v>1</v>
      </c>
      <c r="W320" t="s">
        <v>2713</v>
      </c>
      <c r="X320" t="s">
        <v>4936</v>
      </c>
      <c r="Y320" t="s">
        <v>4936</v>
      </c>
      <c r="Z320" t="s">
        <v>2715</v>
      </c>
      <c r="AB320" t="s">
        <v>2716</v>
      </c>
      <c r="AC320" t="s">
        <v>2763</v>
      </c>
      <c r="AE320">
        <v>1</v>
      </c>
      <c r="AH320" t="s">
        <v>76</v>
      </c>
      <c r="AI320">
        <v>46235</v>
      </c>
      <c r="AJ320">
        <v>8</v>
      </c>
      <c r="AK320" t="s">
        <v>4937</v>
      </c>
      <c r="AM320" t="s">
        <v>4938</v>
      </c>
      <c r="AN320" t="s">
        <v>2979</v>
      </c>
      <c r="AO320" t="s">
        <v>4939</v>
      </c>
      <c r="AP320">
        <v>295</v>
      </c>
      <c r="AQ320" t="s">
        <v>4940</v>
      </c>
      <c r="AR320" t="s">
        <v>4941</v>
      </c>
      <c r="AS320">
        <v>144</v>
      </c>
      <c r="AT320" t="s">
        <v>2983</v>
      </c>
      <c r="AW320" t="str">
        <f>Plan_2026[[#This Row],[Tên brand]]&amp;" "&amp;Plan_2026[[#This Row],[Trục đường chính]]&amp;Plan_2026[[#This Row],[Tên mall
(chuẩn hóa)]]&amp;Plan_2026[[#This Row],[Địa chỉ đầy đủ]]</f>
        <v>Gogi House Aeon Mall Thanh HóaAeon Mall Thanh Hóa</v>
      </c>
    </row>
    <row r="321" spans="1:49" hidden="1" x14ac:dyDescent="0.35">
      <c r="A321">
        <v>311</v>
      </c>
      <c r="B321" t="s">
        <v>2415</v>
      </c>
      <c r="C321" t="s">
        <v>3397</v>
      </c>
      <c r="D321" t="s">
        <v>4942</v>
      </c>
      <c r="E321">
        <v>2026</v>
      </c>
      <c r="F321">
        <v>2</v>
      </c>
      <c r="G321">
        <v>4</v>
      </c>
      <c r="H321">
        <v>8</v>
      </c>
      <c r="J321" t="s">
        <v>350</v>
      </c>
      <c r="K321" t="s">
        <v>2704</v>
      </c>
      <c r="L321" t="s">
        <v>3052</v>
      </c>
      <c r="M321" t="s">
        <v>3053</v>
      </c>
      <c r="N321" t="s">
        <v>4845</v>
      </c>
      <c r="O321" t="s">
        <v>2929</v>
      </c>
      <c r="P321" t="s">
        <v>2416</v>
      </c>
      <c r="Q321" t="s">
        <v>2709</v>
      </c>
      <c r="R321" t="s">
        <v>2751</v>
      </c>
      <c r="S321" t="s">
        <v>2751</v>
      </c>
      <c r="T321" t="s">
        <v>2762</v>
      </c>
      <c r="U321" t="s">
        <v>2762</v>
      </c>
      <c r="V321">
        <v>1</v>
      </c>
      <c r="W321" t="s">
        <v>2713</v>
      </c>
      <c r="Z321" t="s">
        <v>2715</v>
      </c>
      <c r="AB321" t="s">
        <v>2716</v>
      </c>
      <c r="AC321" t="s">
        <v>2738</v>
      </c>
      <c r="AE321">
        <v>0</v>
      </c>
      <c r="AF321" t="s">
        <v>4943</v>
      </c>
      <c r="AH321" t="s">
        <v>1561</v>
      </c>
      <c r="AI321">
        <v>46113</v>
      </c>
      <c r="AJ321">
        <v>4</v>
      </c>
      <c r="AK321" t="s">
        <v>4928</v>
      </c>
      <c r="AM321" t="s">
        <v>4929</v>
      </c>
      <c r="AN321" t="s">
        <v>3990</v>
      </c>
      <c r="AO321" t="s">
        <v>4944</v>
      </c>
      <c r="AP321">
        <v>4717</v>
      </c>
      <c r="AQ321" t="s">
        <v>4931</v>
      </c>
      <c r="AR321" t="s">
        <v>4932</v>
      </c>
      <c r="AS321">
        <v>4</v>
      </c>
      <c r="AT321" t="s">
        <v>4011</v>
      </c>
      <c r="AW321" t="str">
        <f>Plan_2026[[#This Row],[Tên brand]]&amp;" "&amp;Plan_2026[[#This Row],[Trục đường chính]]&amp;Plan_2026[[#This Row],[Tên mall
(chuẩn hóa)]]&amp;Plan_2026[[#This Row],[Địa chỉ đầy đủ]]</f>
        <v>Man Tang Guo Phú Mỹ Hưng</v>
      </c>
    </row>
    <row r="322" spans="1:49" hidden="1" x14ac:dyDescent="0.35">
      <c r="A322">
        <v>312</v>
      </c>
      <c r="B322" t="s">
        <v>4945</v>
      </c>
      <c r="C322" t="s">
        <v>2772</v>
      </c>
      <c r="D322" t="s">
        <v>2868</v>
      </c>
      <c r="E322">
        <v>2026</v>
      </c>
      <c r="F322">
        <v>3</v>
      </c>
      <c r="G322">
        <v>7</v>
      </c>
      <c r="H322">
        <v>11</v>
      </c>
      <c r="J322" t="s">
        <v>350</v>
      </c>
      <c r="K322" t="s">
        <v>2704</v>
      </c>
      <c r="L322" t="s">
        <v>3052</v>
      </c>
      <c r="M322" t="s">
        <v>3053</v>
      </c>
      <c r="N322" t="s">
        <v>4845</v>
      </c>
      <c r="O322" t="s">
        <v>2929</v>
      </c>
      <c r="Q322" t="s">
        <v>2810</v>
      </c>
      <c r="R322" t="s">
        <v>2751</v>
      </c>
      <c r="S322" t="s">
        <v>2751</v>
      </c>
      <c r="T322">
        <v>300</v>
      </c>
      <c r="U322" t="s">
        <v>2762</v>
      </c>
      <c r="V322">
        <v>1</v>
      </c>
      <c r="W322" t="s">
        <v>2735</v>
      </c>
      <c r="Z322">
        <v>200</v>
      </c>
      <c r="AA322" t="s">
        <v>4946</v>
      </c>
      <c r="AB322" t="s">
        <v>2716</v>
      </c>
      <c r="AC322" t="s">
        <v>2738</v>
      </c>
      <c r="AE322">
        <v>0</v>
      </c>
      <c r="AF322" t="s">
        <v>4947</v>
      </c>
      <c r="AH322" t="s">
        <v>112</v>
      </c>
      <c r="AI322">
        <v>46204</v>
      </c>
      <c r="AJ322">
        <v>7</v>
      </c>
      <c r="AK322" t="s">
        <v>4928</v>
      </c>
      <c r="AM322" t="s">
        <v>4929</v>
      </c>
      <c r="AN322" t="s">
        <v>2876</v>
      </c>
      <c r="AO322" t="s">
        <v>4948</v>
      </c>
      <c r="AP322">
        <v>4717</v>
      </c>
      <c r="AQ322" t="s">
        <v>4931</v>
      </c>
      <c r="AR322" t="s">
        <v>4932</v>
      </c>
      <c r="AS322">
        <v>55</v>
      </c>
      <c r="AT322" t="s">
        <v>4580</v>
      </c>
      <c r="AW322" t="str">
        <f>Plan_2026[[#This Row],[Tên brand]]&amp;" "&amp;Plan_2026[[#This Row],[Trục đường chính]]&amp;Plan_2026[[#This Row],[Tên mall
(chuẩn hóa)]]&amp;Plan_2026[[#This Row],[Địa chỉ đầy đủ]]</f>
        <v xml:space="preserve">Manwah </v>
      </c>
    </row>
    <row r="323" spans="1:49" hidden="1" x14ac:dyDescent="0.35">
      <c r="A323">
        <v>313</v>
      </c>
      <c r="B323" t="s">
        <v>2439</v>
      </c>
      <c r="C323" t="s">
        <v>3191</v>
      </c>
      <c r="D323" t="s">
        <v>4909</v>
      </c>
      <c r="E323">
        <v>2025</v>
      </c>
      <c r="F323">
        <v>3</v>
      </c>
      <c r="G323">
        <v>9</v>
      </c>
      <c r="H323">
        <v>1</v>
      </c>
      <c r="I323">
        <v>2</v>
      </c>
      <c r="J323" t="s">
        <v>350</v>
      </c>
      <c r="K323" t="s">
        <v>2704</v>
      </c>
      <c r="L323" t="s">
        <v>3052</v>
      </c>
      <c r="M323" t="s">
        <v>3053</v>
      </c>
      <c r="N323" t="s">
        <v>4845</v>
      </c>
      <c r="O323" t="s">
        <v>2929</v>
      </c>
      <c r="P323" t="s">
        <v>4926</v>
      </c>
      <c r="Q323" t="s">
        <v>2732</v>
      </c>
      <c r="R323" t="s">
        <v>2751</v>
      </c>
      <c r="S323" t="s">
        <v>2751</v>
      </c>
      <c r="T323" t="s">
        <v>2712</v>
      </c>
      <c r="U323" t="s">
        <v>2712</v>
      </c>
      <c r="V323">
        <v>1</v>
      </c>
      <c r="W323" t="s">
        <v>2713</v>
      </c>
      <c r="X323" t="s">
        <v>4949</v>
      </c>
      <c r="Y323" t="s">
        <v>4949</v>
      </c>
      <c r="Z323">
        <v>200</v>
      </c>
      <c r="AB323" t="s">
        <v>1794</v>
      </c>
      <c r="AC323" t="s">
        <v>2763</v>
      </c>
      <c r="AE323">
        <v>1</v>
      </c>
      <c r="AF323" t="s">
        <v>3194</v>
      </c>
      <c r="AH323" t="s">
        <v>1311</v>
      </c>
      <c r="AI323">
        <v>45901</v>
      </c>
      <c r="AJ323">
        <v>9</v>
      </c>
      <c r="AK323" t="s">
        <v>4928</v>
      </c>
      <c r="AM323" t="s">
        <v>4929</v>
      </c>
      <c r="AN323" t="s">
        <v>3741</v>
      </c>
      <c r="AO323" t="s">
        <v>4950</v>
      </c>
      <c r="AP323">
        <v>4717</v>
      </c>
      <c r="AQ323" t="s">
        <v>4931</v>
      </c>
      <c r="AR323" t="s">
        <v>4932</v>
      </c>
      <c r="AS323">
        <v>5</v>
      </c>
      <c r="AT323" t="s">
        <v>3743</v>
      </c>
      <c r="AW323" t="str">
        <f>Plan_2026[[#This Row],[Tên brand]]&amp;" "&amp;Plan_2026[[#This Row],[Trục đường chính]]&amp;Plan_2026[[#This Row],[Tên mall
(chuẩn hóa)]]&amp;Plan_2026[[#This Row],[Địa chỉ đầy đủ]]</f>
        <v>Union Pizza 101 Tôn Dật TiênCrescent mall</v>
      </c>
    </row>
    <row r="324" spans="1:49" hidden="1" x14ac:dyDescent="0.35">
      <c r="A324">
        <v>314</v>
      </c>
      <c r="B324" t="s">
        <v>2651</v>
      </c>
      <c r="C324" t="s">
        <v>2135</v>
      </c>
      <c r="D324" t="s">
        <v>3327</v>
      </c>
      <c r="E324">
        <v>2025</v>
      </c>
      <c r="F324">
        <v>4</v>
      </c>
      <c r="G324">
        <v>12</v>
      </c>
      <c r="H324">
        <v>4</v>
      </c>
      <c r="J324" t="s">
        <v>350</v>
      </c>
      <c r="K324" t="s">
        <v>2704</v>
      </c>
      <c r="L324" t="s">
        <v>3052</v>
      </c>
      <c r="M324" t="s">
        <v>3053</v>
      </c>
      <c r="N324" t="s">
        <v>4845</v>
      </c>
      <c r="O324" t="s">
        <v>2929</v>
      </c>
      <c r="P324" t="s">
        <v>4951</v>
      </c>
      <c r="Q324" t="s">
        <v>2810</v>
      </c>
      <c r="R324" t="s">
        <v>3356</v>
      </c>
      <c r="S324" t="s">
        <v>3357</v>
      </c>
      <c r="T324" t="s">
        <v>2790</v>
      </c>
      <c r="U324" t="s">
        <v>2790</v>
      </c>
      <c r="V324">
        <v>1</v>
      </c>
      <c r="W324" t="s">
        <v>2735</v>
      </c>
      <c r="Z324" t="s">
        <v>3331</v>
      </c>
      <c r="AB324" t="s">
        <v>1794</v>
      </c>
      <c r="AC324" t="s">
        <v>2778</v>
      </c>
      <c r="AE324">
        <v>0</v>
      </c>
      <c r="AF324" t="s">
        <v>4254</v>
      </c>
      <c r="AH324" t="s">
        <v>1446</v>
      </c>
      <c r="AI324">
        <v>45992</v>
      </c>
      <c r="AJ324">
        <v>12</v>
      </c>
      <c r="AK324" t="s">
        <v>4928</v>
      </c>
      <c r="AM324" t="s">
        <v>4929</v>
      </c>
      <c r="AN324" t="s">
        <v>3500</v>
      </c>
      <c r="AO324" t="s">
        <v>4952</v>
      </c>
      <c r="AP324">
        <v>4717</v>
      </c>
      <c r="AQ324" t="s">
        <v>4931</v>
      </c>
      <c r="AR324" t="s">
        <v>4932</v>
      </c>
      <c r="AS324">
        <v>16</v>
      </c>
      <c r="AT324" t="s">
        <v>3483</v>
      </c>
      <c r="AW324" t="str">
        <f>Plan_2026[[#This Row],[Tên brand]]&amp;" "&amp;Plan_2026[[#This Row],[Trục đường chính]]&amp;Plan_2026[[#This Row],[Tên mall
(chuẩn hóa)]]&amp;Plan_2026[[#This Row],[Địa chỉ đầy đủ]]</f>
        <v>Universal Tea 71 Đường Hoàng Văn Thái</v>
      </c>
    </row>
    <row r="325" spans="1:49" hidden="1" x14ac:dyDescent="0.35">
      <c r="A325">
        <v>315</v>
      </c>
      <c r="B325" t="s">
        <v>2253</v>
      </c>
      <c r="C325" t="s">
        <v>35</v>
      </c>
      <c r="D325" t="s">
        <v>2820</v>
      </c>
      <c r="E325">
        <v>2026</v>
      </c>
      <c r="F325">
        <v>1</v>
      </c>
      <c r="G325">
        <v>3</v>
      </c>
      <c r="H325">
        <v>7</v>
      </c>
      <c r="J325" t="s">
        <v>350</v>
      </c>
      <c r="K325" t="s">
        <v>2704</v>
      </c>
      <c r="L325" t="s">
        <v>3052</v>
      </c>
      <c r="M325" t="s">
        <v>3053</v>
      </c>
      <c r="N325" t="s">
        <v>4551</v>
      </c>
      <c r="O325" t="s">
        <v>2985</v>
      </c>
      <c r="P325" t="s">
        <v>4953</v>
      </c>
      <c r="Q325" t="s">
        <v>2732</v>
      </c>
      <c r="R325" t="s">
        <v>2751</v>
      </c>
      <c r="S325" t="s">
        <v>2751</v>
      </c>
      <c r="T325">
        <v>200</v>
      </c>
      <c r="U325" t="s">
        <v>2712</v>
      </c>
      <c r="V325">
        <v>1</v>
      </c>
      <c r="W325" t="s">
        <v>2713</v>
      </c>
      <c r="X325" t="s">
        <v>2254</v>
      </c>
      <c r="Y325" t="s">
        <v>2254</v>
      </c>
      <c r="Z325" t="s">
        <v>2715</v>
      </c>
      <c r="AB325" t="s">
        <v>2716</v>
      </c>
      <c r="AC325" t="s">
        <v>3232</v>
      </c>
      <c r="AE325">
        <v>0</v>
      </c>
      <c r="AF325" t="s">
        <v>4954</v>
      </c>
      <c r="AH325" t="s">
        <v>34</v>
      </c>
      <c r="AI325">
        <v>46082</v>
      </c>
      <c r="AJ325">
        <v>3</v>
      </c>
      <c r="AK325" t="s">
        <v>4955</v>
      </c>
      <c r="AM325" t="s">
        <v>4956</v>
      </c>
      <c r="AN325" t="s">
        <v>3036</v>
      </c>
      <c r="AO325" t="s">
        <v>4957</v>
      </c>
      <c r="AP325">
        <v>3600</v>
      </c>
      <c r="AQ325" t="s">
        <v>4958</v>
      </c>
      <c r="AR325" t="s">
        <v>4959</v>
      </c>
      <c r="AS325">
        <v>107</v>
      </c>
      <c r="AT325" t="s">
        <v>4960</v>
      </c>
      <c r="AW325" t="str">
        <f>Plan_2026[[#This Row],[Tên brand]]&amp;" "&amp;Plan_2026[[#This Row],[Trục đường chính]]&amp;Plan_2026[[#This Row],[Tên mall
(chuẩn hóa)]]&amp;Plan_2026[[#This Row],[Địa chỉ đầy đủ]]</f>
        <v>Kichi Kichi 88 Song HànhEstella Place</v>
      </c>
    </row>
    <row r="326" spans="1:49" hidden="1" x14ac:dyDescent="0.35">
      <c r="A326">
        <v>316</v>
      </c>
      <c r="B326" t="s">
        <v>4961</v>
      </c>
      <c r="C326" t="s">
        <v>2787</v>
      </c>
      <c r="D326" t="s">
        <v>3111</v>
      </c>
      <c r="E326">
        <v>2025</v>
      </c>
      <c r="F326">
        <v>4</v>
      </c>
      <c r="G326">
        <v>12</v>
      </c>
      <c r="H326">
        <v>4</v>
      </c>
      <c r="J326" t="s">
        <v>350</v>
      </c>
      <c r="K326" t="s">
        <v>2704</v>
      </c>
      <c r="L326" t="s">
        <v>3052</v>
      </c>
      <c r="M326" t="s">
        <v>3053</v>
      </c>
      <c r="N326" t="s">
        <v>4551</v>
      </c>
      <c r="O326" t="s">
        <v>2985</v>
      </c>
      <c r="Q326" t="s">
        <v>2709</v>
      </c>
      <c r="R326" t="s">
        <v>2751</v>
      </c>
      <c r="S326" t="s">
        <v>2751</v>
      </c>
      <c r="T326" t="s">
        <v>2790</v>
      </c>
      <c r="U326" t="s">
        <v>2790</v>
      </c>
      <c r="V326">
        <v>1</v>
      </c>
      <c r="W326" t="s">
        <v>2713</v>
      </c>
      <c r="Z326">
        <v>132</v>
      </c>
      <c r="AB326" t="s">
        <v>2716</v>
      </c>
      <c r="AC326" t="s">
        <v>2738</v>
      </c>
      <c r="AE326">
        <v>0</v>
      </c>
      <c r="AF326" t="s">
        <v>4962</v>
      </c>
      <c r="AH326" t="s">
        <v>1788</v>
      </c>
      <c r="AI326">
        <v>45992</v>
      </c>
      <c r="AJ326">
        <v>12</v>
      </c>
      <c r="AK326" t="s">
        <v>4955</v>
      </c>
      <c r="AM326" t="s">
        <v>4956</v>
      </c>
      <c r="AN326" t="s">
        <v>2793</v>
      </c>
      <c r="AO326" t="s">
        <v>4963</v>
      </c>
      <c r="AP326">
        <v>3600</v>
      </c>
      <c r="AQ326" t="s">
        <v>4958</v>
      </c>
      <c r="AR326" t="s">
        <v>4959</v>
      </c>
      <c r="AS326">
        <v>81</v>
      </c>
      <c r="AT326" t="s">
        <v>4639</v>
      </c>
      <c r="AW326" t="str">
        <f>Plan_2026[[#This Row],[Tên brand]]&amp;" "&amp;Plan_2026[[#This Row],[Trục đường chính]]&amp;Plan_2026[[#This Row],[Tên mall
(chuẩn hóa)]]&amp;Plan_2026[[#This Row],[Địa chỉ đầy đủ]]</f>
        <v xml:space="preserve">The Coffee House </v>
      </c>
    </row>
    <row r="327" spans="1:49" hidden="1" x14ac:dyDescent="0.35">
      <c r="A327">
        <v>317</v>
      </c>
      <c r="B327" t="s">
        <v>4964</v>
      </c>
      <c r="C327" t="s">
        <v>2849</v>
      </c>
      <c r="D327" t="s">
        <v>2850</v>
      </c>
      <c r="E327">
        <v>2026</v>
      </c>
      <c r="F327">
        <v>1</v>
      </c>
      <c r="G327">
        <v>1</v>
      </c>
      <c r="H327">
        <v>5</v>
      </c>
      <c r="J327" t="s">
        <v>350</v>
      </c>
      <c r="K327" t="s">
        <v>2704</v>
      </c>
      <c r="L327" t="s">
        <v>3052</v>
      </c>
      <c r="M327" t="s">
        <v>3053</v>
      </c>
      <c r="N327" t="s">
        <v>4551</v>
      </c>
      <c r="O327" t="s">
        <v>2985</v>
      </c>
      <c r="P327" t="s">
        <v>4953</v>
      </c>
      <c r="Q327" t="s">
        <v>2732</v>
      </c>
      <c r="R327" t="s">
        <v>2751</v>
      </c>
      <c r="S327" t="s">
        <v>2751</v>
      </c>
      <c r="T327" t="s">
        <v>2790</v>
      </c>
      <c r="U327" t="s">
        <v>2790</v>
      </c>
      <c r="V327">
        <v>1</v>
      </c>
      <c r="W327" t="s">
        <v>2735</v>
      </c>
      <c r="X327" t="s">
        <v>2254</v>
      </c>
      <c r="Y327" t="s">
        <v>2254</v>
      </c>
      <c r="Z327" t="s">
        <v>2715</v>
      </c>
      <c r="AB327" t="s">
        <v>2857</v>
      </c>
      <c r="AC327" t="s">
        <v>2763</v>
      </c>
      <c r="AE327">
        <v>1</v>
      </c>
      <c r="AF327" t="s">
        <v>4965</v>
      </c>
      <c r="AG327" t="s">
        <v>2908</v>
      </c>
      <c r="AH327" t="s">
        <v>1771</v>
      </c>
      <c r="AI327">
        <v>46023</v>
      </c>
      <c r="AJ327">
        <v>1</v>
      </c>
      <c r="AK327" t="s">
        <v>4955</v>
      </c>
      <c r="AM327" t="s">
        <v>4956</v>
      </c>
      <c r="AN327" t="s">
        <v>2862</v>
      </c>
      <c r="AO327" t="s">
        <v>4966</v>
      </c>
      <c r="AP327">
        <v>3600</v>
      </c>
      <c r="AQ327" t="s">
        <v>4958</v>
      </c>
      <c r="AR327" t="s">
        <v>4959</v>
      </c>
      <c r="AS327">
        <v>2</v>
      </c>
      <c r="AT327" t="s">
        <v>2866</v>
      </c>
      <c r="AW327" t="str">
        <f>Plan_2026[[#This Row],[Tên brand]]&amp;" "&amp;Plan_2026[[#This Row],[Trục đường chính]]&amp;Plan_2026[[#This Row],[Tên mall
(chuẩn hóa)]]&amp;Plan_2026[[#This Row],[Địa chỉ đầy đủ]]</f>
        <v>Wow!Yakiniku 88 Song HànhEstella Place</v>
      </c>
    </row>
    <row r="328" spans="1:49" hidden="1" x14ac:dyDescent="0.35">
      <c r="A328">
        <v>318</v>
      </c>
      <c r="B328" t="s">
        <v>2599</v>
      </c>
      <c r="C328" t="s">
        <v>2787</v>
      </c>
      <c r="D328" t="s">
        <v>3111</v>
      </c>
      <c r="E328">
        <v>2026</v>
      </c>
      <c r="F328">
        <v>2</v>
      </c>
      <c r="G328">
        <v>6</v>
      </c>
      <c r="H328">
        <v>10</v>
      </c>
      <c r="J328" t="s">
        <v>350</v>
      </c>
      <c r="K328" t="s">
        <v>2704</v>
      </c>
      <c r="L328" t="s">
        <v>3052</v>
      </c>
      <c r="M328" t="s">
        <v>3053</v>
      </c>
      <c r="N328" t="s">
        <v>4551</v>
      </c>
      <c r="O328" t="s">
        <v>2985</v>
      </c>
      <c r="P328" t="s">
        <v>2600</v>
      </c>
      <c r="Q328" t="s">
        <v>2810</v>
      </c>
      <c r="R328" t="s">
        <v>2751</v>
      </c>
      <c r="S328" t="s">
        <v>2751</v>
      </c>
      <c r="T328" t="s">
        <v>2800</v>
      </c>
      <c r="U328" t="s">
        <v>2800</v>
      </c>
      <c r="V328">
        <v>1</v>
      </c>
      <c r="W328" t="s">
        <v>2713</v>
      </c>
      <c r="X328" t="s">
        <v>2254</v>
      </c>
      <c r="Y328" t="s">
        <v>2254</v>
      </c>
      <c r="Z328">
        <v>132</v>
      </c>
      <c r="AB328" t="s">
        <v>2716</v>
      </c>
      <c r="AC328" t="s">
        <v>2738</v>
      </c>
      <c r="AE328">
        <v>0</v>
      </c>
      <c r="AH328" t="s">
        <v>1788</v>
      </c>
      <c r="AI328">
        <v>46174</v>
      </c>
      <c r="AJ328">
        <v>6</v>
      </c>
      <c r="AK328" t="s">
        <v>4955</v>
      </c>
      <c r="AM328" t="s">
        <v>4956</v>
      </c>
      <c r="AN328" t="s">
        <v>2814</v>
      </c>
      <c r="AO328" t="s">
        <v>4963</v>
      </c>
      <c r="AP328">
        <v>3600</v>
      </c>
      <c r="AQ328" t="s">
        <v>4958</v>
      </c>
      <c r="AR328" t="s">
        <v>4959</v>
      </c>
      <c r="AS328">
        <v>81</v>
      </c>
      <c r="AT328" t="s">
        <v>4639</v>
      </c>
      <c r="AW328" t="str">
        <f>Plan_2026[[#This Row],[Tên brand]]&amp;" "&amp;Plan_2026[[#This Row],[Trục đường chính]]&amp;Plan_2026[[#This Row],[Tên mall
(chuẩn hóa)]]&amp;Plan_2026[[#This Row],[Địa chỉ đầy đủ]]</f>
        <v>The Coffee House 88 Đường Song HànhEstella Place</v>
      </c>
    </row>
    <row r="329" spans="1:49" hidden="1" x14ac:dyDescent="0.35">
      <c r="A329">
        <v>319</v>
      </c>
      <c r="B329" t="s">
        <v>4967</v>
      </c>
      <c r="C329" t="s">
        <v>35</v>
      </c>
      <c r="D329" t="s">
        <v>2820</v>
      </c>
      <c r="E329">
        <v>2026</v>
      </c>
      <c r="F329">
        <v>3</v>
      </c>
      <c r="G329">
        <v>7</v>
      </c>
      <c r="H329">
        <v>11</v>
      </c>
      <c r="J329" t="s">
        <v>350</v>
      </c>
      <c r="K329" t="s">
        <v>2704</v>
      </c>
      <c r="L329" t="s">
        <v>3052</v>
      </c>
      <c r="M329" t="s">
        <v>3053</v>
      </c>
      <c r="N329" t="s">
        <v>4845</v>
      </c>
      <c r="O329" t="s">
        <v>4846</v>
      </c>
      <c r="P329" t="s">
        <v>4968</v>
      </c>
      <c r="Q329" t="s">
        <v>2709</v>
      </c>
      <c r="R329" t="s">
        <v>2751</v>
      </c>
      <c r="S329" t="s">
        <v>2751</v>
      </c>
      <c r="T329">
        <v>200</v>
      </c>
      <c r="U329" t="s">
        <v>2790</v>
      </c>
      <c r="V329">
        <v>1</v>
      </c>
      <c r="W329" t="s">
        <v>2735</v>
      </c>
      <c r="Z329" t="s">
        <v>2715</v>
      </c>
      <c r="AB329" t="s">
        <v>2716</v>
      </c>
      <c r="AC329" t="s">
        <v>2738</v>
      </c>
      <c r="AE329">
        <v>0</v>
      </c>
      <c r="AF329" t="s">
        <v>4969</v>
      </c>
      <c r="AG329" t="s">
        <v>2908</v>
      </c>
      <c r="AH329" t="s">
        <v>34</v>
      </c>
      <c r="AI329">
        <v>46204</v>
      </c>
      <c r="AJ329">
        <v>7</v>
      </c>
      <c r="AK329" t="s">
        <v>4848</v>
      </c>
      <c r="AM329" t="s">
        <v>4849</v>
      </c>
      <c r="AN329" t="s">
        <v>2911</v>
      </c>
      <c r="AO329" t="s">
        <v>4970</v>
      </c>
      <c r="AP329">
        <v>4403</v>
      </c>
      <c r="AQ329" t="s">
        <v>4851</v>
      </c>
      <c r="AR329" t="s">
        <v>4852</v>
      </c>
      <c r="AS329">
        <v>107</v>
      </c>
      <c r="AT329" t="s">
        <v>3092</v>
      </c>
      <c r="AW329" t="str">
        <f>Plan_2026[[#This Row],[Tên brand]]&amp;" "&amp;Plan_2026[[#This Row],[Trục đường chính]]&amp;Plan_2026[[#This Row],[Tên mall
(chuẩn hóa)]]&amp;Plan_2026[[#This Row],[Địa chỉ đầy đủ]]</f>
        <v>Kichi Kichi Tôn Dật Tiên</v>
      </c>
    </row>
    <row r="330" spans="1:49" hidden="1" x14ac:dyDescent="0.35">
      <c r="A330">
        <v>320</v>
      </c>
      <c r="B330" t="s">
        <v>4971</v>
      </c>
      <c r="C330" t="s">
        <v>25</v>
      </c>
      <c r="D330" t="s">
        <v>4263</v>
      </c>
      <c r="E330">
        <v>2026</v>
      </c>
      <c r="F330">
        <v>2</v>
      </c>
      <c r="G330">
        <v>5</v>
      </c>
      <c r="H330">
        <v>9</v>
      </c>
      <c r="J330" t="s">
        <v>350</v>
      </c>
      <c r="K330" t="s">
        <v>2704</v>
      </c>
      <c r="L330" t="s">
        <v>3052</v>
      </c>
      <c r="M330" t="s">
        <v>3053</v>
      </c>
      <c r="N330" t="s">
        <v>2929</v>
      </c>
      <c r="O330" t="s">
        <v>4972</v>
      </c>
      <c r="P330" t="s">
        <v>4973</v>
      </c>
      <c r="Q330" t="s">
        <v>2732</v>
      </c>
      <c r="R330" t="s">
        <v>2751</v>
      </c>
      <c r="S330" t="s">
        <v>2751</v>
      </c>
      <c r="T330" t="s">
        <v>2712</v>
      </c>
      <c r="U330" t="s">
        <v>2712</v>
      </c>
      <c r="V330">
        <v>1</v>
      </c>
      <c r="W330" t="s">
        <v>2735</v>
      </c>
      <c r="X330" t="s">
        <v>4974</v>
      </c>
      <c r="Y330" t="s">
        <v>4975</v>
      </c>
      <c r="Z330" t="s">
        <v>2715</v>
      </c>
      <c r="AB330" t="s">
        <v>2716</v>
      </c>
      <c r="AC330" t="s">
        <v>3232</v>
      </c>
      <c r="AE330">
        <v>0</v>
      </c>
      <c r="AH330" t="s">
        <v>24</v>
      </c>
      <c r="AI330">
        <v>46143</v>
      </c>
      <c r="AJ330">
        <v>5</v>
      </c>
      <c r="AK330" t="s">
        <v>4976</v>
      </c>
      <c r="AM330" t="s">
        <v>4977</v>
      </c>
      <c r="AN330" t="s">
        <v>3438</v>
      </c>
      <c r="AO330" t="s">
        <v>4978</v>
      </c>
      <c r="AP330">
        <v>9073</v>
      </c>
      <c r="AQ330" t="s">
        <v>4979</v>
      </c>
      <c r="AR330" t="s">
        <v>4980</v>
      </c>
      <c r="AS330">
        <v>9</v>
      </c>
      <c r="AT330" t="s">
        <v>4213</v>
      </c>
      <c r="AW330" t="str">
        <f>Plan_2026[[#This Row],[Tên brand]]&amp;" "&amp;Plan_2026[[#This Row],[Trục đường chính]]&amp;Plan_2026[[#This Row],[Tên mall
(chuẩn hóa)]]&amp;Plan_2026[[#This Row],[Địa chỉ đầy đủ]]</f>
        <v>Ashima Tân ThắngAeon Mall Tân Phú Celadon</v>
      </c>
    </row>
    <row r="331" spans="1:49" hidden="1" x14ac:dyDescent="0.35">
      <c r="A331">
        <v>321</v>
      </c>
      <c r="B331" t="s">
        <v>2639</v>
      </c>
      <c r="C331" t="s">
        <v>2008</v>
      </c>
      <c r="D331" t="s">
        <v>2728</v>
      </c>
      <c r="E331">
        <v>2026</v>
      </c>
      <c r="F331">
        <v>1</v>
      </c>
      <c r="G331">
        <v>1</v>
      </c>
      <c r="H331">
        <v>5</v>
      </c>
      <c r="J331" t="s">
        <v>350</v>
      </c>
      <c r="K331" t="s">
        <v>2704</v>
      </c>
      <c r="L331" t="s">
        <v>3052</v>
      </c>
      <c r="M331" t="s">
        <v>3053</v>
      </c>
      <c r="N331" t="s">
        <v>2929</v>
      </c>
      <c r="O331" t="s">
        <v>4972</v>
      </c>
      <c r="P331" t="s">
        <v>4981</v>
      </c>
      <c r="Q331" t="s">
        <v>2732</v>
      </c>
      <c r="R331" t="s">
        <v>2751</v>
      </c>
      <c r="S331" t="s">
        <v>2751</v>
      </c>
      <c r="T331" t="s">
        <v>2762</v>
      </c>
      <c r="U331" t="s">
        <v>2762</v>
      </c>
      <c r="V331">
        <v>1</v>
      </c>
      <c r="W331" t="s">
        <v>2713</v>
      </c>
      <c r="X331" t="s">
        <v>4975</v>
      </c>
      <c r="Y331" t="s">
        <v>4975</v>
      </c>
      <c r="Z331">
        <v>160</v>
      </c>
      <c r="AB331" t="s">
        <v>1794</v>
      </c>
      <c r="AC331" t="s">
        <v>2738</v>
      </c>
      <c r="AE331">
        <v>0</v>
      </c>
      <c r="AF331" t="s">
        <v>4982</v>
      </c>
      <c r="AH331" t="s">
        <v>2044</v>
      </c>
      <c r="AI331">
        <v>46023</v>
      </c>
      <c r="AJ331">
        <v>1</v>
      </c>
      <c r="AK331" t="s">
        <v>4976</v>
      </c>
      <c r="AM331" t="s">
        <v>4977</v>
      </c>
      <c r="AN331" t="s">
        <v>4281</v>
      </c>
      <c r="AO331" t="s">
        <v>4983</v>
      </c>
      <c r="AP331">
        <v>9073</v>
      </c>
      <c r="AQ331" t="s">
        <v>4979</v>
      </c>
      <c r="AR331" t="s">
        <v>4980</v>
      </c>
      <c r="AS331">
        <v>6</v>
      </c>
      <c r="AT331" t="s">
        <v>2835</v>
      </c>
      <c r="AW331" t="str">
        <f>Plan_2026[[#This Row],[Tên brand]]&amp;" "&amp;Plan_2026[[#This Row],[Trục đường chính]]&amp;Plan_2026[[#This Row],[Tên mall
(chuẩn hóa)]]&amp;Plan_2026[[#This Row],[Địa chỉ đầy đủ]]</f>
        <v>Dao Niu Guo 30 đường Tân ThắngAeon Mall Tân Phú Celadon</v>
      </c>
    </row>
    <row r="332" spans="1:49" hidden="1" x14ac:dyDescent="0.35">
      <c r="A332">
        <v>322</v>
      </c>
      <c r="B332" t="s">
        <v>4984</v>
      </c>
      <c r="C332" t="s">
        <v>184</v>
      </c>
      <c r="D332" t="s">
        <v>4382</v>
      </c>
      <c r="E332">
        <v>2026</v>
      </c>
      <c r="F332">
        <v>1</v>
      </c>
      <c r="G332">
        <v>2</v>
      </c>
      <c r="H332">
        <v>6</v>
      </c>
      <c r="J332" t="s">
        <v>350</v>
      </c>
      <c r="K332" t="s">
        <v>2704</v>
      </c>
      <c r="L332" t="s">
        <v>3052</v>
      </c>
      <c r="M332" t="s">
        <v>3053</v>
      </c>
      <c r="N332" t="s">
        <v>2929</v>
      </c>
      <c r="O332" t="s">
        <v>4972</v>
      </c>
      <c r="P332" t="s">
        <v>4985</v>
      </c>
      <c r="Q332" t="s">
        <v>2732</v>
      </c>
      <c r="R332" t="s">
        <v>2710</v>
      </c>
      <c r="S332" t="s">
        <v>2710</v>
      </c>
      <c r="T332" t="s">
        <v>2790</v>
      </c>
      <c r="U332" t="s">
        <v>2790</v>
      </c>
      <c r="V332">
        <v>1</v>
      </c>
      <c r="W332" t="s">
        <v>2735</v>
      </c>
      <c r="X332" t="s">
        <v>2212</v>
      </c>
      <c r="Y332" t="s">
        <v>4975</v>
      </c>
      <c r="Z332">
        <v>220</v>
      </c>
      <c r="AB332" t="s">
        <v>2716</v>
      </c>
      <c r="AC332" t="s">
        <v>3232</v>
      </c>
      <c r="AE332">
        <v>0</v>
      </c>
      <c r="AF332" t="s">
        <v>4710</v>
      </c>
      <c r="AH332" t="s">
        <v>183</v>
      </c>
      <c r="AI332">
        <v>46054</v>
      </c>
      <c r="AJ332">
        <v>2</v>
      </c>
      <c r="AK332" t="s">
        <v>4976</v>
      </c>
      <c r="AM332" t="s">
        <v>4977</v>
      </c>
      <c r="AN332" t="s">
        <v>3411</v>
      </c>
      <c r="AO332" t="s">
        <v>4986</v>
      </c>
      <c r="AP332">
        <v>9073</v>
      </c>
      <c r="AQ332" t="s">
        <v>4979</v>
      </c>
      <c r="AR332" t="s">
        <v>4980</v>
      </c>
      <c r="AS332">
        <v>10</v>
      </c>
      <c r="AT332" t="s">
        <v>3567</v>
      </c>
      <c r="AW332" t="str">
        <f>Plan_2026[[#This Row],[Tên brand]]&amp;" "&amp;Plan_2026[[#This Row],[Trục đường chính]]&amp;Plan_2026[[#This Row],[Tên mall
(chuẩn hóa)]]&amp;Plan_2026[[#This Row],[Địa chỉ đầy đủ]]</f>
        <v>Shogun Số 30, Đường Tân ThắngAeon Mall Tân Phú Celadon</v>
      </c>
    </row>
    <row r="333" spans="1:49" hidden="1" x14ac:dyDescent="0.35">
      <c r="A333">
        <v>323</v>
      </c>
      <c r="B333" t="s">
        <v>2213</v>
      </c>
      <c r="C333" t="s">
        <v>3208</v>
      </c>
      <c r="D333" t="s">
        <v>2850</v>
      </c>
      <c r="E333">
        <v>2026</v>
      </c>
      <c r="F333">
        <v>2</v>
      </c>
      <c r="G333">
        <v>4</v>
      </c>
      <c r="H333">
        <v>8</v>
      </c>
      <c r="J333" t="s">
        <v>350</v>
      </c>
      <c r="K333" t="s">
        <v>2704</v>
      </c>
      <c r="L333" t="s">
        <v>3052</v>
      </c>
      <c r="M333" t="s">
        <v>3053</v>
      </c>
      <c r="N333" t="s">
        <v>2929</v>
      </c>
      <c r="O333" t="s">
        <v>4972</v>
      </c>
      <c r="P333" t="s">
        <v>4987</v>
      </c>
      <c r="Q333" t="s">
        <v>2732</v>
      </c>
      <c r="R333" t="s">
        <v>2710</v>
      </c>
      <c r="S333" t="s">
        <v>2710</v>
      </c>
      <c r="T333" t="s">
        <v>2712</v>
      </c>
      <c r="U333" t="s">
        <v>2712</v>
      </c>
      <c r="V333">
        <v>1</v>
      </c>
      <c r="W333" t="s">
        <v>2713</v>
      </c>
      <c r="X333" t="s">
        <v>4975</v>
      </c>
      <c r="Y333" t="s">
        <v>4975</v>
      </c>
      <c r="Z333" t="s">
        <v>2715</v>
      </c>
      <c r="AB333" t="s">
        <v>2716</v>
      </c>
      <c r="AC333" t="s">
        <v>2738</v>
      </c>
      <c r="AE333">
        <v>0</v>
      </c>
      <c r="AF333" t="s">
        <v>4988</v>
      </c>
      <c r="AH333" t="s">
        <v>51</v>
      </c>
      <c r="AI333">
        <v>46113</v>
      </c>
      <c r="AJ333">
        <v>4</v>
      </c>
      <c r="AK333" t="s">
        <v>4976</v>
      </c>
      <c r="AM333" t="s">
        <v>4977</v>
      </c>
      <c r="AN333" t="s">
        <v>3264</v>
      </c>
      <c r="AO333" t="s">
        <v>4989</v>
      </c>
      <c r="AP333">
        <v>9073</v>
      </c>
      <c r="AQ333" t="s">
        <v>4979</v>
      </c>
      <c r="AR333" t="s">
        <v>4980</v>
      </c>
      <c r="AS333">
        <v>11</v>
      </c>
      <c r="AT333" t="s">
        <v>3480</v>
      </c>
      <c r="AW333" t="str">
        <f>Plan_2026[[#This Row],[Tên brand]]&amp;" "&amp;Plan_2026[[#This Row],[Trục đường chính]]&amp;Plan_2026[[#This Row],[Tên mall
(chuẩn hóa)]]&amp;Plan_2026[[#This Row],[Địa chỉ đầy đủ]]</f>
        <v>Sumogoya 30 Đường Bờ Bao Tân ThắngAeon Mall Tân Phú Celadon</v>
      </c>
    </row>
    <row r="334" spans="1:49" hidden="1" x14ac:dyDescent="0.35">
      <c r="A334">
        <v>324</v>
      </c>
      <c r="B334" t="s">
        <v>2211</v>
      </c>
      <c r="C334" t="s">
        <v>2849</v>
      </c>
      <c r="D334" t="s">
        <v>2850</v>
      </c>
      <c r="E334">
        <v>2026</v>
      </c>
      <c r="F334">
        <v>3</v>
      </c>
      <c r="G334">
        <v>7</v>
      </c>
      <c r="H334">
        <v>11</v>
      </c>
      <c r="I334">
        <v>5</v>
      </c>
      <c r="J334" t="s">
        <v>350</v>
      </c>
      <c r="K334" t="s">
        <v>2704</v>
      </c>
      <c r="L334" t="s">
        <v>3052</v>
      </c>
      <c r="M334" t="s">
        <v>3053</v>
      </c>
      <c r="N334" t="s">
        <v>2929</v>
      </c>
      <c r="O334" t="s">
        <v>4972</v>
      </c>
      <c r="P334" t="s">
        <v>4987</v>
      </c>
      <c r="Q334" t="s">
        <v>2732</v>
      </c>
      <c r="R334" t="s">
        <v>2751</v>
      </c>
      <c r="S334" t="s">
        <v>2751</v>
      </c>
      <c r="T334" t="s">
        <v>2790</v>
      </c>
      <c r="U334" t="s">
        <v>2790</v>
      </c>
      <c r="V334">
        <v>1</v>
      </c>
      <c r="W334" t="s">
        <v>2713</v>
      </c>
      <c r="X334" t="s">
        <v>4975</v>
      </c>
      <c r="Y334" t="s">
        <v>4975</v>
      </c>
      <c r="Z334" t="s">
        <v>2715</v>
      </c>
      <c r="AB334" t="s">
        <v>2716</v>
      </c>
      <c r="AC334" t="s">
        <v>2738</v>
      </c>
      <c r="AE334">
        <v>0</v>
      </c>
      <c r="AH334" t="s">
        <v>1771</v>
      </c>
      <c r="AI334">
        <v>46204</v>
      </c>
      <c r="AJ334">
        <v>7</v>
      </c>
      <c r="AK334" t="s">
        <v>4976</v>
      </c>
      <c r="AM334" t="s">
        <v>4977</v>
      </c>
      <c r="AN334" t="s">
        <v>2862</v>
      </c>
      <c r="AO334" t="s">
        <v>4990</v>
      </c>
      <c r="AP334">
        <v>9073</v>
      </c>
      <c r="AQ334" t="s">
        <v>4979</v>
      </c>
      <c r="AR334" t="s">
        <v>4980</v>
      </c>
      <c r="AS334">
        <v>2</v>
      </c>
      <c r="AT334" t="s">
        <v>2866</v>
      </c>
      <c r="AW334" t="str">
        <f>Plan_2026[[#This Row],[Tên brand]]&amp;" "&amp;Plan_2026[[#This Row],[Trục đường chính]]&amp;Plan_2026[[#This Row],[Tên mall
(chuẩn hóa)]]&amp;Plan_2026[[#This Row],[Địa chỉ đầy đủ]]</f>
        <v>Wow!Yakiniku 30 Đường Bờ Bao Tân ThắngAeon Mall Tân Phú Celadon</v>
      </c>
    </row>
    <row r="335" spans="1:49" hidden="1" x14ac:dyDescent="0.35">
      <c r="A335">
        <v>325</v>
      </c>
      <c r="B335" t="s">
        <v>2530</v>
      </c>
      <c r="C335" t="s">
        <v>2787</v>
      </c>
      <c r="D335" t="s">
        <v>3111</v>
      </c>
      <c r="E335">
        <v>2026</v>
      </c>
      <c r="F335">
        <v>1</v>
      </c>
      <c r="G335">
        <v>1</v>
      </c>
      <c r="H335">
        <v>5</v>
      </c>
      <c r="J335" t="s">
        <v>350</v>
      </c>
      <c r="K335" t="s">
        <v>2704</v>
      </c>
      <c r="L335" t="s">
        <v>3052</v>
      </c>
      <c r="M335" t="s">
        <v>3053</v>
      </c>
      <c r="N335" t="s">
        <v>2929</v>
      </c>
      <c r="O335" t="s">
        <v>4972</v>
      </c>
      <c r="Q335" t="s">
        <v>2732</v>
      </c>
      <c r="R335" t="s">
        <v>2710</v>
      </c>
      <c r="S335" t="s">
        <v>2710</v>
      </c>
      <c r="T335" t="s">
        <v>3229</v>
      </c>
      <c r="U335" t="s">
        <v>3229</v>
      </c>
      <c r="V335">
        <v>1</v>
      </c>
      <c r="W335" t="s">
        <v>2713</v>
      </c>
      <c r="X335" t="s">
        <v>4974</v>
      </c>
      <c r="Y335" t="s">
        <v>4975</v>
      </c>
      <c r="Z335">
        <v>132</v>
      </c>
      <c r="AB335" t="s">
        <v>2716</v>
      </c>
      <c r="AC335" t="s">
        <v>2738</v>
      </c>
      <c r="AE335">
        <v>0</v>
      </c>
      <c r="AH335" t="s">
        <v>1788</v>
      </c>
      <c r="AI335">
        <v>46023</v>
      </c>
      <c r="AJ335">
        <v>1</v>
      </c>
      <c r="AK335" t="s">
        <v>4976</v>
      </c>
      <c r="AM335" t="s">
        <v>4977</v>
      </c>
      <c r="AN335" t="s">
        <v>2804</v>
      </c>
      <c r="AO335" t="s">
        <v>4991</v>
      </c>
      <c r="AP335">
        <v>9073</v>
      </c>
      <c r="AQ335" t="s">
        <v>4979</v>
      </c>
      <c r="AR335" t="s">
        <v>4980</v>
      </c>
      <c r="AS335">
        <v>81</v>
      </c>
      <c r="AT335" t="s">
        <v>4992</v>
      </c>
      <c r="AW335" t="str">
        <f>Plan_2026[[#This Row],[Tên brand]]&amp;" "&amp;Plan_2026[[#This Row],[Trục đường chính]]&amp;Plan_2026[[#This Row],[Tên mall
(chuẩn hóa)]]&amp;Plan_2026[[#This Row],[Địa chỉ đầy đủ]]</f>
        <v>The Coffee House Aeon Mall Tân Phú Celadon</v>
      </c>
    </row>
    <row r="336" spans="1:49" hidden="1" x14ac:dyDescent="0.35">
      <c r="A336">
        <v>326</v>
      </c>
      <c r="B336" t="s">
        <v>2522</v>
      </c>
      <c r="C336" t="s">
        <v>2787</v>
      </c>
      <c r="D336" t="s">
        <v>3111</v>
      </c>
      <c r="E336">
        <v>2026</v>
      </c>
      <c r="F336">
        <v>1</v>
      </c>
      <c r="G336">
        <v>2</v>
      </c>
      <c r="H336">
        <v>6</v>
      </c>
      <c r="J336" t="s">
        <v>350</v>
      </c>
      <c r="K336" t="s">
        <v>2704</v>
      </c>
      <c r="L336" t="s">
        <v>3052</v>
      </c>
      <c r="M336" t="s">
        <v>3053</v>
      </c>
      <c r="N336" t="s">
        <v>2929</v>
      </c>
      <c r="O336" t="s">
        <v>4972</v>
      </c>
      <c r="P336" t="s">
        <v>2523</v>
      </c>
      <c r="Q336" t="s">
        <v>2709</v>
      </c>
      <c r="R336" t="s">
        <v>2751</v>
      </c>
      <c r="S336" t="s">
        <v>2751</v>
      </c>
      <c r="T336" t="s">
        <v>2790</v>
      </c>
      <c r="U336" t="s">
        <v>2790</v>
      </c>
      <c r="V336">
        <v>1</v>
      </c>
      <c r="W336" t="s">
        <v>2713</v>
      </c>
      <c r="Z336">
        <v>132</v>
      </c>
      <c r="AB336" t="s">
        <v>2716</v>
      </c>
      <c r="AC336" t="s">
        <v>2738</v>
      </c>
      <c r="AE336">
        <v>0</v>
      </c>
      <c r="AF336" t="s">
        <v>4519</v>
      </c>
      <c r="AH336" t="s">
        <v>1788</v>
      </c>
      <c r="AI336">
        <v>46054</v>
      </c>
      <c r="AJ336">
        <v>2</v>
      </c>
      <c r="AK336" t="s">
        <v>4976</v>
      </c>
      <c r="AM336" t="s">
        <v>4977</v>
      </c>
      <c r="AN336" t="s">
        <v>2793</v>
      </c>
      <c r="AO336" t="s">
        <v>4993</v>
      </c>
      <c r="AP336">
        <v>9073</v>
      </c>
      <c r="AQ336" t="s">
        <v>4979</v>
      </c>
      <c r="AR336" t="s">
        <v>4980</v>
      </c>
      <c r="AS336">
        <v>81</v>
      </c>
      <c r="AT336" t="s">
        <v>4992</v>
      </c>
      <c r="AW336" t="str">
        <f>Plan_2026[[#This Row],[Tên brand]]&amp;" "&amp;Plan_2026[[#This Row],[Trục đường chính]]&amp;Plan_2026[[#This Row],[Tên mall
(chuẩn hóa)]]&amp;Plan_2026[[#This Row],[Địa chỉ đầy đủ]]</f>
        <v>The Coffee House Lê Trọng Tấn, Tân Thắng</v>
      </c>
    </row>
    <row r="337" spans="1:49" hidden="1" x14ac:dyDescent="0.35">
      <c r="A337">
        <v>327</v>
      </c>
      <c r="B337" t="s">
        <v>4994</v>
      </c>
      <c r="C337" t="s">
        <v>229</v>
      </c>
      <c r="D337" t="s">
        <v>2881</v>
      </c>
      <c r="E337">
        <v>2026</v>
      </c>
      <c r="F337">
        <v>3</v>
      </c>
      <c r="G337">
        <v>7</v>
      </c>
      <c r="H337">
        <v>11</v>
      </c>
      <c r="J337" t="s">
        <v>350</v>
      </c>
      <c r="K337" t="s">
        <v>2704</v>
      </c>
      <c r="L337" t="s">
        <v>3052</v>
      </c>
      <c r="M337" t="s">
        <v>3053</v>
      </c>
      <c r="N337" t="s">
        <v>2929</v>
      </c>
      <c r="O337" t="s">
        <v>4972</v>
      </c>
      <c r="P337" t="s">
        <v>4973</v>
      </c>
      <c r="Q337" t="s">
        <v>2732</v>
      </c>
      <c r="R337">
        <v>8</v>
      </c>
      <c r="S337" t="s">
        <v>2710</v>
      </c>
      <c r="T337" t="s">
        <v>2882</v>
      </c>
      <c r="U337" t="s">
        <v>2800</v>
      </c>
      <c r="V337">
        <v>1</v>
      </c>
      <c r="W337" t="s">
        <v>2735</v>
      </c>
      <c r="X337" t="s">
        <v>4975</v>
      </c>
      <c r="Y337" t="s">
        <v>4975</v>
      </c>
      <c r="Z337" t="s">
        <v>2715</v>
      </c>
      <c r="AB337" t="s">
        <v>2716</v>
      </c>
      <c r="AC337" t="s">
        <v>3115</v>
      </c>
      <c r="AE337">
        <v>1</v>
      </c>
      <c r="AF337" t="s">
        <v>4995</v>
      </c>
      <c r="AH337" t="s">
        <v>228</v>
      </c>
      <c r="AI337">
        <v>46204</v>
      </c>
      <c r="AJ337">
        <v>7</v>
      </c>
      <c r="AK337" t="s">
        <v>4976</v>
      </c>
      <c r="AM337" t="s">
        <v>4977</v>
      </c>
      <c r="AN337" t="s">
        <v>3127</v>
      </c>
      <c r="AO337" t="s">
        <v>4996</v>
      </c>
      <c r="AP337">
        <v>9073</v>
      </c>
      <c r="AQ337" t="s">
        <v>4979</v>
      </c>
      <c r="AR337" t="s">
        <v>4980</v>
      </c>
      <c r="AS337">
        <v>10</v>
      </c>
      <c r="AT337" t="s">
        <v>3304</v>
      </c>
      <c r="AW337" t="str">
        <f>Plan_2026[[#This Row],[Tên brand]]&amp;" "&amp;Plan_2026[[#This Row],[Trục đường chính]]&amp;Plan_2026[[#This Row],[Tên mall
(chuẩn hóa)]]&amp;Plan_2026[[#This Row],[Địa chỉ đầy đủ]]</f>
        <v>Yutang Tân ThắngAeon Mall Tân Phú Celadon</v>
      </c>
    </row>
    <row r="338" spans="1:49" hidden="1" x14ac:dyDescent="0.35">
      <c r="A338">
        <v>328</v>
      </c>
      <c r="B338" t="s">
        <v>4997</v>
      </c>
      <c r="C338" t="s">
        <v>2772</v>
      </c>
      <c r="D338" t="s">
        <v>2868</v>
      </c>
      <c r="E338">
        <v>2026</v>
      </c>
      <c r="F338">
        <v>3</v>
      </c>
      <c r="G338">
        <v>7</v>
      </c>
      <c r="H338">
        <v>11</v>
      </c>
      <c r="J338" t="s">
        <v>350</v>
      </c>
      <c r="K338" t="s">
        <v>2704</v>
      </c>
      <c r="L338" t="s">
        <v>3052</v>
      </c>
      <c r="M338" t="s">
        <v>3053</v>
      </c>
      <c r="N338" t="s">
        <v>4338</v>
      </c>
      <c r="O338" t="s">
        <v>2760</v>
      </c>
      <c r="P338" t="s">
        <v>4998</v>
      </c>
      <c r="Q338" t="s">
        <v>2709</v>
      </c>
      <c r="R338" t="s">
        <v>2751</v>
      </c>
      <c r="S338" t="s">
        <v>2751</v>
      </c>
      <c r="T338">
        <v>300</v>
      </c>
      <c r="U338" t="s">
        <v>2762</v>
      </c>
      <c r="V338">
        <v>1</v>
      </c>
      <c r="W338" t="s">
        <v>2735</v>
      </c>
      <c r="Z338">
        <v>200</v>
      </c>
      <c r="AA338" t="s">
        <v>4999</v>
      </c>
      <c r="AB338" t="s">
        <v>2716</v>
      </c>
      <c r="AC338" t="s">
        <v>2738</v>
      </c>
      <c r="AE338">
        <v>0</v>
      </c>
      <c r="AG338" t="s">
        <v>2908</v>
      </c>
      <c r="AH338" t="s">
        <v>112</v>
      </c>
      <c r="AI338">
        <v>46204</v>
      </c>
      <c r="AJ338">
        <v>7</v>
      </c>
      <c r="AK338" t="s">
        <v>4538</v>
      </c>
      <c r="AM338" t="s">
        <v>4539</v>
      </c>
      <c r="AN338" t="s">
        <v>2782</v>
      </c>
      <c r="AO338" t="s">
        <v>5000</v>
      </c>
      <c r="AP338">
        <v>11446</v>
      </c>
      <c r="AQ338" t="s">
        <v>4541</v>
      </c>
      <c r="AR338" t="s">
        <v>4542</v>
      </c>
      <c r="AS338">
        <v>55</v>
      </c>
      <c r="AT338" t="s">
        <v>5001</v>
      </c>
      <c r="AW338" t="str">
        <f>Plan_2026[[#This Row],[Tên brand]]&amp;" "&amp;Plan_2026[[#This Row],[Trục đường chính]]&amp;Plan_2026[[#This Row],[Tên mall
(chuẩn hóa)]]&amp;Plan_2026[[#This Row],[Địa chỉ đầy đủ]]</f>
        <v>Manwah Lãnh Binh Thăng/Minh Phụng/Bình Thới</v>
      </c>
    </row>
    <row r="339" spans="1:49" hidden="1" x14ac:dyDescent="0.35">
      <c r="A339">
        <v>329</v>
      </c>
      <c r="B339" t="s">
        <v>5002</v>
      </c>
      <c r="C339" t="s">
        <v>184</v>
      </c>
      <c r="D339" t="s">
        <v>4382</v>
      </c>
      <c r="E339">
        <v>2026</v>
      </c>
      <c r="F339">
        <v>3</v>
      </c>
      <c r="G339">
        <v>7</v>
      </c>
      <c r="H339">
        <v>11</v>
      </c>
      <c r="J339" t="s">
        <v>350</v>
      </c>
      <c r="K339" t="s">
        <v>2704</v>
      </c>
      <c r="L339" t="s">
        <v>3052</v>
      </c>
      <c r="M339" t="s">
        <v>3053</v>
      </c>
      <c r="N339" t="s">
        <v>4805</v>
      </c>
      <c r="O339" t="s">
        <v>5003</v>
      </c>
      <c r="Q339" t="s">
        <v>2709</v>
      </c>
      <c r="R339" t="s">
        <v>2710</v>
      </c>
      <c r="S339" t="s">
        <v>2710</v>
      </c>
      <c r="T339" t="s">
        <v>2822</v>
      </c>
      <c r="U339" t="s">
        <v>2790</v>
      </c>
      <c r="V339">
        <v>1</v>
      </c>
      <c r="W339" t="s">
        <v>2735</v>
      </c>
      <c r="Z339">
        <v>220</v>
      </c>
      <c r="AB339" t="s">
        <v>2716</v>
      </c>
      <c r="AC339" t="s">
        <v>2738</v>
      </c>
      <c r="AE339">
        <v>0</v>
      </c>
      <c r="AF339" t="s">
        <v>5004</v>
      </c>
      <c r="AG339" t="s">
        <v>2908</v>
      </c>
      <c r="AH339" t="s">
        <v>183</v>
      </c>
      <c r="AI339">
        <v>46204</v>
      </c>
      <c r="AJ339">
        <v>7</v>
      </c>
      <c r="AK339" t="s">
        <v>5005</v>
      </c>
      <c r="AM339" t="s">
        <v>5006</v>
      </c>
      <c r="AN339" t="s">
        <v>3302</v>
      </c>
      <c r="AO339" t="s">
        <v>5007</v>
      </c>
      <c r="AP339">
        <v>6660</v>
      </c>
      <c r="AQ339" t="s">
        <v>5008</v>
      </c>
      <c r="AR339" t="s">
        <v>5009</v>
      </c>
      <c r="AS339">
        <v>10</v>
      </c>
      <c r="AT339" t="s">
        <v>3567</v>
      </c>
      <c r="AW339" t="str">
        <f>Plan_2026[[#This Row],[Tên brand]]&amp;" "&amp;Plan_2026[[#This Row],[Trục đường chính]]&amp;Plan_2026[[#This Row],[Tên mall
(chuẩn hóa)]]&amp;Plan_2026[[#This Row],[Địa chỉ đầy đủ]]</f>
        <v xml:space="preserve">Shogun </v>
      </c>
    </row>
    <row r="340" spans="1:49" hidden="1" x14ac:dyDescent="0.35">
      <c r="A340">
        <v>330</v>
      </c>
      <c r="B340" t="s">
        <v>5010</v>
      </c>
      <c r="C340" t="s">
        <v>3208</v>
      </c>
      <c r="D340" t="s">
        <v>2850</v>
      </c>
      <c r="E340">
        <v>2026</v>
      </c>
      <c r="F340">
        <v>3</v>
      </c>
      <c r="G340">
        <v>7</v>
      </c>
      <c r="H340">
        <v>11</v>
      </c>
      <c r="J340" t="s">
        <v>350</v>
      </c>
      <c r="K340" t="s">
        <v>2704</v>
      </c>
      <c r="L340" t="s">
        <v>3052</v>
      </c>
      <c r="M340" t="s">
        <v>3053</v>
      </c>
      <c r="N340" t="s">
        <v>3054</v>
      </c>
      <c r="O340" t="s">
        <v>5011</v>
      </c>
      <c r="Q340" t="s">
        <v>2709</v>
      </c>
      <c r="R340" t="s">
        <v>2710</v>
      </c>
      <c r="S340" t="s">
        <v>2710</v>
      </c>
      <c r="T340" t="s">
        <v>3211</v>
      </c>
      <c r="U340" t="s">
        <v>2712</v>
      </c>
      <c r="V340">
        <v>1</v>
      </c>
      <c r="W340" t="s">
        <v>2735</v>
      </c>
      <c r="Z340" t="s">
        <v>2715</v>
      </c>
      <c r="AA340" t="s">
        <v>5012</v>
      </c>
      <c r="AB340" t="s">
        <v>2716</v>
      </c>
      <c r="AC340" t="s">
        <v>2738</v>
      </c>
      <c r="AE340">
        <v>0</v>
      </c>
      <c r="AG340" t="s">
        <v>2908</v>
      </c>
      <c r="AH340" t="s">
        <v>51</v>
      </c>
      <c r="AI340">
        <v>46204</v>
      </c>
      <c r="AJ340">
        <v>7</v>
      </c>
      <c r="AK340" t="s">
        <v>5013</v>
      </c>
      <c r="AM340" t="s">
        <v>5014</v>
      </c>
      <c r="AN340" t="s">
        <v>3213</v>
      </c>
      <c r="AO340" t="s">
        <v>5015</v>
      </c>
      <c r="AP340">
        <v>21541</v>
      </c>
      <c r="AQ340" t="s">
        <v>5016</v>
      </c>
      <c r="AR340" t="s">
        <v>5017</v>
      </c>
      <c r="AS340">
        <v>11</v>
      </c>
      <c r="AT340" t="s">
        <v>3215</v>
      </c>
      <c r="AW340" t="str">
        <f>Plan_2026[[#This Row],[Tên brand]]&amp;" "&amp;Plan_2026[[#This Row],[Trục đường chính]]&amp;Plan_2026[[#This Row],[Tên mall
(chuẩn hóa)]]&amp;Plan_2026[[#This Row],[Địa chỉ đầy đủ]]</f>
        <v xml:space="preserve">Sumogoya </v>
      </c>
    </row>
    <row r="341" spans="1:49" hidden="1" x14ac:dyDescent="0.35">
      <c r="A341">
        <v>331</v>
      </c>
      <c r="B341" t="s">
        <v>2486</v>
      </c>
      <c r="C341" t="s">
        <v>2787</v>
      </c>
      <c r="D341" t="s">
        <v>3111</v>
      </c>
      <c r="E341">
        <v>2025</v>
      </c>
      <c r="F341">
        <v>4</v>
      </c>
      <c r="G341">
        <v>12</v>
      </c>
      <c r="H341">
        <v>4</v>
      </c>
      <c r="J341" t="s">
        <v>350</v>
      </c>
      <c r="K341" t="s">
        <v>2704</v>
      </c>
      <c r="L341" t="s">
        <v>3052</v>
      </c>
      <c r="M341" t="s">
        <v>3053</v>
      </c>
      <c r="N341" t="s">
        <v>3054</v>
      </c>
      <c r="O341" t="s">
        <v>4475</v>
      </c>
      <c r="Q341" t="s">
        <v>2732</v>
      </c>
      <c r="R341" t="s">
        <v>2710</v>
      </c>
      <c r="S341" t="s">
        <v>2710</v>
      </c>
      <c r="T341" t="s">
        <v>3229</v>
      </c>
      <c r="U341" t="s">
        <v>3229</v>
      </c>
      <c r="V341">
        <v>1</v>
      </c>
      <c r="W341" t="s">
        <v>2713</v>
      </c>
      <c r="X341" t="s">
        <v>2487</v>
      </c>
      <c r="Z341">
        <v>132</v>
      </c>
      <c r="AB341" t="s">
        <v>2716</v>
      </c>
      <c r="AC341" t="s">
        <v>2738</v>
      </c>
      <c r="AE341">
        <v>0</v>
      </c>
      <c r="AF341" t="s">
        <v>5018</v>
      </c>
      <c r="AG341" t="s">
        <v>2930</v>
      </c>
      <c r="AH341" t="s">
        <v>1788</v>
      </c>
      <c r="AI341">
        <v>45992</v>
      </c>
      <c r="AJ341">
        <v>12</v>
      </c>
      <c r="AK341" t="s">
        <v>4477</v>
      </c>
      <c r="AM341" t="s">
        <v>4478</v>
      </c>
      <c r="AN341" t="s">
        <v>2804</v>
      </c>
      <c r="AO341" t="s">
        <v>2787</v>
      </c>
      <c r="AP341">
        <v>9897</v>
      </c>
      <c r="AQ341" t="s">
        <v>4480</v>
      </c>
      <c r="AR341" t="s">
        <v>4481</v>
      </c>
      <c r="AS341">
        <v>81</v>
      </c>
      <c r="AT341" t="s">
        <v>3070</v>
      </c>
      <c r="AW341" t="str">
        <f>Plan_2026[[#This Row],[Tên brand]]&amp;" "&amp;Plan_2026[[#This Row],[Trục đường chính]]&amp;Plan_2026[[#This Row],[Tên mall
(chuẩn hóa)]]&amp;Plan_2026[[#This Row],[Địa chỉ đầy đủ]]</f>
        <v xml:space="preserve">The Coffee House </v>
      </c>
    </row>
    <row r="342" spans="1:49" hidden="1" x14ac:dyDescent="0.35">
      <c r="A342">
        <v>332</v>
      </c>
      <c r="B342" t="s">
        <v>2478</v>
      </c>
      <c r="C342" t="s">
        <v>2787</v>
      </c>
      <c r="D342" t="s">
        <v>3111</v>
      </c>
      <c r="E342">
        <v>2025</v>
      </c>
      <c r="F342">
        <v>4</v>
      </c>
      <c r="G342">
        <v>12</v>
      </c>
      <c r="H342">
        <v>4</v>
      </c>
      <c r="J342" t="s">
        <v>350</v>
      </c>
      <c r="K342" t="s">
        <v>2704</v>
      </c>
      <c r="L342" t="s">
        <v>3052</v>
      </c>
      <c r="M342" t="s">
        <v>3053</v>
      </c>
      <c r="N342" t="s">
        <v>3054</v>
      </c>
      <c r="O342" t="s">
        <v>4420</v>
      </c>
      <c r="P342" t="s">
        <v>5019</v>
      </c>
      <c r="Q342" t="s">
        <v>2709</v>
      </c>
      <c r="R342" t="s">
        <v>2751</v>
      </c>
      <c r="S342" t="s">
        <v>2751</v>
      </c>
      <c r="T342" t="s">
        <v>2790</v>
      </c>
      <c r="U342" t="s">
        <v>2790</v>
      </c>
      <c r="V342">
        <v>1</v>
      </c>
      <c r="W342" t="s">
        <v>2713</v>
      </c>
      <c r="X342" t="s">
        <v>5019</v>
      </c>
      <c r="Z342">
        <v>132</v>
      </c>
      <c r="AB342" t="s">
        <v>2716</v>
      </c>
      <c r="AC342" t="s">
        <v>2738</v>
      </c>
      <c r="AE342">
        <v>0</v>
      </c>
      <c r="AF342" t="s">
        <v>5020</v>
      </c>
      <c r="AG342" t="s">
        <v>2908</v>
      </c>
      <c r="AH342" t="s">
        <v>1788</v>
      </c>
      <c r="AI342">
        <v>45992</v>
      </c>
      <c r="AJ342">
        <v>12</v>
      </c>
      <c r="AK342" t="s">
        <v>4422</v>
      </c>
      <c r="AM342" t="s">
        <v>4424</v>
      </c>
      <c r="AN342" t="s">
        <v>2793</v>
      </c>
      <c r="AO342" t="s">
        <v>4425</v>
      </c>
      <c r="AP342">
        <v>12535</v>
      </c>
      <c r="AQ342" t="s">
        <v>4426</v>
      </c>
      <c r="AR342" t="s">
        <v>4427</v>
      </c>
      <c r="AS342">
        <v>81</v>
      </c>
      <c r="AT342" t="s">
        <v>4428</v>
      </c>
      <c r="AW342" t="str">
        <f>Plan_2026[[#This Row],[Tên brand]]&amp;" "&amp;Plan_2026[[#This Row],[Trục đường chính]]&amp;Plan_2026[[#This Row],[Tên mall
(chuẩn hóa)]]&amp;Plan_2026[[#This Row],[Địa chỉ đầy đủ]]</f>
        <v>The Coffee House Hoàng Sa, Trường Sa</v>
      </c>
    </row>
    <row r="343" spans="1:49" hidden="1" x14ac:dyDescent="0.35">
      <c r="A343">
        <v>333</v>
      </c>
      <c r="B343" t="s">
        <v>2583</v>
      </c>
      <c r="C343" t="s">
        <v>2787</v>
      </c>
      <c r="D343" t="s">
        <v>3111</v>
      </c>
      <c r="E343">
        <v>2026</v>
      </c>
      <c r="F343">
        <v>2</v>
      </c>
      <c r="G343">
        <v>5</v>
      </c>
      <c r="H343">
        <v>9</v>
      </c>
      <c r="J343" t="s">
        <v>350</v>
      </c>
      <c r="K343" t="s">
        <v>2704</v>
      </c>
      <c r="L343" t="s">
        <v>3052</v>
      </c>
      <c r="M343" t="s">
        <v>3053</v>
      </c>
      <c r="N343" t="s">
        <v>4321</v>
      </c>
      <c r="O343" t="s">
        <v>4527</v>
      </c>
      <c r="P343" t="s">
        <v>2584</v>
      </c>
      <c r="Q343" t="s">
        <v>2709</v>
      </c>
      <c r="R343" t="s">
        <v>2751</v>
      </c>
      <c r="S343" t="s">
        <v>2751</v>
      </c>
      <c r="T343" t="s">
        <v>2790</v>
      </c>
      <c r="U343" t="s">
        <v>2790</v>
      </c>
      <c r="V343">
        <v>1</v>
      </c>
      <c r="W343" t="s">
        <v>2713</v>
      </c>
      <c r="Z343">
        <v>132</v>
      </c>
      <c r="AB343" t="s">
        <v>2716</v>
      </c>
      <c r="AC343" t="s">
        <v>2738</v>
      </c>
      <c r="AE343">
        <v>0</v>
      </c>
      <c r="AF343" t="s">
        <v>4519</v>
      </c>
      <c r="AG343" t="s">
        <v>2908</v>
      </c>
      <c r="AH343" t="s">
        <v>1788</v>
      </c>
      <c r="AI343">
        <v>46143</v>
      </c>
      <c r="AJ343">
        <v>5</v>
      </c>
      <c r="AK343" t="s">
        <v>4872</v>
      </c>
      <c r="AM343" t="s">
        <v>4873</v>
      </c>
      <c r="AN343" t="s">
        <v>2793</v>
      </c>
      <c r="AO343" t="s">
        <v>5021</v>
      </c>
      <c r="AP343">
        <v>12424</v>
      </c>
      <c r="AQ343" t="s">
        <v>4875</v>
      </c>
      <c r="AR343" t="s">
        <v>4876</v>
      </c>
      <c r="AS343">
        <v>81</v>
      </c>
      <c r="AT343" t="s">
        <v>4914</v>
      </c>
      <c r="AW343" t="str">
        <f>Plan_2026[[#This Row],[Tên brand]]&amp;" "&amp;Plan_2026[[#This Row],[Trục đường chính]]&amp;Plan_2026[[#This Row],[Tên mall
(chuẩn hóa)]]&amp;Plan_2026[[#This Row],[Địa chỉ đầy đủ]]</f>
        <v>The Coffee House khu sư van hạnh/ Lý Thái Tổ/Cửu Long/Thành Thái/
Tô Hiến Thành/Hồ Bá Kiện</v>
      </c>
    </row>
    <row r="344" spans="1:49" hidden="1" x14ac:dyDescent="0.35">
      <c r="A344">
        <v>334</v>
      </c>
      <c r="B344" t="s">
        <v>5022</v>
      </c>
      <c r="C344" t="s">
        <v>2008</v>
      </c>
      <c r="D344" t="s">
        <v>2728</v>
      </c>
      <c r="E344">
        <v>2026</v>
      </c>
      <c r="F344">
        <v>3</v>
      </c>
      <c r="G344">
        <v>8</v>
      </c>
      <c r="H344">
        <v>12</v>
      </c>
      <c r="J344" t="s">
        <v>350</v>
      </c>
      <c r="K344" t="s">
        <v>2704</v>
      </c>
      <c r="L344" t="s">
        <v>3052</v>
      </c>
      <c r="M344" t="s">
        <v>3053</v>
      </c>
      <c r="N344" t="s">
        <v>3054</v>
      </c>
      <c r="O344" t="s">
        <v>4475</v>
      </c>
      <c r="P344" t="s">
        <v>5023</v>
      </c>
      <c r="Q344" t="s">
        <v>2709</v>
      </c>
      <c r="R344" t="s">
        <v>2751</v>
      </c>
      <c r="S344" t="s">
        <v>2751</v>
      </c>
      <c r="T344" t="s">
        <v>2712</v>
      </c>
      <c r="U344" t="s">
        <v>2712</v>
      </c>
      <c r="V344">
        <v>1</v>
      </c>
      <c r="W344" t="s">
        <v>2735</v>
      </c>
      <c r="X344" t="s">
        <v>5023</v>
      </c>
      <c r="Z344">
        <v>160</v>
      </c>
      <c r="AB344" t="s">
        <v>2716</v>
      </c>
      <c r="AC344" t="s">
        <v>2763</v>
      </c>
      <c r="AE344">
        <v>1</v>
      </c>
      <c r="AF344" t="s">
        <v>5024</v>
      </c>
      <c r="AH344" t="s">
        <v>2044</v>
      </c>
      <c r="AI344">
        <v>46235</v>
      </c>
      <c r="AJ344">
        <v>8</v>
      </c>
      <c r="AK344" t="s">
        <v>4477</v>
      </c>
      <c r="AM344" t="s">
        <v>4478</v>
      </c>
      <c r="AN344" t="s">
        <v>2767</v>
      </c>
      <c r="AO344" t="s">
        <v>5025</v>
      </c>
      <c r="AP344">
        <v>9897</v>
      </c>
      <c r="AQ344" t="s">
        <v>4480</v>
      </c>
      <c r="AR344" t="s">
        <v>4481</v>
      </c>
      <c r="AS344">
        <v>6</v>
      </c>
      <c r="AT344" t="s">
        <v>2835</v>
      </c>
      <c r="AW344" t="str">
        <f>Plan_2026[[#This Row],[Tên brand]]&amp;" "&amp;Plan_2026[[#This Row],[Trục đường chính]]&amp;Plan_2026[[#This Row],[Tên mall
(chuẩn hóa)]]&amp;Plan_2026[[#This Row],[Địa chỉ đầy đủ]]</f>
        <v>Dao Niu Guo 136 Hàm Nghi</v>
      </c>
    </row>
    <row r="345" spans="1:49" hidden="1" x14ac:dyDescent="0.35">
      <c r="A345">
        <v>378</v>
      </c>
      <c r="B345" t="s">
        <v>5026</v>
      </c>
      <c r="C345" t="s">
        <v>2008</v>
      </c>
      <c r="D345" t="s">
        <v>2728</v>
      </c>
      <c r="E345">
        <v>2026</v>
      </c>
      <c r="F345">
        <v>1</v>
      </c>
      <c r="G345">
        <v>2</v>
      </c>
      <c r="H345">
        <v>6</v>
      </c>
      <c r="J345" t="s">
        <v>350</v>
      </c>
      <c r="K345" t="s">
        <v>2704</v>
      </c>
      <c r="L345" t="s">
        <v>3052</v>
      </c>
      <c r="M345" t="s">
        <v>3053</v>
      </c>
      <c r="N345" t="s">
        <v>4845</v>
      </c>
      <c r="O345" t="s">
        <v>4846</v>
      </c>
      <c r="P345" t="s">
        <v>5027</v>
      </c>
      <c r="Q345" t="s">
        <v>2709</v>
      </c>
      <c r="R345" t="s">
        <v>2751</v>
      </c>
      <c r="S345" t="s">
        <v>2751</v>
      </c>
      <c r="T345">
        <v>300</v>
      </c>
      <c r="U345" t="s">
        <v>2762</v>
      </c>
      <c r="V345">
        <v>1</v>
      </c>
      <c r="W345" t="s">
        <v>2735</v>
      </c>
      <c r="Z345">
        <v>160</v>
      </c>
      <c r="AB345" t="s">
        <v>1794</v>
      </c>
      <c r="AC345" t="s">
        <v>2763</v>
      </c>
      <c r="AE345">
        <v>1</v>
      </c>
      <c r="AF345" t="s">
        <v>5028</v>
      </c>
      <c r="AH345" t="s">
        <v>2044</v>
      </c>
      <c r="AI345">
        <v>46054</v>
      </c>
      <c r="AJ345">
        <v>2</v>
      </c>
      <c r="AK345" t="s">
        <v>4848</v>
      </c>
      <c r="AM345" t="s">
        <v>4849</v>
      </c>
      <c r="AN345" t="s">
        <v>2767</v>
      </c>
      <c r="AO345" t="s">
        <v>5029</v>
      </c>
      <c r="AP345">
        <v>4403</v>
      </c>
      <c r="AQ345" t="s">
        <v>4851</v>
      </c>
      <c r="AR345" t="s">
        <v>4852</v>
      </c>
      <c r="AS345">
        <v>6</v>
      </c>
      <c r="AT345" t="s">
        <v>4783</v>
      </c>
      <c r="AW345" t="str">
        <f>Plan_2026[[#This Row],[Tên brand]]&amp;" "&amp;Plan_2026[[#This Row],[Trục đường chính]]&amp;Plan_2026[[#This Row],[Tên mall
(chuẩn hóa)]]&amp;Plan_2026[[#This Row],[Địa chỉ đầy đủ]]</f>
        <v>Dao Niu Guo Nguyễn Thị Thập</v>
      </c>
    </row>
    <row r="346" spans="1:49" hidden="1" x14ac:dyDescent="0.35">
      <c r="A346">
        <v>379</v>
      </c>
      <c r="B346" t="s">
        <v>5030</v>
      </c>
      <c r="C346" t="s">
        <v>2008</v>
      </c>
      <c r="D346" t="s">
        <v>2728</v>
      </c>
      <c r="E346">
        <v>2026</v>
      </c>
      <c r="F346">
        <v>1</v>
      </c>
      <c r="G346">
        <v>2</v>
      </c>
      <c r="H346">
        <v>6</v>
      </c>
      <c r="J346" t="s">
        <v>350</v>
      </c>
      <c r="K346" t="s">
        <v>2704</v>
      </c>
      <c r="L346" t="s">
        <v>3052</v>
      </c>
      <c r="M346" t="s">
        <v>3053</v>
      </c>
      <c r="N346" t="s">
        <v>5031</v>
      </c>
      <c r="O346" t="s">
        <v>5032</v>
      </c>
      <c r="P346" t="s">
        <v>5033</v>
      </c>
      <c r="Q346" t="s">
        <v>2709</v>
      </c>
      <c r="R346" t="s">
        <v>2751</v>
      </c>
      <c r="S346" t="s">
        <v>2751</v>
      </c>
      <c r="T346">
        <v>300</v>
      </c>
      <c r="U346" t="s">
        <v>2762</v>
      </c>
      <c r="V346">
        <v>1</v>
      </c>
      <c r="W346" t="s">
        <v>2735</v>
      </c>
      <c r="Z346">
        <v>160</v>
      </c>
      <c r="AB346" t="s">
        <v>1794</v>
      </c>
      <c r="AC346" t="s">
        <v>2763</v>
      </c>
      <c r="AE346">
        <v>1</v>
      </c>
      <c r="AF346" t="s">
        <v>5028</v>
      </c>
      <c r="AH346" t="s">
        <v>2044</v>
      </c>
      <c r="AI346">
        <v>46054</v>
      </c>
      <c r="AJ346">
        <v>2</v>
      </c>
      <c r="AK346" t="s">
        <v>5034</v>
      </c>
      <c r="AM346" t="s">
        <v>5035</v>
      </c>
      <c r="AN346" t="s">
        <v>2767</v>
      </c>
      <c r="AO346" t="s">
        <v>5036</v>
      </c>
      <c r="AP346">
        <v>17352</v>
      </c>
      <c r="AQ346" t="s">
        <v>5037</v>
      </c>
      <c r="AR346" t="s">
        <v>5038</v>
      </c>
      <c r="AS346">
        <v>6</v>
      </c>
      <c r="AT346" t="s">
        <v>3157</v>
      </c>
      <c r="AW346" t="str">
        <f>Plan_2026[[#This Row],[Tên brand]]&amp;" "&amp;Plan_2026[[#This Row],[Trục đường chính]]&amp;Plan_2026[[#This Row],[Tên mall
(chuẩn hóa)]]&amp;Plan_2026[[#This Row],[Địa chỉ đầy đủ]]</f>
        <v>Dao Niu Guo Phan Xích Long</v>
      </c>
    </row>
    <row r="347" spans="1:49" hidden="1" x14ac:dyDescent="0.35">
      <c r="A347">
        <v>380</v>
      </c>
      <c r="B347" t="s">
        <v>5039</v>
      </c>
      <c r="C347" t="s">
        <v>2008</v>
      </c>
      <c r="D347" t="s">
        <v>2728</v>
      </c>
      <c r="E347">
        <v>2026</v>
      </c>
      <c r="F347">
        <v>1</v>
      </c>
      <c r="G347">
        <v>2</v>
      </c>
      <c r="H347">
        <v>6</v>
      </c>
      <c r="J347" t="s">
        <v>350</v>
      </c>
      <c r="K347" t="s">
        <v>2704</v>
      </c>
      <c r="L347" t="s">
        <v>3052</v>
      </c>
      <c r="M347" t="s">
        <v>3053</v>
      </c>
      <c r="N347" t="s">
        <v>4411</v>
      </c>
      <c r="O347" t="s">
        <v>4312</v>
      </c>
      <c r="P347" t="s">
        <v>5040</v>
      </c>
      <c r="Q347" t="s">
        <v>2709</v>
      </c>
      <c r="R347" t="s">
        <v>2751</v>
      </c>
      <c r="S347" t="s">
        <v>2751</v>
      </c>
      <c r="T347">
        <v>300</v>
      </c>
      <c r="U347" t="s">
        <v>2762</v>
      </c>
      <c r="V347">
        <v>1</v>
      </c>
      <c r="W347" t="s">
        <v>2735</v>
      </c>
      <c r="Z347">
        <v>160</v>
      </c>
      <c r="AB347" t="s">
        <v>1794</v>
      </c>
      <c r="AC347" t="s">
        <v>2763</v>
      </c>
      <c r="AE347">
        <v>1</v>
      </c>
      <c r="AF347" t="s">
        <v>5041</v>
      </c>
      <c r="AH347" t="s">
        <v>2044</v>
      </c>
      <c r="AI347">
        <v>46054</v>
      </c>
      <c r="AJ347">
        <v>2</v>
      </c>
      <c r="AK347" t="s">
        <v>5042</v>
      </c>
      <c r="AM347" t="s">
        <v>5043</v>
      </c>
      <c r="AN347" t="s">
        <v>2767</v>
      </c>
      <c r="AO347" t="s">
        <v>5044</v>
      </c>
      <c r="AP347">
        <v>20576</v>
      </c>
      <c r="AQ347" t="s">
        <v>5045</v>
      </c>
      <c r="AR347" t="s">
        <v>5046</v>
      </c>
      <c r="AS347">
        <v>6</v>
      </c>
      <c r="AT347" t="s">
        <v>3157</v>
      </c>
      <c r="AW347" t="str">
        <f>Plan_2026[[#This Row],[Tên brand]]&amp;" "&amp;Plan_2026[[#This Row],[Trục đường chính]]&amp;Plan_2026[[#This Row],[Tên mall
(chuẩn hóa)]]&amp;Plan_2026[[#This Row],[Địa chỉ đầy đủ]]</f>
        <v>Dao Niu Guo Lê Văn Sĩ</v>
      </c>
    </row>
    <row r="348" spans="1:49" hidden="1" x14ac:dyDescent="0.35">
      <c r="A348">
        <v>383</v>
      </c>
      <c r="B348" t="s">
        <v>2200</v>
      </c>
      <c r="C348" t="s">
        <v>2008</v>
      </c>
      <c r="D348" t="s">
        <v>2728</v>
      </c>
      <c r="E348">
        <v>2026</v>
      </c>
      <c r="F348">
        <v>1</v>
      </c>
      <c r="G348">
        <v>2</v>
      </c>
      <c r="H348">
        <v>6</v>
      </c>
      <c r="J348" t="s">
        <v>350</v>
      </c>
      <c r="K348" t="s">
        <v>2704</v>
      </c>
      <c r="L348" t="s">
        <v>3052</v>
      </c>
      <c r="M348" t="s">
        <v>3053</v>
      </c>
      <c r="N348" t="s">
        <v>4321</v>
      </c>
      <c r="O348" t="s">
        <v>2760</v>
      </c>
      <c r="P348" t="s">
        <v>5047</v>
      </c>
      <c r="Q348" t="s">
        <v>2709</v>
      </c>
      <c r="R348" t="s">
        <v>2751</v>
      </c>
      <c r="S348" t="s">
        <v>2751</v>
      </c>
      <c r="T348">
        <v>300</v>
      </c>
      <c r="U348" t="s">
        <v>2762</v>
      </c>
      <c r="V348">
        <v>1</v>
      </c>
      <c r="W348" t="s">
        <v>2735</v>
      </c>
      <c r="Z348">
        <v>160</v>
      </c>
      <c r="AB348" t="s">
        <v>1794</v>
      </c>
      <c r="AC348" t="s">
        <v>2763</v>
      </c>
      <c r="AE348">
        <v>1</v>
      </c>
      <c r="AF348" t="s">
        <v>2779</v>
      </c>
      <c r="AH348" t="s">
        <v>2044</v>
      </c>
      <c r="AI348">
        <v>46054</v>
      </c>
      <c r="AJ348">
        <v>2</v>
      </c>
      <c r="AK348" t="s">
        <v>5048</v>
      </c>
      <c r="AM348" t="s">
        <v>5049</v>
      </c>
      <c r="AN348" t="s">
        <v>2767</v>
      </c>
      <c r="AO348" t="s">
        <v>5050</v>
      </c>
      <c r="AP348">
        <v>30764</v>
      </c>
      <c r="AQ348" t="s">
        <v>5051</v>
      </c>
      <c r="AR348" t="s">
        <v>5052</v>
      </c>
      <c r="AS348">
        <v>6</v>
      </c>
      <c r="AT348" t="s">
        <v>3157</v>
      </c>
      <c r="AW348" t="str">
        <f>Plan_2026[[#This Row],[Tên brand]]&amp;" "&amp;Plan_2026[[#This Row],[Trục đường chính]]&amp;Plan_2026[[#This Row],[Tên mall
(chuẩn hóa)]]&amp;Plan_2026[[#This Row],[Địa chỉ đầy đủ]]</f>
        <v>Dao Niu Guo Nguyễn Tri Phương</v>
      </c>
    </row>
    <row r="349" spans="1:49" hidden="1" x14ac:dyDescent="0.35">
      <c r="A349">
        <v>385</v>
      </c>
      <c r="B349" t="s">
        <v>5053</v>
      </c>
      <c r="C349" t="s">
        <v>3208</v>
      </c>
      <c r="D349" t="s">
        <v>2850</v>
      </c>
      <c r="E349">
        <v>2026</v>
      </c>
      <c r="F349">
        <v>1</v>
      </c>
      <c r="G349">
        <v>2</v>
      </c>
      <c r="H349">
        <v>6</v>
      </c>
      <c r="J349" t="s">
        <v>350</v>
      </c>
      <c r="K349" t="s">
        <v>2704</v>
      </c>
      <c r="L349" t="s">
        <v>3052</v>
      </c>
      <c r="M349" t="s">
        <v>3053</v>
      </c>
      <c r="N349" t="s">
        <v>4551</v>
      </c>
      <c r="O349" t="s">
        <v>4771</v>
      </c>
      <c r="P349" t="s">
        <v>2588</v>
      </c>
      <c r="Q349" t="s">
        <v>2732</v>
      </c>
      <c r="R349" t="s">
        <v>2710</v>
      </c>
      <c r="S349" t="s">
        <v>2710</v>
      </c>
      <c r="T349" t="s">
        <v>3211</v>
      </c>
      <c r="U349" t="s">
        <v>2712</v>
      </c>
      <c r="V349">
        <v>1</v>
      </c>
      <c r="W349" t="s">
        <v>2735</v>
      </c>
      <c r="X349" t="s">
        <v>4687</v>
      </c>
      <c r="Y349" t="s">
        <v>4687</v>
      </c>
      <c r="Z349" t="s">
        <v>2715</v>
      </c>
      <c r="AB349" t="s">
        <v>1794</v>
      </c>
      <c r="AC349" t="s">
        <v>2952</v>
      </c>
      <c r="AE349">
        <v>1</v>
      </c>
      <c r="AF349" t="s">
        <v>5054</v>
      </c>
      <c r="AH349" t="s">
        <v>51</v>
      </c>
      <c r="AI349">
        <v>46054</v>
      </c>
      <c r="AJ349">
        <v>2</v>
      </c>
      <c r="AK349" t="s">
        <v>4773</v>
      </c>
      <c r="AM349" t="s">
        <v>4774</v>
      </c>
      <c r="AN349" t="s">
        <v>3264</v>
      </c>
      <c r="AO349" t="s">
        <v>4688</v>
      </c>
      <c r="AP349">
        <v>998</v>
      </c>
      <c r="AQ349" t="s">
        <v>4776</v>
      </c>
      <c r="AR349" t="s">
        <v>4777</v>
      </c>
      <c r="AS349">
        <v>11</v>
      </c>
      <c r="AT349" t="s">
        <v>5055</v>
      </c>
      <c r="AW349" t="str">
        <f>Plan_2026[[#This Row],[Tên brand]]&amp;" "&amp;Plan_2026[[#This Row],[Trục đường chính]]&amp;Plan_2026[[#This Row],[Tên mall
(chuẩn hóa)]]&amp;Plan_2026[[#This Row],[Địa chỉ đầy đủ]]</f>
        <v>Sumogoya 10 Mai Chí ThọThiso Mall Sala</v>
      </c>
    </row>
    <row r="350" spans="1:49" hidden="1" x14ac:dyDescent="0.35">
      <c r="A350">
        <v>393</v>
      </c>
      <c r="B350" t="s">
        <v>5056</v>
      </c>
      <c r="C350" t="s">
        <v>62</v>
      </c>
      <c r="D350" t="s">
        <v>3463</v>
      </c>
      <c r="E350">
        <v>2026</v>
      </c>
      <c r="F350">
        <v>2</v>
      </c>
      <c r="G350">
        <v>4</v>
      </c>
      <c r="H350">
        <v>8</v>
      </c>
      <c r="J350" t="s">
        <v>350</v>
      </c>
      <c r="K350" t="s">
        <v>2774</v>
      </c>
      <c r="L350" t="s">
        <v>3052</v>
      </c>
      <c r="M350" t="s">
        <v>3053</v>
      </c>
      <c r="N350" t="s">
        <v>4551</v>
      </c>
      <c r="O350" t="s">
        <v>4552</v>
      </c>
      <c r="P350" t="s">
        <v>5057</v>
      </c>
      <c r="Q350" t="s">
        <v>2709</v>
      </c>
      <c r="R350" t="s">
        <v>2751</v>
      </c>
      <c r="S350" t="s">
        <v>2751</v>
      </c>
      <c r="T350" t="s">
        <v>2712</v>
      </c>
      <c r="U350" t="s">
        <v>2712</v>
      </c>
      <c r="V350">
        <v>1</v>
      </c>
      <c r="W350" t="s">
        <v>3114</v>
      </c>
      <c r="Z350">
        <v>300</v>
      </c>
      <c r="AB350" t="s">
        <v>2716</v>
      </c>
      <c r="AC350" t="s">
        <v>2738</v>
      </c>
      <c r="AE350">
        <v>0</v>
      </c>
      <c r="AF350" t="s">
        <v>3114</v>
      </c>
      <c r="AH350" t="s">
        <v>61</v>
      </c>
      <c r="AI350">
        <v>46113</v>
      </c>
      <c r="AJ350">
        <v>4</v>
      </c>
      <c r="AK350" t="s">
        <v>4556</v>
      </c>
      <c r="AM350" t="s">
        <v>4557</v>
      </c>
      <c r="AN350" t="s">
        <v>2944</v>
      </c>
      <c r="AO350" t="s">
        <v>5058</v>
      </c>
      <c r="AP350">
        <v>5770</v>
      </c>
      <c r="AQ350" t="s">
        <v>4559</v>
      </c>
      <c r="AR350" t="s">
        <v>4560</v>
      </c>
      <c r="AS350">
        <v>25</v>
      </c>
      <c r="AT350" t="s">
        <v>2755</v>
      </c>
      <c r="AW350" t="str">
        <f>Plan_2026[[#This Row],[Tên brand]]&amp;" "&amp;Plan_2026[[#This Row],[Trục đường chính]]&amp;Plan_2026[[#This Row],[Tên mall
(chuẩn hóa)]]&amp;Plan_2026[[#This Row],[Địa chỉ đầy đủ]]</f>
        <v>Isushi Xuân Thủy, Thảo Điền, Sông Hàn, Trần Mão</v>
      </c>
    </row>
    <row r="351" spans="1:49" hidden="1" x14ac:dyDescent="0.35">
      <c r="A351">
        <v>394</v>
      </c>
      <c r="B351" t="s">
        <v>1348</v>
      </c>
      <c r="C351" t="s">
        <v>2702</v>
      </c>
      <c r="D351" t="s">
        <v>3051</v>
      </c>
      <c r="E351">
        <v>2026</v>
      </c>
      <c r="F351">
        <v>3</v>
      </c>
      <c r="G351">
        <v>7</v>
      </c>
      <c r="H351">
        <v>11</v>
      </c>
      <c r="J351" t="s">
        <v>350</v>
      </c>
      <c r="K351" t="s">
        <v>2704</v>
      </c>
      <c r="L351" t="s">
        <v>3052</v>
      </c>
      <c r="M351" t="s">
        <v>3053</v>
      </c>
      <c r="N351" t="s">
        <v>4722</v>
      </c>
      <c r="O351" t="s">
        <v>4722</v>
      </c>
      <c r="P351" t="s">
        <v>5059</v>
      </c>
      <c r="Q351" t="s">
        <v>2709</v>
      </c>
      <c r="R351">
        <v>8</v>
      </c>
      <c r="S351" t="s">
        <v>2710</v>
      </c>
      <c r="T351" t="s">
        <v>2711</v>
      </c>
      <c r="U351" t="s">
        <v>2712</v>
      </c>
      <c r="V351">
        <v>1</v>
      </c>
      <c r="W351" t="s">
        <v>3114</v>
      </c>
      <c r="X351" t="s">
        <v>5060</v>
      </c>
      <c r="Z351" t="s">
        <v>2715</v>
      </c>
      <c r="AB351" t="s">
        <v>2716</v>
      </c>
      <c r="AC351" t="s">
        <v>2952</v>
      </c>
      <c r="AE351">
        <v>1</v>
      </c>
      <c r="AF351" t="s">
        <v>5061</v>
      </c>
      <c r="AH351" t="s">
        <v>76</v>
      </c>
      <c r="AI351">
        <v>46204</v>
      </c>
      <c r="AJ351">
        <v>7</v>
      </c>
      <c r="AK351" t="s">
        <v>5062</v>
      </c>
      <c r="AM351" t="s">
        <v>5063</v>
      </c>
      <c r="AN351" t="s">
        <v>2721</v>
      </c>
      <c r="AO351" t="s">
        <v>5064</v>
      </c>
      <c r="AP351">
        <v>2015</v>
      </c>
      <c r="AQ351" t="s">
        <v>5065</v>
      </c>
      <c r="AR351" t="s">
        <v>5066</v>
      </c>
      <c r="AS351">
        <v>144</v>
      </c>
      <c r="AT351" t="s">
        <v>4720</v>
      </c>
      <c r="AW351" t="str">
        <f>Plan_2026[[#This Row],[Tên brand]]&amp;" "&amp;Plan_2026[[#This Row],[Trục đường chính]]&amp;Plan_2026[[#This Row],[Tên mall
(chuẩn hóa)]]&amp;Plan_2026[[#This Row],[Địa chỉ đầy đủ]]</f>
        <v>Gogi House 83 Huỳnh Tấn Phát</v>
      </c>
    </row>
    <row r="352" spans="1:49" hidden="1" x14ac:dyDescent="0.35">
      <c r="A352">
        <v>395</v>
      </c>
      <c r="B352" t="s">
        <v>1043</v>
      </c>
      <c r="C352" t="s">
        <v>2702</v>
      </c>
      <c r="D352" t="s">
        <v>3051</v>
      </c>
      <c r="E352">
        <v>2026</v>
      </c>
      <c r="F352">
        <v>3</v>
      </c>
      <c r="G352">
        <v>7</v>
      </c>
      <c r="H352">
        <v>11</v>
      </c>
      <c r="J352" t="s">
        <v>350</v>
      </c>
      <c r="K352" t="s">
        <v>2704</v>
      </c>
      <c r="L352" t="s">
        <v>3052</v>
      </c>
      <c r="M352" t="s">
        <v>3053</v>
      </c>
      <c r="N352" t="s">
        <v>4321</v>
      </c>
      <c r="O352" t="s">
        <v>4330</v>
      </c>
      <c r="P352" t="s">
        <v>5067</v>
      </c>
      <c r="Q352" t="s">
        <v>2709</v>
      </c>
      <c r="R352">
        <v>8</v>
      </c>
      <c r="S352" t="s">
        <v>2710</v>
      </c>
      <c r="T352" t="s">
        <v>2711</v>
      </c>
      <c r="U352" t="s">
        <v>2712</v>
      </c>
      <c r="V352">
        <v>1</v>
      </c>
      <c r="W352" t="s">
        <v>3114</v>
      </c>
      <c r="Z352" t="s">
        <v>2715</v>
      </c>
      <c r="AB352" t="s">
        <v>2716</v>
      </c>
      <c r="AC352" t="s">
        <v>2952</v>
      </c>
      <c r="AE352">
        <v>1</v>
      </c>
      <c r="AH352" t="s">
        <v>76</v>
      </c>
      <c r="AI352">
        <v>46204</v>
      </c>
      <c r="AJ352">
        <v>7</v>
      </c>
      <c r="AK352" t="s">
        <v>4332</v>
      </c>
      <c r="AM352" t="s">
        <v>4333</v>
      </c>
      <c r="AN352" t="s">
        <v>2721</v>
      </c>
      <c r="AO352" t="s">
        <v>4334</v>
      </c>
      <c r="AP352">
        <v>20574</v>
      </c>
      <c r="AQ352" t="s">
        <v>4335</v>
      </c>
      <c r="AR352" t="s">
        <v>4336</v>
      </c>
      <c r="AS352">
        <v>144</v>
      </c>
      <c r="AT352" t="s">
        <v>4337</v>
      </c>
      <c r="AW352" t="str">
        <f>Plan_2026[[#This Row],[Tên brand]]&amp;" "&amp;Plan_2026[[#This Row],[Trục đường chính]]&amp;Plan_2026[[#This Row],[Tên mall
(chuẩn hóa)]]&amp;Plan_2026[[#This Row],[Địa chỉ đầy đủ]]</f>
        <v>Gogi House Đường Đồng nai</v>
      </c>
    </row>
    <row r="353" spans="1:49" hidden="1" x14ac:dyDescent="0.35">
      <c r="A353">
        <v>395</v>
      </c>
      <c r="B353" t="s">
        <v>5068</v>
      </c>
      <c r="C353" t="s">
        <v>2787</v>
      </c>
      <c r="D353" t="s">
        <v>3111</v>
      </c>
      <c r="E353">
        <v>2026</v>
      </c>
      <c r="F353">
        <v>3</v>
      </c>
      <c r="G353">
        <v>7</v>
      </c>
      <c r="H353">
        <v>11</v>
      </c>
      <c r="J353" t="s">
        <v>350</v>
      </c>
      <c r="K353" t="s">
        <v>2704</v>
      </c>
      <c r="L353" t="s">
        <v>3052</v>
      </c>
      <c r="M353" t="s">
        <v>3053</v>
      </c>
      <c r="N353" t="s">
        <v>4733</v>
      </c>
      <c r="O353" t="s">
        <v>4301</v>
      </c>
      <c r="P353" t="s">
        <v>5069</v>
      </c>
      <c r="Q353" t="s">
        <v>2810</v>
      </c>
      <c r="R353" t="s">
        <v>2710</v>
      </c>
      <c r="S353" t="s">
        <v>2710</v>
      </c>
      <c r="T353" t="s">
        <v>2800</v>
      </c>
      <c r="U353" t="s">
        <v>2800</v>
      </c>
      <c r="V353">
        <v>1</v>
      </c>
      <c r="W353" t="s">
        <v>3114</v>
      </c>
      <c r="X353" t="s">
        <v>5070</v>
      </c>
      <c r="Z353">
        <v>132</v>
      </c>
      <c r="AB353" t="s">
        <v>2716</v>
      </c>
      <c r="AC353" t="s">
        <v>3115</v>
      </c>
      <c r="AE353">
        <v>1</v>
      </c>
      <c r="AH353" t="s">
        <v>1788</v>
      </c>
      <c r="AI353">
        <v>46204</v>
      </c>
      <c r="AJ353">
        <v>7</v>
      </c>
      <c r="AK353" t="s">
        <v>5071</v>
      </c>
      <c r="AM353" t="s">
        <v>5072</v>
      </c>
      <c r="AN353" t="s">
        <v>2814</v>
      </c>
      <c r="AO353" t="s">
        <v>5073</v>
      </c>
      <c r="AP353">
        <v>29777</v>
      </c>
      <c r="AQ353" t="s">
        <v>5074</v>
      </c>
      <c r="AR353" t="s">
        <v>5075</v>
      </c>
      <c r="AS353">
        <v>81</v>
      </c>
      <c r="AT353" t="s">
        <v>4767</v>
      </c>
      <c r="AW353" t="str">
        <f>Plan_2026[[#This Row],[Tên brand]]&amp;" "&amp;Plan_2026[[#This Row],[Trục đường chính]]&amp;Plan_2026[[#This Row],[Tên mall
(chuẩn hóa)]]&amp;Plan_2026[[#This Row],[Địa chỉ đầy đủ]]</f>
        <v>The Coffee House Nam Á Bank, đường cách mạng T8</v>
      </c>
    </row>
    <row r="354" spans="1:49" hidden="1" x14ac:dyDescent="0.35">
      <c r="A354">
        <v>397</v>
      </c>
      <c r="B354" t="s">
        <v>5939</v>
      </c>
      <c r="C354" t="s">
        <v>2702</v>
      </c>
      <c r="D354" t="s">
        <v>3051</v>
      </c>
      <c r="E354">
        <v>2026</v>
      </c>
      <c r="F354">
        <v>3</v>
      </c>
      <c r="G354">
        <v>7</v>
      </c>
      <c r="H354">
        <v>11</v>
      </c>
      <c r="J354" t="s">
        <v>350</v>
      </c>
      <c r="K354" t="s">
        <v>2704</v>
      </c>
      <c r="L354" t="s">
        <v>3052</v>
      </c>
      <c r="M354" t="s">
        <v>3053</v>
      </c>
      <c r="N354" t="s">
        <v>4321</v>
      </c>
      <c r="O354" t="s">
        <v>4527</v>
      </c>
      <c r="P354" t="s">
        <v>5076</v>
      </c>
      <c r="Q354" t="s">
        <v>2810</v>
      </c>
      <c r="R354">
        <v>8</v>
      </c>
      <c r="S354" t="s">
        <v>2710</v>
      </c>
      <c r="T354">
        <v>220</v>
      </c>
      <c r="U354" t="s">
        <v>2712</v>
      </c>
      <c r="V354">
        <v>1</v>
      </c>
      <c r="W354" t="s">
        <v>3114</v>
      </c>
      <c r="X354" t="s">
        <v>5077</v>
      </c>
      <c r="Z354" t="s">
        <v>2715</v>
      </c>
      <c r="AB354" t="s">
        <v>2716</v>
      </c>
      <c r="AC354" t="s">
        <v>3115</v>
      </c>
      <c r="AE354">
        <v>1</v>
      </c>
      <c r="AF354" t="s">
        <v>5078</v>
      </c>
      <c r="AH354" t="s">
        <v>76</v>
      </c>
      <c r="AI354">
        <v>46204</v>
      </c>
      <c r="AJ354">
        <v>7</v>
      </c>
      <c r="AK354" t="s">
        <v>4872</v>
      </c>
      <c r="AM354" t="s">
        <v>4873</v>
      </c>
      <c r="AN354" t="s">
        <v>3763</v>
      </c>
      <c r="AO354" t="s">
        <v>4874</v>
      </c>
      <c r="AP354">
        <v>12424</v>
      </c>
      <c r="AQ354" t="s">
        <v>4875</v>
      </c>
      <c r="AR354" t="s">
        <v>4876</v>
      </c>
      <c r="AS354">
        <v>144</v>
      </c>
      <c r="AT354" t="s">
        <v>4877</v>
      </c>
      <c r="AW354" t="str">
        <f>Plan_2026[[#This Row],[Tên brand]]&amp;" "&amp;Plan_2026[[#This Row],[Trục đường chính]]&amp;Plan_2026[[#This Row],[Tên mall
(chuẩn hóa)]]&amp;Plan_2026[[#This Row],[Địa chỉ đầy đủ]]</f>
        <v>Gogi House số 285 Cách Mạng Tháng 8</v>
      </c>
    </row>
    <row r="355" spans="1:49" hidden="1" x14ac:dyDescent="0.35">
      <c r="A355">
        <v>398</v>
      </c>
      <c r="B355" t="s">
        <v>1756</v>
      </c>
      <c r="C355" t="s">
        <v>3861</v>
      </c>
      <c r="D355" t="s">
        <v>3862</v>
      </c>
      <c r="E355">
        <v>2026</v>
      </c>
      <c r="F355">
        <v>3</v>
      </c>
      <c r="G355">
        <v>7</v>
      </c>
      <c r="H355">
        <v>11</v>
      </c>
      <c r="J355" t="s">
        <v>350</v>
      </c>
      <c r="K355" t="s">
        <v>2704</v>
      </c>
      <c r="L355" t="s">
        <v>3052</v>
      </c>
      <c r="M355" t="s">
        <v>3053</v>
      </c>
      <c r="N355" t="s">
        <v>4338</v>
      </c>
      <c r="O355" t="s">
        <v>4330</v>
      </c>
      <c r="P355" t="s">
        <v>5079</v>
      </c>
      <c r="Q355" t="s">
        <v>2732</v>
      </c>
      <c r="R355" t="s">
        <v>2751</v>
      </c>
      <c r="S355" t="s">
        <v>2751</v>
      </c>
      <c r="T355" t="s">
        <v>2762</v>
      </c>
      <c r="U355" t="s">
        <v>2762</v>
      </c>
      <c r="V355">
        <v>1</v>
      </c>
      <c r="W355" t="s">
        <v>3114</v>
      </c>
      <c r="X355" t="s">
        <v>5080</v>
      </c>
      <c r="Y355" t="s">
        <v>5081</v>
      </c>
      <c r="Z355" t="s">
        <v>2715</v>
      </c>
      <c r="AB355" t="s">
        <v>1794</v>
      </c>
      <c r="AC355" t="s">
        <v>2763</v>
      </c>
      <c r="AE355">
        <v>1</v>
      </c>
      <c r="AF355" t="s">
        <v>5082</v>
      </c>
      <c r="AH355" t="s">
        <v>301</v>
      </c>
      <c r="AI355">
        <v>46204</v>
      </c>
      <c r="AJ355">
        <v>7</v>
      </c>
      <c r="AK355" t="s">
        <v>4340</v>
      </c>
      <c r="AM355" t="s">
        <v>4341</v>
      </c>
      <c r="AN355" t="s">
        <v>3866</v>
      </c>
      <c r="AO355" t="s">
        <v>5083</v>
      </c>
      <c r="AP355">
        <v>14649</v>
      </c>
      <c r="AQ355" t="s">
        <v>4343</v>
      </c>
      <c r="AR355" t="s">
        <v>4344</v>
      </c>
      <c r="AS355">
        <v>14</v>
      </c>
      <c r="AT355" t="s">
        <v>5084</v>
      </c>
      <c r="AW355" t="str">
        <f>Plan_2026[[#This Row],[Tên brand]]&amp;" "&amp;Plan_2026[[#This Row],[Trục đường chính]]&amp;Plan_2026[[#This Row],[Tên mall
(chuẩn hóa)]]&amp;Plan_2026[[#This Row],[Địa chỉ đầy đủ]]</f>
        <v>Lách ca lách cách Số 968 Đường 3 Tháng 2Lotte Mart Quận 11</v>
      </c>
    </row>
    <row r="356" spans="1:49" hidden="1" x14ac:dyDescent="0.35">
      <c r="A356">
        <v>399</v>
      </c>
      <c r="B356" t="s">
        <v>5085</v>
      </c>
      <c r="C356" t="s">
        <v>35</v>
      </c>
      <c r="D356" t="s">
        <v>2820</v>
      </c>
      <c r="E356">
        <v>2026</v>
      </c>
      <c r="F356">
        <v>3</v>
      </c>
      <c r="G356">
        <v>7</v>
      </c>
      <c r="H356">
        <v>11</v>
      </c>
      <c r="J356" t="s">
        <v>350</v>
      </c>
      <c r="K356" t="s">
        <v>2704</v>
      </c>
      <c r="L356" t="s">
        <v>3052</v>
      </c>
      <c r="M356" t="s">
        <v>3053</v>
      </c>
      <c r="N356" t="s">
        <v>4311</v>
      </c>
      <c r="O356" t="s">
        <v>2401</v>
      </c>
      <c r="Q356" t="s">
        <v>2709</v>
      </c>
      <c r="R356" t="s">
        <v>2751</v>
      </c>
      <c r="S356" t="s">
        <v>2751</v>
      </c>
      <c r="T356">
        <v>200</v>
      </c>
      <c r="U356" t="s">
        <v>2790</v>
      </c>
      <c r="V356">
        <v>1</v>
      </c>
      <c r="W356" t="s">
        <v>3114</v>
      </c>
      <c r="X356" t="s">
        <v>5086</v>
      </c>
      <c r="Z356" t="s">
        <v>2715</v>
      </c>
      <c r="AB356" t="s">
        <v>2716</v>
      </c>
      <c r="AC356" t="s">
        <v>2952</v>
      </c>
      <c r="AE356">
        <v>1</v>
      </c>
      <c r="AH356" t="s">
        <v>34</v>
      </c>
      <c r="AI356">
        <v>46204</v>
      </c>
      <c r="AJ356">
        <v>7</v>
      </c>
      <c r="AK356" t="s">
        <v>5087</v>
      </c>
      <c r="AM356" t="s">
        <v>5088</v>
      </c>
      <c r="AN356" t="s">
        <v>2911</v>
      </c>
      <c r="AO356" t="s">
        <v>5089</v>
      </c>
      <c r="AP356">
        <v>19574</v>
      </c>
      <c r="AQ356" t="s">
        <v>5090</v>
      </c>
      <c r="AR356" t="s">
        <v>5091</v>
      </c>
      <c r="AS356">
        <v>107</v>
      </c>
      <c r="AT356" t="s">
        <v>3856</v>
      </c>
      <c r="AW356" t="str">
        <f>Plan_2026[[#This Row],[Tên brand]]&amp;" "&amp;Plan_2026[[#This Row],[Trục đường chính]]&amp;Plan_2026[[#This Row],[Tên mall
(chuẩn hóa)]]&amp;Plan_2026[[#This Row],[Địa chỉ đầy đủ]]</f>
        <v xml:space="preserve">Kichi Kichi </v>
      </c>
    </row>
    <row r="357" spans="1:49" hidden="1" x14ac:dyDescent="0.35">
      <c r="A357">
        <v>400</v>
      </c>
      <c r="B357" t="s">
        <v>5092</v>
      </c>
      <c r="C357" t="s">
        <v>35</v>
      </c>
      <c r="D357" t="s">
        <v>2820</v>
      </c>
      <c r="E357">
        <v>2026</v>
      </c>
      <c r="F357">
        <v>3</v>
      </c>
      <c r="G357">
        <v>7</v>
      </c>
      <c r="H357">
        <v>11</v>
      </c>
      <c r="J357" t="s">
        <v>350</v>
      </c>
      <c r="K357" t="s">
        <v>2704</v>
      </c>
      <c r="L357" t="s">
        <v>3052</v>
      </c>
      <c r="M357" t="s">
        <v>3053</v>
      </c>
      <c r="N357" t="s">
        <v>4498</v>
      </c>
      <c r="O357" t="s">
        <v>4632</v>
      </c>
      <c r="Q357" t="s">
        <v>2709</v>
      </c>
      <c r="R357" t="s">
        <v>2751</v>
      </c>
      <c r="S357" t="s">
        <v>2751</v>
      </c>
      <c r="T357">
        <v>200</v>
      </c>
      <c r="U357" t="s">
        <v>2790</v>
      </c>
      <c r="V357">
        <v>1</v>
      </c>
      <c r="W357" t="s">
        <v>3114</v>
      </c>
      <c r="X357" t="s">
        <v>5093</v>
      </c>
      <c r="Z357" t="s">
        <v>2715</v>
      </c>
      <c r="AB357" t="s">
        <v>2716</v>
      </c>
      <c r="AC357" t="s">
        <v>2952</v>
      </c>
      <c r="AE357">
        <v>1</v>
      </c>
      <c r="AH357" t="s">
        <v>34</v>
      </c>
      <c r="AI357">
        <v>46204</v>
      </c>
      <c r="AJ357">
        <v>7</v>
      </c>
      <c r="AK357" t="s">
        <v>4634</v>
      </c>
      <c r="AM357" t="s">
        <v>4635</v>
      </c>
      <c r="AN357" t="s">
        <v>2911</v>
      </c>
      <c r="AO357" t="s">
        <v>5094</v>
      </c>
      <c r="AP357">
        <v>3589</v>
      </c>
      <c r="AQ357" t="s">
        <v>4637</v>
      </c>
      <c r="AR357" t="s">
        <v>4638</v>
      </c>
      <c r="AS357">
        <v>107</v>
      </c>
      <c r="AT357" t="s">
        <v>4960</v>
      </c>
      <c r="AW357" t="str">
        <f>Plan_2026[[#This Row],[Tên brand]]&amp;" "&amp;Plan_2026[[#This Row],[Trục đường chính]]&amp;Plan_2026[[#This Row],[Tên mall
(chuẩn hóa)]]&amp;Plan_2026[[#This Row],[Địa chỉ đầy đủ]]</f>
        <v xml:space="preserve">Kichi Kichi </v>
      </c>
    </row>
    <row r="358" spans="1:49" hidden="1" x14ac:dyDescent="0.35">
      <c r="A358">
        <v>401</v>
      </c>
      <c r="B358" t="s">
        <v>5095</v>
      </c>
      <c r="C358" t="s">
        <v>35</v>
      </c>
      <c r="D358" t="s">
        <v>2820</v>
      </c>
      <c r="E358">
        <v>2026</v>
      </c>
      <c r="F358">
        <v>3</v>
      </c>
      <c r="G358">
        <v>7</v>
      </c>
      <c r="H358">
        <v>11</v>
      </c>
      <c r="J358" t="s">
        <v>350</v>
      </c>
      <c r="K358" t="s">
        <v>2704</v>
      </c>
      <c r="L358" t="s">
        <v>3052</v>
      </c>
      <c r="M358" t="s">
        <v>3053</v>
      </c>
      <c r="N358" t="s">
        <v>4452</v>
      </c>
      <c r="O358" t="s">
        <v>5096</v>
      </c>
      <c r="Q358" t="s">
        <v>2709</v>
      </c>
      <c r="R358" t="s">
        <v>2751</v>
      </c>
      <c r="S358" t="s">
        <v>2751</v>
      </c>
      <c r="T358">
        <v>200</v>
      </c>
      <c r="U358" t="s">
        <v>2790</v>
      </c>
      <c r="V358">
        <v>1</v>
      </c>
      <c r="W358" t="s">
        <v>3114</v>
      </c>
      <c r="X358" t="s">
        <v>5097</v>
      </c>
      <c r="Z358" t="s">
        <v>2715</v>
      </c>
      <c r="AB358" t="s">
        <v>2716</v>
      </c>
      <c r="AC358" t="s">
        <v>2952</v>
      </c>
      <c r="AE358">
        <v>1</v>
      </c>
      <c r="AH358" t="s">
        <v>34</v>
      </c>
      <c r="AI358">
        <v>46204</v>
      </c>
      <c r="AJ358">
        <v>7</v>
      </c>
      <c r="AK358" t="s">
        <v>5098</v>
      </c>
      <c r="AM358" t="s">
        <v>5099</v>
      </c>
      <c r="AN358" t="s">
        <v>2911</v>
      </c>
      <c r="AO358" t="s">
        <v>5100</v>
      </c>
      <c r="AP358">
        <v>19399</v>
      </c>
      <c r="AQ358" t="s">
        <v>5101</v>
      </c>
      <c r="AR358" t="s">
        <v>5102</v>
      </c>
      <c r="AS358">
        <v>107</v>
      </c>
      <c r="AT358" t="s">
        <v>5103</v>
      </c>
      <c r="AW358" t="str">
        <f>Plan_2026[[#This Row],[Tên brand]]&amp;" "&amp;Plan_2026[[#This Row],[Trục đường chính]]&amp;Plan_2026[[#This Row],[Tên mall
(chuẩn hóa)]]&amp;Plan_2026[[#This Row],[Địa chỉ đầy đủ]]</f>
        <v xml:space="preserve">Kichi Kichi </v>
      </c>
    </row>
    <row r="359" spans="1:49" hidden="1" x14ac:dyDescent="0.35">
      <c r="A359">
        <v>335</v>
      </c>
      <c r="B359" t="s">
        <v>5104</v>
      </c>
      <c r="C359" t="s">
        <v>2702</v>
      </c>
      <c r="D359" t="s">
        <v>3018</v>
      </c>
      <c r="E359">
        <v>2026</v>
      </c>
      <c r="F359">
        <v>3</v>
      </c>
      <c r="G359">
        <v>7</v>
      </c>
      <c r="H359">
        <v>11</v>
      </c>
      <c r="J359" t="s">
        <v>2241</v>
      </c>
      <c r="K359" t="s">
        <v>2774</v>
      </c>
      <c r="L359" t="s">
        <v>5105</v>
      </c>
      <c r="M359" t="s">
        <v>5106</v>
      </c>
      <c r="N359" t="s">
        <v>5105</v>
      </c>
      <c r="O359" t="s">
        <v>2507</v>
      </c>
      <c r="Q359" t="s">
        <v>2709</v>
      </c>
      <c r="R359">
        <v>8</v>
      </c>
      <c r="S359" t="s">
        <v>2710</v>
      </c>
      <c r="T359" t="s">
        <v>2711</v>
      </c>
      <c r="U359" t="s">
        <v>2712</v>
      </c>
      <c r="V359">
        <v>1</v>
      </c>
      <c r="W359" t="s">
        <v>2735</v>
      </c>
      <c r="X359" t="s">
        <v>5107</v>
      </c>
      <c r="Z359" t="s">
        <v>2715</v>
      </c>
      <c r="AB359" t="s">
        <v>2716</v>
      </c>
      <c r="AC359" t="s">
        <v>2717</v>
      </c>
      <c r="AE359">
        <v>0</v>
      </c>
      <c r="AF359" t="s">
        <v>5108</v>
      </c>
      <c r="AH359" t="s">
        <v>76</v>
      </c>
      <c r="AI359">
        <v>46204</v>
      </c>
      <c r="AJ359">
        <v>7</v>
      </c>
      <c r="AK359" t="s">
        <v>5109</v>
      </c>
      <c r="AM359" t="s">
        <v>5110</v>
      </c>
      <c r="AN359" t="s">
        <v>2721</v>
      </c>
      <c r="AO359" t="s">
        <v>5111</v>
      </c>
      <c r="AP359">
        <v>3345</v>
      </c>
      <c r="AQ359" t="s">
        <v>5112</v>
      </c>
      <c r="AR359" t="s">
        <v>5113</v>
      </c>
      <c r="AS359">
        <v>144</v>
      </c>
      <c r="AT359" t="s">
        <v>5114</v>
      </c>
      <c r="AW359" t="str">
        <f>Plan_2026[[#This Row],[Tên brand]]&amp;" "&amp;Plan_2026[[#This Row],[Trục đường chính]]&amp;Plan_2026[[#This Row],[Tên mall
(chuẩn hóa)]]&amp;Plan_2026[[#This Row],[Địa chỉ đầy đủ]]</f>
        <v xml:space="preserve">Gogi House </v>
      </c>
    </row>
    <row r="360" spans="1:49" hidden="1" x14ac:dyDescent="0.35">
      <c r="A360">
        <v>336</v>
      </c>
      <c r="B360" t="s">
        <v>2589</v>
      </c>
      <c r="C360" t="s">
        <v>2787</v>
      </c>
      <c r="D360" t="s">
        <v>2788</v>
      </c>
      <c r="E360">
        <v>2026</v>
      </c>
      <c r="F360">
        <v>2</v>
      </c>
      <c r="G360">
        <v>5</v>
      </c>
      <c r="H360">
        <v>9</v>
      </c>
      <c r="J360" t="s">
        <v>2241</v>
      </c>
      <c r="K360" t="s">
        <v>2774</v>
      </c>
      <c r="L360" t="s">
        <v>5105</v>
      </c>
      <c r="M360" t="s">
        <v>5106</v>
      </c>
      <c r="N360" t="s">
        <v>5105</v>
      </c>
      <c r="O360" t="s">
        <v>2507</v>
      </c>
      <c r="P360" t="s">
        <v>5115</v>
      </c>
      <c r="Q360" t="s">
        <v>2709</v>
      </c>
      <c r="R360" t="s">
        <v>2710</v>
      </c>
      <c r="S360" t="s">
        <v>2710</v>
      </c>
      <c r="T360" t="s">
        <v>2800</v>
      </c>
      <c r="U360" t="s">
        <v>2800</v>
      </c>
      <c r="V360">
        <v>1</v>
      </c>
      <c r="W360" t="s">
        <v>2713</v>
      </c>
      <c r="Z360">
        <v>132</v>
      </c>
      <c r="AB360" t="s">
        <v>2716</v>
      </c>
      <c r="AC360" t="s">
        <v>3232</v>
      </c>
      <c r="AE360">
        <v>0</v>
      </c>
      <c r="AF360" t="s">
        <v>5116</v>
      </c>
      <c r="AH360" t="s">
        <v>1788</v>
      </c>
      <c r="AI360">
        <v>46143</v>
      </c>
      <c r="AJ360">
        <v>5</v>
      </c>
      <c r="AK360" t="s">
        <v>5109</v>
      </c>
      <c r="AM360" t="s">
        <v>5110</v>
      </c>
      <c r="AN360" t="s">
        <v>2793</v>
      </c>
      <c r="AO360" t="s">
        <v>5117</v>
      </c>
      <c r="AP360">
        <v>3345</v>
      </c>
      <c r="AQ360" t="s">
        <v>5112</v>
      </c>
      <c r="AR360" t="s">
        <v>5113</v>
      </c>
      <c r="AS360">
        <v>81</v>
      </c>
      <c r="AT360" t="s">
        <v>2892</v>
      </c>
      <c r="AW360" t="str">
        <f>Plan_2026[[#This Row],[Tên brand]]&amp;" "&amp;Plan_2026[[#This Row],[Trục đường chính]]&amp;Plan_2026[[#This Row],[Tên mall
(chuẩn hóa)]]&amp;Plan_2026[[#This Row],[Địa chỉ đầy đủ]]</f>
        <v>The Coffee House Chùa Chuông, QL 39, Chu Mạnh Trinh</v>
      </c>
    </row>
    <row r="361" spans="1:49" hidden="1" x14ac:dyDescent="0.35">
      <c r="A361">
        <v>337</v>
      </c>
      <c r="B361" t="s">
        <v>2619</v>
      </c>
      <c r="C361" t="s">
        <v>2787</v>
      </c>
      <c r="D361" t="s">
        <v>2837</v>
      </c>
      <c r="E361">
        <v>2026</v>
      </c>
      <c r="F361">
        <v>3</v>
      </c>
      <c r="G361">
        <v>7</v>
      </c>
      <c r="H361">
        <v>11</v>
      </c>
      <c r="J361" t="s">
        <v>2244</v>
      </c>
      <c r="K361" t="s">
        <v>2704</v>
      </c>
      <c r="L361" t="s">
        <v>5118</v>
      </c>
      <c r="M361" t="s">
        <v>5119</v>
      </c>
      <c r="N361" t="s">
        <v>5120</v>
      </c>
      <c r="O361" t="s">
        <v>5121</v>
      </c>
      <c r="P361" t="s">
        <v>2620</v>
      </c>
      <c r="Q361" t="s">
        <v>2709</v>
      </c>
      <c r="R361" t="s">
        <v>2751</v>
      </c>
      <c r="S361" t="s">
        <v>2751</v>
      </c>
      <c r="T361" t="s">
        <v>2790</v>
      </c>
      <c r="U361" t="s">
        <v>2790</v>
      </c>
      <c r="V361">
        <v>1</v>
      </c>
      <c r="W361" t="s">
        <v>2735</v>
      </c>
      <c r="Z361">
        <v>132</v>
      </c>
      <c r="AB361" t="s">
        <v>2716</v>
      </c>
      <c r="AC361" t="s">
        <v>2738</v>
      </c>
      <c r="AE361">
        <v>0</v>
      </c>
      <c r="AH361" t="s">
        <v>1788</v>
      </c>
      <c r="AI361">
        <v>46204</v>
      </c>
      <c r="AJ361">
        <v>7</v>
      </c>
      <c r="AK361" t="s">
        <v>5122</v>
      </c>
      <c r="AM361" t="s">
        <v>5123</v>
      </c>
      <c r="AN361" t="s">
        <v>2793</v>
      </c>
      <c r="AO361" t="s">
        <v>5124</v>
      </c>
      <c r="AP361">
        <v>16900</v>
      </c>
      <c r="AQ361" t="s">
        <v>5125</v>
      </c>
      <c r="AR361" t="s">
        <v>5126</v>
      </c>
      <c r="AS361">
        <v>81</v>
      </c>
      <c r="AT361" t="s">
        <v>4045</v>
      </c>
      <c r="AW361" t="str">
        <f>Plan_2026[[#This Row],[Tên brand]]&amp;" "&amp;Plan_2026[[#This Row],[Trục đường chính]]&amp;Plan_2026[[#This Row],[Tên mall
(chuẩn hóa)]]&amp;Plan_2026[[#This Row],[Địa chỉ đầy đủ]]</f>
        <v>The Coffee House Phan Chu Trinh, Ngô Quyền, Hàn Thuyên, Nguyễn Công Trứ, Lý Thường Kiệt (cụm khu vực Chợ Đầm)</v>
      </c>
    </row>
    <row r="362" spans="1:49" hidden="1" x14ac:dyDescent="0.35">
      <c r="A362">
        <v>338</v>
      </c>
      <c r="B362" t="s">
        <v>2508</v>
      </c>
      <c r="C362" t="s">
        <v>2787</v>
      </c>
      <c r="D362" t="s">
        <v>2837</v>
      </c>
      <c r="E362">
        <v>2026</v>
      </c>
      <c r="F362">
        <v>1</v>
      </c>
      <c r="G362">
        <v>1</v>
      </c>
      <c r="H362">
        <v>5</v>
      </c>
      <c r="J362" t="s">
        <v>2244</v>
      </c>
      <c r="K362" t="s">
        <v>2704</v>
      </c>
      <c r="L362" t="s">
        <v>5118</v>
      </c>
      <c r="M362" t="s">
        <v>5119</v>
      </c>
      <c r="N362" t="s">
        <v>5120</v>
      </c>
      <c r="O362" t="s">
        <v>5127</v>
      </c>
      <c r="P362" t="s">
        <v>2509</v>
      </c>
      <c r="Q362" t="s">
        <v>2709</v>
      </c>
      <c r="R362" t="s">
        <v>2751</v>
      </c>
      <c r="S362" t="s">
        <v>2751</v>
      </c>
      <c r="T362" t="s">
        <v>2790</v>
      </c>
      <c r="U362" t="s">
        <v>2790</v>
      </c>
      <c r="V362">
        <v>1</v>
      </c>
      <c r="W362" t="s">
        <v>2713</v>
      </c>
      <c r="Z362">
        <v>132</v>
      </c>
      <c r="AB362" t="s">
        <v>2716</v>
      </c>
      <c r="AC362" t="s">
        <v>2738</v>
      </c>
      <c r="AE362">
        <v>0</v>
      </c>
      <c r="AF362" t="s">
        <v>5128</v>
      </c>
      <c r="AG362" t="s">
        <v>2908</v>
      </c>
      <c r="AH362" t="s">
        <v>1788</v>
      </c>
      <c r="AI362">
        <v>46023</v>
      </c>
      <c r="AJ362">
        <v>1</v>
      </c>
      <c r="AK362" t="s">
        <v>5129</v>
      </c>
      <c r="AM362" t="s">
        <v>5130</v>
      </c>
      <c r="AN362" t="s">
        <v>2793</v>
      </c>
      <c r="AO362" t="s">
        <v>5131</v>
      </c>
      <c r="AP362">
        <v>3255</v>
      </c>
      <c r="AQ362" t="s">
        <v>5132</v>
      </c>
      <c r="AR362" t="s">
        <v>5133</v>
      </c>
      <c r="AS362">
        <v>81</v>
      </c>
      <c r="AT362" t="s">
        <v>2892</v>
      </c>
      <c r="AW362" t="str">
        <f>Plan_2026[[#This Row],[Tên brand]]&amp;" "&amp;Plan_2026[[#This Row],[Trục đường chính]]&amp;Plan_2026[[#This Row],[Tên mall
(chuẩn hóa)]]&amp;Plan_2026[[#This Row],[Địa chỉ đầy đủ]]</f>
        <v>The Coffee House Vạn Dạ, Mường Thanh, Vĩnh Chiều</v>
      </c>
    </row>
    <row r="363" spans="1:49" hidden="1" x14ac:dyDescent="0.35">
      <c r="A363">
        <v>339</v>
      </c>
      <c r="B363" t="s">
        <v>5134</v>
      </c>
      <c r="C363" t="s">
        <v>35</v>
      </c>
      <c r="D363" t="s">
        <v>2820</v>
      </c>
      <c r="E363">
        <v>2026</v>
      </c>
      <c r="F363">
        <v>2</v>
      </c>
      <c r="G363">
        <v>5</v>
      </c>
      <c r="H363">
        <v>9</v>
      </c>
      <c r="J363" t="s">
        <v>2244</v>
      </c>
      <c r="K363" t="s">
        <v>2704</v>
      </c>
      <c r="L363" t="s">
        <v>5135</v>
      </c>
      <c r="M363" t="s">
        <v>5136</v>
      </c>
      <c r="N363" t="s">
        <v>5137</v>
      </c>
      <c r="O363" t="s">
        <v>5138</v>
      </c>
      <c r="Q363" t="s">
        <v>2709</v>
      </c>
      <c r="R363" t="s">
        <v>2751</v>
      </c>
      <c r="S363" t="s">
        <v>2751</v>
      </c>
      <c r="T363">
        <v>200</v>
      </c>
      <c r="U363" t="s">
        <v>2790</v>
      </c>
      <c r="V363">
        <v>1</v>
      </c>
      <c r="W363" t="s">
        <v>2735</v>
      </c>
      <c r="X363" t="s">
        <v>5139</v>
      </c>
      <c r="Z363" t="s">
        <v>2715</v>
      </c>
      <c r="AB363" t="s">
        <v>2716</v>
      </c>
      <c r="AC363" t="s">
        <v>2717</v>
      </c>
      <c r="AE363">
        <v>0</v>
      </c>
      <c r="AF363" t="s">
        <v>3085</v>
      </c>
      <c r="AG363" t="s">
        <v>2908</v>
      </c>
      <c r="AH363" t="s">
        <v>34</v>
      </c>
      <c r="AI363">
        <v>46143</v>
      </c>
      <c r="AJ363">
        <v>5</v>
      </c>
      <c r="AK363" t="s">
        <v>5140</v>
      </c>
      <c r="AM363" t="s">
        <v>5141</v>
      </c>
      <c r="AN363" t="s">
        <v>2911</v>
      </c>
      <c r="AO363" t="s">
        <v>5142</v>
      </c>
      <c r="AP363">
        <v>1061</v>
      </c>
      <c r="AQ363" t="s">
        <v>5143</v>
      </c>
      <c r="AR363" t="s">
        <v>5144</v>
      </c>
      <c r="AS363">
        <v>107</v>
      </c>
      <c r="AT363" t="s">
        <v>5145</v>
      </c>
      <c r="AW363" t="str">
        <f>Plan_2026[[#This Row],[Tên brand]]&amp;" "&amp;Plan_2026[[#This Row],[Trục đường chính]]&amp;Plan_2026[[#This Row],[Tên mall
(chuẩn hóa)]]&amp;Plan_2026[[#This Row],[Địa chỉ đầy đủ]]</f>
        <v xml:space="preserve">Kichi Kichi </v>
      </c>
    </row>
    <row r="364" spans="1:49" x14ac:dyDescent="0.35">
      <c r="A364">
        <v>340</v>
      </c>
      <c r="B364" t="s">
        <v>2137</v>
      </c>
      <c r="C364" t="s">
        <v>2787</v>
      </c>
      <c r="D364" t="s">
        <v>2837</v>
      </c>
      <c r="E364">
        <v>2025</v>
      </c>
      <c r="F364">
        <v>3</v>
      </c>
      <c r="G364">
        <v>9</v>
      </c>
      <c r="H364">
        <v>1</v>
      </c>
      <c r="J364" t="s">
        <v>2244</v>
      </c>
      <c r="K364" t="s">
        <v>2704</v>
      </c>
      <c r="L364" t="s">
        <v>3268</v>
      </c>
      <c r="M364" t="s">
        <v>3269</v>
      </c>
      <c r="N364" t="s">
        <v>5146</v>
      </c>
      <c r="O364" t="s">
        <v>4641</v>
      </c>
      <c r="P364" t="s">
        <v>2393</v>
      </c>
      <c r="Q364" t="s">
        <v>2709</v>
      </c>
      <c r="R364" t="s">
        <v>2751</v>
      </c>
      <c r="S364" t="s">
        <v>2751</v>
      </c>
      <c r="T364" t="s">
        <v>2790</v>
      </c>
      <c r="U364" t="s">
        <v>2790</v>
      </c>
      <c r="V364">
        <v>1</v>
      </c>
      <c r="W364" t="s">
        <v>2713</v>
      </c>
      <c r="X364" t="s">
        <v>5147</v>
      </c>
      <c r="Z364">
        <v>132</v>
      </c>
      <c r="AB364" t="s">
        <v>2716</v>
      </c>
      <c r="AC364" t="s">
        <v>2763</v>
      </c>
      <c r="AE364">
        <v>1</v>
      </c>
      <c r="AF364" t="s">
        <v>4519</v>
      </c>
      <c r="AH364" t="s">
        <v>1788</v>
      </c>
      <c r="AI364">
        <v>45901</v>
      </c>
      <c r="AJ364">
        <v>9</v>
      </c>
      <c r="AK364" t="s">
        <v>5148</v>
      </c>
      <c r="AL364" t="s">
        <v>5149</v>
      </c>
      <c r="AM364" t="s">
        <v>5150</v>
      </c>
      <c r="AN364" t="s">
        <v>2793</v>
      </c>
      <c r="AO364" t="s">
        <v>5151</v>
      </c>
      <c r="AP364">
        <v>2577</v>
      </c>
      <c r="AQ364" t="s">
        <v>5152</v>
      </c>
      <c r="AR364" t="s">
        <v>5153</v>
      </c>
      <c r="AS364">
        <v>81</v>
      </c>
      <c r="AT364" t="s">
        <v>5154</v>
      </c>
      <c r="AW364" t="str">
        <f>Plan_2026[[#This Row],[Tên brand]]&amp;" "&amp;Plan_2026[[#This Row],[Trục đường chính]]&amp;Plan_2026[[#This Row],[Tên mall
(chuẩn hóa)]]&amp;Plan_2026[[#This Row],[Địa chỉ đầy đủ]]</f>
        <v>The Coffee House Nguyễn Chí ThanhSố 3 Nguyễn Chí Thanh, Phường 2, Thành Phố đà lạt, tỉnh Lâm Đồng</v>
      </c>
    </row>
    <row r="365" spans="1:49" hidden="1" x14ac:dyDescent="0.35">
      <c r="A365">
        <v>341</v>
      </c>
      <c r="B365" t="s">
        <v>2641</v>
      </c>
      <c r="C365" t="s">
        <v>2008</v>
      </c>
      <c r="D365" t="s">
        <v>2832</v>
      </c>
      <c r="E365">
        <v>2026</v>
      </c>
      <c r="F365">
        <v>1</v>
      </c>
      <c r="G365">
        <v>2</v>
      </c>
      <c r="H365">
        <v>6</v>
      </c>
      <c r="J365" t="s">
        <v>2244</v>
      </c>
      <c r="K365" t="s">
        <v>3000</v>
      </c>
      <c r="L365" t="s">
        <v>3268</v>
      </c>
      <c r="M365" t="s">
        <v>3269</v>
      </c>
      <c r="N365" t="s">
        <v>5146</v>
      </c>
      <c r="O365" t="s">
        <v>5032</v>
      </c>
      <c r="P365" t="s">
        <v>2642</v>
      </c>
      <c r="Q365" t="s">
        <v>2709</v>
      </c>
      <c r="R365" t="s">
        <v>2751</v>
      </c>
      <c r="S365" t="s">
        <v>2751</v>
      </c>
      <c r="T365" t="s">
        <v>2762</v>
      </c>
      <c r="U365" t="s">
        <v>2762</v>
      </c>
      <c r="V365">
        <v>1</v>
      </c>
      <c r="W365" t="s">
        <v>2713</v>
      </c>
      <c r="Z365">
        <v>160</v>
      </c>
      <c r="AB365" t="s">
        <v>1794</v>
      </c>
      <c r="AC365" t="s">
        <v>2763</v>
      </c>
      <c r="AE365">
        <v>1</v>
      </c>
      <c r="AF365" t="s">
        <v>5155</v>
      </c>
      <c r="AH365" t="s">
        <v>2044</v>
      </c>
      <c r="AI365">
        <v>46054</v>
      </c>
      <c r="AJ365">
        <v>2</v>
      </c>
      <c r="AK365" t="s">
        <v>5156</v>
      </c>
      <c r="AM365" t="s">
        <v>5157</v>
      </c>
      <c r="AN365" t="s">
        <v>2767</v>
      </c>
      <c r="AO365" t="s">
        <v>5158</v>
      </c>
      <c r="AP365">
        <v>6091</v>
      </c>
      <c r="AQ365" t="s">
        <v>5159</v>
      </c>
      <c r="AR365" t="s">
        <v>5160</v>
      </c>
      <c r="AS365">
        <v>6</v>
      </c>
      <c r="AT365" t="s">
        <v>2771</v>
      </c>
      <c r="AW365" t="str">
        <f>Plan_2026[[#This Row],[Tên brand]]&amp;" "&amp;Plan_2026[[#This Row],[Trục đường chính]]&amp;Plan_2026[[#This Row],[Tên mall
(chuẩn hóa)]]&amp;Plan_2026[[#This Row],[Địa chỉ đầy đủ]]</f>
        <v>Dao Niu Guo DNG Đà Lạt</v>
      </c>
    </row>
    <row r="366" spans="1:49" hidden="1" x14ac:dyDescent="0.35">
      <c r="A366">
        <v>102</v>
      </c>
      <c r="B366" t="s">
        <v>5161</v>
      </c>
      <c r="C366" t="s">
        <v>2702</v>
      </c>
      <c r="D366" t="s">
        <v>3164</v>
      </c>
      <c r="E366">
        <v>2025</v>
      </c>
      <c r="F366">
        <v>4</v>
      </c>
      <c r="G366">
        <v>10</v>
      </c>
      <c r="H366">
        <v>2</v>
      </c>
      <c r="J366" t="s">
        <v>23</v>
      </c>
      <c r="K366" t="s">
        <v>2774</v>
      </c>
      <c r="L366" t="s">
        <v>3133</v>
      </c>
      <c r="M366" t="s">
        <v>3134</v>
      </c>
      <c r="N366" t="s">
        <v>3514</v>
      </c>
      <c r="O366" t="s">
        <v>3698</v>
      </c>
      <c r="P366" t="s">
        <v>3746</v>
      </c>
      <c r="Q366" t="s">
        <v>2732</v>
      </c>
      <c r="R366">
        <v>6</v>
      </c>
      <c r="S366" t="s">
        <v>2733</v>
      </c>
      <c r="T366" t="s">
        <v>2973</v>
      </c>
      <c r="U366" t="s">
        <v>2712</v>
      </c>
      <c r="V366">
        <v>1</v>
      </c>
      <c r="W366" t="s">
        <v>2735</v>
      </c>
      <c r="X366" t="s">
        <v>3747</v>
      </c>
      <c r="Y366" t="s">
        <v>3747</v>
      </c>
      <c r="Z366" t="s">
        <v>2715</v>
      </c>
      <c r="AB366" t="s">
        <v>2716</v>
      </c>
      <c r="AC366" t="s">
        <v>2952</v>
      </c>
      <c r="AE366">
        <v>1</v>
      </c>
      <c r="AH366" t="s">
        <v>76</v>
      </c>
      <c r="AI366">
        <v>45931</v>
      </c>
      <c r="AJ366">
        <v>10</v>
      </c>
      <c r="AK366" t="s">
        <v>3701</v>
      </c>
      <c r="AL366" t="s">
        <v>5162</v>
      </c>
      <c r="AM366" t="s">
        <v>3703</v>
      </c>
      <c r="AN366" t="s">
        <v>2979</v>
      </c>
      <c r="AO366" t="s">
        <v>5163</v>
      </c>
      <c r="AP366">
        <v>2450</v>
      </c>
      <c r="AQ366" t="s">
        <v>3705</v>
      </c>
      <c r="AR366" t="s">
        <v>3706</v>
      </c>
      <c r="AS366">
        <v>144</v>
      </c>
      <c r="AT366" t="s">
        <v>5164</v>
      </c>
      <c r="AW366" t="str">
        <f>Plan_2026[[#This Row],[Tên brand]]&amp;" "&amp;Plan_2026[[#This Row],[Trục đường chính]]&amp;Plan_2026[[#This Row],[Tên mall
(chuẩn hóa)]]&amp;Plan_2026[[#This Row],[Địa chỉ đầy đủ]]</f>
        <v>Gogi House Khu đô thị Vinhomes Smart CityVincom Mega Mall Smart CityKhu đô thị Vinhomes Smart City, Đại Mỗ, Nam Từ Liêm, Hà Nội</v>
      </c>
    </row>
    <row r="367" spans="1:49" hidden="1" x14ac:dyDescent="0.35">
      <c r="A367">
        <v>343</v>
      </c>
      <c r="B367" t="s">
        <v>5165</v>
      </c>
      <c r="C367" t="s">
        <v>2702</v>
      </c>
      <c r="D367" t="s">
        <v>3164</v>
      </c>
      <c r="E367">
        <v>2026</v>
      </c>
      <c r="F367">
        <v>3</v>
      </c>
      <c r="G367">
        <v>7</v>
      </c>
      <c r="H367">
        <v>11</v>
      </c>
      <c r="J367" t="s">
        <v>2241</v>
      </c>
      <c r="K367" t="s">
        <v>2774</v>
      </c>
      <c r="L367" t="s">
        <v>5166</v>
      </c>
      <c r="M367" t="s">
        <v>5167</v>
      </c>
      <c r="N367" t="s">
        <v>5166</v>
      </c>
      <c r="O367" t="s">
        <v>5168</v>
      </c>
      <c r="P367" t="s">
        <v>5169</v>
      </c>
      <c r="Q367" t="s">
        <v>2709</v>
      </c>
      <c r="R367" t="s">
        <v>5170</v>
      </c>
      <c r="S367" t="s">
        <v>2751</v>
      </c>
      <c r="T367" t="s">
        <v>5171</v>
      </c>
      <c r="U367" t="s">
        <v>2712</v>
      </c>
      <c r="V367">
        <v>1</v>
      </c>
      <c r="W367" t="s">
        <v>2735</v>
      </c>
      <c r="Z367" t="s">
        <v>2715</v>
      </c>
      <c r="AA367" t="s">
        <v>5172</v>
      </c>
      <c r="AB367" t="s">
        <v>2716</v>
      </c>
      <c r="AC367" t="s">
        <v>2738</v>
      </c>
      <c r="AE367">
        <v>0</v>
      </c>
      <c r="AF367" t="s">
        <v>5173</v>
      </c>
      <c r="AH367" t="s">
        <v>76</v>
      </c>
      <c r="AI367">
        <v>46204</v>
      </c>
      <c r="AJ367">
        <v>7</v>
      </c>
      <c r="AK367" t="s">
        <v>5174</v>
      </c>
      <c r="AM367" t="s">
        <v>5175</v>
      </c>
      <c r="AN367" t="s">
        <v>2721</v>
      </c>
      <c r="AO367" t="s">
        <v>5176</v>
      </c>
      <c r="AP367">
        <v>2990</v>
      </c>
      <c r="AQ367" t="s">
        <v>5177</v>
      </c>
      <c r="AR367" t="s">
        <v>5178</v>
      </c>
      <c r="AS367">
        <v>144</v>
      </c>
      <c r="AT367" t="s">
        <v>5114</v>
      </c>
      <c r="AW367" t="str">
        <f>Plan_2026[[#This Row],[Tên brand]]&amp;" "&amp;Plan_2026[[#This Row],[Trục đường chính]]&amp;Plan_2026[[#This Row],[Tên mall
(chuẩn hóa)]]&amp;Plan_2026[[#This Row],[Địa chỉ đầy đủ]]</f>
        <v>Gogi House Lý Thường Kiệt hoặc khu vực vincom</v>
      </c>
    </row>
    <row r="368" spans="1:49" hidden="1" x14ac:dyDescent="0.35">
      <c r="A368">
        <v>344</v>
      </c>
      <c r="B368" t="s">
        <v>5179</v>
      </c>
      <c r="C368" t="s">
        <v>2702</v>
      </c>
      <c r="D368" t="s">
        <v>3164</v>
      </c>
      <c r="E368">
        <v>2026</v>
      </c>
      <c r="F368">
        <v>3</v>
      </c>
      <c r="G368">
        <v>7</v>
      </c>
      <c r="H368">
        <v>11</v>
      </c>
      <c r="J368" t="s">
        <v>2241</v>
      </c>
      <c r="K368" t="s">
        <v>2774</v>
      </c>
      <c r="L368" t="s">
        <v>5180</v>
      </c>
      <c r="M368" t="s">
        <v>5181</v>
      </c>
      <c r="N368" t="s">
        <v>5180</v>
      </c>
      <c r="O368" t="s">
        <v>5182</v>
      </c>
      <c r="P368" t="s">
        <v>5183</v>
      </c>
      <c r="Q368" t="s">
        <v>2709</v>
      </c>
      <c r="R368" t="s">
        <v>5170</v>
      </c>
      <c r="S368" t="s">
        <v>2751</v>
      </c>
      <c r="T368" t="s">
        <v>5171</v>
      </c>
      <c r="U368" t="s">
        <v>2712</v>
      </c>
      <c r="V368">
        <v>1</v>
      </c>
      <c r="W368" t="s">
        <v>2735</v>
      </c>
      <c r="X368" t="s">
        <v>5184</v>
      </c>
      <c r="Z368" t="s">
        <v>2715</v>
      </c>
      <c r="AA368" t="s">
        <v>5172</v>
      </c>
      <c r="AB368" t="s">
        <v>2716</v>
      </c>
      <c r="AC368" t="s">
        <v>2778</v>
      </c>
      <c r="AE368">
        <v>0</v>
      </c>
      <c r="AF368" t="s">
        <v>5185</v>
      </c>
      <c r="AH368" t="s">
        <v>76</v>
      </c>
      <c r="AI368">
        <v>46204</v>
      </c>
      <c r="AJ368">
        <v>7</v>
      </c>
      <c r="AK368" t="s">
        <v>5186</v>
      </c>
      <c r="AM368" t="s">
        <v>5187</v>
      </c>
      <c r="AN368" t="s">
        <v>2721</v>
      </c>
      <c r="AO368" t="s">
        <v>5188</v>
      </c>
      <c r="AP368">
        <v>4332</v>
      </c>
      <c r="AQ368" t="s">
        <v>5189</v>
      </c>
      <c r="AR368" t="s">
        <v>5190</v>
      </c>
      <c r="AS368">
        <v>144</v>
      </c>
      <c r="AT368" t="s">
        <v>5191</v>
      </c>
      <c r="AW368" t="str">
        <f>Plan_2026[[#This Row],[Tên brand]]&amp;" "&amp;Plan_2026[[#This Row],[Trục đường chính]]&amp;Plan_2026[[#This Row],[Tên mall
(chuẩn hóa)]]&amp;Plan_2026[[#This Row],[Địa chỉ đầy đủ]]</f>
        <v>Gogi House An Dương Vương</v>
      </c>
    </row>
    <row r="369" spans="1:49" hidden="1" x14ac:dyDescent="0.35">
      <c r="A369">
        <v>345</v>
      </c>
      <c r="B369" t="s">
        <v>5192</v>
      </c>
      <c r="C369" t="s">
        <v>2702</v>
      </c>
      <c r="D369" t="s">
        <v>3164</v>
      </c>
      <c r="E369">
        <v>2026</v>
      </c>
      <c r="F369">
        <v>3</v>
      </c>
      <c r="G369">
        <v>7</v>
      </c>
      <c r="H369">
        <v>11</v>
      </c>
      <c r="J369" t="s">
        <v>2241</v>
      </c>
      <c r="K369" t="s">
        <v>2774</v>
      </c>
      <c r="L369" t="s">
        <v>5180</v>
      </c>
      <c r="M369" t="s">
        <v>5181</v>
      </c>
      <c r="N369" t="s">
        <v>5180</v>
      </c>
      <c r="O369" t="s">
        <v>5193</v>
      </c>
      <c r="Q369" t="s">
        <v>2709</v>
      </c>
      <c r="R369" t="s">
        <v>5170</v>
      </c>
      <c r="S369" t="s">
        <v>2751</v>
      </c>
      <c r="T369" t="s">
        <v>5171</v>
      </c>
      <c r="U369" t="s">
        <v>2712</v>
      </c>
      <c r="V369">
        <v>1</v>
      </c>
      <c r="W369" t="s">
        <v>2735</v>
      </c>
      <c r="Z369" t="s">
        <v>2715</v>
      </c>
      <c r="AB369" t="s">
        <v>2716</v>
      </c>
      <c r="AC369" t="s">
        <v>2717</v>
      </c>
      <c r="AE369">
        <v>0</v>
      </c>
      <c r="AF369" t="s">
        <v>5194</v>
      </c>
      <c r="AH369" t="s">
        <v>76</v>
      </c>
      <c r="AI369">
        <v>46204</v>
      </c>
      <c r="AJ369">
        <v>7</v>
      </c>
      <c r="AK369" t="s">
        <v>5195</v>
      </c>
      <c r="AM369" t="s">
        <v>5196</v>
      </c>
      <c r="AN369" t="s">
        <v>2721</v>
      </c>
      <c r="AO369" t="s">
        <v>5197</v>
      </c>
      <c r="AP369">
        <v>3563</v>
      </c>
      <c r="AQ369" t="s">
        <v>5198</v>
      </c>
      <c r="AR369" t="s">
        <v>5199</v>
      </c>
      <c r="AS369">
        <v>144</v>
      </c>
      <c r="AT369" t="s">
        <v>5200</v>
      </c>
      <c r="AW369" t="str">
        <f>Plan_2026[[#This Row],[Tên brand]]&amp;" "&amp;Plan_2026[[#This Row],[Trục đường chính]]&amp;Plan_2026[[#This Row],[Tên mall
(chuẩn hóa)]]&amp;Plan_2026[[#This Row],[Địa chỉ đầy đủ]]</f>
        <v xml:space="preserve">Gogi House </v>
      </c>
    </row>
    <row r="370" spans="1:49" hidden="1" x14ac:dyDescent="0.35">
      <c r="A370">
        <v>346</v>
      </c>
      <c r="B370" t="s">
        <v>5201</v>
      </c>
      <c r="C370" t="s">
        <v>2702</v>
      </c>
      <c r="D370" t="s">
        <v>3018</v>
      </c>
      <c r="E370">
        <v>2026</v>
      </c>
      <c r="F370">
        <v>3</v>
      </c>
      <c r="G370">
        <v>7</v>
      </c>
      <c r="H370">
        <v>11</v>
      </c>
      <c r="J370" t="s">
        <v>2241</v>
      </c>
      <c r="K370" t="s">
        <v>2774</v>
      </c>
      <c r="L370" t="s">
        <v>5202</v>
      </c>
      <c r="M370" t="s">
        <v>5203</v>
      </c>
      <c r="N370" t="s">
        <v>5204</v>
      </c>
      <c r="O370" t="s">
        <v>5205</v>
      </c>
      <c r="Q370" t="s">
        <v>2709</v>
      </c>
      <c r="R370">
        <v>8</v>
      </c>
      <c r="S370" t="s">
        <v>2710</v>
      </c>
      <c r="T370" t="s">
        <v>5206</v>
      </c>
      <c r="U370" t="s">
        <v>2762</v>
      </c>
      <c r="V370">
        <v>1</v>
      </c>
      <c r="W370" t="s">
        <v>2735</v>
      </c>
      <c r="Z370" t="s">
        <v>2715</v>
      </c>
      <c r="AA370" t="s">
        <v>5207</v>
      </c>
      <c r="AB370" t="s">
        <v>2716</v>
      </c>
      <c r="AC370" t="s">
        <v>2738</v>
      </c>
      <c r="AE370">
        <v>0</v>
      </c>
      <c r="AF370" t="s">
        <v>5208</v>
      </c>
      <c r="AH370" t="s">
        <v>76</v>
      </c>
      <c r="AI370">
        <v>46204</v>
      </c>
      <c r="AJ370">
        <v>7</v>
      </c>
      <c r="AK370" t="s">
        <v>5209</v>
      </c>
      <c r="AM370" t="s">
        <v>5210</v>
      </c>
      <c r="AN370" t="s">
        <v>2721</v>
      </c>
      <c r="AO370" t="s">
        <v>5211</v>
      </c>
      <c r="AP370">
        <v>799</v>
      </c>
      <c r="AQ370" t="s">
        <v>5212</v>
      </c>
      <c r="AR370" t="s">
        <v>5213</v>
      </c>
      <c r="AS370">
        <v>144</v>
      </c>
      <c r="AT370" t="s">
        <v>5214</v>
      </c>
      <c r="AW370" t="str">
        <f>Plan_2026[[#This Row],[Tên brand]]&amp;" "&amp;Plan_2026[[#This Row],[Trục đường chính]]&amp;Plan_2026[[#This Row],[Tên mall
(chuẩn hóa)]]&amp;Plan_2026[[#This Row],[Địa chỉ đầy đủ]]</f>
        <v xml:space="preserve">Gogi House </v>
      </c>
    </row>
    <row r="371" spans="1:49" hidden="1" x14ac:dyDescent="0.35">
      <c r="A371">
        <v>347</v>
      </c>
      <c r="B371" t="s">
        <v>2510</v>
      </c>
      <c r="C371" t="s">
        <v>2787</v>
      </c>
      <c r="D371" t="s">
        <v>2788</v>
      </c>
      <c r="E371">
        <v>2026</v>
      </c>
      <c r="F371">
        <v>1</v>
      </c>
      <c r="G371">
        <v>1</v>
      </c>
      <c r="H371">
        <v>5</v>
      </c>
      <c r="J371" t="s">
        <v>2241</v>
      </c>
      <c r="K371" t="s">
        <v>2774</v>
      </c>
      <c r="L371" t="s">
        <v>5215</v>
      </c>
      <c r="M371" t="s">
        <v>5216</v>
      </c>
      <c r="N371" t="s">
        <v>5215</v>
      </c>
      <c r="O371" t="s">
        <v>5217</v>
      </c>
      <c r="P371" t="s">
        <v>2511</v>
      </c>
      <c r="Q371" t="s">
        <v>2709</v>
      </c>
      <c r="R371" t="s">
        <v>2751</v>
      </c>
      <c r="S371" t="s">
        <v>2751</v>
      </c>
      <c r="T371" t="s">
        <v>2790</v>
      </c>
      <c r="U371" t="s">
        <v>2790</v>
      </c>
      <c r="V371">
        <v>1</v>
      </c>
      <c r="W371" t="s">
        <v>2713</v>
      </c>
      <c r="X371" t="s">
        <v>5218</v>
      </c>
      <c r="Z371">
        <v>132</v>
      </c>
      <c r="AB371" t="s">
        <v>2716</v>
      </c>
      <c r="AC371" t="s">
        <v>2738</v>
      </c>
      <c r="AE371">
        <v>0</v>
      </c>
      <c r="AH371" t="s">
        <v>1788</v>
      </c>
      <c r="AI371">
        <v>46023</v>
      </c>
      <c r="AJ371">
        <v>1</v>
      </c>
      <c r="AK371" t="s">
        <v>5219</v>
      </c>
      <c r="AM371" t="s">
        <v>5220</v>
      </c>
      <c r="AN371" t="s">
        <v>2793</v>
      </c>
      <c r="AO371" t="s">
        <v>5221</v>
      </c>
      <c r="AP371">
        <v>3150</v>
      </c>
      <c r="AQ371" t="s">
        <v>5222</v>
      </c>
      <c r="AR371" t="s">
        <v>5223</v>
      </c>
      <c r="AS371">
        <v>81</v>
      </c>
      <c r="AT371" t="s">
        <v>2892</v>
      </c>
      <c r="AW371" t="str">
        <f>Plan_2026[[#This Row],[Tên brand]]&amp;" "&amp;Plan_2026[[#This Row],[Trục đường chính]]&amp;Plan_2026[[#This Row],[Tên mall
(chuẩn hóa)]]&amp;Plan_2026[[#This Row],[Địa chỉ đầy đủ]]</f>
        <v>The Coffee House Trần Hưng Đạo, Tràng An, Lê Thái Tổ (Quanh điểm DL phố cổ HL, hồ Kỳ lân)</v>
      </c>
    </row>
    <row r="372" spans="1:49" hidden="1" x14ac:dyDescent="0.35">
      <c r="A372">
        <v>348</v>
      </c>
      <c r="B372" t="s">
        <v>2348</v>
      </c>
      <c r="C372" t="s">
        <v>2702</v>
      </c>
      <c r="D372" t="s">
        <v>2703</v>
      </c>
      <c r="E372">
        <v>2026</v>
      </c>
      <c r="F372">
        <v>2</v>
      </c>
      <c r="G372">
        <v>5</v>
      </c>
      <c r="H372">
        <v>9</v>
      </c>
      <c r="J372" t="s">
        <v>2244</v>
      </c>
      <c r="K372" t="s">
        <v>2704</v>
      </c>
      <c r="L372" t="s">
        <v>2262</v>
      </c>
      <c r="M372" t="s">
        <v>5224</v>
      </c>
      <c r="N372" t="s">
        <v>5225</v>
      </c>
      <c r="O372" t="s">
        <v>5226</v>
      </c>
      <c r="Q372" t="s">
        <v>2709</v>
      </c>
      <c r="R372">
        <v>8</v>
      </c>
      <c r="S372" t="s">
        <v>2710</v>
      </c>
      <c r="T372">
        <v>220</v>
      </c>
      <c r="U372" t="s">
        <v>2712</v>
      </c>
      <c r="V372">
        <v>1</v>
      </c>
      <c r="W372" t="s">
        <v>2713</v>
      </c>
      <c r="X372" t="s">
        <v>5227</v>
      </c>
      <c r="Z372" t="s">
        <v>2715</v>
      </c>
      <c r="AB372" t="s">
        <v>2716</v>
      </c>
      <c r="AC372" t="s">
        <v>2763</v>
      </c>
      <c r="AE372">
        <v>1</v>
      </c>
      <c r="AF372" t="s">
        <v>5228</v>
      </c>
      <c r="AH372" t="s">
        <v>76</v>
      </c>
      <c r="AI372">
        <v>46143</v>
      </c>
      <c r="AJ372">
        <v>5</v>
      </c>
      <c r="AK372" t="s">
        <v>5229</v>
      </c>
      <c r="AM372" t="s">
        <v>5230</v>
      </c>
      <c r="AN372" t="s">
        <v>2721</v>
      </c>
      <c r="AO372" t="s">
        <v>5231</v>
      </c>
      <c r="AP372">
        <v>3752</v>
      </c>
      <c r="AQ372" t="s">
        <v>5232</v>
      </c>
      <c r="AR372" t="s">
        <v>5233</v>
      </c>
      <c r="AS372">
        <v>144</v>
      </c>
      <c r="AT372" t="s">
        <v>5234</v>
      </c>
      <c r="AW372" t="str">
        <f>Plan_2026[[#This Row],[Tên brand]]&amp;" "&amp;Plan_2026[[#This Row],[Trục đường chính]]&amp;Plan_2026[[#This Row],[Tên mall
(chuẩn hóa)]]&amp;Plan_2026[[#This Row],[Địa chỉ đầy đủ]]</f>
        <v xml:space="preserve">Gogi House </v>
      </c>
    </row>
    <row r="373" spans="1:49" hidden="1" x14ac:dyDescent="0.35">
      <c r="A373">
        <v>349</v>
      </c>
      <c r="B373" t="s">
        <v>2261</v>
      </c>
      <c r="C373" t="s">
        <v>35</v>
      </c>
      <c r="D373" t="s">
        <v>2820</v>
      </c>
      <c r="E373">
        <v>2026</v>
      </c>
      <c r="F373">
        <v>2</v>
      </c>
      <c r="G373">
        <v>6</v>
      </c>
      <c r="H373">
        <v>10</v>
      </c>
      <c r="J373" t="s">
        <v>2244</v>
      </c>
      <c r="K373" t="s">
        <v>2704</v>
      </c>
      <c r="L373" t="s">
        <v>2262</v>
      </c>
      <c r="M373" t="s">
        <v>5224</v>
      </c>
      <c r="N373" t="s">
        <v>5225</v>
      </c>
      <c r="O373" t="s">
        <v>5226</v>
      </c>
      <c r="Q373" t="s">
        <v>2709</v>
      </c>
      <c r="R373" t="s">
        <v>2751</v>
      </c>
      <c r="S373" t="s">
        <v>2751</v>
      </c>
      <c r="T373">
        <v>200</v>
      </c>
      <c r="U373" t="s">
        <v>2712</v>
      </c>
      <c r="V373">
        <v>1</v>
      </c>
      <c r="W373" t="s">
        <v>2713</v>
      </c>
      <c r="X373" t="s">
        <v>5235</v>
      </c>
      <c r="Z373" t="s">
        <v>2715</v>
      </c>
      <c r="AB373" t="s">
        <v>2716</v>
      </c>
      <c r="AC373" t="s">
        <v>2763</v>
      </c>
      <c r="AE373">
        <v>1</v>
      </c>
      <c r="AF373" t="s">
        <v>5236</v>
      </c>
      <c r="AH373" t="s">
        <v>34</v>
      </c>
      <c r="AI373">
        <v>46174</v>
      </c>
      <c r="AJ373">
        <v>6</v>
      </c>
      <c r="AK373" t="s">
        <v>5229</v>
      </c>
      <c r="AM373" t="s">
        <v>5230</v>
      </c>
      <c r="AN373" t="s">
        <v>2911</v>
      </c>
      <c r="AO373" t="s">
        <v>5237</v>
      </c>
      <c r="AP373">
        <v>3752</v>
      </c>
      <c r="AQ373" t="s">
        <v>5232</v>
      </c>
      <c r="AR373" t="s">
        <v>5233</v>
      </c>
      <c r="AS373">
        <v>107</v>
      </c>
      <c r="AT373" t="s">
        <v>5238</v>
      </c>
      <c r="AW373" t="str">
        <f>Plan_2026[[#This Row],[Tên brand]]&amp;" "&amp;Plan_2026[[#This Row],[Trục đường chính]]&amp;Plan_2026[[#This Row],[Tên mall
(chuẩn hóa)]]&amp;Plan_2026[[#This Row],[Địa chỉ đầy đủ]]</f>
        <v xml:space="preserve">Kichi Kichi </v>
      </c>
    </row>
    <row r="374" spans="1:49" hidden="1" x14ac:dyDescent="0.35">
      <c r="A374">
        <v>350</v>
      </c>
      <c r="B374" t="s">
        <v>2242</v>
      </c>
      <c r="C374" t="s">
        <v>35</v>
      </c>
      <c r="D374" t="s">
        <v>2820</v>
      </c>
      <c r="E374">
        <v>2025</v>
      </c>
      <c r="F374">
        <v>4</v>
      </c>
      <c r="G374">
        <v>12</v>
      </c>
      <c r="H374">
        <v>4</v>
      </c>
      <c r="J374" t="s">
        <v>2244</v>
      </c>
      <c r="K374" t="s">
        <v>3000</v>
      </c>
      <c r="L374" t="s">
        <v>5239</v>
      </c>
      <c r="M374" t="s">
        <v>5240</v>
      </c>
      <c r="N374" t="s">
        <v>5239</v>
      </c>
      <c r="O374" t="s">
        <v>5241</v>
      </c>
      <c r="P374" t="s">
        <v>5242</v>
      </c>
      <c r="Q374" t="s">
        <v>2709</v>
      </c>
      <c r="R374" t="s">
        <v>2751</v>
      </c>
      <c r="S374" t="s">
        <v>2751</v>
      </c>
      <c r="T374">
        <v>200</v>
      </c>
      <c r="U374" t="s">
        <v>2712</v>
      </c>
      <c r="V374">
        <v>1</v>
      </c>
      <c r="W374" t="s">
        <v>2713</v>
      </c>
      <c r="X374" t="s">
        <v>5243</v>
      </c>
      <c r="Z374" t="s">
        <v>2715</v>
      </c>
      <c r="AB374" t="s">
        <v>2716</v>
      </c>
      <c r="AC374" t="s">
        <v>3115</v>
      </c>
      <c r="AE374">
        <v>1</v>
      </c>
      <c r="AF374" t="s">
        <v>5244</v>
      </c>
      <c r="AH374" t="s">
        <v>34</v>
      </c>
      <c r="AI374">
        <v>45992</v>
      </c>
      <c r="AJ374">
        <v>12</v>
      </c>
      <c r="AK374" t="s">
        <v>5245</v>
      </c>
      <c r="AM374" t="s">
        <v>5246</v>
      </c>
      <c r="AN374" t="s">
        <v>2911</v>
      </c>
      <c r="AO374" t="s">
        <v>5247</v>
      </c>
      <c r="AP374">
        <v>2632</v>
      </c>
      <c r="AQ374" t="s">
        <v>5248</v>
      </c>
      <c r="AR374" t="s">
        <v>5249</v>
      </c>
      <c r="AS374">
        <v>107</v>
      </c>
      <c r="AT374" t="s">
        <v>5250</v>
      </c>
      <c r="AW374" t="str">
        <f>Plan_2026[[#This Row],[Tên brand]]&amp;" "&amp;Plan_2026[[#This Row],[Trục đường chính]]&amp;Plan_2026[[#This Row],[Tên mall
(chuẩn hóa)]]&amp;Plan_2026[[#This Row],[Địa chỉ đầy đủ]]</f>
        <v>Kichi Kichi 266 Phan Đình Phùng</v>
      </c>
    </row>
    <row r="375" spans="1:49" hidden="1" x14ac:dyDescent="0.35">
      <c r="A375">
        <v>351</v>
      </c>
      <c r="B375" t="s">
        <v>2512</v>
      </c>
      <c r="C375" t="s">
        <v>2787</v>
      </c>
      <c r="D375" t="s">
        <v>2788</v>
      </c>
      <c r="E375">
        <v>2026</v>
      </c>
      <c r="F375">
        <v>1</v>
      </c>
      <c r="G375">
        <v>1</v>
      </c>
      <c r="H375">
        <v>5</v>
      </c>
      <c r="J375" t="s">
        <v>2241</v>
      </c>
      <c r="K375" t="s">
        <v>2774</v>
      </c>
      <c r="L375" t="s">
        <v>4878</v>
      </c>
      <c r="M375" t="s">
        <v>4879</v>
      </c>
      <c r="N375" t="s">
        <v>4880</v>
      </c>
      <c r="O375" t="s">
        <v>5251</v>
      </c>
      <c r="P375" t="s">
        <v>2513</v>
      </c>
      <c r="Q375" t="s">
        <v>2709</v>
      </c>
      <c r="R375" t="s">
        <v>2751</v>
      </c>
      <c r="S375" t="s">
        <v>2751</v>
      </c>
      <c r="T375" t="s">
        <v>2790</v>
      </c>
      <c r="U375" t="s">
        <v>2790</v>
      </c>
      <c r="V375">
        <v>1</v>
      </c>
      <c r="W375" t="s">
        <v>2713</v>
      </c>
      <c r="X375" t="s">
        <v>5252</v>
      </c>
      <c r="Z375">
        <v>132</v>
      </c>
      <c r="AB375" t="s">
        <v>2716</v>
      </c>
      <c r="AC375" t="s">
        <v>2738</v>
      </c>
      <c r="AE375">
        <v>0</v>
      </c>
      <c r="AH375" t="s">
        <v>1788</v>
      </c>
      <c r="AI375">
        <v>46023</v>
      </c>
      <c r="AJ375">
        <v>1</v>
      </c>
      <c r="AK375" t="s">
        <v>5253</v>
      </c>
      <c r="AM375" t="s">
        <v>5254</v>
      </c>
      <c r="AN375" t="s">
        <v>2793</v>
      </c>
      <c r="AO375" t="s">
        <v>5255</v>
      </c>
      <c r="AP375">
        <v>3826</v>
      </c>
      <c r="AQ375" t="s">
        <v>5256</v>
      </c>
      <c r="AR375" t="s">
        <v>5257</v>
      </c>
      <c r="AS375">
        <v>81</v>
      </c>
      <c r="AT375" t="s">
        <v>2808</v>
      </c>
      <c r="AW375" t="str">
        <f>Plan_2026[[#This Row],[Tên brand]]&amp;" "&amp;Plan_2026[[#This Row],[Trục đường chính]]&amp;Plan_2026[[#This Row],[Tên mall
(chuẩn hóa)]]&amp;Plan_2026[[#This Row],[Địa chỉ đầy đủ]]</f>
        <v>The Coffee House Trần Hưng Đạo, Lê Thành Tông, Đường 25/4 (khu vực cột đồng hồ, Vincom, Bảo tàng)</v>
      </c>
    </row>
    <row r="376" spans="1:49" hidden="1" x14ac:dyDescent="0.35">
      <c r="A376">
        <v>207</v>
      </c>
      <c r="B376" t="s">
        <v>5258</v>
      </c>
      <c r="C376" t="s">
        <v>2702</v>
      </c>
      <c r="D376" t="s">
        <v>3051</v>
      </c>
      <c r="E376">
        <v>2026</v>
      </c>
      <c r="F376">
        <v>1</v>
      </c>
      <c r="G376">
        <v>2</v>
      </c>
      <c r="H376">
        <v>6</v>
      </c>
      <c r="J376" t="s">
        <v>350</v>
      </c>
      <c r="K376" t="s">
        <v>2704</v>
      </c>
      <c r="L376" t="s">
        <v>3052</v>
      </c>
      <c r="M376" t="s">
        <v>3053</v>
      </c>
      <c r="N376" t="s">
        <v>5259</v>
      </c>
      <c r="O376" t="s">
        <v>5096</v>
      </c>
      <c r="Q376" t="s">
        <v>2732</v>
      </c>
      <c r="R376">
        <v>6</v>
      </c>
      <c r="S376" t="s">
        <v>2733</v>
      </c>
      <c r="T376" t="s">
        <v>2973</v>
      </c>
      <c r="U376" t="s">
        <v>2712</v>
      </c>
      <c r="V376">
        <v>1</v>
      </c>
      <c r="W376" t="s">
        <v>2735</v>
      </c>
      <c r="X376" t="s">
        <v>5260</v>
      </c>
      <c r="Y376" t="s">
        <v>5261</v>
      </c>
      <c r="Z376" t="s">
        <v>2715</v>
      </c>
      <c r="AB376" t="s">
        <v>2716</v>
      </c>
      <c r="AC376" t="s">
        <v>2952</v>
      </c>
      <c r="AE376">
        <v>1</v>
      </c>
      <c r="AF376" t="s">
        <v>5262</v>
      </c>
      <c r="AH376" t="s">
        <v>76</v>
      </c>
      <c r="AI376">
        <v>46054</v>
      </c>
      <c r="AJ376">
        <v>2</v>
      </c>
      <c r="AK376" t="s">
        <v>5263</v>
      </c>
      <c r="AM376" t="s">
        <v>5264</v>
      </c>
      <c r="AN376" t="s">
        <v>2979</v>
      </c>
      <c r="AO376" t="s">
        <v>5265</v>
      </c>
      <c r="AP376">
        <v>8374</v>
      </c>
      <c r="AQ376" t="s">
        <v>5266</v>
      </c>
      <c r="AR376" t="s">
        <v>5267</v>
      </c>
      <c r="AS376">
        <v>144</v>
      </c>
      <c r="AT376" t="s">
        <v>5268</v>
      </c>
      <c r="AW376" t="str">
        <f>Plan_2026[[#This Row],[Tên brand]]&amp;" "&amp;Plan_2026[[#This Row],[Trục đường chính]]&amp;Plan_2026[[#This Row],[Tên mall
(chuẩn hóa)]]&amp;Plan_2026[[#This Row],[Địa chỉ đầy đủ]]</f>
        <v>Gogi House Satra - Centre Mall Võ Văn Kiệt</v>
      </c>
    </row>
    <row r="377" spans="1:49" hidden="1" x14ac:dyDescent="0.35">
      <c r="A377">
        <v>353</v>
      </c>
      <c r="B377" t="s">
        <v>2296</v>
      </c>
      <c r="C377" t="s">
        <v>62</v>
      </c>
      <c r="D377" t="s">
        <v>3463</v>
      </c>
      <c r="E377">
        <v>2026</v>
      </c>
      <c r="F377">
        <v>1</v>
      </c>
      <c r="G377">
        <v>1</v>
      </c>
      <c r="H377">
        <v>5</v>
      </c>
      <c r="J377" t="s">
        <v>2241</v>
      </c>
      <c r="K377" t="s">
        <v>2774</v>
      </c>
      <c r="L377" t="s">
        <v>4878</v>
      </c>
      <c r="M377" t="s">
        <v>4879</v>
      </c>
      <c r="N377" t="s">
        <v>4880</v>
      </c>
      <c r="O377" t="s">
        <v>4881</v>
      </c>
      <c r="P377" t="s">
        <v>4882</v>
      </c>
      <c r="Q377" t="s">
        <v>2732</v>
      </c>
      <c r="R377" t="s">
        <v>2751</v>
      </c>
      <c r="S377" t="s">
        <v>2751</v>
      </c>
      <c r="T377" t="s">
        <v>2712</v>
      </c>
      <c r="U377" t="s">
        <v>2712</v>
      </c>
      <c r="V377">
        <v>1</v>
      </c>
      <c r="W377" t="s">
        <v>2713</v>
      </c>
      <c r="X377" t="s">
        <v>2297</v>
      </c>
      <c r="Y377" t="s">
        <v>2297</v>
      </c>
      <c r="Z377">
        <v>300</v>
      </c>
      <c r="AB377" t="s">
        <v>2716</v>
      </c>
      <c r="AC377" t="s">
        <v>2763</v>
      </c>
      <c r="AE377">
        <v>1</v>
      </c>
      <c r="AH377" t="s">
        <v>61</v>
      </c>
      <c r="AI377">
        <v>46023</v>
      </c>
      <c r="AJ377">
        <v>1</v>
      </c>
      <c r="AK377" t="s">
        <v>4884</v>
      </c>
      <c r="AM377" t="s">
        <v>4885</v>
      </c>
      <c r="AN377" t="s">
        <v>2753</v>
      </c>
      <c r="AO377" t="s">
        <v>5269</v>
      </c>
      <c r="AP377">
        <v>977</v>
      </c>
      <c r="AQ377" t="s">
        <v>4887</v>
      </c>
      <c r="AR377" t="s">
        <v>4888</v>
      </c>
      <c r="AS377">
        <v>25</v>
      </c>
      <c r="AT377" t="s">
        <v>5270</v>
      </c>
      <c r="AW377" t="str">
        <f>Plan_2026[[#This Row],[Tên brand]]&amp;" "&amp;Plan_2026[[#This Row],[Trục đường chính]]&amp;Plan_2026[[#This Row],[Tên mall
(chuẩn hóa)]]&amp;Plan_2026[[#This Row],[Địa chỉ đầy đủ]]</f>
        <v>Isushi Cái LânAeon Mall Hạ Long</v>
      </c>
    </row>
    <row r="378" spans="1:49" hidden="1" x14ac:dyDescent="0.35">
      <c r="A378">
        <v>354</v>
      </c>
      <c r="B378" t="s">
        <v>2404</v>
      </c>
      <c r="C378" t="s">
        <v>2772</v>
      </c>
      <c r="D378" t="s">
        <v>2773</v>
      </c>
      <c r="E378">
        <v>2026</v>
      </c>
      <c r="F378">
        <v>2</v>
      </c>
      <c r="G378">
        <v>6</v>
      </c>
      <c r="H378">
        <v>10</v>
      </c>
      <c r="J378" t="s">
        <v>2241</v>
      </c>
      <c r="K378" t="s">
        <v>2774</v>
      </c>
      <c r="L378" t="s">
        <v>4878</v>
      </c>
      <c r="M378" t="s">
        <v>4879</v>
      </c>
      <c r="N378" t="s">
        <v>4880</v>
      </c>
      <c r="O378" t="s">
        <v>4881</v>
      </c>
      <c r="P378" t="s">
        <v>5271</v>
      </c>
      <c r="Q378" t="s">
        <v>2732</v>
      </c>
      <c r="R378" t="s">
        <v>2751</v>
      </c>
      <c r="S378" t="s">
        <v>2751</v>
      </c>
      <c r="T378" t="s">
        <v>2712</v>
      </c>
      <c r="U378" t="s">
        <v>2712</v>
      </c>
      <c r="V378">
        <v>1</v>
      </c>
      <c r="W378" t="s">
        <v>2713</v>
      </c>
      <c r="X378" t="s">
        <v>2297</v>
      </c>
      <c r="Y378" t="s">
        <v>2297</v>
      </c>
      <c r="Z378">
        <v>200</v>
      </c>
      <c r="AB378" t="s">
        <v>2716</v>
      </c>
      <c r="AC378" t="s">
        <v>2763</v>
      </c>
      <c r="AE378">
        <v>1</v>
      </c>
      <c r="AH378" t="s">
        <v>112</v>
      </c>
      <c r="AI378">
        <v>46174</v>
      </c>
      <c r="AJ378">
        <v>6</v>
      </c>
      <c r="AK378" t="s">
        <v>4884</v>
      </c>
      <c r="AM378" t="s">
        <v>4885</v>
      </c>
      <c r="AN378" t="s">
        <v>3033</v>
      </c>
      <c r="AO378" t="s">
        <v>5272</v>
      </c>
      <c r="AP378">
        <v>977</v>
      </c>
      <c r="AQ378" t="s">
        <v>4887</v>
      </c>
      <c r="AR378" t="s">
        <v>4888</v>
      </c>
      <c r="AS378">
        <v>55</v>
      </c>
      <c r="AT378" t="s">
        <v>5273</v>
      </c>
      <c r="AW378" t="str">
        <f>Plan_2026[[#This Row],[Tên brand]]&amp;" "&amp;Plan_2026[[#This Row],[Trục đường chính]]&amp;Plan_2026[[#This Row],[Tên mall
(chuẩn hóa)]]&amp;Plan_2026[[#This Row],[Địa chỉ đầy đủ]]</f>
        <v>Manwah Aeon Hạ LongAeon Mall Hạ Long</v>
      </c>
    </row>
    <row r="379" spans="1:49" hidden="1" x14ac:dyDescent="0.35">
      <c r="A379">
        <v>355</v>
      </c>
      <c r="B379" t="s">
        <v>2239</v>
      </c>
      <c r="C379" t="s">
        <v>35</v>
      </c>
      <c r="D379" t="s">
        <v>4146</v>
      </c>
      <c r="E379">
        <v>2025</v>
      </c>
      <c r="F379">
        <v>4</v>
      </c>
      <c r="G379">
        <v>12</v>
      </c>
      <c r="H379">
        <v>4</v>
      </c>
      <c r="I379">
        <v>8</v>
      </c>
      <c r="J379" t="s">
        <v>2241</v>
      </c>
      <c r="K379" t="s">
        <v>2774</v>
      </c>
      <c r="L379" t="s">
        <v>4878</v>
      </c>
      <c r="M379" t="s">
        <v>4879</v>
      </c>
      <c r="N379" t="s">
        <v>4880</v>
      </c>
      <c r="O379" t="s">
        <v>4881</v>
      </c>
      <c r="P379" t="s">
        <v>4882</v>
      </c>
      <c r="Q379" t="s">
        <v>2732</v>
      </c>
      <c r="R379" t="s">
        <v>2751</v>
      </c>
      <c r="S379" t="s">
        <v>2751</v>
      </c>
      <c r="T379">
        <v>200</v>
      </c>
      <c r="U379" t="s">
        <v>2712</v>
      </c>
      <c r="V379">
        <v>1</v>
      </c>
      <c r="W379" t="s">
        <v>2713</v>
      </c>
      <c r="X379" t="s">
        <v>2297</v>
      </c>
      <c r="Y379" t="s">
        <v>2297</v>
      </c>
      <c r="Z379" t="s">
        <v>2715</v>
      </c>
      <c r="AB379" t="s">
        <v>2716</v>
      </c>
      <c r="AC379" t="s">
        <v>2763</v>
      </c>
      <c r="AE379">
        <v>1</v>
      </c>
      <c r="AH379" t="s">
        <v>34</v>
      </c>
      <c r="AI379">
        <v>45992</v>
      </c>
      <c r="AJ379">
        <v>12</v>
      </c>
      <c r="AK379" t="s">
        <v>4884</v>
      </c>
      <c r="AM379" t="s">
        <v>4885</v>
      </c>
      <c r="AN379" t="s">
        <v>3036</v>
      </c>
      <c r="AO379" t="s">
        <v>5274</v>
      </c>
      <c r="AP379">
        <v>977</v>
      </c>
      <c r="AQ379" t="s">
        <v>4887</v>
      </c>
      <c r="AR379" t="s">
        <v>4888</v>
      </c>
      <c r="AS379">
        <v>107</v>
      </c>
      <c r="AT379" t="s">
        <v>5275</v>
      </c>
      <c r="AW379" t="str">
        <f>Plan_2026[[#This Row],[Tên brand]]&amp;" "&amp;Plan_2026[[#This Row],[Trục đường chính]]&amp;Plan_2026[[#This Row],[Tên mall
(chuẩn hóa)]]&amp;Plan_2026[[#This Row],[Địa chỉ đầy đủ]]</f>
        <v>Kichi Kichi Cái LânAeon Mall Hạ Long</v>
      </c>
    </row>
    <row r="380" spans="1:49" hidden="1" x14ac:dyDescent="0.35">
      <c r="A380">
        <v>356</v>
      </c>
      <c r="B380" t="s">
        <v>5276</v>
      </c>
      <c r="C380" t="s">
        <v>2702</v>
      </c>
      <c r="D380" t="s">
        <v>3164</v>
      </c>
      <c r="E380">
        <v>2026</v>
      </c>
      <c r="F380">
        <v>3</v>
      </c>
      <c r="G380">
        <v>7</v>
      </c>
      <c r="H380">
        <v>11</v>
      </c>
      <c r="J380" t="s">
        <v>2241</v>
      </c>
      <c r="K380" t="s">
        <v>2774</v>
      </c>
      <c r="L380" t="s">
        <v>5277</v>
      </c>
      <c r="M380" t="s">
        <v>5278</v>
      </c>
      <c r="N380" t="s">
        <v>5277</v>
      </c>
      <c r="O380" t="s">
        <v>4032</v>
      </c>
      <c r="Q380" t="s">
        <v>2709</v>
      </c>
      <c r="R380">
        <v>8</v>
      </c>
      <c r="S380" t="s">
        <v>2710</v>
      </c>
      <c r="T380">
        <v>220</v>
      </c>
      <c r="U380" t="s">
        <v>2712</v>
      </c>
      <c r="V380">
        <v>1</v>
      </c>
      <c r="W380" t="s">
        <v>2735</v>
      </c>
      <c r="X380" t="s">
        <v>5279</v>
      </c>
      <c r="Z380" t="s">
        <v>2715</v>
      </c>
      <c r="AB380" t="s">
        <v>2716</v>
      </c>
      <c r="AC380" t="s">
        <v>2717</v>
      </c>
      <c r="AE380">
        <v>0</v>
      </c>
      <c r="AF380" t="s">
        <v>5280</v>
      </c>
      <c r="AH380" t="s">
        <v>76</v>
      </c>
      <c r="AI380">
        <v>46204</v>
      </c>
      <c r="AJ380">
        <v>7</v>
      </c>
      <c r="AK380" t="s">
        <v>5281</v>
      </c>
      <c r="AM380" t="s">
        <v>5282</v>
      </c>
      <c r="AN380" t="s">
        <v>2721</v>
      </c>
      <c r="AO380" t="s">
        <v>5283</v>
      </c>
      <c r="AP380">
        <v>2558</v>
      </c>
      <c r="AQ380" t="s">
        <v>5284</v>
      </c>
      <c r="AR380" t="s">
        <v>5285</v>
      </c>
      <c r="AS380">
        <v>144</v>
      </c>
      <c r="AT380" t="s">
        <v>5286</v>
      </c>
      <c r="AW380" t="str">
        <f>Plan_2026[[#This Row],[Tên brand]]&amp;" "&amp;Plan_2026[[#This Row],[Trục đường chính]]&amp;Plan_2026[[#This Row],[Tên mall
(chuẩn hóa)]]&amp;Plan_2026[[#This Row],[Địa chỉ đầy đủ]]</f>
        <v xml:space="preserve">Gogi House </v>
      </c>
    </row>
    <row r="381" spans="1:49" hidden="1" x14ac:dyDescent="0.35">
      <c r="A381">
        <v>357</v>
      </c>
      <c r="B381" t="s">
        <v>5287</v>
      </c>
      <c r="C381" t="s">
        <v>2702</v>
      </c>
      <c r="D381" t="s">
        <v>3164</v>
      </c>
      <c r="E381">
        <v>2026</v>
      </c>
      <c r="F381">
        <v>3</v>
      </c>
      <c r="G381">
        <v>7</v>
      </c>
      <c r="H381">
        <v>11</v>
      </c>
      <c r="J381" t="s">
        <v>2241</v>
      </c>
      <c r="K381" t="s">
        <v>2774</v>
      </c>
      <c r="L381" t="s">
        <v>5277</v>
      </c>
      <c r="M381" t="s">
        <v>5278</v>
      </c>
      <c r="N381" t="s">
        <v>5277</v>
      </c>
      <c r="O381" t="s">
        <v>5288</v>
      </c>
      <c r="Q381" t="s">
        <v>2709</v>
      </c>
      <c r="R381">
        <v>8</v>
      </c>
      <c r="S381" t="s">
        <v>2710</v>
      </c>
      <c r="T381">
        <v>220</v>
      </c>
      <c r="U381" t="s">
        <v>2712</v>
      </c>
      <c r="V381">
        <v>1</v>
      </c>
      <c r="W381" t="s">
        <v>2735</v>
      </c>
      <c r="X381" t="s">
        <v>5289</v>
      </c>
      <c r="Z381" t="s">
        <v>2715</v>
      </c>
      <c r="AB381" t="s">
        <v>2716</v>
      </c>
      <c r="AC381" t="s">
        <v>3115</v>
      </c>
      <c r="AE381">
        <v>1</v>
      </c>
      <c r="AF381" t="s">
        <v>5290</v>
      </c>
      <c r="AH381" t="s">
        <v>76</v>
      </c>
      <c r="AI381">
        <v>46204</v>
      </c>
      <c r="AJ381">
        <v>7</v>
      </c>
      <c r="AK381" t="s">
        <v>5291</v>
      </c>
      <c r="AM381" t="s">
        <v>5292</v>
      </c>
      <c r="AN381" t="s">
        <v>2721</v>
      </c>
      <c r="AO381" t="s">
        <v>5293</v>
      </c>
      <c r="AP381">
        <v>2033</v>
      </c>
      <c r="AQ381" t="s">
        <v>5294</v>
      </c>
      <c r="AR381" t="s">
        <v>5295</v>
      </c>
      <c r="AS381">
        <v>144</v>
      </c>
      <c r="AT381" t="s">
        <v>4720</v>
      </c>
      <c r="AW381" t="str">
        <f>Plan_2026[[#This Row],[Tên brand]]&amp;" "&amp;Plan_2026[[#This Row],[Trục đường chính]]&amp;Plan_2026[[#This Row],[Tên mall
(chuẩn hóa)]]&amp;Plan_2026[[#This Row],[Địa chỉ đầy đủ]]</f>
        <v xml:space="preserve">Gogi House </v>
      </c>
    </row>
    <row r="382" spans="1:49" hidden="1" x14ac:dyDescent="0.35">
      <c r="A382">
        <v>358</v>
      </c>
      <c r="B382" t="s">
        <v>5296</v>
      </c>
      <c r="C382" t="s">
        <v>2702</v>
      </c>
      <c r="D382" t="s">
        <v>3018</v>
      </c>
      <c r="E382">
        <v>2026</v>
      </c>
      <c r="F382">
        <v>3</v>
      </c>
      <c r="G382">
        <v>7</v>
      </c>
      <c r="H382">
        <v>11</v>
      </c>
      <c r="J382" t="s">
        <v>2241</v>
      </c>
      <c r="K382" t="s">
        <v>2774</v>
      </c>
      <c r="L382" t="s">
        <v>5297</v>
      </c>
      <c r="M382" t="s">
        <v>5298</v>
      </c>
      <c r="N382" t="s">
        <v>5297</v>
      </c>
      <c r="O382" t="s">
        <v>5299</v>
      </c>
      <c r="P382" t="s">
        <v>5300</v>
      </c>
      <c r="Q382" t="s">
        <v>2709</v>
      </c>
      <c r="R382">
        <v>8</v>
      </c>
      <c r="S382" t="s">
        <v>2710</v>
      </c>
      <c r="T382" t="s">
        <v>5301</v>
      </c>
      <c r="U382" t="s">
        <v>2712</v>
      </c>
      <c r="V382">
        <v>1</v>
      </c>
      <c r="W382" t="s">
        <v>2735</v>
      </c>
      <c r="Z382" t="s">
        <v>2715</v>
      </c>
      <c r="AA382" t="s">
        <v>5302</v>
      </c>
      <c r="AB382" t="s">
        <v>2716</v>
      </c>
      <c r="AC382" t="s">
        <v>2738</v>
      </c>
      <c r="AE382">
        <v>0</v>
      </c>
      <c r="AF382" t="s">
        <v>5303</v>
      </c>
      <c r="AH382" t="s">
        <v>76</v>
      </c>
      <c r="AI382">
        <v>46204</v>
      </c>
      <c r="AJ382">
        <v>7</v>
      </c>
      <c r="AK382" t="s">
        <v>5304</v>
      </c>
      <c r="AM382" t="s">
        <v>5305</v>
      </c>
      <c r="AN382" t="s">
        <v>2721</v>
      </c>
      <c r="AO382" t="s">
        <v>5306</v>
      </c>
      <c r="AP382">
        <v>3007</v>
      </c>
      <c r="AQ382" t="s">
        <v>5307</v>
      </c>
      <c r="AR382" t="s">
        <v>5308</v>
      </c>
      <c r="AS382">
        <v>144</v>
      </c>
      <c r="AT382" t="s">
        <v>5114</v>
      </c>
      <c r="AW382" t="str">
        <f>Plan_2026[[#This Row],[Tên brand]]&amp;" "&amp;Plan_2026[[#This Row],[Trục đường chính]]&amp;Plan_2026[[#This Row],[Tên mall
(chuẩn hóa)]]&amp;Plan_2026[[#This Row],[Địa chỉ đầy đủ]]</f>
        <v>Gogi House Lê Quý Đôn, Lê Lợi, Hai Bà Trưng</v>
      </c>
    </row>
    <row r="383" spans="1:49" hidden="1" x14ac:dyDescent="0.35">
      <c r="A383">
        <v>359</v>
      </c>
      <c r="B383" t="s">
        <v>2435</v>
      </c>
      <c r="C383" t="s">
        <v>3225</v>
      </c>
      <c r="D383" t="s">
        <v>3226</v>
      </c>
      <c r="E383">
        <v>2025</v>
      </c>
      <c r="F383">
        <v>4</v>
      </c>
      <c r="G383">
        <v>11</v>
      </c>
      <c r="H383">
        <v>3</v>
      </c>
      <c r="J383" t="s">
        <v>2241</v>
      </c>
      <c r="K383" t="s">
        <v>2774</v>
      </c>
      <c r="L383" t="s">
        <v>5297</v>
      </c>
      <c r="M383" t="s">
        <v>5298</v>
      </c>
      <c r="N383" t="s">
        <v>5297</v>
      </c>
      <c r="O383" t="s">
        <v>5309</v>
      </c>
      <c r="P383" t="s">
        <v>5310</v>
      </c>
      <c r="Q383" t="s">
        <v>2732</v>
      </c>
      <c r="R383" t="s">
        <v>2710</v>
      </c>
      <c r="S383" t="s">
        <v>2710</v>
      </c>
      <c r="T383" t="s">
        <v>3229</v>
      </c>
      <c r="U383" t="s">
        <v>3229</v>
      </c>
      <c r="V383">
        <v>1</v>
      </c>
      <c r="W383" t="s">
        <v>2713</v>
      </c>
      <c r="X383" t="s">
        <v>5311</v>
      </c>
      <c r="Y383" t="s">
        <v>5312</v>
      </c>
      <c r="Z383" t="s">
        <v>2715</v>
      </c>
      <c r="AB383" t="s">
        <v>2716</v>
      </c>
      <c r="AC383" t="s">
        <v>2763</v>
      </c>
      <c r="AE383">
        <v>1</v>
      </c>
      <c r="AF383" t="s">
        <v>5313</v>
      </c>
      <c r="AH383" t="s">
        <v>1319</v>
      </c>
      <c r="AI383">
        <v>45962</v>
      </c>
      <c r="AJ383">
        <v>11</v>
      </c>
      <c r="AK383" t="s">
        <v>5314</v>
      </c>
      <c r="AM383" t="s">
        <v>5315</v>
      </c>
      <c r="AN383" t="s">
        <v>3237</v>
      </c>
      <c r="AO383" t="s">
        <v>5316</v>
      </c>
      <c r="AP383">
        <v>5549</v>
      </c>
      <c r="AQ383" t="s">
        <v>5317</v>
      </c>
      <c r="AR383" t="s">
        <v>5318</v>
      </c>
      <c r="AS383">
        <v>3</v>
      </c>
      <c r="AT383" t="s">
        <v>3241</v>
      </c>
      <c r="AW383" t="str">
        <f>Plan_2026[[#This Row],[Tên brand]]&amp;" "&amp;Plan_2026[[#This Row],[Trục đường chính]]&amp;Plan_2026[[#This Row],[Tên mall
(chuẩn hóa)]]&amp;Plan_2026[[#This Row],[Địa chỉ đầy đủ]]</f>
        <v>Chix Max 460 Lý BônVincom Plaza Lý Bôn</v>
      </c>
    </row>
    <row r="384" spans="1:49" hidden="1" x14ac:dyDescent="0.35">
      <c r="A384">
        <v>360</v>
      </c>
      <c r="B384" t="s">
        <v>2514</v>
      </c>
      <c r="C384" t="s">
        <v>2787</v>
      </c>
      <c r="D384" t="s">
        <v>2788</v>
      </c>
      <c r="E384">
        <v>2026</v>
      </c>
      <c r="F384">
        <v>1</v>
      </c>
      <c r="G384">
        <v>1</v>
      </c>
      <c r="H384">
        <v>5</v>
      </c>
      <c r="J384" t="s">
        <v>2241</v>
      </c>
      <c r="K384" t="s">
        <v>3000</v>
      </c>
      <c r="L384" t="s">
        <v>4933</v>
      </c>
      <c r="M384" t="s">
        <v>4934</v>
      </c>
      <c r="N384" t="s">
        <v>4933</v>
      </c>
      <c r="O384" t="s">
        <v>4150</v>
      </c>
      <c r="P384" t="s">
        <v>5319</v>
      </c>
      <c r="Q384" t="s">
        <v>2709</v>
      </c>
      <c r="R384" t="s">
        <v>2751</v>
      </c>
      <c r="S384" t="s">
        <v>2751</v>
      </c>
      <c r="T384" t="s">
        <v>2790</v>
      </c>
      <c r="U384" t="s">
        <v>2790</v>
      </c>
      <c r="V384">
        <v>1</v>
      </c>
      <c r="W384" t="s">
        <v>2713</v>
      </c>
      <c r="X384" t="s">
        <v>5218</v>
      </c>
      <c r="Z384">
        <v>132</v>
      </c>
      <c r="AB384" t="s">
        <v>2716</v>
      </c>
      <c r="AC384" t="s">
        <v>2738</v>
      </c>
      <c r="AE384">
        <v>0</v>
      </c>
      <c r="AF384" t="s">
        <v>2515</v>
      </c>
      <c r="AH384" t="s">
        <v>1788</v>
      </c>
      <c r="AI384">
        <v>46023</v>
      </c>
      <c r="AJ384">
        <v>1</v>
      </c>
      <c r="AK384" t="s">
        <v>5320</v>
      </c>
      <c r="AM384" t="s">
        <v>5321</v>
      </c>
      <c r="AN384" t="s">
        <v>2793</v>
      </c>
      <c r="AO384" t="s">
        <v>5322</v>
      </c>
      <c r="AP384">
        <v>6868</v>
      </c>
      <c r="AQ384" t="s">
        <v>5323</v>
      </c>
      <c r="AR384" t="s">
        <v>5324</v>
      </c>
      <c r="AS384">
        <v>81</v>
      </c>
      <c r="AT384" t="s">
        <v>4158</v>
      </c>
      <c r="AW384" t="str">
        <f>Plan_2026[[#This Row],[Tên brand]]&amp;" "&amp;Plan_2026[[#This Row],[Trục đường chính]]&amp;Plan_2026[[#This Row],[Tên mall
(chuẩn hóa)]]&amp;Plan_2026[[#This Row],[Địa chỉ đầy đủ]]</f>
        <v>The Coffee House Lê Lợi, Trần Phú</v>
      </c>
    </row>
    <row r="385" spans="1:49" hidden="1" x14ac:dyDescent="0.35">
      <c r="A385">
        <v>52</v>
      </c>
      <c r="B385" t="s">
        <v>5325</v>
      </c>
      <c r="C385" t="s">
        <v>2702</v>
      </c>
      <c r="D385" t="s">
        <v>3164</v>
      </c>
      <c r="E385">
        <v>2026</v>
      </c>
      <c r="F385">
        <v>1</v>
      </c>
      <c r="G385">
        <v>2</v>
      </c>
      <c r="H385">
        <v>6</v>
      </c>
      <c r="J385" t="s">
        <v>23</v>
      </c>
      <c r="K385" t="s">
        <v>2774</v>
      </c>
      <c r="L385" t="s">
        <v>3133</v>
      </c>
      <c r="M385" t="s">
        <v>3134</v>
      </c>
      <c r="N385" t="s">
        <v>3165</v>
      </c>
      <c r="O385" t="s">
        <v>3283</v>
      </c>
      <c r="P385" t="s">
        <v>5326</v>
      </c>
      <c r="Q385" t="s">
        <v>2732</v>
      </c>
      <c r="R385">
        <v>6</v>
      </c>
      <c r="S385" t="s">
        <v>2733</v>
      </c>
      <c r="T385" t="s">
        <v>2973</v>
      </c>
      <c r="U385" t="s">
        <v>2712</v>
      </c>
      <c r="V385">
        <v>1</v>
      </c>
      <c r="W385" t="s">
        <v>2713</v>
      </c>
      <c r="X385" t="s">
        <v>5327</v>
      </c>
      <c r="Y385" t="s">
        <v>3433</v>
      </c>
      <c r="Z385" t="s">
        <v>2715</v>
      </c>
      <c r="AB385" t="s">
        <v>2716</v>
      </c>
      <c r="AC385" t="s">
        <v>3232</v>
      </c>
      <c r="AE385">
        <v>0</v>
      </c>
      <c r="AF385" t="s">
        <v>5328</v>
      </c>
      <c r="AH385" t="s">
        <v>76</v>
      </c>
      <c r="AI385">
        <v>46054</v>
      </c>
      <c r="AJ385">
        <v>2</v>
      </c>
      <c r="AK385" t="s">
        <v>3290</v>
      </c>
      <c r="AL385" t="s">
        <v>5329</v>
      </c>
      <c r="AM385" t="s">
        <v>3292</v>
      </c>
      <c r="AN385" t="s">
        <v>2979</v>
      </c>
      <c r="AO385" t="s">
        <v>5330</v>
      </c>
      <c r="AP385">
        <v>19336</v>
      </c>
      <c r="AQ385" t="s">
        <v>3295</v>
      </c>
      <c r="AR385" t="s">
        <v>3296</v>
      </c>
      <c r="AS385">
        <v>144</v>
      </c>
      <c r="AT385" t="s">
        <v>5331</v>
      </c>
      <c r="AW385" t="str">
        <f>Plan_2026[[#This Row],[Tên brand]]&amp;" "&amp;Plan_2026[[#This Row],[Trục đường chính]]&amp;Plan_2026[[#This Row],[Tên mall
(chuẩn hóa)]]&amp;Plan_2026[[#This Row],[Địa chỉ đầy đủ]]</f>
        <v>Gogi House Liễu GiaiVincom Center MetropolisLiễu Giai, Cống Vị, Ba Đình, Hà Nội</v>
      </c>
    </row>
    <row r="386" spans="1:49" hidden="1" x14ac:dyDescent="0.35">
      <c r="A386">
        <v>362</v>
      </c>
      <c r="B386" t="s">
        <v>2259</v>
      </c>
      <c r="C386" t="s">
        <v>35</v>
      </c>
      <c r="D386" t="s">
        <v>2820</v>
      </c>
      <c r="E386">
        <v>2026</v>
      </c>
      <c r="F386">
        <v>2</v>
      </c>
      <c r="G386">
        <v>6</v>
      </c>
      <c r="H386">
        <v>10</v>
      </c>
      <c r="J386" t="s">
        <v>2241</v>
      </c>
      <c r="K386" t="s">
        <v>3000</v>
      </c>
      <c r="L386" t="s">
        <v>4933</v>
      </c>
      <c r="M386" t="s">
        <v>4934</v>
      </c>
      <c r="N386" t="s">
        <v>4933</v>
      </c>
      <c r="O386" t="s">
        <v>4935</v>
      </c>
      <c r="P386" t="s">
        <v>4936</v>
      </c>
      <c r="Q386" t="s">
        <v>2732</v>
      </c>
      <c r="R386" t="s">
        <v>2751</v>
      </c>
      <c r="S386" t="s">
        <v>2751</v>
      </c>
      <c r="T386">
        <v>200</v>
      </c>
      <c r="U386" t="s">
        <v>2712</v>
      </c>
      <c r="V386">
        <v>1</v>
      </c>
      <c r="W386" t="s">
        <v>2713</v>
      </c>
      <c r="X386" t="s">
        <v>4936</v>
      </c>
      <c r="Y386" t="s">
        <v>4936</v>
      </c>
      <c r="Z386" t="s">
        <v>2715</v>
      </c>
      <c r="AB386" t="s">
        <v>2716</v>
      </c>
      <c r="AC386" t="s">
        <v>2763</v>
      </c>
      <c r="AE386">
        <v>1</v>
      </c>
      <c r="AH386" t="s">
        <v>34</v>
      </c>
      <c r="AI386">
        <v>46174</v>
      </c>
      <c r="AJ386">
        <v>6</v>
      </c>
      <c r="AK386" t="s">
        <v>4937</v>
      </c>
      <c r="AM386" t="s">
        <v>4938</v>
      </c>
      <c r="AN386" t="s">
        <v>3036</v>
      </c>
      <c r="AO386" t="s">
        <v>5332</v>
      </c>
      <c r="AP386">
        <v>295</v>
      </c>
      <c r="AQ386" t="s">
        <v>4940</v>
      </c>
      <c r="AR386" t="s">
        <v>4941</v>
      </c>
      <c r="AS386">
        <v>107</v>
      </c>
      <c r="AT386" t="s">
        <v>5333</v>
      </c>
      <c r="AW386" t="str">
        <f>Plan_2026[[#This Row],[Tên brand]]&amp;" "&amp;Plan_2026[[#This Row],[Trục đường chính]]&amp;Plan_2026[[#This Row],[Tên mall
(chuẩn hóa)]]&amp;Plan_2026[[#This Row],[Địa chỉ đầy đủ]]</f>
        <v>Kichi Kichi Aeon Mall Thanh HóaAeon Mall Thanh Hóa</v>
      </c>
    </row>
    <row r="387" spans="1:49" hidden="1" x14ac:dyDescent="0.35">
      <c r="A387">
        <v>382</v>
      </c>
      <c r="B387" t="s">
        <v>5334</v>
      </c>
      <c r="C387" t="s">
        <v>2008</v>
      </c>
      <c r="D387" t="s">
        <v>2832</v>
      </c>
      <c r="E387">
        <v>2026</v>
      </c>
      <c r="F387">
        <v>1</v>
      </c>
      <c r="G387">
        <v>2</v>
      </c>
      <c r="H387">
        <v>6</v>
      </c>
      <c r="J387" t="s">
        <v>2241</v>
      </c>
      <c r="K387" t="s">
        <v>2774</v>
      </c>
      <c r="L387" t="s">
        <v>4933</v>
      </c>
      <c r="M387" t="s">
        <v>4934</v>
      </c>
      <c r="N387" t="s">
        <v>4933</v>
      </c>
      <c r="O387" t="s">
        <v>4150</v>
      </c>
      <c r="P387" t="s">
        <v>5335</v>
      </c>
      <c r="Q387" t="s">
        <v>2709</v>
      </c>
      <c r="R387" t="s">
        <v>2751</v>
      </c>
      <c r="S387" t="s">
        <v>2751</v>
      </c>
      <c r="T387">
        <v>300</v>
      </c>
      <c r="U387" t="s">
        <v>2762</v>
      </c>
      <c r="V387">
        <v>1</v>
      </c>
      <c r="W387" t="s">
        <v>2735</v>
      </c>
      <c r="Z387">
        <v>160</v>
      </c>
      <c r="AB387" t="s">
        <v>1794</v>
      </c>
      <c r="AC387" t="s">
        <v>2763</v>
      </c>
      <c r="AE387">
        <v>1</v>
      </c>
      <c r="AF387" t="s">
        <v>5336</v>
      </c>
      <c r="AH387" t="s">
        <v>2044</v>
      </c>
      <c r="AI387">
        <v>46054</v>
      </c>
      <c r="AJ387">
        <v>2</v>
      </c>
      <c r="AK387" t="s">
        <v>5320</v>
      </c>
      <c r="AM387" t="s">
        <v>5321</v>
      </c>
      <c r="AN387" t="s">
        <v>2767</v>
      </c>
      <c r="AO387" t="s">
        <v>5337</v>
      </c>
      <c r="AP387">
        <v>6868</v>
      </c>
      <c r="AQ387" t="s">
        <v>5323</v>
      </c>
      <c r="AR387" t="s">
        <v>5324</v>
      </c>
      <c r="AS387">
        <v>6</v>
      </c>
      <c r="AT387" t="s">
        <v>2771</v>
      </c>
      <c r="AW387" t="str">
        <f>Plan_2026[[#This Row],[Tên brand]]&amp;" "&amp;Plan_2026[[#This Row],[Trục đường chính]]&amp;Plan_2026[[#This Row],[Tên mall
(chuẩn hóa)]]&amp;Plan_2026[[#This Row],[Địa chỉ đầy đủ]]</f>
        <v>Dao Niu Guo Cao Thắng</v>
      </c>
    </row>
    <row r="388" spans="1:49" hidden="1" x14ac:dyDescent="0.35">
      <c r="A388">
        <v>396</v>
      </c>
      <c r="B388" t="s">
        <v>5338</v>
      </c>
      <c r="C388" t="s">
        <v>2772</v>
      </c>
      <c r="D388" t="s">
        <v>2773</v>
      </c>
      <c r="E388">
        <v>2026</v>
      </c>
      <c r="F388">
        <v>3</v>
      </c>
      <c r="G388">
        <v>7</v>
      </c>
      <c r="H388">
        <v>11</v>
      </c>
      <c r="J388" t="s">
        <v>2241</v>
      </c>
      <c r="K388" t="s">
        <v>3000</v>
      </c>
      <c r="L388" t="s">
        <v>4933</v>
      </c>
      <c r="M388" t="s">
        <v>4934</v>
      </c>
      <c r="N388" t="s">
        <v>4933</v>
      </c>
      <c r="O388" t="s">
        <v>4935</v>
      </c>
      <c r="Q388" t="s">
        <v>2732</v>
      </c>
      <c r="R388" t="s">
        <v>2751</v>
      </c>
      <c r="S388" t="s">
        <v>2751</v>
      </c>
      <c r="T388" t="s">
        <v>2762</v>
      </c>
      <c r="U388" t="s">
        <v>2762</v>
      </c>
      <c r="V388">
        <v>1</v>
      </c>
      <c r="W388" t="s">
        <v>3114</v>
      </c>
      <c r="X388" t="s">
        <v>4936</v>
      </c>
      <c r="Y388" t="s">
        <v>4936</v>
      </c>
      <c r="Z388">
        <v>200</v>
      </c>
      <c r="AB388" t="s">
        <v>2716</v>
      </c>
      <c r="AC388" t="s">
        <v>2763</v>
      </c>
      <c r="AE388">
        <v>1</v>
      </c>
      <c r="AH388" t="s">
        <v>112</v>
      </c>
      <c r="AI388">
        <v>46204</v>
      </c>
      <c r="AJ388">
        <v>7</v>
      </c>
      <c r="AK388" t="s">
        <v>4937</v>
      </c>
      <c r="AM388" t="s">
        <v>4938</v>
      </c>
      <c r="AN388" t="s">
        <v>3033</v>
      </c>
      <c r="AO388" t="s">
        <v>5339</v>
      </c>
      <c r="AP388">
        <v>295</v>
      </c>
      <c r="AQ388" t="s">
        <v>4940</v>
      </c>
      <c r="AR388" t="s">
        <v>4941</v>
      </c>
      <c r="AS388">
        <v>55</v>
      </c>
      <c r="AT388" t="s">
        <v>3957</v>
      </c>
      <c r="AW388" t="str">
        <f>Plan_2026[[#This Row],[Tên brand]]&amp;" "&amp;Plan_2026[[#This Row],[Trục đường chính]]&amp;Plan_2026[[#This Row],[Tên mall
(chuẩn hóa)]]&amp;Plan_2026[[#This Row],[Địa chỉ đầy đủ]]</f>
        <v>Manwah Aeon Mall Thanh Hóa</v>
      </c>
    </row>
    <row r="389" spans="1:49" hidden="1" x14ac:dyDescent="0.35">
      <c r="A389">
        <v>381</v>
      </c>
      <c r="B389" t="s">
        <v>5340</v>
      </c>
      <c r="C389" t="s">
        <v>2008</v>
      </c>
      <c r="D389" t="s">
        <v>2728</v>
      </c>
      <c r="E389">
        <v>2026</v>
      </c>
      <c r="F389">
        <v>1</v>
      </c>
      <c r="G389">
        <v>2</v>
      </c>
      <c r="H389">
        <v>6</v>
      </c>
      <c r="J389" t="s">
        <v>2244</v>
      </c>
      <c r="K389" t="s">
        <v>2704</v>
      </c>
      <c r="L389" t="s">
        <v>5341</v>
      </c>
      <c r="M389" t="s">
        <v>5342</v>
      </c>
      <c r="N389" t="s">
        <v>5343</v>
      </c>
      <c r="O389" t="s">
        <v>5344</v>
      </c>
      <c r="P389" t="s">
        <v>5345</v>
      </c>
      <c r="Q389" t="s">
        <v>2732</v>
      </c>
      <c r="R389" t="s">
        <v>2751</v>
      </c>
      <c r="S389" t="s">
        <v>2751</v>
      </c>
      <c r="T389" t="s">
        <v>2712</v>
      </c>
      <c r="U389" t="s">
        <v>2712</v>
      </c>
      <c r="V389">
        <v>1</v>
      </c>
      <c r="W389" t="s">
        <v>2735</v>
      </c>
      <c r="X389" t="s">
        <v>5346</v>
      </c>
      <c r="Y389" t="s">
        <v>5347</v>
      </c>
      <c r="Z389">
        <v>160</v>
      </c>
      <c r="AB389" t="s">
        <v>1794</v>
      </c>
      <c r="AC389" t="s">
        <v>2763</v>
      </c>
      <c r="AE389">
        <v>1</v>
      </c>
      <c r="AF389" t="s">
        <v>5041</v>
      </c>
      <c r="AH389" t="s">
        <v>2044</v>
      </c>
      <c r="AI389">
        <v>46054</v>
      </c>
      <c r="AJ389">
        <v>2</v>
      </c>
      <c r="AK389" t="s">
        <v>5348</v>
      </c>
      <c r="AM389" t="s">
        <v>5349</v>
      </c>
      <c r="AN389" t="s">
        <v>4281</v>
      </c>
      <c r="AO389" t="s">
        <v>5350</v>
      </c>
      <c r="AP389">
        <v>1220</v>
      </c>
      <c r="AQ389" t="s">
        <v>5351</v>
      </c>
      <c r="AR389" t="s">
        <v>5352</v>
      </c>
      <c r="AS389">
        <v>6</v>
      </c>
      <c r="AT389" t="s">
        <v>4783</v>
      </c>
      <c r="AW389" t="str">
        <f>Plan_2026[[#This Row],[Tên brand]]&amp;" "&amp;Plan_2026[[#This Row],[Trục đường chính]]&amp;Plan_2026[[#This Row],[Tên mall
(chuẩn hóa)]]&amp;Plan_2026[[#This Row],[Địa chỉ đầy đủ]]</f>
        <v>Dao Niu Guo 8 Võ Nguyên GiápAeon Mall Huế</v>
      </c>
    </row>
    <row r="390" spans="1:49" hidden="1" x14ac:dyDescent="0.35">
      <c r="A390">
        <v>364</v>
      </c>
      <c r="B390" t="s">
        <v>2374</v>
      </c>
      <c r="C390" t="s">
        <v>2702</v>
      </c>
      <c r="D390" t="s">
        <v>2703</v>
      </c>
      <c r="E390">
        <v>2026</v>
      </c>
      <c r="F390">
        <v>3</v>
      </c>
      <c r="G390">
        <v>8</v>
      </c>
      <c r="H390">
        <v>12</v>
      </c>
      <c r="J390" t="s">
        <v>2244</v>
      </c>
      <c r="K390" t="s">
        <v>2704</v>
      </c>
      <c r="L390" t="s">
        <v>3685</v>
      </c>
      <c r="M390" t="s">
        <v>3686</v>
      </c>
      <c r="N390" t="s">
        <v>5353</v>
      </c>
      <c r="O390" t="s">
        <v>5353</v>
      </c>
      <c r="Q390" t="s">
        <v>2709</v>
      </c>
      <c r="R390">
        <v>8</v>
      </c>
      <c r="S390" t="s">
        <v>2710</v>
      </c>
      <c r="T390" t="s">
        <v>2711</v>
      </c>
      <c r="U390" t="s">
        <v>2712</v>
      </c>
      <c r="V390">
        <v>1</v>
      </c>
      <c r="W390" t="s">
        <v>2713</v>
      </c>
      <c r="Z390" t="s">
        <v>2715</v>
      </c>
      <c r="AB390" t="s">
        <v>2716</v>
      </c>
      <c r="AC390" t="s">
        <v>2738</v>
      </c>
      <c r="AE390">
        <v>0</v>
      </c>
      <c r="AH390" t="s">
        <v>76</v>
      </c>
      <c r="AI390">
        <v>46235</v>
      </c>
      <c r="AJ390">
        <v>8</v>
      </c>
      <c r="AK390" t="s">
        <v>5354</v>
      </c>
      <c r="AM390" t="s">
        <v>5355</v>
      </c>
      <c r="AN390" t="s">
        <v>2721</v>
      </c>
      <c r="AO390" t="s">
        <v>5356</v>
      </c>
      <c r="AP390">
        <v>985</v>
      </c>
      <c r="AQ390" t="s">
        <v>5357</v>
      </c>
      <c r="AR390" t="s">
        <v>5358</v>
      </c>
      <c r="AS390">
        <v>144</v>
      </c>
      <c r="AT390" t="s">
        <v>4889</v>
      </c>
      <c r="AW390" t="str">
        <f>Plan_2026[[#This Row],[Tên brand]]&amp;" "&amp;Plan_2026[[#This Row],[Trục đường chính]]&amp;Plan_2026[[#This Row],[Tên mall
(chuẩn hóa)]]&amp;Plan_2026[[#This Row],[Địa chỉ đầy đủ]]</f>
        <v xml:space="preserve">Gogi House </v>
      </c>
    </row>
    <row r="391" spans="1:49" hidden="1" x14ac:dyDescent="0.35">
      <c r="A391">
        <v>365</v>
      </c>
      <c r="B391" t="s">
        <v>5359</v>
      </c>
      <c r="C391" t="s">
        <v>2727</v>
      </c>
      <c r="D391" t="s">
        <v>2728</v>
      </c>
      <c r="E391">
        <v>2026</v>
      </c>
      <c r="F391">
        <v>3</v>
      </c>
      <c r="G391">
        <v>7</v>
      </c>
      <c r="H391">
        <v>11</v>
      </c>
      <c r="J391" t="s">
        <v>2244</v>
      </c>
      <c r="K391" t="s">
        <v>2704</v>
      </c>
      <c r="L391" t="s">
        <v>3685</v>
      </c>
      <c r="M391" t="s">
        <v>3686</v>
      </c>
      <c r="N391" t="s">
        <v>3687</v>
      </c>
      <c r="O391" t="s">
        <v>3688</v>
      </c>
      <c r="P391" t="s">
        <v>5360</v>
      </c>
      <c r="Q391" t="s">
        <v>2732</v>
      </c>
      <c r="R391">
        <v>6</v>
      </c>
      <c r="S391" t="s">
        <v>2733</v>
      </c>
      <c r="T391" t="s">
        <v>2734</v>
      </c>
      <c r="U391" t="s">
        <v>2712</v>
      </c>
      <c r="V391">
        <v>1</v>
      </c>
      <c r="W391" t="s">
        <v>2735</v>
      </c>
      <c r="X391" t="s">
        <v>3690</v>
      </c>
      <c r="Y391" t="s">
        <v>3690</v>
      </c>
      <c r="Z391">
        <v>180</v>
      </c>
      <c r="AB391" t="s">
        <v>2716</v>
      </c>
      <c r="AC391" t="s">
        <v>2738</v>
      </c>
      <c r="AE391">
        <v>0</v>
      </c>
      <c r="AF391" t="s">
        <v>2739</v>
      </c>
      <c r="AH391" t="s">
        <v>1019</v>
      </c>
      <c r="AI391">
        <v>46204</v>
      </c>
      <c r="AJ391">
        <v>7</v>
      </c>
      <c r="AK391" t="s">
        <v>3692</v>
      </c>
      <c r="AM391" t="s">
        <v>3693</v>
      </c>
      <c r="AN391" t="s">
        <v>2743</v>
      </c>
      <c r="AO391" t="s">
        <v>5361</v>
      </c>
      <c r="AP391">
        <v>637</v>
      </c>
      <c r="AQ391" t="s">
        <v>3695</v>
      </c>
      <c r="AR391" t="s">
        <v>3696</v>
      </c>
      <c r="AS391">
        <v>17</v>
      </c>
      <c r="AT391" t="s">
        <v>4780</v>
      </c>
      <c r="AW391" t="str">
        <f>Plan_2026[[#This Row],[Tên brand]]&amp;" "&amp;Plan_2026[[#This Row],[Trục đường chính]]&amp;Plan_2026[[#This Row],[Tên mall
(chuẩn hóa)]]&amp;Plan_2026[[#This Row],[Địa chỉ đầy đủ]]</f>
        <v>CloudPot Quảng trường Mỹ ThoAeon Mall Mỹ Tho</v>
      </c>
    </row>
    <row r="392" spans="1:49" hidden="1" x14ac:dyDescent="0.35">
      <c r="A392">
        <v>183</v>
      </c>
      <c r="B392" t="s">
        <v>2324</v>
      </c>
      <c r="C392" t="s">
        <v>2702</v>
      </c>
      <c r="D392" t="s">
        <v>3051</v>
      </c>
      <c r="E392">
        <v>2026</v>
      </c>
      <c r="F392">
        <v>1</v>
      </c>
      <c r="G392">
        <v>2</v>
      </c>
      <c r="H392">
        <v>6</v>
      </c>
      <c r="J392" t="s">
        <v>350</v>
      </c>
      <c r="K392" t="s">
        <v>2704</v>
      </c>
      <c r="L392" t="s">
        <v>3052</v>
      </c>
      <c r="M392" t="s">
        <v>3053</v>
      </c>
      <c r="N392" t="s">
        <v>4251</v>
      </c>
      <c r="O392" t="s">
        <v>4264</v>
      </c>
      <c r="P392" t="s">
        <v>4294</v>
      </c>
      <c r="Q392" t="s">
        <v>2732</v>
      </c>
      <c r="R392">
        <v>6</v>
      </c>
      <c r="S392" t="s">
        <v>2733</v>
      </c>
      <c r="T392" t="s">
        <v>2973</v>
      </c>
      <c r="U392" t="s">
        <v>2712</v>
      </c>
      <c r="V392">
        <v>1</v>
      </c>
      <c r="W392" t="s">
        <v>2713</v>
      </c>
      <c r="X392" t="s">
        <v>2465</v>
      </c>
      <c r="Y392" t="s">
        <v>2465</v>
      </c>
      <c r="Z392" t="s">
        <v>2715</v>
      </c>
      <c r="AB392" t="s">
        <v>2716</v>
      </c>
      <c r="AC392" t="s">
        <v>3232</v>
      </c>
      <c r="AE392">
        <v>0</v>
      </c>
      <c r="AF392" t="s">
        <v>5362</v>
      </c>
      <c r="AH392" t="s">
        <v>76</v>
      </c>
      <c r="AI392">
        <v>46054</v>
      </c>
      <c r="AJ392">
        <v>2</v>
      </c>
      <c r="AK392" t="s">
        <v>4267</v>
      </c>
      <c r="AL392" t="s">
        <v>4295</v>
      </c>
      <c r="AM392" t="s">
        <v>4269</v>
      </c>
      <c r="AN392" t="s">
        <v>2979</v>
      </c>
      <c r="AO392" t="s">
        <v>5363</v>
      </c>
      <c r="AP392">
        <v>25975</v>
      </c>
      <c r="AQ392" t="s">
        <v>4271</v>
      </c>
      <c r="AR392" t="s">
        <v>4272</v>
      </c>
      <c r="AS392">
        <v>144</v>
      </c>
      <c r="AT392" t="s">
        <v>4287</v>
      </c>
      <c r="AW392" t="str">
        <f>Plan_2026[[#This Row],[Tên brand]]&amp;" "&amp;Plan_2026[[#This Row],[Trục đường chính]]&amp;Plan_2026[[#This Row],[Tên mall
(chuẩn hóa)]]&amp;Plan_2026[[#This Row],[Địa chỉ đầy đủ]]</f>
        <v>Gogi House 772 Điện Biên PhủVincom Center Landmark 81772 Điện Biên Phủ, Phường 22, Bình Thạnh, Hồ Chí Minh</v>
      </c>
    </row>
    <row r="393" spans="1:49" hidden="1" x14ac:dyDescent="0.35">
      <c r="A393">
        <v>367</v>
      </c>
      <c r="B393" t="s">
        <v>2263</v>
      </c>
      <c r="C393" t="s">
        <v>35</v>
      </c>
      <c r="D393" t="s">
        <v>2820</v>
      </c>
      <c r="E393">
        <v>2026</v>
      </c>
      <c r="F393">
        <v>2</v>
      </c>
      <c r="G393">
        <v>6</v>
      </c>
      <c r="H393">
        <v>10</v>
      </c>
      <c r="J393" t="s">
        <v>2244</v>
      </c>
      <c r="K393" t="s">
        <v>2704</v>
      </c>
      <c r="L393" t="s">
        <v>3685</v>
      </c>
      <c r="M393" t="s">
        <v>3686</v>
      </c>
      <c r="N393" t="s">
        <v>3687</v>
      </c>
      <c r="O393" t="s">
        <v>3688</v>
      </c>
      <c r="P393" t="s">
        <v>3689</v>
      </c>
      <c r="Q393" t="s">
        <v>2732</v>
      </c>
      <c r="R393" t="s">
        <v>2751</v>
      </c>
      <c r="S393" t="s">
        <v>2751</v>
      </c>
      <c r="T393">
        <v>200</v>
      </c>
      <c r="U393" t="s">
        <v>2712</v>
      </c>
      <c r="V393">
        <v>1</v>
      </c>
      <c r="W393" t="s">
        <v>2713</v>
      </c>
      <c r="X393" t="s">
        <v>3690</v>
      </c>
      <c r="Y393" t="s">
        <v>3690</v>
      </c>
      <c r="Z393" t="s">
        <v>2715</v>
      </c>
      <c r="AB393" t="s">
        <v>2716</v>
      </c>
      <c r="AC393" t="s">
        <v>2738</v>
      </c>
      <c r="AE393">
        <v>0</v>
      </c>
      <c r="AH393" t="s">
        <v>34</v>
      </c>
      <c r="AI393">
        <v>46174</v>
      </c>
      <c r="AJ393">
        <v>6</v>
      </c>
      <c r="AK393" t="s">
        <v>3692</v>
      </c>
      <c r="AM393" t="s">
        <v>3693</v>
      </c>
      <c r="AN393" t="s">
        <v>3036</v>
      </c>
      <c r="AO393" t="s">
        <v>5364</v>
      </c>
      <c r="AP393">
        <v>637</v>
      </c>
      <c r="AQ393" t="s">
        <v>3695</v>
      </c>
      <c r="AR393" t="s">
        <v>3696</v>
      </c>
      <c r="AS393">
        <v>107</v>
      </c>
      <c r="AT393" t="s">
        <v>2998</v>
      </c>
      <c r="AW393" t="str">
        <f>Plan_2026[[#This Row],[Tên brand]]&amp;" "&amp;Plan_2026[[#This Row],[Trục đường chính]]&amp;Plan_2026[[#This Row],[Tên mall
(chuẩn hóa)]]&amp;Plan_2026[[#This Row],[Địa chỉ đầy đủ]]</f>
        <v>Kichi Kichi Quảng trường Hùng VươngAeon Mall Mỹ Tho</v>
      </c>
    </row>
    <row r="394" spans="1:49" hidden="1" x14ac:dyDescent="0.35">
      <c r="A394">
        <v>368</v>
      </c>
      <c r="B394" t="s">
        <v>2408</v>
      </c>
      <c r="C394" t="s">
        <v>2772</v>
      </c>
      <c r="D394" t="s">
        <v>2868</v>
      </c>
      <c r="E394">
        <v>2026</v>
      </c>
      <c r="F394">
        <v>2</v>
      </c>
      <c r="G394">
        <v>6</v>
      </c>
      <c r="H394">
        <v>10</v>
      </c>
      <c r="J394" t="s">
        <v>2244</v>
      </c>
      <c r="K394" t="s">
        <v>2704</v>
      </c>
      <c r="L394" t="s">
        <v>3685</v>
      </c>
      <c r="M394" t="s">
        <v>3686</v>
      </c>
      <c r="N394" t="s">
        <v>3687</v>
      </c>
      <c r="O394" t="s">
        <v>3688</v>
      </c>
      <c r="P394" t="s">
        <v>3689</v>
      </c>
      <c r="Q394" t="s">
        <v>2732</v>
      </c>
      <c r="R394" t="s">
        <v>2751</v>
      </c>
      <c r="S394" t="s">
        <v>2751</v>
      </c>
      <c r="T394" t="s">
        <v>2762</v>
      </c>
      <c r="U394" t="s">
        <v>2762</v>
      </c>
      <c r="V394">
        <v>1</v>
      </c>
      <c r="W394" t="s">
        <v>2713</v>
      </c>
      <c r="X394" t="s">
        <v>3690</v>
      </c>
      <c r="Y394" t="s">
        <v>3690</v>
      </c>
      <c r="Z394">
        <v>200</v>
      </c>
      <c r="AB394" t="s">
        <v>2716</v>
      </c>
      <c r="AC394" t="s">
        <v>2738</v>
      </c>
      <c r="AE394">
        <v>0</v>
      </c>
      <c r="AF394" t="s">
        <v>5365</v>
      </c>
      <c r="AH394" t="s">
        <v>112</v>
      </c>
      <c r="AI394">
        <v>46174</v>
      </c>
      <c r="AJ394">
        <v>6</v>
      </c>
      <c r="AK394" t="s">
        <v>3692</v>
      </c>
      <c r="AM394" t="s">
        <v>3693</v>
      </c>
      <c r="AN394" t="s">
        <v>3033</v>
      </c>
      <c r="AO394" t="s">
        <v>5366</v>
      </c>
      <c r="AP394">
        <v>637</v>
      </c>
      <c r="AQ394" t="s">
        <v>3695</v>
      </c>
      <c r="AR394" t="s">
        <v>3696</v>
      </c>
      <c r="AS394">
        <v>55</v>
      </c>
      <c r="AT394" t="s">
        <v>4821</v>
      </c>
      <c r="AW394" t="str">
        <f>Plan_2026[[#This Row],[Tên brand]]&amp;" "&amp;Plan_2026[[#This Row],[Trục đường chính]]&amp;Plan_2026[[#This Row],[Tên mall
(chuẩn hóa)]]&amp;Plan_2026[[#This Row],[Địa chỉ đầy đủ]]</f>
        <v>Manwah Quảng trường Hùng VươngAeon Mall Mỹ Tho</v>
      </c>
    </row>
    <row r="395" spans="1:49" hidden="1" x14ac:dyDescent="0.35">
      <c r="A395">
        <v>370</v>
      </c>
      <c r="B395" t="s">
        <v>5367</v>
      </c>
      <c r="C395" t="s">
        <v>2702</v>
      </c>
      <c r="D395" t="s">
        <v>2703</v>
      </c>
      <c r="E395">
        <v>2026</v>
      </c>
      <c r="F395">
        <v>3</v>
      </c>
      <c r="G395">
        <v>8</v>
      </c>
      <c r="H395">
        <v>12</v>
      </c>
      <c r="J395" t="s">
        <v>2244</v>
      </c>
      <c r="K395" t="s">
        <v>2704</v>
      </c>
      <c r="L395" t="s">
        <v>5368</v>
      </c>
      <c r="M395" t="s">
        <v>5369</v>
      </c>
      <c r="N395" t="s">
        <v>5368</v>
      </c>
      <c r="O395" t="s">
        <v>4387</v>
      </c>
      <c r="P395" t="s">
        <v>5370</v>
      </c>
      <c r="Q395" t="s">
        <v>2709</v>
      </c>
      <c r="R395">
        <v>8</v>
      </c>
      <c r="S395" t="s">
        <v>2710</v>
      </c>
      <c r="T395" t="s">
        <v>2711</v>
      </c>
      <c r="U395" t="s">
        <v>2712</v>
      </c>
      <c r="V395">
        <v>1</v>
      </c>
      <c r="W395" t="s">
        <v>2735</v>
      </c>
      <c r="X395" t="s">
        <v>5370</v>
      </c>
      <c r="Z395" t="s">
        <v>2715</v>
      </c>
      <c r="AB395" t="s">
        <v>2716</v>
      </c>
      <c r="AC395" t="s">
        <v>3115</v>
      </c>
      <c r="AE395">
        <v>1</v>
      </c>
      <c r="AF395" t="s">
        <v>2953</v>
      </c>
      <c r="AH395" t="s">
        <v>76</v>
      </c>
      <c r="AI395">
        <v>46235</v>
      </c>
      <c r="AJ395">
        <v>8</v>
      </c>
      <c r="AK395" t="s">
        <v>5371</v>
      </c>
      <c r="AM395" t="s">
        <v>5372</v>
      </c>
      <c r="AN395" t="s">
        <v>2721</v>
      </c>
      <c r="AO395" t="s">
        <v>5373</v>
      </c>
      <c r="AP395">
        <v>838</v>
      </c>
      <c r="AQ395" t="s">
        <v>5374</v>
      </c>
      <c r="AR395" t="s">
        <v>5375</v>
      </c>
      <c r="AS395">
        <v>144</v>
      </c>
      <c r="AT395" t="s">
        <v>5214</v>
      </c>
      <c r="AW395" t="str">
        <f>Plan_2026[[#This Row],[Tên brand]]&amp;" "&amp;Plan_2026[[#This Row],[Trục đường chính]]&amp;Plan_2026[[#This Row],[Tên mall
(chuẩn hóa)]]&amp;Plan_2026[[#This Row],[Địa chỉ đầy đủ]]</f>
        <v>Gogi House 42 Nguyễn Thị Minh Khai</v>
      </c>
    </row>
    <row r="396" spans="1:49" hidden="1" x14ac:dyDescent="0.35">
      <c r="A396">
        <v>371</v>
      </c>
      <c r="B396" t="s">
        <v>2378</v>
      </c>
      <c r="C396" t="s">
        <v>2702</v>
      </c>
      <c r="D396" t="s">
        <v>3018</v>
      </c>
      <c r="E396">
        <v>2026</v>
      </c>
      <c r="F396">
        <v>3</v>
      </c>
      <c r="G396">
        <v>8</v>
      </c>
      <c r="H396">
        <v>12</v>
      </c>
      <c r="J396" t="s">
        <v>2241</v>
      </c>
      <c r="K396" t="s">
        <v>2774</v>
      </c>
      <c r="L396" t="s">
        <v>5376</v>
      </c>
      <c r="M396" t="s">
        <v>5377</v>
      </c>
      <c r="N396" t="s">
        <v>5376</v>
      </c>
      <c r="O396" t="s">
        <v>5378</v>
      </c>
      <c r="P396" t="s">
        <v>5379</v>
      </c>
      <c r="Q396" t="s">
        <v>2709</v>
      </c>
      <c r="R396">
        <v>8</v>
      </c>
      <c r="S396" t="s">
        <v>2710</v>
      </c>
      <c r="T396" t="s">
        <v>5301</v>
      </c>
      <c r="U396" t="s">
        <v>2712</v>
      </c>
      <c r="V396">
        <v>1</v>
      </c>
      <c r="W396" t="s">
        <v>2713</v>
      </c>
      <c r="Z396" t="s">
        <v>2715</v>
      </c>
      <c r="AA396" t="s">
        <v>5207</v>
      </c>
      <c r="AB396" t="s">
        <v>2716</v>
      </c>
      <c r="AC396" t="s">
        <v>2738</v>
      </c>
      <c r="AE396">
        <v>0</v>
      </c>
      <c r="AH396" t="s">
        <v>76</v>
      </c>
      <c r="AI396">
        <v>46235</v>
      </c>
      <c r="AJ396">
        <v>8</v>
      </c>
      <c r="AK396" t="s">
        <v>5380</v>
      </c>
      <c r="AM396" t="s">
        <v>5381</v>
      </c>
      <c r="AN396" t="s">
        <v>2721</v>
      </c>
      <c r="AO396" t="s">
        <v>5382</v>
      </c>
      <c r="AP396">
        <v>3000</v>
      </c>
      <c r="AQ396" t="s">
        <v>5383</v>
      </c>
      <c r="AR396" t="s">
        <v>5384</v>
      </c>
      <c r="AS396">
        <v>144</v>
      </c>
      <c r="AT396" t="s">
        <v>5114</v>
      </c>
      <c r="AW396" t="str">
        <f>Plan_2026[[#This Row],[Tên brand]]&amp;" "&amp;Plan_2026[[#This Row],[Trục đường chính]]&amp;Plan_2026[[#This Row],[Tên mall
(chuẩn hóa)]]&amp;Plan_2026[[#This Row],[Địa chỉ đầy đủ]]</f>
        <v>Gogi House Quang Trung, bờ hồ Vincom</v>
      </c>
    </row>
    <row r="397" spans="1:49" hidden="1" x14ac:dyDescent="0.35">
      <c r="A397">
        <v>310</v>
      </c>
      <c r="B397" t="s">
        <v>2322</v>
      </c>
      <c r="C397" t="s">
        <v>2702</v>
      </c>
      <c r="D397" t="s">
        <v>3051</v>
      </c>
      <c r="E397">
        <v>2026</v>
      </c>
      <c r="F397">
        <v>1</v>
      </c>
      <c r="G397">
        <v>2</v>
      </c>
      <c r="H397">
        <v>6</v>
      </c>
      <c r="J397" t="s">
        <v>350</v>
      </c>
      <c r="K397" t="s">
        <v>2704</v>
      </c>
      <c r="L397" t="s">
        <v>3052</v>
      </c>
      <c r="M397" t="s">
        <v>3053</v>
      </c>
      <c r="N397" t="s">
        <v>4845</v>
      </c>
      <c r="O397" t="s">
        <v>2929</v>
      </c>
      <c r="P397" t="s">
        <v>4926</v>
      </c>
      <c r="Q397" t="s">
        <v>2732</v>
      </c>
      <c r="R397">
        <v>6</v>
      </c>
      <c r="S397" t="s">
        <v>2733</v>
      </c>
      <c r="T397" t="s">
        <v>2973</v>
      </c>
      <c r="U397" t="s">
        <v>2712</v>
      </c>
      <c r="V397">
        <v>1</v>
      </c>
      <c r="W397" t="s">
        <v>2713</v>
      </c>
      <c r="X397" t="s">
        <v>2236</v>
      </c>
      <c r="Y397" t="s">
        <v>2236</v>
      </c>
      <c r="Z397" t="s">
        <v>2715</v>
      </c>
      <c r="AB397" t="s">
        <v>2716</v>
      </c>
      <c r="AC397" t="s">
        <v>3232</v>
      </c>
      <c r="AE397">
        <v>0</v>
      </c>
      <c r="AF397" t="s">
        <v>5385</v>
      </c>
      <c r="AH397" t="s">
        <v>76</v>
      </c>
      <c r="AI397">
        <v>46054</v>
      </c>
      <c r="AJ397">
        <v>2</v>
      </c>
      <c r="AK397" t="s">
        <v>4928</v>
      </c>
      <c r="AM397" t="s">
        <v>4929</v>
      </c>
      <c r="AN397" t="s">
        <v>2979</v>
      </c>
      <c r="AO397" t="s">
        <v>5386</v>
      </c>
      <c r="AP397">
        <v>4717</v>
      </c>
      <c r="AQ397" t="s">
        <v>4931</v>
      </c>
      <c r="AR397" t="s">
        <v>4932</v>
      </c>
      <c r="AS397">
        <v>144</v>
      </c>
      <c r="AT397" t="s">
        <v>5387</v>
      </c>
      <c r="AW397" t="str">
        <f>Plan_2026[[#This Row],[Tên brand]]&amp;" "&amp;Plan_2026[[#This Row],[Trục đường chính]]&amp;Plan_2026[[#This Row],[Tên mall
(chuẩn hóa)]]&amp;Plan_2026[[#This Row],[Địa chỉ đầy đủ]]</f>
        <v>Gogi House 101 Tôn Dật TiênCrescent Mall</v>
      </c>
    </row>
    <row r="398" spans="1:49" hidden="1" x14ac:dyDescent="0.35">
      <c r="A398">
        <v>373</v>
      </c>
      <c r="B398" t="s">
        <v>5388</v>
      </c>
      <c r="C398" t="s">
        <v>2008</v>
      </c>
      <c r="D398" t="s">
        <v>2832</v>
      </c>
      <c r="E398">
        <v>2025</v>
      </c>
      <c r="F398">
        <v>4</v>
      </c>
      <c r="G398">
        <v>11</v>
      </c>
      <c r="H398">
        <v>3</v>
      </c>
      <c r="I398">
        <v>1</v>
      </c>
      <c r="J398" t="s">
        <v>2241</v>
      </c>
      <c r="K398" t="s">
        <v>2774</v>
      </c>
      <c r="L398" t="s">
        <v>4080</v>
      </c>
      <c r="M398" t="s">
        <v>5389</v>
      </c>
      <c r="N398" t="s">
        <v>5390</v>
      </c>
      <c r="O398" t="s">
        <v>5391</v>
      </c>
      <c r="P398" t="s">
        <v>5392</v>
      </c>
      <c r="Q398" t="s">
        <v>2709</v>
      </c>
      <c r="R398" t="s">
        <v>2751</v>
      </c>
      <c r="S398" t="s">
        <v>2751</v>
      </c>
      <c r="T398" t="s">
        <v>2762</v>
      </c>
      <c r="U398" t="s">
        <v>2762</v>
      </c>
      <c r="V398">
        <v>1</v>
      </c>
      <c r="W398" t="s">
        <v>2713</v>
      </c>
      <c r="Z398">
        <v>160</v>
      </c>
      <c r="AB398" t="s">
        <v>1794</v>
      </c>
      <c r="AC398" t="s">
        <v>2763</v>
      </c>
      <c r="AE398">
        <v>1</v>
      </c>
      <c r="AF398" t="s">
        <v>5393</v>
      </c>
      <c r="AH398" t="s">
        <v>2044</v>
      </c>
      <c r="AI398">
        <v>45962</v>
      </c>
      <c r="AJ398">
        <v>11</v>
      </c>
      <c r="AK398" t="s">
        <v>5394</v>
      </c>
      <c r="AM398" t="s">
        <v>5395</v>
      </c>
      <c r="AN398" t="s">
        <v>2767</v>
      </c>
      <c r="AO398" t="s">
        <v>5396</v>
      </c>
      <c r="AP398">
        <v>935</v>
      </c>
      <c r="AQ398" t="s">
        <v>5397</v>
      </c>
      <c r="AR398" t="s">
        <v>5398</v>
      </c>
      <c r="AS398">
        <v>6</v>
      </c>
      <c r="AT398" t="s">
        <v>5399</v>
      </c>
      <c r="AW398" t="str">
        <f>Plan_2026[[#This Row],[Tên brand]]&amp;" "&amp;Plan_2026[[#This Row],[Trục đường chính]]&amp;Plan_2026[[#This Row],[Tên mall
(chuẩn hóa)]]&amp;Plan_2026[[#This Row],[Địa chỉ đầy đủ]]</f>
        <v>Dao Niu Guo 136 Tôn Đức Thắng</v>
      </c>
    </row>
    <row r="399" spans="1:49" hidden="1" x14ac:dyDescent="0.35">
      <c r="A399">
        <v>374</v>
      </c>
      <c r="B399" t="s">
        <v>5400</v>
      </c>
      <c r="C399" t="s">
        <v>2702</v>
      </c>
      <c r="D399" t="s">
        <v>3164</v>
      </c>
      <c r="E399">
        <v>2026</v>
      </c>
      <c r="F399">
        <v>3</v>
      </c>
      <c r="G399">
        <v>7</v>
      </c>
      <c r="H399">
        <v>11</v>
      </c>
      <c r="J399" t="s">
        <v>2241</v>
      </c>
      <c r="K399" t="s">
        <v>2774</v>
      </c>
      <c r="L399" t="s">
        <v>5401</v>
      </c>
      <c r="M399" t="s">
        <v>5402</v>
      </c>
      <c r="N399" t="s">
        <v>5401</v>
      </c>
      <c r="O399" t="s">
        <v>5403</v>
      </c>
      <c r="Q399" t="s">
        <v>2709</v>
      </c>
      <c r="R399">
        <v>8</v>
      </c>
      <c r="S399" t="s">
        <v>2710</v>
      </c>
      <c r="T399" t="s">
        <v>2711</v>
      </c>
      <c r="U399" t="s">
        <v>2712</v>
      </c>
      <c r="V399">
        <v>1</v>
      </c>
      <c r="W399" t="s">
        <v>2735</v>
      </c>
      <c r="X399" t="s">
        <v>5404</v>
      </c>
      <c r="Z399" t="s">
        <v>2715</v>
      </c>
      <c r="AB399" t="s">
        <v>2716</v>
      </c>
      <c r="AC399" t="s">
        <v>2763</v>
      </c>
      <c r="AE399">
        <v>1</v>
      </c>
      <c r="AH399" t="s">
        <v>76</v>
      </c>
      <c r="AI399">
        <v>46204</v>
      </c>
      <c r="AJ399">
        <v>7</v>
      </c>
      <c r="AK399" t="s">
        <v>5405</v>
      </c>
      <c r="AM399" t="s">
        <v>5406</v>
      </c>
      <c r="AN399" t="s">
        <v>2721</v>
      </c>
      <c r="AO399" t="s">
        <v>5407</v>
      </c>
      <c r="AP399">
        <v>2122</v>
      </c>
      <c r="AQ399" t="s">
        <v>5408</v>
      </c>
      <c r="AR399" t="s">
        <v>5409</v>
      </c>
      <c r="AS399">
        <v>144</v>
      </c>
      <c r="AT399" t="s">
        <v>4720</v>
      </c>
      <c r="AW399" t="str">
        <f>Plan_2026[[#This Row],[Tên brand]]&amp;" "&amp;Plan_2026[[#This Row],[Trục đường chính]]&amp;Plan_2026[[#This Row],[Tên mall
(chuẩn hóa)]]&amp;Plan_2026[[#This Row],[Địa chỉ đầy đủ]]</f>
        <v xml:space="preserve">Gogi House </v>
      </c>
    </row>
    <row r="400" spans="1:49" hidden="1" x14ac:dyDescent="0.35">
      <c r="A400">
        <v>402</v>
      </c>
      <c r="B400" t="s">
        <v>5940</v>
      </c>
      <c r="C400" t="s">
        <v>3225</v>
      </c>
      <c r="E400">
        <v>2026</v>
      </c>
      <c r="F400">
        <v>3</v>
      </c>
      <c r="G400">
        <v>7</v>
      </c>
      <c r="H400">
        <v>11</v>
      </c>
      <c r="J400" t="s">
        <v>2241</v>
      </c>
      <c r="K400" t="s">
        <v>2774</v>
      </c>
      <c r="L400" t="s">
        <v>4172</v>
      </c>
      <c r="M400" t="s">
        <v>4173</v>
      </c>
      <c r="Q400" t="s">
        <v>2732</v>
      </c>
      <c r="V400">
        <v>1</v>
      </c>
      <c r="W400" t="s">
        <v>3114</v>
      </c>
      <c r="X400" t="s">
        <v>4176</v>
      </c>
      <c r="Z400" t="s">
        <v>2715</v>
      </c>
      <c r="AB400" t="s">
        <v>2716</v>
      </c>
      <c r="AC400" t="s">
        <v>2763</v>
      </c>
      <c r="AE400">
        <v>1</v>
      </c>
      <c r="AF400" t="s">
        <v>5410</v>
      </c>
      <c r="AH400" t="s">
        <v>1319</v>
      </c>
      <c r="AI400">
        <v>46204</v>
      </c>
      <c r="AJ400">
        <v>7</v>
      </c>
      <c r="AK400" t="s">
        <v>4172</v>
      </c>
      <c r="AN400" t="s">
        <v>3237</v>
      </c>
      <c r="AO400" t="s">
        <v>3225</v>
      </c>
      <c r="AS400">
        <v>3</v>
      </c>
      <c r="AW400" t="str">
        <f>Plan_2026[[#This Row],[Tên brand]]&amp;" "&amp;Plan_2026[[#This Row],[Trục đường chính]]&amp;Plan_2026[[#This Row],[Tên mall
(chuẩn hóa)]]&amp;Plan_2026[[#This Row],[Địa chỉ đầy đủ]]</f>
        <v xml:space="preserve">Chix Max </v>
      </c>
    </row>
    <row r="401" spans="1:49" hidden="1" x14ac:dyDescent="0.35">
      <c r="A401">
        <v>403</v>
      </c>
      <c r="B401" t="s">
        <v>5941</v>
      </c>
      <c r="C401" t="s">
        <v>35</v>
      </c>
      <c r="E401">
        <v>2026</v>
      </c>
      <c r="F401">
        <v>3</v>
      </c>
      <c r="G401">
        <v>7</v>
      </c>
      <c r="H401">
        <v>11</v>
      </c>
      <c r="J401" t="s">
        <v>2241</v>
      </c>
      <c r="K401" t="s">
        <v>2774</v>
      </c>
      <c r="L401" t="s">
        <v>4172</v>
      </c>
      <c r="M401" t="s">
        <v>4173</v>
      </c>
      <c r="Q401" t="s">
        <v>2732</v>
      </c>
      <c r="V401">
        <v>1</v>
      </c>
      <c r="W401" t="s">
        <v>3114</v>
      </c>
      <c r="X401" t="s">
        <v>4176</v>
      </c>
      <c r="Z401" t="s">
        <v>2715</v>
      </c>
      <c r="AB401" t="s">
        <v>2716</v>
      </c>
      <c r="AC401" t="s">
        <v>2763</v>
      </c>
      <c r="AE401">
        <v>1</v>
      </c>
      <c r="AF401" t="s">
        <v>5411</v>
      </c>
      <c r="AH401" t="s">
        <v>34</v>
      </c>
      <c r="AI401">
        <v>46204</v>
      </c>
      <c r="AJ401">
        <v>7</v>
      </c>
      <c r="AK401" t="s">
        <v>4172</v>
      </c>
      <c r="AN401" t="s">
        <v>3036</v>
      </c>
      <c r="AO401" t="s">
        <v>35</v>
      </c>
      <c r="AS401">
        <v>107</v>
      </c>
      <c r="AW401" t="str">
        <f>Plan_2026[[#This Row],[Tên brand]]&amp;" "&amp;Plan_2026[[#This Row],[Trục đường chính]]&amp;Plan_2026[[#This Row],[Tên mall
(chuẩn hóa)]]&amp;Plan_2026[[#This Row],[Địa chỉ đầy đủ]]</f>
        <v xml:space="preserve">Kichi Kichi </v>
      </c>
    </row>
    <row r="402" spans="1:49" hidden="1" x14ac:dyDescent="0.35">
      <c r="A402">
        <v>404</v>
      </c>
      <c r="B402" t="s">
        <v>2152</v>
      </c>
      <c r="C402" t="s">
        <v>2702</v>
      </c>
      <c r="E402">
        <v>2026</v>
      </c>
      <c r="F402">
        <v>3</v>
      </c>
      <c r="G402">
        <v>7</v>
      </c>
      <c r="H402">
        <v>11</v>
      </c>
      <c r="J402" t="s">
        <v>350</v>
      </c>
      <c r="K402" t="s">
        <v>2704</v>
      </c>
      <c r="L402" t="s">
        <v>3052</v>
      </c>
      <c r="M402" t="s">
        <v>3053</v>
      </c>
      <c r="Q402" t="s">
        <v>2709</v>
      </c>
      <c r="V402">
        <v>1</v>
      </c>
      <c r="W402" t="s">
        <v>3114</v>
      </c>
      <c r="X402" t="s">
        <v>5942</v>
      </c>
      <c r="Z402" t="s">
        <v>2715</v>
      </c>
      <c r="AB402" t="s">
        <v>1794</v>
      </c>
      <c r="AC402" t="s">
        <v>2763</v>
      </c>
      <c r="AE402">
        <v>1</v>
      </c>
      <c r="AH402" t="s">
        <v>76</v>
      </c>
      <c r="AI402">
        <v>46204</v>
      </c>
      <c r="AJ402">
        <v>7</v>
      </c>
      <c r="AK402" t="s">
        <v>3052</v>
      </c>
      <c r="AN402" t="s">
        <v>2721</v>
      </c>
      <c r="AO402" t="s">
        <v>5943</v>
      </c>
      <c r="AS402">
        <v>144</v>
      </c>
      <c r="AW402" t="str">
        <f>Plan_2026[[#This Row],[Tên brand]]&amp;" "&amp;Plan_2026[[#This Row],[Trục đường chính]]&amp;Plan_2026[[#This Row],[Tên mall
(chuẩn hóa)]]&amp;Plan_2026[[#This Row],[Địa chỉ đầy đủ]]</f>
        <v xml:space="preserve">Gogi House </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1CCD-0BE7-446B-9859-BCF7539B99CE}">
  <dimension ref="A1:AH209"/>
  <sheetViews>
    <sheetView workbookViewId="0">
      <selection activeCell="D61" sqref="D61"/>
    </sheetView>
  </sheetViews>
  <sheetFormatPr defaultRowHeight="14.5" x14ac:dyDescent="0.35"/>
  <cols>
    <col min="2" max="2" width="6.36328125" bestFit="1" customWidth="1"/>
    <col min="3" max="3" width="6.26953125" bestFit="1" customWidth="1"/>
    <col min="4" max="4" width="33.08984375" bestFit="1" customWidth="1"/>
    <col min="5" max="5" width="13.90625" bestFit="1" customWidth="1"/>
    <col min="6" max="6" width="12.453125" bestFit="1" customWidth="1"/>
    <col min="7" max="7" width="37.26953125" bestFit="1" customWidth="1"/>
    <col min="8" max="8" width="22.81640625" bestFit="1" customWidth="1"/>
    <col min="9" max="9" width="26.7265625" bestFit="1" customWidth="1"/>
    <col min="10" max="10" width="43.7265625" bestFit="1" customWidth="1"/>
    <col min="11" max="11" width="21.54296875" bestFit="1" customWidth="1"/>
    <col min="12" max="12" width="9.6328125" bestFit="1" customWidth="1"/>
    <col min="13" max="13" width="8.36328125" bestFit="1" customWidth="1"/>
    <col min="14" max="14" width="16.26953125" bestFit="1" customWidth="1"/>
    <col min="15" max="15" width="18.6328125" bestFit="1" customWidth="1"/>
    <col min="16" max="16" width="19.08984375" bestFit="1" customWidth="1"/>
    <col min="17" max="17" width="30.7265625" bestFit="1" customWidth="1"/>
    <col min="18" max="20" width="10.81640625" bestFit="1" customWidth="1"/>
    <col min="21" max="21" width="15.81640625" bestFit="1" customWidth="1"/>
    <col min="22" max="22" width="11.90625" bestFit="1" customWidth="1"/>
    <col min="23" max="23" width="10.81640625" bestFit="1" customWidth="1"/>
    <col min="24" max="24" width="9.1796875" bestFit="1" customWidth="1"/>
    <col min="25" max="25" width="21.36328125" bestFit="1" customWidth="1"/>
    <col min="26" max="26" width="16.26953125" bestFit="1" customWidth="1"/>
    <col min="27" max="27" width="12.26953125" bestFit="1" customWidth="1"/>
    <col min="28" max="28" width="11.81640625" bestFit="1" customWidth="1"/>
    <col min="29" max="29" width="80.7265625" bestFit="1" customWidth="1"/>
    <col min="30" max="30" width="10.36328125" bestFit="1" customWidth="1"/>
    <col min="31" max="31" width="12.90625" bestFit="1" customWidth="1"/>
    <col min="32" max="32" width="28.90625" bestFit="1" customWidth="1"/>
    <col min="33" max="33" width="10.36328125" bestFit="1" customWidth="1"/>
    <col min="34" max="34" width="11.54296875" bestFit="1" customWidth="1"/>
  </cols>
  <sheetData>
    <row r="1" spans="1:34" x14ac:dyDescent="0.35">
      <c r="A1" t="s">
        <v>5412</v>
      </c>
      <c r="B1" t="s">
        <v>5413</v>
      </c>
      <c r="C1" t="s">
        <v>8</v>
      </c>
      <c r="D1" t="s">
        <v>5414</v>
      </c>
      <c r="E1" t="s">
        <v>1425</v>
      </c>
      <c r="F1" t="s">
        <v>5832</v>
      </c>
      <c r="G1" t="s">
        <v>5</v>
      </c>
      <c r="H1" t="s">
        <v>5415</v>
      </c>
      <c r="I1" t="s">
        <v>5416</v>
      </c>
      <c r="J1" t="s">
        <v>5429</v>
      </c>
      <c r="K1" t="s">
        <v>15</v>
      </c>
      <c r="L1" t="s">
        <v>5417</v>
      </c>
      <c r="M1" t="s">
        <v>4</v>
      </c>
      <c r="N1" t="s">
        <v>5418</v>
      </c>
      <c r="O1" t="s">
        <v>5419</v>
      </c>
      <c r="P1" t="s">
        <v>5420</v>
      </c>
      <c r="Q1" t="s">
        <v>5421</v>
      </c>
      <c r="R1" t="s">
        <v>5422</v>
      </c>
      <c r="S1" t="s">
        <v>1794</v>
      </c>
      <c r="T1" t="s">
        <v>5423</v>
      </c>
      <c r="U1" t="s">
        <v>5424</v>
      </c>
      <c r="V1" t="s">
        <v>5425</v>
      </c>
      <c r="W1" t="s">
        <v>5426</v>
      </c>
      <c r="X1" t="s">
        <v>5833</v>
      </c>
      <c r="Y1" t="s">
        <v>5430</v>
      </c>
      <c r="Z1" t="s">
        <v>5431</v>
      </c>
      <c r="AA1" t="s">
        <v>5432</v>
      </c>
      <c r="AB1" t="s">
        <v>5433</v>
      </c>
      <c r="AC1" t="s">
        <v>5434</v>
      </c>
      <c r="AD1" t="s">
        <v>5834</v>
      </c>
      <c r="AE1" t="s">
        <v>5427</v>
      </c>
      <c r="AF1" t="s">
        <v>5428</v>
      </c>
      <c r="AG1" t="s">
        <v>5435</v>
      </c>
      <c r="AH1" t="s">
        <v>5436</v>
      </c>
    </row>
    <row r="2" spans="1:34" x14ac:dyDescent="0.35">
      <c r="C2" t="s">
        <v>1019</v>
      </c>
      <c r="D2" t="s">
        <v>2291</v>
      </c>
      <c r="E2" t="s">
        <v>5835</v>
      </c>
      <c r="F2" t="s">
        <v>5836</v>
      </c>
      <c r="G2" t="s">
        <v>5837</v>
      </c>
      <c r="J2" t="s">
        <v>5838</v>
      </c>
      <c r="P2">
        <v>4390140593</v>
      </c>
      <c r="Y2">
        <v>1213</v>
      </c>
      <c r="Z2">
        <v>900</v>
      </c>
      <c r="AD2" t="s">
        <v>2716</v>
      </c>
    </row>
    <row r="3" spans="1:34" x14ac:dyDescent="0.35">
      <c r="C3" t="s">
        <v>379</v>
      </c>
      <c r="D3" t="s">
        <v>2176</v>
      </c>
      <c r="E3" t="s">
        <v>5839</v>
      </c>
      <c r="F3" t="s">
        <v>5836</v>
      </c>
      <c r="G3" t="s">
        <v>5840</v>
      </c>
      <c r="J3" t="s">
        <v>5838</v>
      </c>
      <c r="P3">
        <v>4782772646</v>
      </c>
      <c r="Y3">
        <v>1136</v>
      </c>
      <c r="Z3">
        <v>909</v>
      </c>
      <c r="AC3" t="s">
        <v>5841</v>
      </c>
      <c r="AD3" t="s">
        <v>2716</v>
      </c>
    </row>
    <row r="4" spans="1:34" x14ac:dyDescent="0.35">
      <c r="C4" t="s">
        <v>1319</v>
      </c>
      <c r="D4" t="s">
        <v>2435</v>
      </c>
      <c r="E4" t="s">
        <v>5842</v>
      </c>
      <c r="F4" t="s">
        <v>5836</v>
      </c>
      <c r="G4" t="s">
        <v>5843</v>
      </c>
      <c r="J4" t="s">
        <v>5838</v>
      </c>
      <c r="P4">
        <v>2747605922</v>
      </c>
      <c r="Y4">
        <v>562</v>
      </c>
      <c r="Z4">
        <v>337</v>
      </c>
      <c r="AC4" t="s">
        <v>5844</v>
      </c>
      <c r="AD4" t="s">
        <v>2716</v>
      </c>
    </row>
    <row r="5" spans="1:34" x14ac:dyDescent="0.35">
      <c r="C5" t="s">
        <v>2044</v>
      </c>
      <c r="D5" t="s">
        <v>3077</v>
      </c>
      <c r="F5" t="s">
        <v>5756</v>
      </c>
      <c r="G5" t="s">
        <v>5845</v>
      </c>
      <c r="P5">
        <v>5554294575</v>
      </c>
      <c r="Y5">
        <v>1501</v>
      </c>
      <c r="Z5">
        <v>825</v>
      </c>
      <c r="AC5" t="s">
        <v>5758</v>
      </c>
      <c r="AD5" t="s">
        <v>2716</v>
      </c>
    </row>
    <row r="6" spans="1:34" x14ac:dyDescent="0.35">
      <c r="C6" t="s">
        <v>2044</v>
      </c>
      <c r="D6" t="s">
        <v>2641</v>
      </c>
      <c r="E6" t="s">
        <v>5699</v>
      </c>
      <c r="F6" t="s">
        <v>5699</v>
      </c>
      <c r="G6" t="s">
        <v>5846</v>
      </c>
      <c r="J6">
        <v>0</v>
      </c>
      <c r="P6">
        <v>3177056348</v>
      </c>
      <c r="Y6">
        <v>1150</v>
      </c>
      <c r="Z6">
        <v>920</v>
      </c>
      <c r="AC6" t="s">
        <v>5702</v>
      </c>
      <c r="AD6" t="s">
        <v>1794</v>
      </c>
    </row>
    <row r="7" spans="1:34" x14ac:dyDescent="0.35">
      <c r="C7" t="s">
        <v>5847</v>
      </c>
      <c r="D7" t="s">
        <v>5388</v>
      </c>
      <c r="E7" t="s">
        <v>5848</v>
      </c>
      <c r="F7" t="s">
        <v>5836</v>
      </c>
      <c r="G7" t="s">
        <v>5849</v>
      </c>
      <c r="J7" t="s">
        <v>5838</v>
      </c>
      <c r="P7">
        <v>677780000</v>
      </c>
      <c r="Y7">
        <v>677</v>
      </c>
      <c r="Z7">
        <v>380</v>
      </c>
      <c r="AC7" t="s">
        <v>5850</v>
      </c>
      <c r="AD7" t="s">
        <v>1794</v>
      </c>
    </row>
    <row r="8" spans="1:34" x14ac:dyDescent="0.35">
      <c r="C8" t="s">
        <v>5847</v>
      </c>
      <c r="D8" t="s">
        <v>2831</v>
      </c>
      <c r="E8" t="s">
        <v>5836</v>
      </c>
      <c r="F8" t="s">
        <v>5836</v>
      </c>
      <c r="G8" t="s">
        <v>5851</v>
      </c>
      <c r="J8" t="s">
        <v>5852</v>
      </c>
      <c r="K8" t="s">
        <v>1102</v>
      </c>
      <c r="P8">
        <v>1626318536</v>
      </c>
      <c r="Y8">
        <v>600</v>
      </c>
      <c r="Z8">
        <v>800</v>
      </c>
      <c r="AC8" t="s">
        <v>5853</v>
      </c>
      <c r="AD8" t="s">
        <v>1794</v>
      </c>
    </row>
    <row r="9" spans="1:34" x14ac:dyDescent="0.35">
      <c r="C9" t="s">
        <v>5847</v>
      </c>
      <c r="D9" t="s">
        <v>2756</v>
      </c>
      <c r="F9" t="s">
        <v>5749</v>
      </c>
      <c r="G9" t="s">
        <v>5854</v>
      </c>
      <c r="K9" t="s">
        <v>5855</v>
      </c>
      <c r="P9">
        <v>2055347847</v>
      </c>
      <c r="Y9">
        <v>1101</v>
      </c>
      <c r="Z9">
        <v>826</v>
      </c>
      <c r="AC9" t="s">
        <v>5752</v>
      </c>
      <c r="AD9" t="s">
        <v>1794</v>
      </c>
    </row>
    <row r="10" spans="1:34" x14ac:dyDescent="0.35">
      <c r="C10" t="s">
        <v>2044</v>
      </c>
      <c r="D10" t="s">
        <v>5340</v>
      </c>
      <c r="E10" t="s">
        <v>5836</v>
      </c>
      <c r="F10" t="s">
        <v>5836</v>
      </c>
      <c r="G10" t="s">
        <v>5856</v>
      </c>
      <c r="J10" t="s">
        <v>5852</v>
      </c>
      <c r="K10" t="s">
        <v>5857</v>
      </c>
      <c r="P10">
        <v>1763180300</v>
      </c>
      <c r="Y10">
        <v>1302</v>
      </c>
      <c r="Z10">
        <v>1000</v>
      </c>
      <c r="AC10" t="s">
        <v>5858</v>
      </c>
      <c r="AD10" t="s">
        <v>1794</v>
      </c>
    </row>
    <row r="11" spans="1:34" x14ac:dyDescent="0.35">
      <c r="C11" t="s">
        <v>2044</v>
      </c>
      <c r="D11" t="s">
        <v>5334</v>
      </c>
      <c r="E11" t="s">
        <v>5859</v>
      </c>
      <c r="F11" t="s">
        <v>5703</v>
      </c>
      <c r="G11" t="s">
        <v>5860</v>
      </c>
      <c r="P11">
        <v>2422170370</v>
      </c>
      <c r="Y11">
        <v>915</v>
      </c>
      <c r="Z11">
        <v>640</v>
      </c>
      <c r="AC11" t="s">
        <v>5706</v>
      </c>
      <c r="AD11" t="s">
        <v>1794</v>
      </c>
    </row>
    <row r="12" spans="1:34" x14ac:dyDescent="0.35">
      <c r="C12" t="s">
        <v>2044</v>
      </c>
      <c r="D12" t="s">
        <v>701</v>
      </c>
      <c r="E12" t="s">
        <v>5861</v>
      </c>
      <c r="F12" t="s">
        <v>5836</v>
      </c>
      <c r="G12" t="s">
        <v>2126</v>
      </c>
      <c r="J12" t="s">
        <v>5838</v>
      </c>
      <c r="P12">
        <v>1453000000</v>
      </c>
      <c r="Y12">
        <v>1788</v>
      </c>
      <c r="Z12">
        <v>1000</v>
      </c>
      <c r="AC12" t="s">
        <v>5862</v>
      </c>
    </row>
    <row r="13" spans="1:34" x14ac:dyDescent="0.35">
      <c r="C13" t="s">
        <v>2044</v>
      </c>
      <c r="D13" t="s">
        <v>1367</v>
      </c>
      <c r="E13" t="s">
        <v>5863</v>
      </c>
      <c r="F13" t="s">
        <v>5836</v>
      </c>
      <c r="G13" t="s">
        <v>2130</v>
      </c>
      <c r="J13" t="s">
        <v>5838</v>
      </c>
      <c r="P13">
        <v>2168603758</v>
      </c>
      <c r="Y13">
        <v>1138</v>
      </c>
      <c r="Z13">
        <v>911</v>
      </c>
      <c r="AC13" t="s">
        <v>5864</v>
      </c>
    </row>
    <row r="14" spans="1:34" x14ac:dyDescent="0.35">
      <c r="C14" t="s">
        <v>1533</v>
      </c>
      <c r="D14" t="s">
        <v>2186</v>
      </c>
      <c r="E14" t="s">
        <v>5836</v>
      </c>
      <c r="F14" t="s">
        <v>5836</v>
      </c>
      <c r="G14" t="s">
        <v>5865</v>
      </c>
      <c r="J14" t="s">
        <v>5866</v>
      </c>
      <c r="P14">
        <v>1810137314</v>
      </c>
      <c r="Y14">
        <v>648</v>
      </c>
      <c r="Z14">
        <v>497</v>
      </c>
      <c r="AC14" t="s">
        <v>5867</v>
      </c>
    </row>
    <row r="15" spans="1:34" x14ac:dyDescent="0.35">
      <c r="C15" t="s">
        <v>1533</v>
      </c>
      <c r="D15" t="s">
        <v>2196</v>
      </c>
      <c r="E15" t="s">
        <v>5836</v>
      </c>
      <c r="F15" t="s">
        <v>5836</v>
      </c>
      <c r="G15" t="s">
        <v>5868</v>
      </c>
      <c r="J15" t="s">
        <v>5866</v>
      </c>
      <c r="P15">
        <v>1628542108</v>
      </c>
      <c r="Y15">
        <v>810</v>
      </c>
      <c r="Z15">
        <v>810</v>
      </c>
      <c r="AC15" t="s">
        <v>5869</v>
      </c>
    </row>
    <row r="16" spans="1:34" x14ac:dyDescent="0.35">
      <c r="C16" t="s">
        <v>76</v>
      </c>
      <c r="D16" t="s">
        <v>4372</v>
      </c>
      <c r="F16" t="s">
        <v>5773</v>
      </c>
      <c r="G16" t="s">
        <v>5774</v>
      </c>
      <c r="P16">
        <v>3922000000</v>
      </c>
      <c r="Y16">
        <v>1197</v>
      </c>
      <c r="Z16">
        <v>861</v>
      </c>
      <c r="AC16" t="s">
        <v>5775</v>
      </c>
      <c r="AD16" t="s">
        <v>2716</v>
      </c>
    </row>
    <row r="17" spans="3:30" x14ac:dyDescent="0.35">
      <c r="C17" t="s">
        <v>76</v>
      </c>
      <c r="D17" t="s">
        <v>2352</v>
      </c>
      <c r="E17" t="s">
        <v>5836</v>
      </c>
      <c r="F17" t="s">
        <v>5836</v>
      </c>
      <c r="G17" t="s">
        <v>5870</v>
      </c>
      <c r="J17" t="s">
        <v>5852</v>
      </c>
      <c r="P17">
        <v>4420070485</v>
      </c>
      <c r="Y17">
        <v>1308</v>
      </c>
      <c r="Z17">
        <v>1046</v>
      </c>
      <c r="AC17" t="s">
        <v>5871</v>
      </c>
      <c r="AD17" t="s">
        <v>2716</v>
      </c>
    </row>
    <row r="18" spans="3:30" x14ac:dyDescent="0.35">
      <c r="C18" t="s">
        <v>76</v>
      </c>
      <c r="D18" t="s">
        <v>5400</v>
      </c>
      <c r="F18" t="s">
        <v>5819</v>
      </c>
      <c r="G18" t="s">
        <v>5820</v>
      </c>
      <c r="P18">
        <v>2163220000</v>
      </c>
      <c r="Y18">
        <v>567</v>
      </c>
      <c r="Z18">
        <v>283</v>
      </c>
      <c r="AC18" t="s">
        <v>5821</v>
      </c>
      <c r="AD18" t="s">
        <v>2716</v>
      </c>
    </row>
    <row r="19" spans="3:30" x14ac:dyDescent="0.35">
      <c r="C19" t="s">
        <v>76</v>
      </c>
      <c r="D19" t="s">
        <v>2320</v>
      </c>
      <c r="F19" t="s">
        <v>5481</v>
      </c>
      <c r="G19" t="s">
        <v>5872</v>
      </c>
      <c r="P19">
        <v>2836259188.1627054</v>
      </c>
      <c r="Y19">
        <v>1289</v>
      </c>
      <c r="Z19">
        <v>606</v>
      </c>
      <c r="AC19" t="s">
        <v>5484</v>
      </c>
    </row>
    <row r="20" spans="3:30" x14ac:dyDescent="0.35">
      <c r="C20" t="s">
        <v>76</v>
      </c>
      <c r="D20" t="s">
        <v>2348</v>
      </c>
      <c r="F20" t="s">
        <v>5474</v>
      </c>
      <c r="G20" t="s">
        <v>5873</v>
      </c>
      <c r="P20">
        <v>3638714147.1610737</v>
      </c>
      <c r="Y20">
        <v>950</v>
      </c>
      <c r="Z20">
        <v>541</v>
      </c>
      <c r="AC20" t="s">
        <v>5874</v>
      </c>
    </row>
    <row r="21" spans="3:30" x14ac:dyDescent="0.35">
      <c r="C21" t="s">
        <v>76</v>
      </c>
      <c r="D21" t="s">
        <v>4430</v>
      </c>
      <c r="E21" t="s">
        <v>5836</v>
      </c>
      <c r="F21" t="s">
        <v>5836</v>
      </c>
      <c r="G21" t="s">
        <v>5875</v>
      </c>
      <c r="J21" t="s">
        <v>5852</v>
      </c>
      <c r="P21">
        <v>3989230000</v>
      </c>
      <c r="Y21">
        <v>1071</v>
      </c>
      <c r="Z21">
        <v>381</v>
      </c>
      <c r="AC21" t="s">
        <v>5876</v>
      </c>
    </row>
    <row r="22" spans="3:30" x14ac:dyDescent="0.35">
      <c r="C22" t="s">
        <v>76</v>
      </c>
      <c r="D22" t="s">
        <v>2336</v>
      </c>
      <c r="E22" t="s">
        <v>5877</v>
      </c>
      <c r="F22" t="s">
        <v>5836</v>
      </c>
      <c r="G22" t="s">
        <v>5878</v>
      </c>
      <c r="J22" t="s">
        <v>5838</v>
      </c>
      <c r="P22">
        <v>5008390000</v>
      </c>
      <c r="Y22">
        <v>1536</v>
      </c>
      <c r="Z22">
        <v>833</v>
      </c>
      <c r="AC22" t="s">
        <v>5879</v>
      </c>
    </row>
    <row r="23" spans="3:30" x14ac:dyDescent="0.35">
      <c r="C23" t="s">
        <v>34</v>
      </c>
      <c r="D23" t="s">
        <v>2247</v>
      </c>
      <c r="E23" t="s">
        <v>5880</v>
      </c>
      <c r="F23" t="s">
        <v>5836</v>
      </c>
      <c r="G23" t="s">
        <v>5881</v>
      </c>
      <c r="J23" t="s">
        <v>5838</v>
      </c>
      <c r="P23">
        <v>4024134624</v>
      </c>
      <c r="Y23">
        <v>1269</v>
      </c>
      <c r="Z23">
        <v>555</v>
      </c>
      <c r="AC23" t="s">
        <v>5882</v>
      </c>
    </row>
    <row r="24" spans="3:30" x14ac:dyDescent="0.35">
      <c r="C24" t="s">
        <v>34</v>
      </c>
      <c r="D24" t="s">
        <v>3915</v>
      </c>
      <c r="E24" t="s">
        <v>5883</v>
      </c>
      <c r="F24" t="s">
        <v>5836</v>
      </c>
      <c r="G24" t="s">
        <v>5884</v>
      </c>
      <c r="J24" t="s">
        <v>5838</v>
      </c>
      <c r="P24">
        <v>2387602816.75</v>
      </c>
      <c r="Y24">
        <v>875</v>
      </c>
      <c r="Z24">
        <v>453</v>
      </c>
      <c r="AC24" t="s">
        <v>5885</v>
      </c>
    </row>
    <row r="25" spans="3:30" x14ac:dyDescent="0.35">
      <c r="C25" t="s">
        <v>34</v>
      </c>
      <c r="D25" t="s">
        <v>2261</v>
      </c>
      <c r="F25" t="s">
        <v>5460</v>
      </c>
      <c r="G25" t="s">
        <v>5461</v>
      </c>
      <c r="P25">
        <v>3550328670.5554523</v>
      </c>
      <c r="Y25">
        <v>886</v>
      </c>
      <c r="Z25">
        <v>576</v>
      </c>
      <c r="AC25" t="s">
        <v>5886</v>
      </c>
    </row>
    <row r="26" spans="3:30" x14ac:dyDescent="0.35">
      <c r="C26" t="s">
        <v>34</v>
      </c>
      <c r="D26" t="s">
        <v>2239</v>
      </c>
      <c r="F26" t="s">
        <v>5609</v>
      </c>
      <c r="G26" t="s">
        <v>5887</v>
      </c>
      <c r="P26">
        <v>4052927111.1111112</v>
      </c>
      <c r="Y26">
        <v>1268</v>
      </c>
      <c r="Z26">
        <v>825</v>
      </c>
      <c r="AC26" t="s">
        <v>5611</v>
      </c>
    </row>
    <row r="27" spans="3:30" x14ac:dyDescent="0.35">
      <c r="C27" t="s">
        <v>34</v>
      </c>
      <c r="D27" t="s">
        <v>2259</v>
      </c>
      <c r="F27" t="s">
        <v>5762</v>
      </c>
      <c r="G27" t="s">
        <v>5763</v>
      </c>
      <c r="P27">
        <v>4158691168.1193018</v>
      </c>
      <c r="Y27">
        <v>1252</v>
      </c>
      <c r="Z27">
        <v>826</v>
      </c>
      <c r="AC27" t="s">
        <v>5764</v>
      </c>
    </row>
    <row r="28" spans="3:30" x14ac:dyDescent="0.35">
      <c r="C28" t="s">
        <v>34</v>
      </c>
      <c r="D28" t="s">
        <v>1779</v>
      </c>
      <c r="E28" t="s">
        <v>5883</v>
      </c>
      <c r="F28" t="s">
        <v>5836</v>
      </c>
      <c r="G28" t="s">
        <v>2127</v>
      </c>
      <c r="J28" t="s">
        <v>5838</v>
      </c>
      <c r="P28">
        <v>2387602817</v>
      </c>
      <c r="Y28">
        <v>875</v>
      </c>
      <c r="Z28">
        <v>525</v>
      </c>
      <c r="AC28" t="s">
        <v>5885</v>
      </c>
    </row>
    <row r="29" spans="3:30" x14ac:dyDescent="0.35">
      <c r="C29" t="s">
        <v>301</v>
      </c>
      <c r="D29" t="s">
        <v>1756</v>
      </c>
      <c r="F29" t="s">
        <v>5556</v>
      </c>
      <c r="G29" t="s">
        <v>5888</v>
      </c>
      <c r="P29">
        <v>2899287197.375</v>
      </c>
      <c r="Y29">
        <v>2021</v>
      </c>
      <c r="Z29">
        <v>1507</v>
      </c>
      <c r="AC29" t="s">
        <v>5889</v>
      </c>
    </row>
    <row r="30" spans="3:30" x14ac:dyDescent="0.35">
      <c r="C30" t="s">
        <v>112</v>
      </c>
      <c r="D30" t="s">
        <v>2402</v>
      </c>
      <c r="E30" t="s">
        <v>5696</v>
      </c>
      <c r="F30" t="s">
        <v>5696</v>
      </c>
      <c r="G30" t="s">
        <v>5890</v>
      </c>
      <c r="P30">
        <v>6012078939.2654266</v>
      </c>
      <c r="Y30">
        <v>2159</v>
      </c>
      <c r="Z30">
        <v>557</v>
      </c>
      <c r="AC30" t="s">
        <v>5698</v>
      </c>
    </row>
    <row r="31" spans="3:30" x14ac:dyDescent="0.35">
      <c r="C31" t="s">
        <v>112</v>
      </c>
      <c r="D31" t="s">
        <v>2631</v>
      </c>
      <c r="F31" t="s">
        <v>5448</v>
      </c>
      <c r="G31" t="s">
        <v>5449</v>
      </c>
      <c r="P31">
        <v>4149877577.1010642</v>
      </c>
      <c r="Y31">
        <v>3948</v>
      </c>
      <c r="Z31">
        <v>1579</v>
      </c>
      <c r="AC31" t="s">
        <v>5451</v>
      </c>
    </row>
    <row r="32" spans="3:30" x14ac:dyDescent="0.35">
      <c r="C32" t="s">
        <v>112</v>
      </c>
      <c r="D32" t="s">
        <v>5338</v>
      </c>
      <c r="F32" t="s">
        <v>5594</v>
      </c>
      <c r="G32" t="s">
        <v>5595</v>
      </c>
      <c r="P32">
        <v>4561297289.6499996</v>
      </c>
      <c r="Y32">
        <v>1500</v>
      </c>
      <c r="Z32">
        <v>1035</v>
      </c>
      <c r="AC32" t="s">
        <v>5596</v>
      </c>
    </row>
    <row r="33" spans="3:30" x14ac:dyDescent="0.35">
      <c r="C33" t="s">
        <v>2132</v>
      </c>
      <c r="D33" t="s">
        <v>298</v>
      </c>
      <c r="E33" t="s">
        <v>5891</v>
      </c>
      <c r="F33" t="s">
        <v>5836</v>
      </c>
      <c r="G33" t="s">
        <v>2131</v>
      </c>
      <c r="J33" t="s">
        <v>5838</v>
      </c>
      <c r="Y33">
        <v>1101</v>
      </c>
      <c r="Z33">
        <v>881</v>
      </c>
      <c r="AC33" t="s">
        <v>5892</v>
      </c>
    </row>
    <row r="34" spans="3:30" x14ac:dyDescent="0.35">
      <c r="C34" t="s">
        <v>51</v>
      </c>
      <c r="D34" t="s">
        <v>4823</v>
      </c>
      <c r="E34" t="s">
        <v>5893</v>
      </c>
      <c r="F34" t="s">
        <v>5836</v>
      </c>
      <c r="G34" t="s">
        <v>5894</v>
      </c>
      <c r="J34" t="s">
        <v>5895</v>
      </c>
      <c r="P34">
        <v>4574303005</v>
      </c>
      <c r="Y34">
        <v>1249</v>
      </c>
      <c r="Z34">
        <v>619</v>
      </c>
      <c r="AC34" t="s">
        <v>5896</v>
      </c>
    </row>
    <row r="35" spans="3:30" x14ac:dyDescent="0.35">
      <c r="C35" t="s">
        <v>61</v>
      </c>
      <c r="D35" t="s">
        <v>2300</v>
      </c>
      <c r="F35" t="s">
        <v>5753</v>
      </c>
      <c r="G35" t="s">
        <v>5897</v>
      </c>
      <c r="P35">
        <v>4921282608.695652</v>
      </c>
      <c r="Y35">
        <v>1501</v>
      </c>
      <c r="Z35">
        <v>490</v>
      </c>
      <c r="AC35" t="s">
        <v>5755</v>
      </c>
    </row>
    <row r="36" spans="3:30" x14ac:dyDescent="0.35">
      <c r="C36" t="s">
        <v>61</v>
      </c>
      <c r="D36" t="s">
        <v>2296</v>
      </c>
      <c r="F36" t="s">
        <v>5743</v>
      </c>
      <c r="G36" t="s">
        <v>5898</v>
      </c>
      <c r="P36">
        <v>6012715644.5500002</v>
      </c>
      <c r="Y36">
        <v>1524</v>
      </c>
      <c r="Z36">
        <v>1336</v>
      </c>
      <c r="AC36" t="s">
        <v>5745</v>
      </c>
    </row>
    <row r="37" spans="3:30" x14ac:dyDescent="0.35">
      <c r="C37" t="s">
        <v>61</v>
      </c>
      <c r="D37" t="s">
        <v>3462</v>
      </c>
      <c r="F37" t="s">
        <v>5787</v>
      </c>
      <c r="G37" t="s">
        <v>5899</v>
      </c>
      <c r="P37">
        <v>6609183932.25</v>
      </c>
      <c r="Y37">
        <v>1725</v>
      </c>
      <c r="Z37">
        <v>1307</v>
      </c>
      <c r="AC37" t="s">
        <v>5789</v>
      </c>
    </row>
    <row r="38" spans="3:30" x14ac:dyDescent="0.35">
      <c r="C38" t="s">
        <v>61</v>
      </c>
      <c r="D38" t="s">
        <v>2293</v>
      </c>
      <c r="E38" t="s">
        <v>5900</v>
      </c>
      <c r="F38" t="s">
        <v>5836</v>
      </c>
      <c r="G38" t="s">
        <v>5901</v>
      </c>
      <c r="J38" t="s">
        <v>5902</v>
      </c>
      <c r="P38">
        <v>5476713254</v>
      </c>
      <c r="Y38">
        <v>1601</v>
      </c>
      <c r="Z38">
        <v>648</v>
      </c>
      <c r="AC38" t="s">
        <v>5903</v>
      </c>
    </row>
    <row r="39" spans="3:30" x14ac:dyDescent="0.35">
      <c r="C39" t="s">
        <v>1311</v>
      </c>
      <c r="D39" t="s">
        <v>2036</v>
      </c>
      <c r="E39" t="s">
        <v>5740</v>
      </c>
      <c r="F39" t="s">
        <v>5836</v>
      </c>
      <c r="G39" t="s">
        <v>5741</v>
      </c>
      <c r="J39" t="s">
        <v>5838</v>
      </c>
      <c r="P39">
        <v>982637600</v>
      </c>
      <c r="Y39">
        <v>1249</v>
      </c>
      <c r="Z39">
        <v>1000</v>
      </c>
      <c r="AC39" t="s">
        <v>5904</v>
      </c>
    </row>
    <row r="40" spans="3:30" x14ac:dyDescent="0.35">
      <c r="C40" t="s">
        <v>1771</v>
      </c>
      <c r="D40" t="s">
        <v>4028</v>
      </c>
      <c r="F40" t="s">
        <v>5816</v>
      </c>
      <c r="G40" t="s">
        <v>5905</v>
      </c>
      <c r="P40">
        <v>3451081497</v>
      </c>
      <c r="Y40">
        <v>1147</v>
      </c>
      <c r="Z40">
        <v>1044</v>
      </c>
      <c r="AC40" t="s">
        <v>5818</v>
      </c>
      <c r="AD40" t="s">
        <v>2716</v>
      </c>
    </row>
    <row r="41" spans="3:30" x14ac:dyDescent="0.35">
      <c r="C41" t="s">
        <v>1771</v>
      </c>
      <c r="D41" t="s">
        <v>3894</v>
      </c>
      <c r="E41" t="s">
        <v>5836</v>
      </c>
      <c r="F41" t="s">
        <v>5836</v>
      </c>
      <c r="G41" t="s">
        <v>5906</v>
      </c>
      <c r="J41" t="s">
        <v>5852</v>
      </c>
      <c r="P41">
        <v>4268258961</v>
      </c>
      <c r="Y41">
        <v>1384</v>
      </c>
      <c r="Z41">
        <v>996</v>
      </c>
      <c r="AC41" t="s">
        <v>5907</v>
      </c>
      <c r="AD41" t="s">
        <v>2716</v>
      </c>
    </row>
    <row r="42" spans="3:30" x14ac:dyDescent="0.35">
      <c r="C42" t="s">
        <v>1771</v>
      </c>
      <c r="D42" t="s">
        <v>4826</v>
      </c>
      <c r="E42" t="s">
        <v>5908</v>
      </c>
      <c r="F42" t="s">
        <v>5836</v>
      </c>
      <c r="G42" t="s">
        <v>5909</v>
      </c>
      <c r="J42" t="s">
        <v>5895</v>
      </c>
      <c r="P42">
        <v>4779303005</v>
      </c>
      <c r="Y42">
        <v>1249</v>
      </c>
      <c r="Z42">
        <v>687</v>
      </c>
      <c r="AC42" t="s">
        <v>5896</v>
      </c>
      <c r="AD42" t="s">
        <v>2716</v>
      </c>
    </row>
    <row r="43" spans="3:30" x14ac:dyDescent="0.35">
      <c r="C43" t="s">
        <v>228</v>
      </c>
      <c r="D43" t="s">
        <v>2164</v>
      </c>
      <c r="E43" t="s">
        <v>5910</v>
      </c>
      <c r="F43" t="s">
        <v>5836</v>
      </c>
      <c r="G43" t="s">
        <v>5911</v>
      </c>
      <c r="J43" t="s">
        <v>5838</v>
      </c>
      <c r="P43">
        <v>1942694153</v>
      </c>
      <c r="Y43">
        <v>703</v>
      </c>
      <c r="Z43">
        <v>507</v>
      </c>
      <c r="AC43" t="s">
        <v>5912</v>
      </c>
    </row>
    <row r="44" spans="3:30" x14ac:dyDescent="0.35">
      <c r="C44" t="s">
        <v>228</v>
      </c>
      <c r="D44" t="s">
        <v>2626</v>
      </c>
      <c r="F44" t="s">
        <v>5802</v>
      </c>
      <c r="G44" t="s">
        <v>5803</v>
      </c>
      <c r="P44">
        <v>2817020607</v>
      </c>
      <c r="Y44">
        <v>804</v>
      </c>
      <c r="Z44">
        <v>611</v>
      </c>
      <c r="AC44" t="s">
        <v>5804</v>
      </c>
    </row>
    <row r="45" spans="3:30" x14ac:dyDescent="0.35">
      <c r="C45" t="s">
        <v>228</v>
      </c>
      <c r="D45" t="s">
        <v>2145</v>
      </c>
      <c r="E45" t="s">
        <v>5913</v>
      </c>
      <c r="F45" t="s">
        <v>5836</v>
      </c>
      <c r="G45" t="s">
        <v>5914</v>
      </c>
      <c r="J45" t="s">
        <v>5838</v>
      </c>
      <c r="P45">
        <v>1256289972</v>
      </c>
      <c r="Y45">
        <v>245</v>
      </c>
      <c r="Z45">
        <v>190</v>
      </c>
      <c r="AC45" t="s">
        <v>5915</v>
      </c>
    </row>
    <row r="46" spans="3:30" x14ac:dyDescent="0.35">
      <c r="C46" t="s">
        <v>76</v>
      </c>
      <c r="D46" t="s">
        <v>2150</v>
      </c>
      <c r="E46" t="s">
        <v>5916</v>
      </c>
      <c r="F46" t="s">
        <v>5836</v>
      </c>
      <c r="G46" t="s">
        <v>5917</v>
      </c>
      <c r="J46" t="s">
        <v>5838</v>
      </c>
      <c r="P46">
        <v>3745531446</v>
      </c>
      <c r="Y46">
        <v>892</v>
      </c>
      <c r="Z46">
        <v>714</v>
      </c>
      <c r="AC46" t="s">
        <v>5918</v>
      </c>
    </row>
    <row r="47" spans="3:30" x14ac:dyDescent="0.35">
      <c r="C47" t="s">
        <v>1311</v>
      </c>
      <c r="D47" t="s">
        <v>2166</v>
      </c>
      <c r="E47" t="s">
        <v>5538</v>
      </c>
      <c r="F47" t="s">
        <v>5538</v>
      </c>
      <c r="G47" t="s">
        <v>5539</v>
      </c>
      <c r="P47">
        <v>5291155312</v>
      </c>
      <c r="Y47">
        <v>1484</v>
      </c>
      <c r="Z47">
        <v>1000</v>
      </c>
      <c r="AC47" t="s">
        <v>5919</v>
      </c>
    </row>
    <row r="48" spans="3:30" x14ac:dyDescent="0.35">
      <c r="C48" t="s">
        <v>2059</v>
      </c>
      <c r="D48" t="s">
        <v>2032</v>
      </c>
      <c r="E48" t="s">
        <v>5532</v>
      </c>
      <c r="F48" t="s">
        <v>5532</v>
      </c>
      <c r="G48" t="s">
        <v>5533</v>
      </c>
      <c r="P48">
        <v>500000000</v>
      </c>
      <c r="Y48">
        <v>690</v>
      </c>
      <c r="Z48">
        <v>552</v>
      </c>
      <c r="AC48" t="s">
        <v>5920</v>
      </c>
    </row>
    <row r="49" spans="1:33" x14ac:dyDescent="0.35">
      <c r="C49" t="s">
        <v>76</v>
      </c>
      <c r="D49" t="s">
        <v>2162</v>
      </c>
      <c r="E49" t="s">
        <v>5921</v>
      </c>
      <c r="F49" t="s">
        <v>5836</v>
      </c>
      <c r="G49" t="s">
        <v>2163</v>
      </c>
      <c r="J49" t="s">
        <v>5838</v>
      </c>
      <c r="P49">
        <v>3427626691</v>
      </c>
      <c r="Y49">
        <v>1018</v>
      </c>
      <c r="Z49">
        <v>800</v>
      </c>
      <c r="AC49" t="s">
        <v>5922</v>
      </c>
    </row>
    <row r="50" spans="1:33" x14ac:dyDescent="0.35">
      <c r="C50" t="s">
        <v>76</v>
      </c>
      <c r="D50" t="s">
        <v>1670</v>
      </c>
      <c r="E50" t="s">
        <v>5923</v>
      </c>
      <c r="F50" t="s">
        <v>5836</v>
      </c>
      <c r="G50" t="s">
        <v>2153</v>
      </c>
      <c r="J50" t="s">
        <v>5838</v>
      </c>
      <c r="P50">
        <v>784233333</v>
      </c>
      <c r="Y50">
        <v>518</v>
      </c>
      <c r="Z50">
        <v>648</v>
      </c>
      <c r="AC50" t="s">
        <v>5924</v>
      </c>
      <c r="AD50" t="s">
        <v>1794</v>
      </c>
    </row>
    <row r="51" spans="1:33" x14ac:dyDescent="0.35">
      <c r="C51" t="s">
        <v>76</v>
      </c>
      <c r="D51" t="s">
        <v>2154</v>
      </c>
      <c r="E51" t="s">
        <v>5726</v>
      </c>
      <c r="F51" t="s">
        <v>5726</v>
      </c>
      <c r="G51" t="s">
        <v>2155</v>
      </c>
      <c r="P51">
        <v>5422376292</v>
      </c>
      <c r="Y51">
        <v>1420</v>
      </c>
      <c r="Z51">
        <v>1161</v>
      </c>
      <c r="AC51" t="s">
        <v>5925</v>
      </c>
      <c r="AD51" t="s">
        <v>2716</v>
      </c>
    </row>
    <row r="52" spans="1:33" x14ac:dyDescent="0.35">
      <c r="C52" t="s">
        <v>34</v>
      </c>
      <c r="D52" t="s">
        <v>2158</v>
      </c>
      <c r="E52" t="s">
        <v>5926</v>
      </c>
      <c r="F52" t="s">
        <v>5836</v>
      </c>
      <c r="G52" t="s">
        <v>2159</v>
      </c>
      <c r="J52" t="s">
        <v>5838</v>
      </c>
      <c r="P52">
        <v>3776950805</v>
      </c>
      <c r="Y52">
        <v>990</v>
      </c>
      <c r="Z52">
        <v>766</v>
      </c>
      <c r="AC52" t="s">
        <v>5927</v>
      </c>
    </row>
    <row r="53" spans="1:33" x14ac:dyDescent="0.35">
      <c r="C53" t="s">
        <v>34</v>
      </c>
      <c r="D53" t="s">
        <v>2156</v>
      </c>
      <c r="E53" t="s">
        <v>5928</v>
      </c>
      <c r="F53" t="s">
        <v>5836</v>
      </c>
      <c r="G53" t="s">
        <v>2157</v>
      </c>
      <c r="J53" t="s">
        <v>5838</v>
      </c>
      <c r="P53">
        <v>3045267457</v>
      </c>
      <c r="Y53">
        <v>689</v>
      </c>
      <c r="Z53">
        <v>358</v>
      </c>
      <c r="AC53" t="s">
        <v>5929</v>
      </c>
    </row>
    <row r="54" spans="1:33" x14ac:dyDescent="0.35">
      <c r="C54" t="s">
        <v>112</v>
      </c>
      <c r="D54" t="s">
        <v>2160</v>
      </c>
      <c r="E54" t="s">
        <v>5930</v>
      </c>
      <c r="F54" t="s">
        <v>5836</v>
      </c>
      <c r="G54" t="s">
        <v>5931</v>
      </c>
      <c r="J54" t="s">
        <v>5838</v>
      </c>
      <c r="P54">
        <v>996886655</v>
      </c>
      <c r="Y54">
        <v>606</v>
      </c>
      <c r="Z54">
        <v>485</v>
      </c>
      <c r="AC54" t="s">
        <v>5932</v>
      </c>
    </row>
    <row r="55" spans="1:33" x14ac:dyDescent="0.35">
      <c r="C55" t="s">
        <v>1063</v>
      </c>
      <c r="D55" t="s">
        <v>1758</v>
      </c>
      <c r="E55" t="s">
        <v>5536</v>
      </c>
      <c r="F55" t="s">
        <v>5836</v>
      </c>
      <c r="J55" t="s">
        <v>5838</v>
      </c>
      <c r="P55">
        <v>845450946</v>
      </c>
      <c r="Y55">
        <v>1092</v>
      </c>
      <c r="Z55">
        <v>700</v>
      </c>
      <c r="AA55">
        <v>324</v>
      </c>
      <c r="AB55">
        <v>278</v>
      </c>
      <c r="AC55" t="s">
        <v>5933</v>
      </c>
    </row>
    <row r="56" spans="1:33" x14ac:dyDescent="0.35">
      <c r="C56" t="s">
        <v>1771</v>
      </c>
      <c r="D56" t="s">
        <v>4124</v>
      </c>
      <c r="E56" t="s">
        <v>5836</v>
      </c>
      <c r="F56" t="s">
        <v>5836</v>
      </c>
      <c r="G56" t="s">
        <v>5934</v>
      </c>
      <c r="J56" t="s">
        <v>5852</v>
      </c>
      <c r="P56">
        <v>3140150236</v>
      </c>
      <c r="Y56">
        <v>1016</v>
      </c>
      <c r="Z56">
        <v>813</v>
      </c>
      <c r="AA56">
        <v>181</v>
      </c>
      <c r="AB56">
        <v>111</v>
      </c>
      <c r="AC56" t="s">
        <v>5935</v>
      </c>
    </row>
    <row r="57" spans="1:33" x14ac:dyDescent="0.35">
      <c r="A57" t="s">
        <v>5437</v>
      </c>
      <c r="C57" t="s">
        <v>5437</v>
      </c>
      <c r="D57" t="s">
        <v>5438</v>
      </c>
      <c r="E57" t="s">
        <v>5438</v>
      </c>
      <c r="G57" t="s">
        <v>5439</v>
      </c>
      <c r="P57">
        <v>36200000</v>
      </c>
      <c r="Q57">
        <v>0</v>
      </c>
      <c r="R57">
        <v>0</v>
      </c>
      <c r="S57">
        <v>0</v>
      </c>
      <c r="T57">
        <v>0</v>
      </c>
      <c r="U57">
        <v>0</v>
      </c>
      <c r="V57">
        <v>0</v>
      </c>
      <c r="W57">
        <v>36200000</v>
      </c>
      <c r="AC57" t="s">
        <v>5440</v>
      </c>
      <c r="AE57">
        <v>36200000</v>
      </c>
      <c r="AF57">
        <v>36200000</v>
      </c>
    </row>
    <row r="58" spans="1:33" x14ac:dyDescent="0.35">
      <c r="A58" t="s">
        <v>20</v>
      </c>
      <c r="C58" t="s">
        <v>24</v>
      </c>
      <c r="D58" t="s">
        <v>2217</v>
      </c>
      <c r="E58" t="s">
        <v>5441</v>
      </c>
      <c r="G58" t="s">
        <v>5442</v>
      </c>
      <c r="L58" t="s">
        <v>5443</v>
      </c>
      <c r="N58">
        <v>46017</v>
      </c>
      <c r="O58">
        <v>5836753938</v>
      </c>
      <c r="P58">
        <v>5836753938</v>
      </c>
      <c r="Q58">
        <v>241928938</v>
      </c>
      <c r="R58">
        <v>5594825000</v>
      </c>
      <c r="S58">
        <v>0</v>
      </c>
      <c r="T58">
        <v>0</v>
      </c>
      <c r="U58">
        <v>0</v>
      </c>
      <c r="V58">
        <v>0</v>
      </c>
      <c r="W58">
        <v>0</v>
      </c>
      <c r="Y58">
        <v>1620</v>
      </c>
      <c r="Z58">
        <v>1264</v>
      </c>
      <c r="AC58" t="s">
        <v>5444</v>
      </c>
      <c r="AE58">
        <v>5836753938</v>
      </c>
      <c r="AF58">
        <v>5594825000</v>
      </c>
      <c r="AG58" t="s">
        <v>2716</v>
      </c>
    </row>
    <row r="59" spans="1:33" x14ac:dyDescent="0.35">
      <c r="A59" t="s">
        <v>20</v>
      </c>
      <c r="C59" t="s">
        <v>24</v>
      </c>
      <c r="D59" t="s">
        <v>2417</v>
      </c>
      <c r="E59" t="s">
        <v>5445</v>
      </c>
      <c r="G59" t="s">
        <v>5446</v>
      </c>
      <c r="L59" t="s">
        <v>5443</v>
      </c>
      <c r="N59">
        <v>46017</v>
      </c>
      <c r="O59">
        <v>4985038938</v>
      </c>
      <c r="P59">
        <v>4985038938</v>
      </c>
      <c r="Q59">
        <v>322038938</v>
      </c>
      <c r="R59">
        <v>4663000000</v>
      </c>
      <c r="S59">
        <v>0</v>
      </c>
      <c r="T59">
        <v>0</v>
      </c>
      <c r="U59">
        <v>0</v>
      </c>
      <c r="V59">
        <v>0</v>
      </c>
      <c r="W59">
        <v>0</v>
      </c>
      <c r="AC59" t="s">
        <v>5447</v>
      </c>
      <c r="AE59">
        <v>4985038938</v>
      </c>
      <c r="AF59">
        <v>4663000000</v>
      </c>
    </row>
    <row r="60" spans="1:33" x14ac:dyDescent="0.35">
      <c r="A60" t="s">
        <v>348</v>
      </c>
      <c r="C60" t="s">
        <v>112</v>
      </c>
      <c r="D60" t="s">
        <v>2631</v>
      </c>
      <c r="E60" t="s">
        <v>5448</v>
      </c>
      <c r="G60" t="s">
        <v>5449</v>
      </c>
      <c r="K60" t="s">
        <v>5450</v>
      </c>
      <c r="L60" t="s">
        <v>5443</v>
      </c>
      <c r="N60">
        <v>46021</v>
      </c>
      <c r="O60">
        <v>4149877577.1010642</v>
      </c>
      <c r="P60">
        <v>4149877577.1010642</v>
      </c>
      <c r="Q60">
        <v>215845577.10106373</v>
      </c>
      <c r="R60">
        <v>0</v>
      </c>
      <c r="S60">
        <v>3473512000</v>
      </c>
      <c r="T60">
        <v>460520000</v>
      </c>
      <c r="U60">
        <v>0</v>
      </c>
      <c r="V60">
        <v>0</v>
      </c>
      <c r="W60">
        <v>0</v>
      </c>
      <c r="Y60">
        <v>3948</v>
      </c>
      <c r="Z60">
        <v>1579</v>
      </c>
      <c r="AC60" t="s">
        <v>5451</v>
      </c>
      <c r="AE60">
        <v>4149877577.1010642</v>
      </c>
      <c r="AF60">
        <v>3934032000</v>
      </c>
      <c r="AG60" t="s">
        <v>1794</v>
      </c>
    </row>
    <row r="61" spans="1:33" x14ac:dyDescent="0.35">
      <c r="A61" t="s">
        <v>348</v>
      </c>
      <c r="C61" t="s">
        <v>34</v>
      </c>
      <c r="D61" t="s">
        <v>454</v>
      </c>
      <c r="E61" t="s">
        <v>5453</v>
      </c>
      <c r="G61" t="s">
        <v>5454</v>
      </c>
      <c r="L61" t="s">
        <v>5443</v>
      </c>
      <c r="M61" t="s">
        <v>5455</v>
      </c>
      <c r="N61">
        <v>46028</v>
      </c>
      <c r="O61">
        <v>3134535760</v>
      </c>
      <c r="P61">
        <v>3134535760</v>
      </c>
      <c r="Q61">
        <v>279000000</v>
      </c>
      <c r="R61">
        <v>0</v>
      </c>
      <c r="S61">
        <v>0</v>
      </c>
      <c r="T61">
        <v>2855535760</v>
      </c>
      <c r="U61">
        <v>0</v>
      </c>
      <c r="V61">
        <v>0</v>
      </c>
      <c r="W61">
        <v>0</v>
      </c>
      <c r="AC61" t="s">
        <v>5456</v>
      </c>
      <c r="AE61">
        <v>3134535760</v>
      </c>
      <c r="AF61">
        <v>2855535760</v>
      </c>
    </row>
    <row r="62" spans="1:33" x14ac:dyDescent="0.35">
      <c r="A62" t="s">
        <v>348</v>
      </c>
      <c r="C62" t="s">
        <v>34</v>
      </c>
      <c r="D62" t="s">
        <v>920</v>
      </c>
      <c r="E62" t="s">
        <v>5457</v>
      </c>
      <c r="G62" t="s">
        <v>5458</v>
      </c>
      <c r="L62" t="s">
        <v>5443</v>
      </c>
      <c r="N62">
        <v>46028</v>
      </c>
      <c r="O62">
        <v>1476811150</v>
      </c>
      <c r="P62">
        <v>1476811150</v>
      </c>
      <c r="Q62">
        <v>149000000</v>
      </c>
      <c r="R62">
        <v>0</v>
      </c>
      <c r="S62">
        <v>0</v>
      </c>
      <c r="T62">
        <v>1327811150</v>
      </c>
      <c r="U62">
        <v>0</v>
      </c>
      <c r="V62">
        <v>0</v>
      </c>
      <c r="W62">
        <v>0</v>
      </c>
      <c r="AC62" t="s">
        <v>5459</v>
      </c>
      <c r="AE62">
        <v>1476811150</v>
      </c>
      <c r="AF62">
        <v>1327811150</v>
      </c>
    </row>
    <row r="63" spans="1:33" x14ac:dyDescent="0.35">
      <c r="A63" t="s">
        <v>348</v>
      </c>
      <c r="C63" t="s">
        <v>34</v>
      </c>
      <c r="D63" t="s">
        <v>2261</v>
      </c>
      <c r="E63" t="s">
        <v>5460</v>
      </c>
      <c r="G63" t="s">
        <v>5461</v>
      </c>
      <c r="L63" t="s">
        <v>5443</v>
      </c>
      <c r="M63" t="s">
        <v>5455</v>
      </c>
      <c r="N63">
        <v>46034</v>
      </c>
      <c r="O63">
        <v>4848946707</v>
      </c>
      <c r="P63">
        <v>4848946707</v>
      </c>
      <c r="R63">
        <v>4848946707</v>
      </c>
      <c r="S63">
        <v>0</v>
      </c>
      <c r="T63">
        <v>0</v>
      </c>
      <c r="U63">
        <v>0</v>
      </c>
      <c r="V63">
        <v>0</v>
      </c>
      <c r="W63">
        <v>0</v>
      </c>
      <c r="AC63" t="s">
        <v>5462</v>
      </c>
      <c r="AE63">
        <v>4848946707</v>
      </c>
      <c r="AF63">
        <v>4848946707</v>
      </c>
      <c r="AG63" t="s">
        <v>2716</v>
      </c>
    </row>
    <row r="64" spans="1:33" x14ac:dyDescent="0.35">
      <c r="A64" t="s">
        <v>348</v>
      </c>
      <c r="C64" t="s">
        <v>34</v>
      </c>
      <c r="D64" t="s">
        <v>830</v>
      </c>
      <c r="E64" t="s">
        <v>5463</v>
      </c>
      <c r="G64" t="s">
        <v>5464</v>
      </c>
      <c r="L64" t="s">
        <v>5465</v>
      </c>
      <c r="P64">
        <v>70000000</v>
      </c>
      <c r="R64">
        <v>0</v>
      </c>
      <c r="S64">
        <v>0</v>
      </c>
      <c r="T64">
        <v>0</v>
      </c>
      <c r="U64">
        <v>70000000</v>
      </c>
      <c r="V64">
        <v>0</v>
      </c>
      <c r="W64">
        <v>0</v>
      </c>
      <c r="AE64">
        <v>70000000</v>
      </c>
      <c r="AF64">
        <v>70000000</v>
      </c>
    </row>
    <row r="65" spans="1:33" x14ac:dyDescent="0.35">
      <c r="A65" t="s">
        <v>348</v>
      </c>
      <c r="C65" t="s">
        <v>34</v>
      </c>
      <c r="D65" t="s">
        <v>591</v>
      </c>
      <c r="E65" t="s">
        <v>5466</v>
      </c>
      <c r="G65" t="s">
        <v>5467</v>
      </c>
      <c r="L65" t="s">
        <v>5465</v>
      </c>
      <c r="P65">
        <v>70000000</v>
      </c>
      <c r="R65">
        <v>0</v>
      </c>
      <c r="S65">
        <v>0</v>
      </c>
      <c r="T65">
        <v>0</v>
      </c>
      <c r="U65">
        <v>70000000</v>
      </c>
      <c r="V65">
        <v>0</v>
      </c>
      <c r="W65">
        <v>0</v>
      </c>
      <c r="AE65">
        <v>70000000</v>
      </c>
      <c r="AF65">
        <v>70000000</v>
      </c>
    </row>
    <row r="66" spans="1:33" x14ac:dyDescent="0.35">
      <c r="A66" t="s">
        <v>20</v>
      </c>
      <c r="C66" t="s">
        <v>1319</v>
      </c>
      <c r="D66" t="s">
        <v>2425</v>
      </c>
      <c r="E66" t="s">
        <v>5468</v>
      </c>
      <c r="G66" t="s">
        <v>5469</v>
      </c>
      <c r="L66" t="s">
        <v>5443</v>
      </c>
      <c r="N66">
        <v>46021</v>
      </c>
      <c r="O66">
        <v>1840722637</v>
      </c>
      <c r="P66">
        <v>1840722637</v>
      </c>
      <c r="Q66">
        <v>45722637</v>
      </c>
      <c r="R66">
        <v>1795000000</v>
      </c>
      <c r="S66">
        <v>0</v>
      </c>
      <c r="T66">
        <v>0</v>
      </c>
      <c r="U66">
        <v>0</v>
      </c>
      <c r="V66">
        <v>0</v>
      </c>
      <c r="W66">
        <v>0</v>
      </c>
      <c r="Y66">
        <v>720</v>
      </c>
      <c r="Z66">
        <v>504</v>
      </c>
      <c r="AC66" t="s">
        <v>5470</v>
      </c>
      <c r="AE66">
        <v>1840722637</v>
      </c>
      <c r="AF66">
        <v>1795000000</v>
      </c>
      <c r="AG66" t="s">
        <v>2716</v>
      </c>
    </row>
    <row r="67" spans="1:33" x14ac:dyDescent="0.35">
      <c r="A67" t="s">
        <v>348</v>
      </c>
      <c r="C67" t="s">
        <v>34</v>
      </c>
      <c r="D67" t="s">
        <v>450</v>
      </c>
      <c r="E67" t="s">
        <v>5471</v>
      </c>
      <c r="G67" t="s">
        <v>5472</v>
      </c>
      <c r="L67" t="s">
        <v>5443</v>
      </c>
      <c r="N67">
        <v>46031</v>
      </c>
      <c r="O67">
        <v>4363842161</v>
      </c>
      <c r="P67">
        <v>4363842161</v>
      </c>
      <c r="Q67">
        <v>480574721</v>
      </c>
      <c r="R67">
        <v>0</v>
      </c>
      <c r="S67">
        <v>0</v>
      </c>
      <c r="T67">
        <v>3883267440</v>
      </c>
      <c r="U67">
        <v>0</v>
      </c>
      <c r="V67">
        <v>0</v>
      </c>
      <c r="W67">
        <v>0</v>
      </c>
      <c r="AC67" t="s">
        <v>5473</v>
      </c>
      <c r="AE67">
        <v>4363842161</v>
      </c>
      <c r="AF67">
        <v>3883267440</v>
      </c>
    </row>
    <row r="68" spans="1:33" x14ac:dyDescent="0.35">
      <c r="A68" t="s">
        <v>348</v>
      </c>
      <c r="C68" t="s">
        <v>76</v>
      </c>
      <c r="D68" t="s">
        <v>2348</v>
      </c>
      <c r="E68" t="s">
        <v>5474</v>
      </c>
      <c r="G68" t="s">
        <v>5475</v>
      </c>
      <c r="L68" t="s">
        <v>5443</v>
      </c>
      <c r="N68">
        <v>46034</v>
      </c>
      <c r="O68">
        <v>4588734394</v>
      </c>
      <c r="P68">
        <v>4588734394</v>
      </c>
      <c r="R68">
        <v>4588734394</v>
      </c>
      <c r="S68">
        <v>0</v>
      </c>
      <c r="T68">
        <v>0</v>
      </c>
      <c r="U68">
        <v>0</v>
      </c>
      <c r="V68">
        <v>0</v>
      </c>
      <c r="W68">
        <v>0</v>
      </c>
      <c r="AC68" t="s">
        <v>5476</v>
      </c>
      <c r="AE68">
        <v>4588734394</v>
      </c>
      <c r="AF68">
        <v>4588734394</v>
      </c>
      <c r="AG68" t="s">
        <v>2716</v>
      </c>
    </row>
    <row r="69" spans="1:33" x14ac:dyDescent="0.35">
      <c r="A69" t="s">
        <v>348</v>
      </c>
      <c r="C69" t="s">
        <v>76</v>
      </c>
      <c r="D69" t="s">
        <v>2629</v>
      </c>
      <c r="E69" t="s">
        <v>5477</v>
      </c>
      <c r="G69" t="s">
        <v>5478</v>
      </c>
      <c r="K69" t="s">
        <v>5479</v>
      </c>
      <c r="L69" t="s">
        <v>5443</v>
      </c>
      <c r="N69">
        <v>46034</v>
      </c>
      <c r="O69">
        <v>2707387500</v>
      </c>
      <c r="P69">
        <v>2707387500</v>
      </c>
      <c r="Q69">
        <v>235387500</v>
      </c>
      <c r="R69">
        <v>0</v>
      </c>
      <c r="S69">
        <v>2472000000</v>
      </c>
      <c r="T69">
        <v>0</v>
      </c>
      <c r="U69">
        <v>0</v>
      </c>
      <c r="V69">
        <v>0</v>
      </c>
      <c r="W69">
        <v>0</v>
      </c>
      <c r="Y69">
        <v>1138</v>
      </c>
      <c r="Z69">
        <v>500</v>
      </c>
      <c r="AC69" t="s">
        <v>5480</v>
      </c>
      <c r="AE69">
        <v>2707387500</v>
      </c>
      <c r="AF69">
        <v>2472000000</v>
      </c>
      <c r="AG69" t="s">
        <v>1794</v>
      </c>
    </row>
    <row r="70" spans="1:33" x14ac:dyDescent="0.35">
      <c r="A70" t="s">
        <v>348</v>
      </c>
      <c r="C70" t="s">
        <v>76</v>
      </c>
      <c r="D70" t="s">
        <v>5939</v>
      </c>
      <c r="E70" t="s">
        <v>5481</v>
      </c>
      <c r="G70" t="s">
        <v>5482</v>
      </c>
      <c r="K70" t="s">
        <v>5483</v>
      </c>
      <c r="L70" t="s">
        <v>5443</v>
      </c>
      <c r="N70">
        <v>46034</v>
      </c>
      <c r="O70">
        <v>2594142000</v>
      </c>
      <c r="P70">
        <v>2594142000</v>
      </c>
      <c r="Q70">
        <v>230592000</v>
      </c>
      <c r="R70">
        <v>0</v>
      </c>
      <c r="S70">
        <v>2363550000</v>
      </c>
      <c r="T70">
        <v>0</v>
      </c>
      <c r="U70">
        <v>0</v>
      </c>
      <c r="V70">
        <v>0</v>
      </c>
      <c r="W70">
        <v>0</v>
      </c>
      <c r="AC70" t="s">
        <v>5484</v>
      </c>
      <c r="AE70">
        <v>2594142000</v>
      </c>
      <c r="AF70">
        <v>2363550000</v>
      </c>
    </row>
    <row r="71" spans="1:33" x14ac:dyDescent="0.35">
      <c r="A71" t="s">
        <v>20</v>
      </c>
      <c r="C71" t="s">
        <v>2044</v>
      </c>
      <c r="D71" t="s">
        <v>1521</v>
      </c>
      <c r="E71" t="s">
        <v>5485</v>
      </c>
      <c r="G71" t="s">
        <v>5486</v>
      </c>
      <c r="L71" t="s">
        <v>5443</v>
      </c>
      <c r="N71">
        <v>46041</v>
      </c>
      <c r="O71">
        <v>4348679976</v>
      </c>
      <c r="P71">
        <v>4348679976</v>
      </c>
      <c r="Q71">
        <v>170300000</v>
      </c>
      <c r="R71">
        <v>0</v>
      </c>
      <c r="S71">
        <v>0</v>
      </c>
      <c r="T71">
        <v>4138679976</v>
      </c>
      <c r="U71">
        <v>39700000</v>
      </c>
      <c r="V71">
        <v>0</v>
      </c>
      <c r="W71">
        <v>0</v>
      </c>
      <c r="AC71" t="s">
        <v>5487</v>
      </c>
      <c r="AE71">
        <v>4348679976</v>
      </c>
      <c r="AF71">
        <v>4178379976</v>
      </c>
    </row>
    <row r="72" spans="1:33" x14ac:dyDescent="0.35">
      <c r="A72" t="s">
        <v>20</v>
      </c>
      <c r="C72" t="s">
        <v>2044</v>
      </c>
      <c r="D72" t="s">
        <v>2171</v>
      </c>
      <c r="E72" t="s">
        <v>5488</v>
      </c>
      <c r="G72" t="s">
        <v>5489</v>
      </c>
      <c r="K72" t="s">
        <v>5490</v>
      </c>
      <c r="L72" t="s">
        <v>5443</v>
      </c>
      <c r="N72">
        <v>46039</v>
      </c>
      <c r="O72">
        <v>3163939412</v>
      </c>
      <c r="P72">
        <v>3163939412</v>
      </c>
      <c r="Q72">
        <v>389814457</v>
      </c>
      <c r="R72">
        <v>0</v>
      </c>
      <c r="S72">
        <v>2593224955</v>
      </c>
      <c r="T72">
        <v>0</v>
      </c>
      <c r="U72">
        <v>180900000</v>
      </c>
      <c r="V72">
        <v>0</v>
      </c>
      <c r="W72">
        <v>0</v>
      </c>
      <c r="Y72">
        <v>1600</v>
      </c>
      <c r="Z72">
        <v>886</v>
      </c>
      <c r="AC72" t="s">
        <v>5491</v>
      </c>
      <c r="AE72">
        <v>3163939412</v>
      </c>
      <c r="AF72">
        <v>2774124955</v>
      </c>
      <c r="AG72" t="s">
        <v>1794</v>
      </c>
    </row>
    <row r="73" spans="1:33" x14ac:dyDescent="0.35">
      <c r="A73" t="s">
        <v>20</v>
      </c>
      <c r="C73" t="s">
        <v>2044</v>
      </c>
      <c r="D73" t="s">
        <v>2643</v>
      </c>
      <c r="E73" t="s">
        <v>5492</v>
      </c>
      <c r="G73" t="s">
        <v>5493</v>
      </c>
      <c r="K73" t="s">
        <v>5494</v>
      </c>
      <c r="L73" t="s">
        <v>5443</v>
      </c>
      <c r="O73">
        <v>6672409930</v>
      </c>
      <c r="P73">
        <v>6672409930</v>
      </c>
      <c r="Q73">
        <v>148377635</v>
      </c>
      <c r="R73">
        <v>0</v>
      </c>
      <c r="S73">
        <v>6524032295</v>
      </c>
      <c r="T73">
        <v>0</v>
      </c>
      <c r="U73">
        <v>0</v>
      </c>
      <c r="V73">
        <v>0</v>
      </c>
      <c r="W73">
        <v>0</v>
      </c>
      <c r="Y73">
        <v>2021</v>
      </c>
      <c r="Z73">
        <v>1253</v>
      </c>
      <c r="AC73" t="s">
        <v>5495</v>
      </c>
      <c r="AE73">
        <v>6672409930</v>
      </c>
      <c r="AF73">
        <v>6524032295</v>
      </c>
      <c r="AG73" t="s">
        <v>1794</v>
      </c>
    </row>
    <row r="74" spans="1:33" x14ac:dyDescent="0.35">
      <c r="A74" t="s">
        <v>20</v>
      </c>
      <c r="C74" t="s">
        <v>2044</v>
      </c>
      <c r="D74" t="s">
        <v>3620</v>
      </c>
      <c r="E74" t="s">
        <v>5496</v>
      </c>
      <c r="G74" t="s">
        <v>5497</v>
      </c>
      <c r="K74" t="s">
        <v>5498</v>
      </c>
      <c r="L74" t="s">
        <v>5443</v>
      </c>
      <c r="O74">
        <v>3028907743</v>
      </c>
      <c r="P74">
        <v>3028907743</v>
      </c>
      <c r="Q74">
        <v>105532788</v>
      </c>
      <c r="R74">
        <v>0</v>
      </c>
      <c r="S74">
        <v>2923374955</v>
      </c>
      <c r="T74">
        <v>0</v>
      </c>
      <c r="U74">
        <v>0</v>
      </c>
      <c r="V74">
        <v>0</v>
      </c>
      <c r="W74">
        <v>0</v>
      </c>
      <c r="AC74" t="s">
        <v>5499</v>
      </c>
      <c r="AE74">
        <v>3028907743</v>
      </c>
      <c r="AF74">
        <v>2923374955</v>
      </c>
      <c r="AG74" t="s">
        <v>1794</v>
      </c>
    </row>
    <row r="75" spans="1:33" x14ac:dyDescent="0.35">
      <c r="A75" t="s">
        <v>20</v>
      </c>
      <c r="C75" t="s">
        <v>2044</v>
      </c>
      <c r="D75" t="s">
        <v>2637</v>
      </c>
      <c r="E75" t="s">
        <v>5500</v>
      </c>
      <c r="G75" t="s">
        <v>5501</v>
      </c>
      <c r="K75" t="s">
        <v>5502</v>
      </c>
      <c r="L75" t="s">
        <v>5443</v>
      </c>
      <c r="N75">
        <v>46099</v>
      </c>
      <c r="O75">
        <v>8096832336</v>
      </c>
      <c r="P75">
        <v>8096832336</v>
      </c>
      <c r="Q75">
        <v>473075456</v>
      </c>
      <c r="R75">
        <v>0</v>
      </c>
      <c r="S75">
        <v>7623756880</v>
      </c>
      <c r="T75">
        <v>0</v>
      </c>
      <c r="U75">
        <v>0</v>
      </c>
      <c r="V75">
        <v>0</v>
      </c>
      <c r="W75">
        <v>0</v>
      </c>
      <c r="AC75" t="s">
        <v>5503</v>
      </c>
      <c r="AE75">
        <v>8096832336</v>
      </c>
      <c r="AF75">
        <v>7623756880</v>
      </c>
      <c r="AG75" t="s">
        <v>1794</v>
      </c>
    </row>
    <row r="76" spans="1:33" x14ac:dyDescent="0.35">
      <c r="A76" t="s">
        <v>348</v>
      </c>
      <c r="C76" t="s">
        <v>228</v>
      </c>
      <c r="D76" t="s">
        <v>2178</v>
      </c>
      <c r="E76" t="s">
        <v>5504</v>
      </c>
      <c r="G76" t="s">
        <v>5505</v>
      </c>
      <c r="K76" t="s">
        <v>5506</v>
      </c>
      <c r="L76" t="s">
        <v>5443</v>
      </c>
      <c r="N76">
        <v>46021</v>
      </c>
      <c r="O76">
        <v>1330500000</v>
      </c>
      <c r="P76">
        <v>1330500000</v>
      </c>
      <c r="Q76">
        <v>356500000</v>
      </c>
      <c r="R76">
        <v>0</v>
      </c>
      <c r="S76">
        <v>974000000</v>
      </c>
      <c r="T76">
        <v>0</v>
      </c>
      <c r="U76">
        <v>0</v>
      </c>
      <c r="V76">
        <v>0</v>
      </c>
      <c r="W76">
        <v>0</v>
      </c>
      <c r="Y76">
        <v>479</v>
      </c>
      <c r="Z76">
        <v>374</v>
      </c>
      <c r="AC76" t="s">
        <v>5507</v>
      </c>
      <c r="AE76">
        <v>1330500000</v>
      </c>
      <c r="AF76">
        <v>974000000</v>
      </c>
      <c r="AG76" t="s">
        <v>1794</v>
      </c>
    </row>
    <row r="77" spans="1:33" x14ac:dyDescent="0.35">
      <c r="A77" t="s">
        <v>20</v>
      </c>
      <c r="C77" t="s">
        <v>301</v>
      </c>
      <c r="D77" t="s">
        <v>5944</v>
      </c>
      <c r="E77" t="s">
        <v>5508</v>
      </c>
      <c r="G77" t="s">
        <v>5509</v>
      </c>
      <c r="L77" t="s">
        <v>5465</v>
      </c>
      <c r="P77">
        <v>54864820</v>
      </c>
      <c r="R77">
        <v>0</v>
      </c>
      <c r="S77">
        <v>0</v>
      </c>
      <c r="T77">
        <v>0</v>
      </c>
      <c r="U77">
        <v>0</v>
      </c>
      <c r="V77">
        <v>0</v>
      </c>
      <c r="W77">
        <v>54864820</v>
      </c>
      <c r="AE77">
        <v>54864820</v>
      </c>
      <c r="AF77">
        <v>54864820</v>
      </c>
    </row>
    <row r="78" spans="1:33" x14ac:dyDescent="0.35">
      <c r="A78" t="s">
        <v>348</v>
      </c>
      <c r="C78" t="s">
        <v>34</v>
      </c>
      <c r="D78" t="s">
        <v>516</v>
      </c>
      <c r="E78" t="s">
        <v>5510</v>
      </c>
      <c r="G78" t="s">
        <v>5511</v>
      </c>
      <c r="L78" t="s">
        <v>5465</v>
      </c>
      <c r="P78">
        <v>29400000</v>
      </c>
      <c r="R78">
        <v>0</v>
      </c>
      <c r="S78">
        <v>0</v>
      </c>
      <c r="T78">
        <v>0</v>
      </c>
      <c r="U78">
        <v>29400000</v>
      </c>
      <c r="V78">
        <v>0</v>
      </c>
      <c r="W78">
        <v>0</v>
      </c>
      <c r="AE78">
        <v>29400000</v>
      </c>
      <c r="AF78">
        <v>29400000</v>
      </c>
    </row>
    <row r="79" spans="1:33" x14ac:dyDescent="0.35">
      <c r="A79" t="s">
        <v>348</v>
      </c>
      <c r="C79" t="s">
        <v>34</v>
      </c>
      <c r="D79" t="s">
        <v>452</v>
      </c>
      <c r="E79" t="s">
        <v>5512</v>
      </c>
      <c r="G79" t="s">
        <v>5513</v>
      </c>
      <c r="L79" t="s">
        <v>5465</v>
      </c>
      <c r="P79">
        <v>40900000</v>
      </c>
      <c r="R79">
        <v>0</v>
      </c>
      <c r="S79">
        <v>0</v>
      </c>
      <c r="T79">
        <v>0</v>
      </c>
      <c r="U79">
        <v>40900000</v>
      </c>
      <c r="V79">
        <v>0</v>
      </c>
      <c r="W79">
        <v>0</v>
      </c>
      <c r="AE79">
        <v>40900000</v>
      </c>
      <c r="AF79">
        <v>40900000</v>
      </c>
    </row>
    <row r="80" spans="1:33" x14ac:dyDescent="0.35">
      <c r="A80" t="s">
        <v>348</v>
      </c>
      <c r="C80" t="s">
        <v>34</v>
      </c>
      <c r="D80" t="s">
        <v>1247</v>
      </c>
      <c r="E80" t="s">
        <v>5514</v>
      </c>
      <c r="G80" t="s">
        <v>1248</v>
      </c>
      <c r="L80" t="s">
        <v>5465</v>
      </c>
      <c r="N80">
        <v>46029</v>
      </c>
      <c r="P80">
        <v>227023645</v>
      </c>
      <c r="R80">
        <v>0</v>
      </c>
      <c r="S80">
        <v>0</v>
      </c>
      <c r="T80">
        <v>227023645</v>
      </c>
      <c r="U80">
        <v>0</v>
      </c>
      <c r="V80">
        <v>0</v>
      </c>
      <c r="W80">
        <v>0</v>
      </c>
      <c r="AC80" t="s">
        <v>5515</v>
      </c>
      <c r="AE80">
        <v>227023645</v>
      </c>
      <c r="AF80">
        <v>227023645</v>
      </c>
    </row>
    <row r="81" spans="1:32" x14ac:dyDescent="0.35">
      <c r="A81" t="s">
        <v>348</v>
      </c>
      <c r="C81" t="s">
        <v>34</v>
      </c>
      <c r="D81" t="s">
        <v>769</v>
      </c>
      <c r="E81" t="s">
        <v>5516</v>
      </c>
      <c r="G81" t="s">
        <v>5517</v>
      </c>
      <c r="L81" t="s">
        <v>5465</v>
      </c>
      <c r="N81">
        <v>46029</v>
      </c>
      <c r="P81">
        <v>432160120</v>
      </c>
      <c r="R81">
        <v>0</v>
      </c>
      <c r="S81">
        <v>0</v>
      </c>
      <c r="T81">
        <v>432160120</v>
      </c>
      <c r="U81">
        <v>0</v>
      </c>
      <c r="V81">
        <v>0</v>
      </c>
      <c r="W81">
        <v>0</v>
      </c>
      <c r="AC81" t="s">
        <v>5515</v>
      </c>
      <c r="AE81">
        <v>432160120</v>
      </c>
      <c r="AF81">
        <v>432160120</v>
      </c>
    </row>
    <row r="82" spans="1:32" x14ac:dyDescent="0.35">
      <c r="A82" t="s">
        <v>348</v>
      </c>
      <c r="C82" t="s">
        <v>34</v>
      </c>
      <c r="D82" t="s">
        <v>1120</v>
      </c>
      <c r="E82" t="s">
        <v>5518</v>
      </c>
      <c r="G82" t="s">
        <v>5519</v>
      </c>
      <c r="L82" t="s">
        <v>5465</v>
      </c>
      <c r="N82">
        <v>46029</v>
      </c>
      <c r="P82">
        <v>294267720</v>
      </c>
      <c r="R82">
        <v>0</v>
      </c>
      <c r="S82">
        <v>0</v>
      </c>
      <c r="T82">
        <v>294267720</v>
      </c>
      <c r="U82">
        <v>0</v>
      </c>
      <c r="V82">
        <v>0</v>
      </c>
      <c r="W82">
        <v>0</v>
      </c>
      <c r="AC82" t="s">
        <v>5515</v>
      </c>
      <c r="AE82">
        <v>294267720</v>
      </c>
      <c r="AF82">
        <v>294267720</v>
      </c>
    </row>
    <row r="83" spans="1:32" x14ac:dyDescent="0.35">
      <c r="A83" t="s">
        <v>348</v>
      </c>
      <c r="C83" t="s">
        <v>34</v>
      </c>
      <c r="D83" t="s">
        <v>659</v>
      </c>
      <c r="E83" t="s">
        <v>5520</v>
      </c>
      <c r="G83" t="s">
        <v>5521</v>
      </c>
      <c r="L83" t="s">
        <v>5465</v>
      </c>
      <c r="N83">
        <v>46029</v>
      </c>
      <c r="P83">
        <v>550736200</v>
      </c>
      <c r="R83">
        <v>0</v>
      </c>
      <c r="S83">
        <v>0</v>
      </c>
      <c r="T83">
        <v>550736200</v>
      </c>
      <c r="U83">
        <v>0</v>
      </c>
      <c r="V83">
        <v>0</v>
      </c>
      <c r="W83">
        <v>0</v>
      </c>
      <c r="AC83" t="s">
        <v>5515</v>
      </c>
      <c r="AE83">
        <v>550736200</v>
      </c>
      <c r="AF83">
        <v>550736200</v>
      </c>
    </row>
    <row r="84" spans="1:32" x14ac:dyDescent="0.35">
      <c r="A84" t="s">
        <v>348</v>
      </c>
      <c r="C84" t="s">
        <v>34</v>
      </c>
      <c r="D84" t="s">
        <v>1139</v>
      </c>
      <c r="E84" t="s">
        <v>5522</v>
      </c>
      <c r="G84" t="s">
        <v>5523</v>
      </c>
      <c r="L84" t="s">
        <v>5465</v>
      </c>
      <c r="N84">
        <v>46029</v>
      </c>
      <c r="P84">
        <v>420954204</v>
      </c>
      <c r="R84">
        <v>0</v>
      </c>
      <c r="S84">
        <v>0</v>
      </c>
      <c r="T84">
        <v>420954204</v>
      </c>
      <c r="U84">
        <v>0</v>
      </c>
      <c r="V84">
        <v>0</v>
      </c>
      <c r="W84">
        <v>0</v>
      </c>
      <c r="AC84" t="s">
        <v>5515</v>
      </c>
      <c r="AE84">
        <v>420954204</v>
      </c>
      <c r="AF84">
        <v>420954204</v>
      </c>
    </row>
    <row r="85" spans="1:32" x14ac:dyDescent="0.35">
      <c r="A85" t="s">
        <v>348</v>
      </c>
      <c r="C85" t="s">
        <v>34</v>
      </c>
      <c r="D85" t="s">
        <v>477</v>
      </c>
      <c r="E85" t="s">
        <v>5524</v>
      </c>
      <c r="G85" t="s">
        <v>5525</v>
      </c>
      <c r="L85" t="s">
        <v>5465</v>
      </c>
      <c r="N85">
        <v>46029</v>
      </c>
      <c r="P85">
        <v>323374300</v>
      </c>
      <c r="R85">
        <v>0</v>
      </c>
      <c r="S85">
        <v>0</v>
      </c>
      <c r="T85">
        <v>323374300</v>
      </c>
      <c r="U85">
        <v>0</v>
      </c>
      <c r="V85">
        <v>0</v>
      </c>
      <c r="W85">
        <v>0</v>
      </c>
      <c r="AC85" t="s">
        <v>5515</v>
      </c>
      <c r="AE85">
        <v>323374300</v>
      </c>
      <c r="AF85">
        <v>323374300</v>
      </c>
    </row>
    <row r="86" spans="1:32" x14ac:dyDescent="0.35">
      <c r="A86" t="s">
        <v>348</v>
      </c>
      <c r="C86" t="s">
        <v>34</v>
      </c>
      <c r="D86" t="s">
        <v>867</v>
      </c>
      <c r="E86" t="s">
        <v>5526</v>
      </c>
      <c r="G86" t="s">
        <v>5527</v>
      </c>
      <c r="L86" t="s">
        <v>5465</v>
      </c>
      <c r="N86">
        <v>46029</v>
      </c>
      <c r="P86">
        <v>337347067</v>
      </c>
      <c r="R86">
        <v>0</v>
      </c>
      <c r="S86">
        <v>0</v>
      </c>
      <c r="T86">
        <v>337347067</v>
      </c>
      <c r="U86">
        <v>0</v>
      </c>
      <c r="V86">
        <v>0</v>
      </c>
      <c r="W86">
        <v>0</v>
      </c>
      <c r="AC86" t="s">
        <v>5515</v>
      </c>
      <c r="AE86">
        <v>337347067</v>
      </c>
      <c r="AF86">
        <v>337347067</v>
      </c>
    </row>
    <row r="87" spans="1:32" x14ac:dyDescent="0.35">
      <c r="A87" t="s">
        <v>348</v>
      </c>
      <c r="C87" t="s">
        <v>34</v>
      </c>
      <c r="D87" t="s">
        <v>459</v>
      </c>
      <c r="E87" t="s">
        <v>5528</v>
      </c>
      <c r="G87" t="s">
        <v>5529</v>
      </c>
      <c r="L87" t="s">
        <v>5465</v>
      </c>
      <c r="N87">
        <v>46029</v>
      </c>
      <c r="P87">
        <v>330062688</v>
      </c>
      <c r="R87">
        <v>0</v>
      </c>
      <c r="S87">
        <v>0</v>
      </c>
      <c r="T87">
        <v>330062688</v>
      </c>
      <c r="U87">
        <v>0</v>
      </c>
      <c r="V87">
        <v>0</v>
      </c>
      <c r="W87">
        <v>0</v>
      </c>
      <c r="AC87" t="s">
        <v>5515</v>
      </c>
      <c r="AE87">
        <v>330062688</v>
      </c>
      <c r="AF87">
        <v>330062688</v>
      </c>
    </row>
    <row r="88" spans="1:32" x14ac:dyDescent="0.35">
      <c r="A88" t="s">
        <v>348</v>
      </c>
      <c r="C88" t="s">
        <v>34</v>
      </c>
      <c r="D88" t="s">
        <v>785</v>
      </c>
      <c r="E88" t="s">
        <v>5530</v>
      </c>
      <c r="G88" t="s">
        <v>5531</v>
      </c>
      <c r="L88" t="s">
        <v>5465</v>
      </c>
      <c r="N88">
        <v>46029</v>
      </c>
      <c r="P88">
        <v>326977373</v>
      </c>
      <c r="R88">
        <v>0</v>
      </c>
      <c r="S88">
        <v>0</v>
      </c>
      <c r="T88">
        <v>326977373</v>
      </c>
      <c r="U88">
        <v>0</v>
      </c>
      <c r="V88">
        <v>0</v>
      </c>
      <c r="W88">
        <v>0</v>
      </c>
      <c r="AC88" t="s">
        <v>5515</v>
      </c>
      <c r="AE88">
        <v>326977373</v>
      </c>
      <c r="AF88">
        <v>326977373</v>
      </c>
    </row>
    <row r="89" spans="1:32" x14ac:dyDescent="0.35">
      <c r="A89" t="s">
        <v>20</v>
      </c>
      <c r="C89" t="s">
        <v>2059</v>
      </c>
      <c r="D89" t="s">
        <v>2032</v>
      </c>
      <c r="E89" t="s">
        <v>5532</v>
      </c>
      <c r="G89" t="s">
        <v>5533</v>
      </c>
      <c r="P89">
        <v>8536000</v>
      </c>
      <c r="R89">
        <v>0</v>
      </c>
      <c r="S89">
        <v>0</v>
      </c>
      <c r="T89">
        <v>0</v>
      </c>
      <c r="U89">
        <v>0</v>
      </c>
      <c r="V89">
        <v>0</v>
      </c>
      <c r="W89">
        <v>8536000</v>
      </c>
      <c r="AE89">
        <v>8536000</v>
      </c>
      <c r="AF89">
        <v>8536000</v>
      </c>
    </row>
    <row r="90" spans="1:32" x14ac:dyDescent="0.35">
      <c r="A90" t="s">
        <v>20</v>
      </c>
      <c r="C90" t="s">
        <v>94</v>
      </c>
      <c r="D90" t="s">
        <v>322</v>
      </c>
      <c r="E90" t="s">
        <v>5534</v>
      </c>
      <c r="G90" t="s">
        <v>5535</v>
      </c>
      <c r="P90">
        <v>648000</v>
      </c>
      <c r="R90">
        <v>0</v>
      </c>
      <c r="S90">
        <v>0</v>
      </c>
      <c r="T90">
        <v>0</v>
      </c>
      <c r="U90">
        <v>0</v>
      </c>
      <c r="V90">
        <v>0</v>
      </c>
      <c r="W90">
        <v>648000</v>
      </c>
      <c r="AE90">
        <v>648000</v>
      </c>
      <c r="AF90">
        <v>648000</v>
      </c>
    </row>
    <row r="91" spans="1:32" x14ac:dyDescent="0.35">
      <c r="A91" t="s">
        <v>20</v>
      </c>
      <c r="C91" t="s">
        <v>1063</v>
      </c>
      <c r="D91" t="s">
        <v>1758</v>
      </c>
      <c r="E91" t="s">
        <v>5536</v>
      </c>
      <c r="G91" t="s">
        <v>5537</v>
      </c>
      <c r="P91">
        <v>645000</v>
      </c>
      <c r="R91">
        <v>0</v>
      </c>
      <c r="S91">
        <v>0</v>
      </c>
      <c r="T91">
        <v>0</v>
      </c>
      <c r="U91">
        <v>0</v>
      </c>
      <c r="V91">
        <v>0</v>
      </c>
      <c r="W91">
        <v>645000</v>
      </c>
      <c r="AE91">
        <v>645000</v>
      </c>
      <c r="AF91">
        <v>645000</v>
      </c>
    </row>
    <row r="92" spans="1:32" x14ac:dyDescent="0.35">
      <c r="A92" t="s">
        <v>348</v>
      </c>
      <c r="C92" t="s">
        <v>1311</v>
      </c>
      <c r="D92" t="s">
        <v>2166</v>
      </c>
      <c r="E92" t="s">
        <v>5538</v>
      </c>
      <c r="G92" t="s">
        <v>5539</v>
      </c>
      <c r="P92">
        <v>15120000</v>
      </c>
      <c r="R92">
        <v>0</v>
      </c>
      <c r="S92">
        <v>0</v>
      </c>
      <c r="T92">
        <v>0</v>
      </c>
      <c r="U92">
        <v>0</v>
      </c>
      <c r="V92">
        <v>0</v>
      </c>
      <c r="W92">
        <v>15120000</v>
      </c>
      <c r="AE92">
        <v>15120000</v>
      </c>
      <c r="AF92">
        <v>15120000</v>
      </c>
    </row>
    <row r="93" spans="1:32" x14ac:dyDescent="0.35">
      <c r="A93" t="s">
        <v>20</v>
      </c>
      <c r="C93" t="s">
        <v>76</v>
      </c>
      <c r="D93" t="s">
        <v>74</v>
      </c>
      <c r="E93" t="s">
        <v>5540</v>
      </c>
      <c r="G93" t="s">
        <v>5541</v>
      </c>
      <c r="L93" t="s">
        <v>5542</v>
      </c>
      <c r="N93">
        <v>46056</v>
      </c>
      <c r="P93">
        <v>65350000</v>
      </c>
      <c r="R93">
        <v>0</v>
      </c>
      <c r="S93">
        <v>0</v>
      </c>
      <c r="T93">
        <v>13850000</v>
      </c>
      <c r="U93">
        <v>51500000</v>
      </c>
      <c r="V93">
        <v>0</v>
      </c>
      <c r="W93">
        <v>0</v>
      </c>
      <c r="AC93" t="s">
        <v>5543</v>
      </c>
      <c r="AE93">
        <v>65350000</v>
      </c>
      <c r="AF93">
        <v>65350000</v>
      </c>
    </row>
    <row r="94" spans="1:32" x14ac:dyDescent="0.35">
      <c r="A94" t="s">
        <v>20</v>
      </c>
      <c r="C94" t="s">
        <v>112</v>
      </c>
      <c r="D94" t="s">
        <v>1032</v>
      </c>
      <c r="E94" t="s">
        <v>5544</v>
      </c>
      <c r="G94" t="s">
        <v>1033</v>
      </c>
      <c r="P94">
        <v>7200000</v>
      </c>
      <c r="R94">
        <v>0</v>
      </c>
      <c r="S94">
        <v>0</v>
      </c>
      <c r="T94">
        <v>7200000</v>
      </c>
      <c r="U94">
        <v>0</v>
      </c>
      <c r="V94">
        <v>0</v>
      </c>
      <c r="W94">
        <v>0</v>
      </c>
      <c r="AC94" t="s">
        <v>5545</v>
      </c>
      <c r="AE94">
        <v>7200000</v>
      </c>
      <c r="AF94">
        <v>7200000</v>
      </c>
    </row>
    <row r="95" spans="1:32" x14ac:dyDescent="0.35">
      <c r="A95" t="s">
        <v>5437</v>
      </c>
      <c r="C95" t="s">
        <v>5437</v>
      </c>
      <c r="D95" t="s">
        <v>5546</v>
      </c>
      <c r="E95" t="s">
        <v>5546</v>
      </c>
      <c r="G95" t="s">
        <v>5547</v>
      </c>
      <c r="P95">
        <v>47000000</v>
      </c>
      <c r="R95">
        <v>0</v>
      </c>
      <c r="S95">
        <v>0</v>
      </c>
      <c r="T95">
        <v>0</v>
      </c>
      <c r="U95">
        <v>0</v>
      </c>
      <c r="V95">
        <v>0</v>
      </c>
      <c r="W95">
        <v>47000000</v>
      </c>
      <c r="AC95" t="s">
        <v>5440</v>
      </c>
      <c r="AE95">
        <v>47000000</v>
      </c>
      <c r="AF95">
        <v>47000000</v>
      </c>
    </row>
    <row r="96" spans="1:32" x14ac:dyDescent="0.35">
      <c r="A96" t="s">
        <v>20</v>
      </c>
      <c r="C96" t="s">
        <v>1239</v>
      </c>
      <c r="D96" t="s">
        <v>1241</v>
      </c>
      <c r="E96" t="s">
        <v>5548</v>
      </c>
      <c r="G96" t="s">
        <v>5549</v>
      </c>
      <c r="P96">
        <v>9000000</v>
      </c>
      <c r="R96">
        <v>0</v>
      </c>
      <c r="S96">
        <v>0</v>
      </c>
      <c r="T96">
        <v>0</v>
      </c>
      <c r="U96">
        <v>0</v>
      </c>
      <c r="V96">
        <v>0</v>
      </c>
      <c r="W96">
        <v>9000000</v>
      </c>
      <c r="AE96">
        <v>9000000</v>
      </c>
      <c r="AF96">
        <v>9000000</v>
      </c>
    </row>
    <row r="97" spans="1:33" x14ac:dyDescent="0.35">
      <c r="A97" t="s">
        <v>348</v>
      </c>
      <c r="C97" t="s">
        <v>301</v>
      </c>
      <c r="D97" t="s">
        <v>5550</v>
      </c>
      <c r="E97" t="s">
        <v>5551</v>
      </c>
      <c r="G97" t="s">
        <v>5552</v>
      </c>
      <c r="K97" t="s">
        <v>1659</v>
      </c>
      <c r="L97" t="s">
        <v>5443</v>
      </c>
      <c r="O97">
        <v>2946139634</v>
      </c>
      <c r="P97">
        <v>2946139634</v>
      </c>
      <c r="Q97">
        <v>265991194</v>
      </c>
      <c r="R97">
        <v>0</v>
      </c>
      <c r="S97">
        <v>2680148440</v>
      </c>
      <c r="T97">
        <v>0</v>
      </c>
      <c r="U97">
        <v>0</v>
      </c>
      <c r="V97">
        <v>0</v>
      </c>
      <c r="W97">
        <v>0</v>
      </c>
      <c r="AC97" t="s">
        <v>5553</v>
      </c>
      <c r="AE97">
        <v>2946139634</v>
      </c>
      <c r="AF97">
        <v>2680148440</v>
      </c>
    </row>
    <row r="98" spans="1:33" x14ac:dyDescent="0.35">
      <c r="A98" t="s">
        <v>20</v>
      </c>
      <c r="C98" t="s">
        <v>1630</v>
      </c>
      <c r="D98" t="s">
        <v>1628</v>
      </c>
      <c r="E98" t="s">
        <v>5554</v>
      </c>
      <c r="G98" t="s">
        <v>5555</v>
      </c>
      <c r="P98">
        <v>2008800</v>
      </c>
      <c r="R98">
        <v>0</v>
      </c>
      <c r="S98">
        <v>0</v>
      </c>
      <c r="T98">
        <v>0</v>
      </c>
      <c r="U98">
        <v>0</v>
      </c>
      <c r="V98">
        <v>0</v>
      </c>
      <c r="W98">
        <v>2008800</v>
      </c>
      <c r="AE98">
        <v>2008800</v>
      </c>
      <c r="AF98">
        <v>2008800</v>
      </c>
    </row>
    <row r="99" spans="1:33" x14ac:dyDescent="0.35">
      <c r="A99" t="s">
        <v>348</v>
      </c>
      <c r="C99" t="s">
        <v>301</v>
      </c>
      <c r="D99" t="s">
        <v>1756</v>
      </c>
      <c r="E99" t="s">
        <v>5556</v>
      </c>
      <c r="G99" t="s">
        <v>5557</v>
      </c>
      <c r="K99" t="s">
        <v>5558</v>
      </c>
      <c r="P99">
        <v>754407160</v>
      </c>
      <c r="R99">
        <v>0</v>
      </c>
      <c r="S99">
        <v>754407160</v>
      </c>
      <c r="T99">
        <v>0</v>
      </c>
      <c r="U99">
        <v>0</v>
      </c>
      <c r="V99">
        <v>0</v>
      </c>
      <c r="W99">
        <v>0</v>
      </c>
      <c r="AC99" t="s">
        <v>5559</v>
      </c>
      <c r="AE99">
        <v>754407160</v>
      </c>
      <c r="AF99">
        <v>754407160</v>
      </c>
      <c r="AG99" t="s">
        <v>1794</v>
      </c>
    </row>
    <row r="100" spans="1:33" x14ac:dyDescent="0.35">
      <c r="A100" t="s">
        <v>20</v>
      </c>
      <c r="C100" t="s">
        <v>301</v>
      </c>
      <c r="D100" t="s">
        <v>1667</v>
      </c>
      <c r="E100" t="s">
        <v>5560</v>
      </c>
      <c r="G100" t="s">
        <v>5561</v>
      </c>
      <c r="P100">
        <v>20500000</v>
      </c>
      <c r="R100">
        <v>0</v>
      </c>
      <c r="S100">
        <v>0</v>
      </c>
      <c r="T100">
        <v>0</v>
      </c>
      <c r="U100">
        <v>0</v>
      </c>
      <c r="V100">
        <v>0</v>
      </c>
      <c r="W100">
        <v>20500000</v>
      </c>
      <c r="AE100">
        <v>20500000</v>
      </c>
      <c r="AF100">
        <v>20500000</v>
      </c>
    </row>
    <row r="101" spans="1:33" x14ac:dyDescent="0.35">
      <c r="A101" t="s">
        <v>20</v>
      </c>
      <c r="C101" t="s">
        <v>76</v>
      </c>
      <c r="D101" t="s">
        <v>174</v>
      </c>
      <c r="E101" t="s">
        <v>5562</v>
      </c>
      <c r="G101" t="s">
        <v>5563</v>
      </c>
      <c r="P101">
        <v>39705000</v>
      </c>
      <c r="R101">
        <v>0</v>
      </c>
      <c r="S101">
        <v>0</v>
      </c>
      <c r="T101">
        <v>0</v>
      </c>
      <c r="U101">
        <v>0</v>
      </c>
      <c r="V101">
        <v>0</v>
      </c>
      <c r="W101">
        <v>39705000</v>
      </c>
      <c r="AE101">
        <v>39705000</v>
      </c>
      <c r="AF101">
        <v>39705000</v>
      </c>
    </row>
    <row r="102" spans="1:33" x14ac:dyDescent="0.35">
      <c r="A102" t="s">
        <v>5437</v>
      </c>
      <c r="C102" t="s">
        <v>5437</v>
      </c>
      <c r="D102" t="s">
        <v>5564</v>
      </c>
      <c r="E102" t="s">
        <v>5565</v>
      </c>
      <c r="G102" t="s">
        <v>5566</v>
      </c>
      <c r="P102">
        <v>40000000</v>
      </c>
      <c r="R102">
        <v>0</v>
      </c>
      <c r="S102">
        <v>0</v>
      </c>
      <c r="T102">
        <v>0</v>
      </c>
      <c r="U102">
        <v>0</v>
      </c>
      <c r="V102">
        <v>40000000</v>
      </c>
      <c r="W102">
        <v>0</v>
      </c>
      <c r="AC102" t="s">
        <v>5440</v>
      </c>
      <c r="AE102">
        <v>40000000</v>
      </c>
      <c r="AF102">
        <v>40000000</v>
      </c>
    </row>
    <row r="103" spans="1:33" x14ac:dyDescent="0.35">
      <c r="A103" t="s">
        <v>5437</v>
      </c>
      <c r="C103" t="s">
        <v>5437</v>
      </c>
      <c r="D103" t="s">
        <v>5567</v>
      </c>
      <c r="E103" t="s">
        <v>5567</v>
      </c>
      <c r="G103" t="s">
        <v>5568</v>
      </c>
      <c r="P103">
        <v>199000000</v>
      </c>
      <c r="R103">
        <v>0</v>
      </c>
      <c r="S103">
        <v>0</v>
      </c>
      <c r="T103">
        <v>0</v>
      </c>
      <c r="U103">
        <v>0</v>
      </c>
      <c r="V103">
        <v>0</v>
      </c>
      <c r="W103">
        <v>199000000</v>
      </c>
      <c r="AC103" t="s">
        <v>5440</v>
      </c>
      <c r="AE103">
        <v>199000000</v>
      </c>
      <c r="AF103">
        <v>199000000</v>
      </c>
    </row>
    <row r="104" spans="1:33" x14ac:dyDescent="0.35">
      <c r="A104" t="s">
        <v>348</v>
      </c>
      <c r="C104" t="s">
        <v>76</v>
      </c>
      <c r="D104" t="s">
        <v>5550</v>
      </c>
      <c r="E104" t="s">
        <v>5569</v>
      </c>
      <c r="G104" t="s">
        <v>5570</v>
      </c>
      <c r="L104" t="s">
        <v>5465</v>
      </c>
      <c r="N104">
        <v>46041</v>
      </c>
      <c r="P104">
        <v>419530000</v>
      </c>
      <c r="R104">
        <v>0</v>
      </c>
      <c r="S104">
        <v>0</v>
      </c>
      <c r="T104">
        <v>419530000</v>
      </c>
      <c r="U104">
        <v>0</v>
      </c>
      <c r="V104">
        <v>0</v>
      </c>
      <c r="W104">
        <v>0</v>
      </c>
      <c r="AC104" t="s">
        <v>5571</v>
      </c>
      <c r="AE104">
        <v>419530000</v>
      </c>
      <c r="AF104">
        <v>419530000</v>
      </c>
    </row>
    <row r="105" spans="1:33" x14ac:dyDescent="0.35">
      <c r="A105" t="s">
        <v>348</v>
      </c>
      <c r="C105" t="s">
        <v>76</v>
      </c>
      <c r="D105" t="s">
        <v>649</v>
      </c>
      <c r="E105" t="s">
        <v>5572</v>
      </c>
      <c r="G105" t="s">
        <v>5573</v>
      </c>
      <c r="L105" t="s">
        <v>5465</v>
      </c>
      <c r="N105">
        <v>46041</v>
      </c>
      <c r="P105">
        <v>25405000</v>
      </c>
      <c r="R105">
        <v>0</v>
      </c>
      <c r="S105">
        <v>0</v>
      </c>
      <c r="T105">
        <v>25405000</v>
      </c>
      <c r="U105">
        <v>0</v>
      </c>
      <c r="V105">
        <v>0</v>
      </c>
      <c r="W105">
        <v>0</v>
      </c>
      <c r="AC105" t="s">
        <v>5574</v>
      </c>
      <c r="AE105">
        <v>25405000</v>
      </c>
      <c r="AF105">
        <v>25405000</v>
      </c>
    </row>
    <row r="106" spans="1:33" x14ac:dyDescent="0.35">
      <c r="A106" t="s">
        <v>348</v>
      </c>
      <c r="C106" t="s">
        <v>34</v>
      </c>
      <c r="D106" t="s">
        <v>1151</v>
      </c>
      <c r="E106" t="s">
        <v>5575</v>
      </c>
      <c r="G106" t="s">
        <v>5576</v>
      </c>
      <c r="L106" t="s">
        <v>5465</v>
      </c>
      <c r="N106">
        <v>46038</v>
      </c>
      <c r="P106">
        <v>233842462</v>
      </c>
      <c r="R106">
        <v>0</v>
      </c>
      <c r="S106">
        <v>0</v>
      </c>
      <c r="T106">
        <v>233842462</v>
      </c>
      <c r="U106">
        <v>0</v>
      </c>
      <c r="V106">
        <v>0</v>
      </c>
      <c r="W106">
        <v>0</v>
      </c>
      <c r="AC106" t="s">
        <v>5515</v>
      </c>
      <c r="AE106">
        <v>233842462</v>
      </c>
      <c r="AF106">
        <v>233842462</v>
      </c>
    </row>
    <row r="107" spans="1:33" x14ac:dyDescent="0.35">
      <c r="A107" t="s">
        <v>348</v>
      </c>
      <c r="C107" t="s">
        <v>34</v>
      </c>
      <c r="D107" t="s">
        <v>1264</v>
      </c>
      <c r="E107" t="s">
        <v>5577</v>
      </c>
      <c r="G107" t="s">
        <v>5578</v>
      </c>
      <c r="L107" t="s">
        <v>5465</v>
      </c>
      <c r="N107">
        <v>46038</v>
      </c>
      <c r="P107">
        <v>202953400</v>
      </c>
      <c r="R107">
        <v>0</v>
      </c>
      <c r="S107">
        <v>0</v>
      </c>
      <c r="T107">
        <v>202953400</v>
      </c>
      <c r="U107">
        <v>0</v>
      </c>
      <c r="V107">
        <v>0</v>
      </c>
      <c r="W107">
        <v>0</v>
      </c>
      <c r="AC107" t="s">
        <v>5515</v>
      </c>
      <c r="AE107">
        <v>202953400</v>
      </c>
      <c r="AF107">
        <v>202953400</v>
      </c>
    </row>
    <row r="108" spans="1:33" x14ac:dyDescent="0.35">
      <c r="A108" t="s">
        <v>348</v>
      </c>
      <c r="C108" t="s">
        <v>34</v>
      </c>
      <c r="D108" t="s">
        <v>1386</v>
      </c>
      <c r="E108" t="s">
        <v>5579</v>
      </c>
      <c r="G108" t="s">
        <v>5580</v>
      </c>
      <c r="L108" t="s">
        <v>5465</v>
      </c>
      <c r="N108">
        <v>46038</v>
      </c>
      <c r="P108">
        <v>216412180</v>
      </c>
      <c r="R108">
        <v>0</v>
      </c>
      <c r="S108">
        <v>0</v>
      </c>
      <c r="T108">
        <v>216412180</v>
      </c>
      <c r="U108">
        <v>0</v>
      </c>
      <c r="V108">
        <v>0</v>
      </c>
      <c r="W108">
        <v>0</v>
      </c>
      <c r="AC108" t="s">
        <v>5515</v>
      </c>
      <c r="AE108">
        <v>216412180</v>
      </c>
      <c r="AF108">
        <v>216412180</v>
      </c>
    </row>
    <row r="109" spans="1:33" x14ac:dyDescent="0.35">
      <c r="A109" t="s">
        <v>348</v>
      </c>
      <c r="C109" t="s">
        <v>34</v>
      </c>
      <c r="D109" t="s">
        <v>1479</v>
      </c>
      <c r="E109" t="s">
        <v>5581</v>
      </c>
      <c r="G109" t="s">
        <v>5582</v>
      </c>
      <c r="L109" t="s">
        <v>5465</v>
      </c>
      <c r="N109">
        <v>46038</v>
      </c>
      <c r="P109">
        <v>518164325</v>
      </c>
      <c r="R109">
        <v>0</v>
      </c>
      <c r="S109">
        <v>0</v>
      </c>
      <c r="T109">
        <v>518164325</v>
      </c>
      <c r="U109">
        <v>0</v>
      </c>
      <c r="V109">
        <v>0</v>
      </c>
      <c r="W109">
        <v>0</v>
      </c>
      <c r="AC109" t="s">
        <v>5515</v>
      </c>
      <c r="AE109">
        <v>518164325</v>
      </c>
      <c r="AF109">
        <v>518164325</v>
      </c>
    </row>
    <row r="110" spans="1:33" x14ac:dyDescent="0.35">
      <c r="A110" t="s">
        <v>348</v>
      </c>
      <c r="C110" t="s">
        <v>34</v>
      </c>
      <c r="D110" t="s">
        <v>918</v>
      </c>
      <c r="E110" t="s">
        <v>5583</v>
      </c>
      <c r="G110" t="s">
        <v>5584</v>
      </c>
      <c r="L110" t="s">
        <v>5465</v>
      </c>
      <c r="N110">
        <v>46038</v>
      </c>
      <c r="P110">
        <v>497640000</v>
      </c>
      <c r="R110">
        <v>0</v>
      </c>
      <c r="S110">
        <v>0</v>
      </c>
      <c r="T110">
        <v>497640000</v>
      </c>
      <c r="U110">
        <v>0</v>
      </c>
      <c r="V110">
        <v>0</v>
      </c>
      <c r="W110">
        <v>0</v>
      </c>
      <c r="AC110" t="s">
        <v>5515</v>
      </c>
      <c r="AE110">
        <v>497640000</v>
      </c>
      <c r="AF110">
        <v>497640000</v>
      </c>
    </row>
    <row r="111" spans="1:33" x14ac:dyDescent="0.35">
      <c r="A111" t="s">
        <v>348</v>
      </c>
      <c r="C111" t="s">
        <v>34</v>
      </c>
      <c r="D111" t="s">
        <v>859</v>
      </c>
      <c r="E111" t="s">
        <v>5585</v>
      </c>
      <c r="G111" t="s">
        <v>5586</v>
      </c>
      <c r="L111" t="s">
        <v>5465</v>
      </c>
      <c r="N111">
        <v>46038</v>
      </c>
      <c r="P111">
        <v>518320000</v>
      </c>
      <c r="R111">
        <v>0</v>
      </c>
      <c r="S111">
        <v>0</v>
      </c>
      <c r="T111">
        <v>518320000</v>
      </c>
      <c r="U111">
        <v>0</v>
      </c>
      <c r="V111">
        <v>0</v>
      </c>
      <c r="W111">
        <v>0</v>
      </c>
      <c r="AC111" t="s">
        <v>5587</v>
      </c>
      <c r="AE111">
        <v>518320000</v>
      </c>
      <c r="AF111">
        <v>518320000</v>
      </c>
    </row>
    <row r="112" spans="1:33" x14ac:dyDescent="0.35">
      <c r="A112" t="s">
        <v>348</v>
      </c>
      <c r="C112" t="s">
        <v>34</v>
      </c>
      <c r="D112" t="s">
        <v>652</v>
      </c>
      <c r="E112" t="s">
        <v>5588</v>
      </c>
      <c r="G112" t="s">
        <v>5589</v>
      </c>
      <c r="L112" t="s">
        <v>5465</v>
      </c>
      <c r="N112">
        <v>46038</v>
      </c>
      <c r="P112">
        <v>25405000</v>
      </c>
      <c r="R112">
        <v>0</v>
      </c>
      <c r="S112">
        <v>0</v>
      </c>
      <c r="T112">
        <v>25405000</v>
      </c>
      <c r="U112">
        <v>0</v>
      </c>
      <c r="V112">
        <v>0</v>
      </c>
      <c r="W112">
        <v>0</v>
      </c>
      <c r="AC112" t="s">
        <v>5587</v>
      </c>
      <c r="AE112">
        <v>25405000</v>
      </c>
      <c r="AF112">
        <v>25405000</v>
      </c>
    </row>
    <row r="113" spans="1:33" x14ac:dyDescent="0.35">
      <c r="A113" t="s">
        <v>348</v>
      </c>
      <c r="C113" t="s">
        <v>2044</v>
      </c>
      <c r="D113" t="s">
        <v>2200</v>
      </c>
      <c r="E113" t="s">
        <v>5590</v>
      </c>
      <c r="G113" t="s">
        <v>5591</v>
      </c>
      <c r="K113" t="s">
        <v>5592</v>
      </c>
      <c r="L113" t="s">
        <v>5443</v>
      </c>
      <c r="N113">
        <v>46039</v>
      </c>
      <c r="O113">
        <v>3328374886</v>
      </c>
      <c r="P113">
        <v>3328374886</v>
      </c>
      <c r="Q113">
        <v>379649471</v>
      </c>
      <c r="R113">
        <v>0</v>
      </c>
      <c r="S113">
        <v>2948725415</v>
      </c>
      <c r="T113">
        <v>0</v>
      </c>
      <c r="U113">
        <v>0</v>
      </c>
      <c r="V113">
        <v>0</v>
      </c>
      <c r="W113">
        <v>0</v>
      </c>
      <c r="Y113">
        <v>1379</v>
      </c>
      <c r="Z113">
        <v>1100</v>
      </c>
      <c r="AC113" t="s">
        <v>5593</v>
      </c>
      <c r="AE113">
        <v>3328374886</v>
      </c>
      <c r="AF113">
        <v>2948725415</v>
      </c>
      <c r="AG113" t="s">
        <v>1794</v>
      </c>
    </row>
    <row r="114" spans="1:33" x14ac:dyDescent="0.35">
      <c r="A114" t="s">
        <v>20</v>
      </c>
      <c r="C114" t="s">
        <v>112</v>
      </c>
      <c r="D114" t="s">
        <v>5338</v>
      </c>
      <c r="E114" t="s">
        <v>5594</v>
      </c>
      <c r="G114" t="s">
        <v>5595</v>
      </c>
      <c r="L114" t="s">
        <v>5443</v>
      </c>
      <c r="N114">
        <v>46039</v>
      </c>
      <c r="O114">
        <v>4561297290</v>
      </c>
      <c r="P114">
        <v>4561297290</v>
      </c>
      <c r="Q114">
        <v>400177290</v>
      </c>
      <c r="R114">
        <v>4161120000</v>
      </c>
      <c r="S114">
        <v>0</v>
      </c>
      <c r="T114">
        <v>0</v>
      </c>
      <c r="U114">
        <v>0</v>
      </c>
      <c r="V114">
        <v>0</v>
      </c>
      <c r="W114">
        <v>0</v>
      </c>
      <c r="Y114">
        <v>1500</v>
      </c>
      <c r="Z114">
        <v>1022</v>
      </c>
      <c r="AC114" t="s">
        <v>5596</v>
      </c>
      <c r="AE114">
        <v>4561297290</v>
      </c>
      <c r="AF114">
        <v>4161120000</v>
      </c>
      <c r="AG114" t="s">
        <v>2716</v>
      </c>
    </row>
    <row r="115" spans="1:33" x14ac:dyDescent="0.35">
      <c r="A115" t="s">
        <v>20</v>
      </c>
      <c r="C115" t="s">
        <v>301</v>
      </c>
      <c r="D115" t="s">
        <v>1724</v>
      </c>
      <c r="E115" t="s">
        <v>5597</v>
      </c>
      <c r="G115" t="s">
        <v>5598</v>
      </c>
      <c r="P115">
        <v>20500000</v>
      </c>
      <c r="R115">
        <v>0</v>
      </c>
      <c r="S115">
        <v>0</v>
      </c>
      <c r="T115">
        <v>0</v>
      </c>
      <c r="U115">
        <v>0</v>
      </c>
      <c r="V115">
        <v>0</v>
      </c>
      <c r="W115">
        <v>20500000</v>
      </c>
      <c r="AE115">
        <v>20500000</v>
      </c>
      <c r="AF115">
        <v>20500000</v>
      </c>
    </row>
    <row r="116" spans="1:33" x14ac:dyDescent="0.35">
      <c r="A116" t="s">
        <v>20</v>
      </c>
      <c r="C116" t="s">
        <v>5599</v>
      </c>
      <c r="D116" t="s">
        <v>5452</v>
      </c>
      <c r="E116" t="s">
        <v>5600</v>
      </c>
      <c r="G116" t="s">
        <v>5601</v>
      </c>
      <c r="P116">
        <v>9500000</v>
      </c>
      <c r="R116">
        <v>0</v>
      </c>
      <c r="S116">
        <v>0</v>
      </c>
      <c r="T116">
        <v>0</v>
      </c>
      <c r="U116">
        <v>0</v>
      </c>
      <c r="V116">
        <v>0</v>
      </c>
      <c r="W116">
        <v>9500000</v>
      </c>
      <c r="AE116">
        <v>9500000</v>
      </c>
      <c r="AF116">
        <v>9500000</v>
      </c>
    </row>
    <row r="117" spans="1:33" x14ac:dyDescent="0.35">
      <c r="A117" t="s">
        <v>20</v>
      </c>
      <c r="C117" t="s">
        <v>76</v>
      </c>
      <c r="D117" t="s">
        <v>5602</v>
      </c>
      <c r="E117" t="s">
        <v>5602</v>
      </c>
      <c r="G117" t="s">
        <v>5603</v>
      </c>
      <c r="L117" t="s">
        <v>5465</v>
      </c>
      <c r="N117">
        <v>46036</v>
      </c>
      <c r="P117">
        <v>149700000</v>
      </c>
      <c r="R117">
        <v>0</v>
      </c>
      <c r="S117">
        <v>0</v>
      </c>
      <c r="T117">
        <v>149700000</v>
      </c>
      <c r="U117">
        <v>0</v>
      </c>
      <c r="V117">
        <v>0</v>
      </c>
      <c r="W117">
        <v>0</v>
      </c>
      <c r="AC117" t="s">
        <v>5604</v>
      </c>
      <c r="AE117">
        <v>149700000</v>
      </c>
      <c r="AF117">
        <v>149700000</v>
      </c>
    </row>
    <row r="118" spans="1:33" x14ac:dyDescent="0.35">
      <c r="A118" t="s">
        <v>20</v>
      </c>
      <c r="C118" t="s">
        <v>5599</v>
      </c>
      <c r="D118" t="s">
        <v>5452</v>
      </c>
      <c r="E118" t="s">
        <v>5605</v>
      </c>
      <c r="G118" t="s">
        <v>5606</v>
      </c>
      <c r="P118">
        <v>1015000</v>
      </c>
      <c r="R118">
        <v>0</v>
      </c>
      <c r="S118">
        <v>0</v>
      </c>
      <c r="T118">
        <v>0</v>
      </c>
      <c r="U118">
        <v>0</v>
      </c>
      <c r="V118">
        <v>0</v>
      </c>
      <c r="W118">
        <v>1015000</v>
      </c>
      <c r="AE118">
        <v>1015000</v>
      </c>
      <c r="AF118">
        <v>1015000</v>
      </c>
    </row>
    <row r="119" spans="1:33" x14ac:dyDescent="0.35">
      <c r="A119" t="s">
        <v>348</v>
      </c>
      <c r="C119" t="s">
        <v>76</v>
      </c>
      <c r="D119" t="s">
        <v>5550</v>
      </c>
      <c r="E119" t="s">
        <v>5607</v>
      </c>
      <c r="G119" t="s">
        <v>5608</v>
      </c>
      <c r="L119" t="s">
        <v>5465</v>
      </c>
      <c r="N119">
        <v>46048</v>
      </c>
      <c r="P119">
        <v>700640000</v>
      </c>
      <c r="R119">
        <v>0</v>
      </c>
      <c r="S119">
        <v>0</v>
      </c>
      <c r="T119">
        <v>700640000</v>
      </c>
      <c r="U119">
        <v>0</v>
      </c>
      <c r="V119">
        <v>0</v>
      </c>
      <c r="W119">
        <v>0</v>
      </c>
      <c r="AC119" t="s">
        <v>5571</v>
      </c>
      <c r="AE119">
        <v>700640000</v>
      </c>
      <c r="AF119">
        <v>700640000</v>
      </c>
    </row>
    <row r="120" spans="1:33" x14ac:dyDescent="0.35">
      <c r="A120" t="s">
        <v>20</v>
      </c>
      <c r="C120" t="s">
        <v>34</v>
      </c>
      <c r="D120" t="s">
        <v>2239</v>
      </c>
      <c r="E120" t="s">
        <v>5609</v>
      </c>
      <c r="G120" t="s">
        <v>5610</v>
      </c>
      <c r="L120" t="s">
        <v>5443</v>
      </c>
      <c r="N120">
        <v>46051</v>
      </c>
      <c r="O120">
        <v>4052927111</v>
      </c>
      <c r="P120">
        <v>4052927111</v>
      </c>
      <c r="Q120">
        <v>248670000</v>
      </c>
      <c r="R120">
        <v>3728007111</v>
      </c>
      <c r="S120">
        <v>0</v>
      </c>
      <c r="T120">
        <v>0</v>
      </c>
      <c r="U120">
        <v>76250000</v>
      </c>
      <c r="V120">
        <v>0</v>
      </c>
      <c r="W120">
        <v>0</v>
      </c>
      <c r="Y120">
        <v>1269</v>
      </c>
      <c r="Z120">
        <v>825</v>
      </c>
      <c r="AC120" t="s">
        <v>5611</v>
      </c>
      <c r="AE120">
        <v>4052927111</v>
      </c>
      <c r="AF120">
        <v>3804257111</v>
      </c>
      <c r="AG120" t="s">
        <v>2716</v>
      </c>
    </row>
    <row r="121" spans="1:33" x14ac:dyDescent="0.35">
      <c r="A121" t="s">
        <v>20</v>
      </c>
      <c r="C121" t="s">
        <v>76</v>
      </c>
      <c r="D121" t="s">
        <v>3163</v>
      </c>
      <c r="E121" t="s">
        <v>5612</v>
      </c>
      <c r="G121" t="s">
        <v>5613</v>
      </c>
      <c r="L121" t="s">
        <v>5443</v>
      </c>
      <c r="N121">
        <v>46051</v>
      </c>
      <c r="O121">
        <v>4054743059</v>
      </c>
      <c r="P121">
        <v>4054743059</v>
      </c>
      <c r="Q121">
        <v>88743059</v>
      </c>
      <c r="R121">
        <v>3966000000</v>
      </c>
      <c r="S121">
        <v>0</v>
      </c>
      <c r="T121">
        <v>0</v>
      </c>
      <c r="U121">
        <v>0</v>
      </c>
      <c r="V121">
        <v>0</v>
      </c>
      <c r="W121">
        <v>0</v>
      </c>
      <c r="Y121">
        <v>1219</v>
      </c>
      <c r="Z121">
        <v>792</v>
      </c>
      <c r="AC121" t="s">
        <v>5614</v>
      </c>
      <c r="AE121">
        <v>4054743059</v>
      </c>
      <c r="AF121">
        <v>3966000000</v>
      </c>
      <c r="AG121" t="s">
        <v>2716</v>
      </c>
    </row>
    <row r="122" spans="1:33" x14ac:dyDescent="0.35">
      <c r="A122" t="s">
        <v>20</v>
      </c>
      <c r="C122" t="s">
        <v>76</v>
      </c>
      <c r="D122" t="s">
        <v>2350</v>
      </c>
      <c r="E122" t="s">
        <v>5615</v>
      </c>
      <c r="G122" t="s">
        <v>5616</v>
      </c>
      <c r="L122" t="s">
        <v>5443</v>
      </c>
      <c r="N122">
        <v>46051</v>
      </c>
      <c r="O122">
        <v>4122000000</v>
      </c>
      <c r="P122">
        <v>4122000000</v>
      </c>
      <c r="Q122">
        <v>355000000</v>
      </c>
      <c r="R122">
        <v>3767000000</v>
      </c>
      <c r="S122">
        <v>0</v>
      </c>
      <c r="T122">
        <v>0</v>
      </c>
      <c r="U122">
        <v>0</v>
      </c>
      <c r="V122">
        <v>0</v>
      </c>
      <c r="W122">
        <v>0</v>
      </c>
      <c r="Y122">
        <v>1386</v>
      </c>
      <c r="Z122">
        <v>970</v>
      </c>
      <c r="AC122" t="s">
        <v>5617</v>
      </c>
      <c r="AE122">
        <v>4122000000</v>
      </c>
      <c r="AF122">
        <v>3767000000</v>
      </c>
      <c r="AG122" t="s">
        <v>2716</v>
      </c>
    </row>
    <row r="123" spans="1:33" x14ac:dyDescent="0.35">
      <c r="A123" t="s">
        <v>348</v>
      </c>
      <c r="C123" t="s">
        <v>76</v>
      </c>
      <c r="D123" t="s">
        <v>5618</v>
      </c>
      <c r="E123" t="s">
        <v>5619</v>
      </c>
      <c r="G123" t="s">
        <v>1044</v>
      </c>
      <c r="L123" t="s">
        <v>5443</v>
      </c>
      <c r="N123">
        <v>46056</v>
      </c>
      <c r="O123">
        <v>2028650000</v>
      </c>
      <c r="P123">
        <v>2028650000</v>
      </c>
      <c r="Q123">
        <v>247000000</v>
      </c>
      <c r="R123">
        <v>0</v>
      </c>
      <c r="S123">
        <v>0</v>
      </c>
      <c r="T123">
        <v>1781650000</v>
      </c>
      <c r="U123">
        <v>0</v>
      </c>
      <c r="V123">
        <v>0</v>
      </c>
      <c r="W123">
        <v>0</v>
      </c>
      <c r="AC123" t="s">
        <v>5620</v>
      </c>
      <c r="AE123">
        <v>2028650000</v>
      </c>
      <c r="AF123">
        <v>1781650000</v>
      </c>
    </row>
    <row r="124" spans="1:33" x14ac:dyDescent="0.35">
      <c r="A124" t="s">
        <v>348</v>
      </c>
      <c r="C124" t="s">
        <v>5621</v>
      </c>
      <c r="D124" t="s">
        <v>5622</v>
      </c>
      <c r="E124" t="s">
        <v>5622</v>
      </c>
      <c r="G124" t="s">
        <v>5623</v>
      </c>
      <c r="P124">
        <v>1497033758</v>
      </c>
      <c r="R124">
        <v>0</v>
      </c>
      <c r="S124">
        <v>0</v>
      </c>
      <c r="T124">
        <v>0</v>
      </c>
      <c r="U124">
        <v>0</v>
      </c>
      <c r="V124">
        <v>0</v>
      </c>
      <c r="W124">
        <v>1497033758</v>
      </c>
      <c r="AC124" t="s">
        <v>5624</v>
      </c>
      <c r="AE124">
        <v>1497033758</v>
      </c>
      <c r="AF124">
        <v>1497033758</v>
      </c>
    </row>
    <row r="125" spans="1:33" x14ac:dyDescent="0.35">
      <c r="A125" t="s">
        <v>348</v>
      </c>
      <c r="C125" t="s">
        <v>5621</v>
      </c>
      <c r="D125" t="s">
        <v>5625</v>
      </c>
      <c r="E125" t="s">
        <v>5625</v>
      </c>
      <c r="G125" t="s">
        <v>5626</v>
      </c>
      <c r="P125">
        <v>194968801</v>
      </c>
      <c r="R125">
        <v>0</v>
      </c>
      <c r="S125">
        <v>0</v>
      </c>
      <c r="T125">
        <v>0</v>
      </c>
      <c r="U125">
        <v>0</v>
      </c>
      <c r="V125">
        <v>0</v>
      </c>
      <c r="W125">
        <v>194968801</v>
      </c>
      <c r="AC125" t="s">
        <v>5624</v>
      </c>
      <c r="AE125">
        <v>194968801</v>
      </c>
      <c r="AF125">
        <v>194968801</v>
      </c>
    </row>
    <row r="126" spans="1:33" x14ac:dyDescent="0.35">
      <c r="A126" t="s">
        <v>348</v>
      </c>
      <c r="C126" t="s">
        <v>5621</v>
      </c>
      <c r="D126" t="s">
        <v>5627</v>
      </c>
      <c r="E126" t="s">
        <v>5627</v>
      </c>
      <c r="G126" t="s">
        <v>5628</v>
      </c>
      <c r="P126">
        <v>28584720</v>
      </c>
      <c r="R126">
        <v>0</v>
      </c>
      <c r="S126">
        <v>0</v>
      </c>
      <c r="T126">
        <v>0</v>
      </c>
      <c r="U126">
        <v>0</v>
      </c>
      <c r="V126">
        <v>0</v>
      </c>
      <c r="W126">
        <v>28584720</v>
      </c>
      <c r="AC126" t="s">
        <v>5624</v>
      </c>
      <c r="AE126">
        <v>28584720</v>
      </c>
      <c r="AF126">
        <v>28584720</v>
      </c>
    </row>
    <row r="127" spans="1:33" x14ac:dyDescent="0.35">
      <c r="A127" t="s">
        <v>348</v>
      </c>
      <c r="C127" t="s">
        <v>5621</v>
      </c>
      <c r="D127" t="s">
        <v>5629</v>
      </c>
      <c r="E127" t="s">
        <v>5629</v>
      </c>
      <c r="G127" t="s">
        <v>5630</v>
      </c>
      <c r="P127">
        <v>28584720</v>
      </c>
      <c r="R127">
        <v>0</v>
      </c>
      <c r="S127">
        <v>0</v>
      </c>
      <c r="T127">
        <v>0</v>
      </c>
      <c r="U127">
        <v>0</v>
      </c>
      <c r="V127">
        <v>0</v>
      </c>
      <c r="W127">
        <v>28584720</v>
      </c>
      <c r="AC127" t="s">
        <v>5624</v>
      </c>
      <c r="AE127">
        <v>28584720</v>
      </c>
      <c r="AF127">
        <v>28584720</v>
      </c>
    </row>
    <row r="128" spans="1:33" x14ac:dyDescent="0.35">
      <c r="A128" t="s">
        <v>348</v>
      </c>
      <c r="C128" t="s">
        <v>5621</v>
      </c>
      <c r="D128" t="s">
        <v>5631</v>
      </c>
      <c r="E128" t="s">
        <v>5631</v>
      </c>
      <c r="G128" t="s">
        <v>5632</v>
      </c>
      <c r="P128">
        <v>10421568</v>
      </c>
      <c r="R128">
        <v>0</v>
      </c>
      <c r="S128">
        <v>0</v>
      </c>
      <c r="T128">
        <v>0</v>
      </c>
      <c r="U128">
        <v>0</v>
      </c>
      <c r="V128">
        <v>0</v>
      </c>
      <c r="W128">
        <v>10421568</v>
      </c>
      <c r="AC128" t="s">
        <v>5624</v>
      </c>
      <c r="AE128">
        <v>10421568</v>
      </c>
      <c r="AF128">
        <v>10421568</v>
      </c>
    </row>
    <row r="129" spans="1:33" x14ac:dyDescent="0.35">
      <c r="A129" t="s">
        <v>348</v>
      </c>
      <c r="C129" t="s">
        <v>5621</v>
      </c>
      <c r="D129" t="s">
        <v>5633</v>
      </c>
      <c r="E129" t="s">
        <v>5633</v>
      </c>
      <c r="G129" t="s">
        <v>5634</v>
      </c>
      <c r="P129">
        <v>30692160</v>
      </c>
      <c r="R129">
        <v>0</v>
      </c>
      <c r="S129">
        <v>0</v>
      </c>
      <c r="T129">
        <v>0</v>
      </c>
      <c r="U129">
        <v>0</v>
      </c>
      <c r="V129">
        <v>0</v>
      </c>
      <c r="W129">
        <v>30692160</v>
      </c>
      <c r="AC129" t="s">
        <v>5624</v>
      </c>
      <c r="AE129">
        <v>30692160</v>
      </c>
      <c r="AF129">
        <v>30692160</v>
      </c>
    </row>
    <row r="130" spans="1:33" x14ac:dyDescent="0.35">
      <c r="A130" t="s">
        <v>348</v>
      </c>
      <c r="C130" t="s">
        <v>5621</v>
      </c>
      <c r="D130" t="s">
        <v>5635</v>
      </c>
      <c r="E130" t="s">
        <v>5635</v>
      </c>
      <c r="G130" t="s">
        <v>5636</v>
      </c>
      <c r="P130">
        <v>8330400</v>
      </c>
      <c r="R130">
        <v>0</v>
      </c>
      <c r="S130">
        <v>0</v>
      </c>
      <c r="T130">
        <v>0</v>
      </c>
      <c r="U130">
        <v>0</v>
      </c>
      <c r="V130">
        <v>0</v>
      </c>
      <c r="W130">
        <v>8330400</v>
      </c>
      <c r="AC130" t="s">
        <v>5624</v>
      </c>
      <c r="AE130">
        <v>8330400</v>
      </c>
      <c r="AF130">
        <v>8330400</v>
      </c>
    </row>
    <row r="131" spans="1:33" x14ac:dyDescent="0.35">
      <c r="A131" t="s">
        <v>348</v>
      </c>
      <c r="C131" t="s">
        <v>5621</v>
      </c>
      <c r="D131" t="s">
        <v>5637</v>
      </c>
      <c r="E131" t="s">
        <v>5637</v>
      </c>
      <c r="G131" t="s">
        <v>5638</v>
      </c>
      <c r="P131">
        <v>64411200</v>
      </c>
      <c r="R131">
        <v>0</v>
      </c>
      <c r="S131">
        <v>0</v>
      </c>
      <c r="T131">
        <v>0</v>
      </c>
      <c r="U131">
        <v>0</v>
      </c>
      <c r="V131">
        <v>0</v>
      </c>
      <c r="W131">
        <v>64411200</v>
      </c>
      <c r="AC131" t="s">
        <v>5624</v>
      </c>
      <c r="AE131">
        <v>64411200</v>
      </c>
      <c r="AF131">
        <v>64411200</v>
      </c>
    </row>
    <row r="132" spans="1:33" x14ac:dyDescent="0.35">
      <c r="A132" t="s">
        <v>348</v>
      </c>
      <c r="C132" t="s">
        <v>5621</v>
      </c>
      <c r="D132" t="s">
        <v>5639</v>
      </c>
      <c r="E132" t="s">
        <v>5639</v>
      </c>
      <c r="G132" t="s">
        <v>5640</v>
      </c>
      <c r="P132">
        <v>14220000</v>
      </c>
      <c r="R132">
        <v>0</v>
      </c>
      <c r="S132">
        <v>0</v>
      </c>
      <c r="T132">
        <v>0</v>
      </c>
      <c r="U132">
        <v>0</v>
      </c>
      <c r="V132">
        <v>0</v>
      </c>
      <c r="W132">
        <v>14220000</v>
      </c>
      <c r="AC132" t="s">
        <v>5624</v>
      </c>
      <c r="AE132">
        <v>14220000</v>
      </c>
      <c r="AF132">
        <v>14220000</v>
      </c>
    </row>
    <row r="133" spans="1:33" x14ac:dyDescent="0.35">
      <c r="A133" t="s">
        <v>348</v>
      </c>
      <c r="C133" t="s">
        <v>5621</v>
      </c>
      <c r="D133" t="s">
        <v>5641</v>
      </c>
      <c r="E133" t="s">
        <v>5641</v>
      </c>
      <c r="G133" t="s">
        <v>5642</v>
      </c>
      <c r="P133">
        <v>2841539200</v>
      </c>
      <c r="R133">
        <v>0</v>
      </c>
      <c r="S133">
        <v>0</v>
      </c>
      <c r="T133">
        <v>0</v>
      </c>
      <c r="U133">
        <v>0</v>
      </c>
      <c r="V133">
        <v>0</v>
      </c>
      <c r="W133">
        <v>2841539200</v>
      </c>
      <c r="AC133" t="s">
        <v>5624</v>
      </c>
      <c r="AE133">
        <v>2841539200</v>
      </c>
      <c r="AF133">
        <v>2841539200</v>
      </c>
    </row>
    <row r="134" spans="1:33" x14ac:dyDescent="0.35">
      <c r="A134" t="s">
        <v>20</v>
      </c>
      <c r="C134" t="s">
        <v>76</v>
      </c>
      <c r="D134" t="s">
        <v>263</v>
      </c>
      <c r="E134" t="s">
        <v>5643</v>
      </c>
      <c r="G134" t="s">
        <v>5644</v>
      </c>
      <c r="L134" t="s">
        <v>5542</v>
      </c>
      <c r="N134">
        <v>46056</v>
      </c>
      <c r="P134">
        <v>43615000</v>
      </c>
      <c r="R134">
        <v>0</v>
      </c>
      <c r="S134">
        <v>0</v>
      </c>
      <c r="T134">
        <v>43615000</v>
      </c>
      <c r="U134">
        <v>0</v>
      </c>
      <c r="V134">
        <v>0</v>
      </c>
      <c r="W134">
        <v>0</v>
      </c>
      <c r="AC134" t="s">
        <v>5645</v>
      </c>
      <c r="AE134">
        <v>43615000</v>
      </c>
      <c r="AF134">
        <v>43615000</v>
      </c>
    </row>
    <row r="135" spans="1:33" x14ac:dyDescent="0.35">
      <c r="A135" t="s">
        <v>20</v>
      </c>
      <c r="C135" t="s">
        <v>1311</v>
      </c>
      <c r="D135" t="s">
        <v>2173</v>
      </c>
      <c r="E135" t="s">
        <v>5646</v>
      </c>
      <c r="G135" t="s">
        <v>5647</v>
      </c>
      <c r="P135">
        <v>11200000</v>
      </c>
      <c r="R135">
        <v>0</v>
      </c>
      <c r="S135">
        <v>0</v>
      </c>
      <c r="T135">
        <v>0</v>
      </c>
      <c r="U135">
        <v>0</v>
      </c>
      <c r="V135">
        <v>0</v>
      </c>
      <c r="W135">
        <v>11200000</v>
      </c>
      <c r="AE135">
        <v>11200000</v>
      </c>
      <c r="AF135">
        <v>11200000</v>
      </c>
      <c r="AG135" t="s">
        <v>1794</v>
      </c>
    </row>
    <row r="136" spans="1:33" x14ac:dyDescent="0.35">
      <c r="A136" t="s">
        <v>20</v>
      </c>
      <c r="C136" t="s">
        <v>76</v>
      </c>
      <c r="D136" t="s">
        <v>194</v>
      </c>
      <c r="E136" t="s">
        <v>5648</v>
      </c>
      <c r="G136" t="s">
        <v>5649</v>
      </c>
      <c r="L136" t="s">
        <v>5542</v>
      </c>
      <c r="N136">
        <v>46057</v>
      </c>
      <c r="P136">
        <v>27360000</v>
      </c>
      <c r="R136">
        <v>0</v>
      </c>
      <c r="S136">
        <v>0</v>
      </c>
      <c r="T136">
        <v>27360000</v>
      </c>
      <c r="U136">
        <v>0</v>
      </c>
      <c r="V136">
        <v>0</v>
      </c>
      <c r="W136">
        <v>0</v>
      </c>
      <c r="AC136" t="s">
        <v>5515</v>
      </c>
      <c r="AE136">
        <v>27360000</v>
      </c>
      <c r="AF136">
        <v>27360000</v>
      </c>
    </row>
    <row r="137" spans="1:33" x14ac:dyDescent="0.35">
      <c r="A137" t="s">
        <v>20</v>
      </c>
      <c r="C137" t="s">
        <v>76</v>
      </c>
      <c r="D137" t="s">
        <v>201</v>
      </c>
      <c r="E137" t="s">
        <v>5650</v>
      </c>
      <c r="G137" t="s">
        <v>5651</v>
      </c>
      <c r="P137">
        <v>14400000</v>
      </c>
      <c r="R137">
        <v>0</v>
      </c>
      <c r="S137">
        <v>0</v>
      </c>
      <c r="T137">
        <v>0</v>
      </c>
      <c r="U137">
        <v>0</v>
      </c>
      <c r="V137">
        <v>0</v>
      </c>
      <c r="W137">
        <v>14400000</v>
      </c>
      <c r="AE137">
        <v>14400000</v>
      </c>
      <c r="AF137">
        <v>14400000</v>
      </c>
    </row>
    <row r="138" spans="1:33" x14ac:dyDescent="0.35">
      <c r="A138" t="s">
        <v>5437</v>
      </c>
      <c r="C138" t="s">
        <v>5437</v>
      </c>
      <c r="D138" t="s">
        <v>5652</v>
      </c>
      <c r="E138" t="s">
        <v>5652</v>
      </c>
      <c r="G138" t="s">
        <v>5653</v>
      </c>
      <c r="P138">
        <v>281678000</v>
      </c>
      <c r="R138">
        <v>0</v>
      </c>
      <c r="S138">
        <v>0</v>
      </c>
      <c r="T138">
        <v>0</v>
      </c>
      <c r="U138">
        <v>0</v>
      </c>
      <c r="V138">
        <v>165678000</v>
      </c>
      <c r="W138">
        <v>116000000</v>
      </c>
      <c r="AC138" t="s">
        <v>5440</v>
      </c>
      <c r="AE138">
        <v>281678000</v>
      </c>
      <c r="AF138">
        <v>281678000</v>
      </c>
    </row>
    <row r="139" spans="1:33" x14ac:dyDescent="0.35">
      <c r="A139" t="s">
        <v>20</v>
      </c>
      <c r="C139" t="s">
        <v>2059</v>
      </c>
      <c r="D139" t="s">
        <v>1276</v>
      </c>
      <c r="E139" t="s">
        <v>5654</v>
      </c>
      <c r="G139" t="s">
        <v>5655</v>
      </c>
      <c r="P139">
        <v>1000000</v>
      </c>
      <c r="R139">
        <v>0</v>
      </c>
      <c r="S139">
        <v>0</v>
      </c>
      <c r="T139">
        <v>0</v>
      </c>
      <c r="U139">
        <v>0</v>
      </c>
      <c r="V139">
        <v>0</v>
      </c>
      <c r="W139">
        <v>1000000</v>
      </c>
      <c r="AE139">
        <v>1000000</v>
      </c>
      <c r="AF139">
        <v>1000000</v>
      </c>
    </row>
    <row r="140" spans="1:33" x14ac:dyDescent="0.35">
      <c r="A140" t="s">
        <v>5437</v>
      </c>
      <c r="C140" t="s">
        <v>5437</v>
      </c>
      <c r="D140" t="s">
        <v>5656</v>
      </c>
      <c r="E140" t="s">
        <v>5656</v>
      </c>
      <c r="G140" t="s">
        <v>5657</v>
      </c>
      <c r="P140">
        <v>72500000</v>
      </c>
      <c r="R140">
        <v>0</v>
      </c>
      <c r="S140">
        <v>0</v>
      </c>
      <c r="T140">
        <v>0</v>
      </c>
      <c r="U140">
        <v>0</v>
      </c>
      <c r="V140">
        <v>0</v>
      </c>
      <c r="W140">
        <v>72500000</v>
      </c>
      <c r="AC140" t="s">
        <v>5440</v>
      </c>
      <c r="AE140">
        <v>72500000</v>
      </c>
      <c r="AF140">
        <v>72500000</v>
      </c>
    </row>
    <row r="141" spans="1:33" x14ac:dyDescent="0.35">
      <c r="A141" t="s">
        <v>5437</v>
      </c>
      <c r="C141" t="s">
        <v>5437</v>
      </c>
      <c r="D141" t="s">
        <v>5658</v>
      </c>
      <c r="E141" t="s">
        <v>5658</v>
      </c>
      <c r="G141" t="s">
        <v>5659</v>
      </c>
      <c r="P141">
        <v>756000000</v>
      </c>
      <c r="R141">
        <v>0</v>
      </c>
      <c r="S141">
        <v>0</v>
      </c>
      <c r="T141">
        <v>0</v>
      </c>
      <c r="U141">
        <v>0</v>
      </c>
      <c r="V141">
        <v>0</v>
      </c>
      <c r="W141">
        <v>756000000</v>
      </c>
      <c r="AC141" t="s">
        <v>5440</v>
      </c>
      <c r="AE141">
        <v>756000000</v>
      </c>
      <c r="AF141">
        <v>756000000</v>
      </c>
    </row>
    <row r="142" spans="1:33" x14ac:dyDescent="0.35">
      <c r="A142" t="s">
        <v>5437</v>
      </c>
      <c r="C142" t="s">
        <v>5437</v>
      </c>
      <c r="D142" t="s">
        <v>5660</v>
      </c>
      <c r="E142" t="s">
        <v>5660</v>
      </c>
      <c r="G142" t="s">
        <v>5661</v>
      </c>
      <c r="P142">
        <v>58000000</v>
      </c>
      <c r="R142">
        <v>0</v>
      </c>
      <c r="S142">
        <v>0</v>
      </c>
      <c r="T142">
        <v>0</v>
      </c>
      <c r="U142">
        <v>0</v>
      </c>
      <c r="V142">
        <v>0</v>
      </c>
      <c r="W142">
        <v>58000000</v>
      </c>
      <c r="AC142" t="s">
        <v>5440</v>
      </c>
      <c r="AE142">
        <v>58000000</v>
      </c>
      <c r="AF142">
        <v>58000000</v>
      </c>
    </row>
    <row r="143" spans="1:33" x14ac:dyDescent="0.35">
      <c r="A143" t="s">
        <v>5437</v>
      </c>
      <c r="C143" t="s">
        <v>5437</v>
      </c>
      <c r="D143" t="s">
        <v>5662</v>
      </c>
      <c r="E143" t="s">
        <v>5662</v>
      </c>
      <c r="G143" t="s">
        <v>5663</v>
      </c>
      <c r="P143">
        <v>100000000</v>
      </c>
      <c r="R143">
        <v>0</v>
      </c>
      <c r="S143">
        <v>0</v>
      </c>
      <c r="T143">
        <v>0</v>
      </c>
      <c r="U143">
        <v>0</v>
      </c>
      <c r="V143">
        <v>0</v>
      </c>
      <c r="W143">
        <v>100000000</v>
      </c>
      <c r="AC143" t="s">
        <v>5440</v>
      </c>
      <c r="AE143">
        <v>100000000</v>
      </c>
      <c r="AF143">
        <v>100000000</v>
      </c>
    </row>
    <row r="144" spans="1:33" x14ac:dyDescent="0.35">
      <c r="A144" t="s">
        <v>5437</v>
      </c>
      <c r="C144" t="s">
        <v>5437</v>
      </c>
      <c r="D144" t="s">
        <v>5664</v>
      </c>
      <c r="E144" t="s">
        <v>5664</v>
      </c>
      <c r="G144" t="s">
        <v>5665</v>
      </c>
      <c r="P144">
        <v>50000000</v>
      </c>
      <c r="R144">
        <v>0</v>
      </c>
      <c r="S144">
        <v>0</v>
      </c>
      <c r="T144">
        <v>0</v>
      </c>
      <c r="U144">
        <v>0</v>
      </c>
      <c r="V144">
        <v>0</v>
      </c>
      <c r="W144">
        <v>50000000</v>
      </c>
      <c r="AC144" t="s">
        <v>5440</v>
      </c>
      <c r="AE144">
        <v>50000000</v>
      </c>
      <c r="AF144">
        <v>50000000</v>
      </c>
    </row>
    <row r="145" spans="1:33" x14ac:dyDescent="0.35">
      <c r="A145" t="s">
        <v>5437</v>
      </c>
      <c r="C145" t="s">
        <v>5437</v>
      </c>
      <c r="D145" t="s">
        <v>5666</v>
      </c>
      <c r="E145" t="s">
        <v>5666</v>
      </c>
      <c r="G145" t="s">
        <v>5667</v>
      </c>
      <c r="P145">
        <v>43500000</v>
      </c>
      <c r="R145">
        <v>0</v>
      </c>
      <c r="S145">
        <v>0</v>
      </c>
      <c r="T145">
        <v>0</v>
      </c>
      <c r="U145">
        <v>0</v>
      </c>
      <c r="V145">
        <v>0</v>
      </c>
      <c r="W145">
        <v>43500000</v>
      </c>
      <c r="AC145" t="s">
        <v>5440</v>
      </c>
      <c r="AE145">
        <v>43500000</v>
      </c>
      <c r="AF145">
        <v>43500000</v>
      </c>
    </row>
    <row r="146" spans="1:33" x14ac:dyDescent="0.35">
      <c r="A146" t="s">
        <v>5437</v>
      </c>
      <c r="C146" t="s">
        <v>5437</v>
      </c>
      <c r="D146" t="s">
        <v>5668</v>
      </c>
      <c r="E146" t="s">
        <v>5668</v>
      </c>
      <c r="G146" t="s">
        <v>5669</v>
      </c>
      <c r="P146">
        <v>600000000</v>
      </c>
      <c r="R146">
        <v>0</v>
      </c>
      <c r="S146">
        <v>0</v>
      </c>
      <c r="T146">
        <v>0</v>
      </c>
      <c r="U146">
        <v>0</v>
      </c>
      <c r="V146">
        <v>0</v>
      </c>
      <c r="W146">
        <v>600000000</v>
      </c>
      <c r="AC146" t="s">
        <v>5440</v>
      </c>
      <c r="AE146">
        <v>600000000</v>
      </c>
      <c r="AF146">
        <v>600000000</v>
      </c>
    </row>
    <row r="147" spans="1:33" x14ac:dyDescent="0.35">
      <c r="A147" t="s">
        <v>5437</v>
      </c>
      <c r="C147" t="s">
        <v>5437</v>
      </c>
      <c r="D147" t="s">
        <v>5670</v>
      </c>
      <c r="E147" t="s">
        <v>5670</v>
      </c>
      <c r="G147" t="s">
        <v>5671</v>
      </c>
      <c r="P147">
        <v>56000000</v>
      </c>
      <c r="R147">
        <v>0</v>
      </c>
      <c r="S147">
        <v>0</v>
      </c>
      <c r="T147">
        <v>0</v>
      </c>
      <c r="U147">
        <v>0</v>
      </c>
      <c r="V147">
        <v>0</v>
      </c>
      <c r="W147">
        <v>56000000</v>
      </c>
      <c r="AC147" t="s">
        <v>5440</v>
      </c>
      <c r="AE147">
        <v>56000000</v>
      </c>
      <c r="AF147">
        <v>56000000</v>
      </c>
    </row>
    <row r="148" spans="1:33" x14ac:dyDescent="0.35">
      <c r="A148" t="s">
        <v>5437</v>
      </c>
      <c r="C148" t="s">
        <v>5437</v>
      </c>
      <c r="D148" t="s">
        <v>5672</v>
      </c>
      <c r="E148" t="s">
        <v>5672</v>
      </c>
      <c r="G148" t="s">
        <v>5673</v>
      </c>
      <c r="P148">
        <v>254000000</v>
      </c>
      <c r="R148">
        <v>0</v>
      </c>
      <c r="S148">
        <v>0</v>
      </c>
      <c r="T148">
        <v>0</v>
      </c>
      <c r="U148">
        <v>0</v>
      </c>
      <c r="V148">
        <v>0</v>
      </c>
      <c r="W148">
        <v>254000000</v>
      </c>
      <c r="AC148" t="s">
        <v>5440</v>
      </c>
      <c r="AE148">
        <v>254000000</v>
      </c>
      <c r="AF148">
        <v>254000000</v>
      </c>
    </row>
    <row r="149" spans="1:33" x14ac:dyDescent="0.35">
      <c r="A149" t="s">
        <v>5437</v>
      </c>
      <c r="C149" t="s">
        <v>5437</v>
      </c>
      <c r="D149" t="s">
        <v>5674</v>
      </c>
      <c r="E149" t="s">
        <v>5674</v>
      </c>
      <c r="G149" t="s">
        <v>5675</v>
      </c>
      <c r="P149">
        <v>54000000</v>
      </c>
      <c r="R149">
        <v>0</v>
      </c>
      <c r="S149">
        <v>0</v>
      </c>
      <c r="T149">
        <v>0</v>
      </c>
      <c r="U149">
        <v>0</v>
      </c>
      <c r="V149">
        <v>0</v>
      </c>
      <c r="W149">
        <v>54000000</v>
      </c>
      <c r="AC149" t="s">
        <v>5440</v>
      </c>
      <c r="AE149">
        <v>54000000</v>
      </c>
      <c r="AF149">
        <v>54000000</v>
      </c>
    </row>
    <row r="150" spans="1:33" x14ac:dyDescent="0.35">
      <c r="A150" t="s">
        <v>5437</v>
      </c>
      <c r="C150" t="s">
        <v>5437</v>
      </c>
      <c r="D150" t="s">
        <v>5676</v>
      </c>
      <c r="E150" t="s">
        <v>5676</v>
      </c>
      <c r="G150" t="s">
        <v>5677</v>
      </c>
      <c r="P150">
        <v>534540111</v>
      </c>
      <c r="R150">
        <v>0</v>
      </c>
      <c r="S150">
        <v>0</v>
      </c>
      <c r="T150">
        <v>0</v>
      </c>
      <c r="U150">
        <v>0</v>
      </c>
      <c r="V150">
        <v>534540111</v>
      </c>
      <c r="W150">
        <v>0</v>
      </c>
      <c r="AC150" t="s">
        <v>5440</v>
      </c>
      <c r="AE150">
        <v>534540111</v>
      </c>
      <c r="AF150">
        <v>534540111</v>
      </c>
    </row>
    <row r="151" spans="1:33" x14ac:dyDescent="0.35">
      <c r="A151" t="s">
        <v>5437</v>
      </c>
      <c r="C151" t="s">
        <v>5437</v>
      </c>
      <c r="D151" t="s">
        <v>5564</v>
      </c>
      <c r="E151" t="s">
        <v>5678</v>
      </c>
      <c r="G151" t="s">
        <v>5679</v>
      </c>
      <c r="P151">
        <v>148921430</v>
      </c>
      <c r="R151">
        <v>0</v>
      </c>
      <c r="S151">
        <v>0</v>
      </c>
      <c r="T151">
        <v>0</v>
      </c>
      <c r="U151">
        <v>0</v>
      </c>
      <c r="V151">
        <v>148921430</v>
      </c>
      <c r="W151">
        <v>0</v>
      </c>
      <c r="AC151" t="s">
        <v>5440</v>
      </c>
      <c r="AE151">
        <v>148921430</v>
      </c>
      <c r="AF151">
        <v>148921430</v>
      </c>
    </row>
    <row r="152" spans="1:33" x14ac:dyDescent="0.35">
      <c r="A152" t="s">
        <v>5437</v>
      </c>
      <c r="C152" t="s">
        <v>5437</v>
      </c>
      <c r="D152" t="s">
        <v>5564</v>
      </c>
      <c r="E152" t="s">
        <v>5680</v>
      </c>
      <c r="G152" t="s">
        <v>5681</v>
      </c>
      <c r="P152">
        <v>566912861</v>
      </c>
      <c r="R152">
        <v>0</v>
      </c>
      <c r="S152">
        <v>0</v>
      </c>
      <c r="T152">
        <v>0</v>
      </c>
      <c r="U152">
        <v>0</v>
      </c>
      <c r="V152">
        <v>566912861</v>
      </c>
      <c r="W152">
        <v>0</v>
      </c>
      <c r="AC152" t="s">
        <v>5440</v>
      </c>
      <c r="AE152">
        <v>566912861</v>
      </c>
      <c r="AF152">
        <v>566912861</v>
      </c>
    </row>
    <row r="153" spans="1:33" x14ac:dyDescent="0.35">
      <c r="A153" t="s">
        <v>20</v>
      </c>
      <c r="C153" t="s">
        <v>76</v>
      </c>
      <c r="D153" t="s">
        <v>84</v>
      </c>
      <c r="E153" t="s">
        <v>5682</v>
      </c>
      <c r="G153" t="s">
        <v>5683</v>
      </c>
      <c r="P153">
        <v>792115561</v>
      </c>
      <c r="R153">
        <v>0</v>
      </c>
      <c r="S153">
        <v>0</v>
      </c>
      <c r="T153">
        <v>792115561</v>
      </c>
      <c r="U153">
        <v>0</v>
      </c>
      <c r="V153">
        <v>0</v>
      </c>
      <c r="W153">
        <v>0</v>
      </c>
      <c r="AC153" t="s">
        <v>5684</v>
      </c>
      <c r="AE153">
        <v>792115561</v>
      </c>
      <c r="AF153">
        <v>792115561</v>
      </c>
    </row>
    <row r="154" spans="1:33" x14ac:dyDescent="0.35">
      <c r="A154" t="s">
        <v>20</v>
      </c>
      <c r="C154" t="s">
        <v>2132</v>
      </c>
      <c r="D154" t="s">
        <v>4126</v>
      </c>
      <c r="E154" t="s">
        <v>5685</v>
      </c>
      <c r="G154" t="s">
        <v>5686</v>
      </c>
      <c r="K154" t="s">
        <v>5687</v>
      </c>
      <c r="O154">
        <v>1575895000</v>
      </c>
      <c r="P154">
        <v>1575895000</v>
      </c>
      <c r="Q154">
        <v>60000000</v>
      </c>
      <c r="R154">
        <v>0</v>
      </c>
      <c r="S154">
        <v>1515895000</v>
      </c>
      <c r="T154">
        <v>0</v>
      </c>
      <c r="U154">
        <v>0</v>
      </c>
      <c r="V154">
        <v>0</v>
      </c>
      <c r="W154">
        <v>0</v>
      </c>
      <c r="Y154">
        <v>1038</v>
      </c>
      <c r="Z154">
        <v>821</v>
      </c>
      <c r="AC154" t="s">
        <v>5688</v>
      </c>
      <c r="AE154">
        <v>1575895000</v>
      </c>
      <c r="AF154">
        <v>1515895000</v>
      </c>
      <c r="AG154" t="s">
        <v>1794</v>
      </c>
    </row>
    <row r="155" spans="1:33" x14ac:dyDescent="0.35">
      <c r="A155" t="s">
        <v>20</v>
      </c>
      <c r="C155" t="s">
        <v>2044</v>
      </c>
      <c r="D155" t="s">
        <v>3958</v>
      </c>
      <c r="E155" t="s">
        <v>5689</v>
      </c>
      <c r="G155" t="s">
        <v>5690</v>
      </c>
      <c r="K155" t="s">
        <v>5691</v>
      </c>
      <c r="O155">
        <v>3257144388</v>
      </c>
      <c r="P155">
        <v>3257144388</v>
      </c>
      <c r="Q155">
        <v>98769433</v>
      </c>
      <c r="R155">
        <v>0</v>
      </c>
      <c r="S155">
        <v>3158374955</v>
      </c>
      <c r="T155">
        <v>0</v>
      </c>
      <c r="U155">
        <v>0</v>
      </c>
      <c r="V155">
        <v>0</v>
      </c>
      <c r="W155">
        <v>0</v>
      </c>
      <c r="Y155">
        <v>1500</v>
      </c>
      <c r="Z155">
        <v>975</v>
      </c>
      <c r="AC155" t="s">
        <v>5692</v>
      </c>
      <c r="AE155">
        <v>3257144388</v>
      </c>
      <c r="AF155">
        <v>3158374955</v>
      </c>
      <c r="AG155" t="s">
        <v>1794</v>
      </c>
    </row>
    <row r="156" spans="1:33" x14ac:dyDescent="0.35">
      <c r="A156" t="s">
        <v>20</v>
      </c>
      <c r="C156" t="s">
        <v>2044</v>
      </c>
      <c r="D156" t="s">
        <v>5945</v>
      </c>
      <c r="E156" t="s">
        <v>5693</v>
      </c>
      <c r="G156" t="s">
        <v>5694</v>
      </c>
      <c r="K156" t="s">
        <v>5695</v>
      </c>
      <c r="O156">
        <v>2188592179</v>
      </c>
      <c r="P156">
        <v>2188592179</v>
      </c>
      <c r="Q156">
        <v>75000000</v>
      </c>
      <c r="R156">
        <v>0</v>
      </c>
      <c r="S156">
        <v>2113592179</v>
      </c>
      <c r="T156">
        <v>0</v>
      </c>
      <c r="U156">
        <v>0</v>
      </c>
      <c r="V156">
        <v>0</v>
      </c>
      <c r="W156">
        <v>0</v>
      </c>
      <c r="AC156" t="s">
        <v>5692</v>
      </c>
      <c r="AE156">
        <v>2188592179</v>
      </c>
      <c r="AF156">
        <v>2113592179</v>
      </c>
    </row>
    <row r="157" spans="1:33" x14ac:dyDescent="0.35">
      <c r="A157" t="s">
        <v>348</v>
      </c>
      <c r="C157" t="s">
        <v>112</v>
      </c>
      <c r="D157" t="s">
        <v>2408</v>
      </c>
      <c r="E157" t="s">
        <v>5696</v>
      </c>
      <c r="G157" t="s">
        <v>5697</v>
      </c>
      <c r="O157">
        <v>6019078939</v>
      </c>
      <c r="Q157">
        <v>359299999</v>
      </c>
      <c r="R157">
        <v>5659778940</v>
      </c>
      <c r="S157">
        <v>0</v>
      </c>
      <c r="T157">
        <v>0</v>
      </c>
      <c r="U157">
        <v>0</v>
      </c>
      <c r="V157">
        <v>0</v>
      </c>
      <c r="W157">
        <v>0</v>
      </c>
      <c r="AC157" t="s">
        <v>5698</v>
      </c>
      <c r="AE157">
        <v>6019078939</v>
      </c>
      <c r="AF157">
        <v>5659778940</v>
      </c>
    </row>
    <row r="158" spans="1:33" x14ac:dyDescent="0.35">
      <c r="A158" t="s">
        <v>348</v>
      </c>
      <c r="C158" t="s">
        <v>2044</v>
      </c>
      <c r="D158" t="s">
        <v>2643</v>
      </c>
      <c r="E158" t="s">
        <v>5699</v>
      </c>
      <c r="G158" t="s">
        <v>5700</v>
      </c>
      <c r="K158" t="s">
        <v>5701</v>
      </c>
      <c r="O158">
        <v>2539912503</v>
      </c>
      <c r="P158">
        <v>2539912503</v>
      </c>
      <c r="Q158">
        <v>216821952</v>
      </c>
      <c r="R158">
        <v>0</v>
      </c>
      <c r="S158">
        <v>2323090551</v>
      </c>
      <c r="T158">
        <v>0</v>
      </c>
      <c r="U158">
        <v>0</v>
      </c>
      <c r="V158">
        <v>0</v>
      </c>
      <c r="W158">
        <v>0</v>
      </c>
      <c r="AC158" t="s">
        <v>5702</v>
      </c>
      <c r="AE158">
        <v>2539912503</v>
      </c>
      <c r="AF158">
        <v>2323090551</v>
      </c>
      <c r="AG158" t="s">
        <v>1794</v>
      </c>
    </row>
    <row r="159" spans="1:33" x14ac:dyDescent="0.35">
      <c r="A159" t="s">
        <v>20</v>
      </c>
      <c r="C159" t="s">
        <v>2044</v>
      </c>
      <c r="D159" t="s">
        <v>5334</v>
      </c>
      <c r="E159" t="s">
        <v>5703</v>
      </c>
      <c r="G159" t="s">
        <v>5704</v>
      </c>
      <c r="K159" t="s">
        <v>5705</v>
      </c>
      <c r="O159">
        <v>2422170370</v>
      </c>
      <c r="P159">
        <v>2422170370</v>
      </c>
      <c r="Q159">
        <v>65054719</v>
      </c>
      <c r="R159">
        <v>0</v>
      </c>
      <c r="S159">
        <v>2357115651</v>
      </c>
      <c r="T159">
        <v>0</v>
      </c>
      <c r="U159">
        <v>0</v>
      </c>
      <c r="V159">
        <v>0</v>
      </c>
      <c r="W159">
        <v>0</v>
      </c>
      <c r="AC159" t="s">
        <v>5706</v>
      </c>
      <c r="AE159">
        <v>2422170370</v>
      </c>
      <c r="AF159">
        <v>2357115651</v>
      </c>
      <c r="AG159" t="s">
        <v>1794</v>
      </c>
    </row>
    <row r="160" spans="1:33" x14ac:dyDescent="0.35">
      <c r="A160" t="s">
        <v>348</v>
      </c>
      <c r="C160" t="s">
        <v>228</v>
      </c>
      <c r="D160" t="s">
        <v>5707</v>
      </c>
      <c r="E160" t="s">
        <v>5708</v>
      </c>
      <c r="G160" t="s">
        <v>5709</v>
      </c>
      <c r="O160">
        <v>1819129876</v>
      </c>
      <c r="P160">
        <v>1819129876</v>
      </c>
      <c r="Q160">
        <v>87778952</v>
      </c>
      <c r="R160">
        <v>1731350924</v>
      </c>
      <c r="S160">
        <v>0</v>
      </c>
      <c r="T160">
        <v>0</v>
      </c>
      <c r="U160">
        <v>0</v>
      </c>
      <c r="V160">
        <v>0</v>
      </c>
      <c r="W160">
        <v>0</v>
      </c>
      <c r="AC160" t="s">
        <v>5710</v>
      </c>
      <c r="AE160">
        <v>1819129876</v>
      </c>
      <c r="AF160">
        <v>1731350924</v>
      </c>
    </row>
    <row r="161" spans="1:32" x14ac:dyDescent="0.35">
      <c r="A161" t="s">
        <v>348</v>
      </c>
      <c r="C161" t="s">
        <v>34</v>
      </c>
      <c r="D161" t="s">
        <v>619</v>
      </c>
      <c r="E161" t="s">
        <v>5711</v>
      </c>
      <c r="G161" t="s">
        <v>5712</v>
      </c>
      <c r="P161">
        <v>43179676</v>
      </c>
      <c r="R161">
        <v>0</v>
      </c>
      <c r="S161">
        <v>0</v>
      </c>
      <c r="T161">
        <v>43179676</v>
      </c>
      <c r="U161">
        <v>0</v>
      </c>
      <c r="V161">
        <v>0</v>
      </c>
      <c r="W161">
        <v>0</v>
      </c>
      <c r="AC161" t="s">
        <v>5713</v>
      </c>
      <c r="AE161">
        <v>43179676</v>
      </c>
      <c r="AF161">
        <v>43179676</v>
      </c>
    </row>
    <row r="162" spans="1:32" x14ac:dyDescent="0.35">
      <c r="A162" t="s">
        <v>348</v>
      </c>
      <c r="C162" t="s">
        <v>34</v>
      </c>
      <c r="D162" t="s">
        <v>943</v>
      </c>
      <c r="E162" t="s">
        <v>5714</v>
      </c>
      <c r="G162" t="s">
        <v>5715</v>
      </c>
      <c r="P162">
        <v>30000000</v>
      </c>
      <c r="R162">
        <v>0</v>
      </c>
      <c r="S162">
        <v>0</v>
      </c>
      <c r="T162">
        <v>30000000</v>
      </c>
      <c r="U162">
        <v>0</v>
      </c>
      <c r="V162">
        <v>0</v>
      </c>
      <c r="W162">
        <v>0</v>
      </c>
      <c r="AC162" t="s">
        <v>5713</v>
      </c>
      <c r="AE162">
        <v>30000000</v>
      </c>
      <c r="AF162">
        <v>30000000</v>
      </c>
    </row>
    <row r="163" spans="1:32" x14ac:dyDescent="0.35">
      <c r="A163" t="s">
        <v>348</v>
      </c>
      <c r="C163" t="s">
        <v>34</v>
      </c>
      <c r="D163" t="s">
        <v>997</v>
      </c>
      <c r="E163" t="s">
        <v>5716</v>
      </c>
      <c r="G163" t="s">
        <v>998</v>
      </c>
      <c r="P163">
        <v>30000000</v>
      </c>
      <c r="R163">
        <v>0</v>
      </c>
      <c r="S163">
        <v>0</v>
      </c>
      <c r="T163">
        <v>30000000</v>
      </c>
      <c r="U163">
        <v>0</v>
      </c>
      <c r="V163">
        <v>0</v>
      </c>
      <c r="W163">
        <v>0</v>
      </c>
      <c r="AC163" t="s">
        <v>5713</v>
      </c>
      <c r="AE163">
        <v>30000000</v>
      </c>
      <c r="AF163">
        <v>30000000</v>
      </c>
    </row>
    <row r="164" spans="1:32" x14ac:dyDescent="0.35">
      <c r="A164" t="s">
        <v>20</v>
      </c>
      <c r="C164" t="s">
        <v>1239</v>
      </c>
      <c r="D164" t="s">
        <v>5717</v>
      </c>
      <c r="E164" t="s">
        <v>5717</v>
      </c>
      <c r="G164" t="s">
        <v>5718</v>
      </c>
      <c r="P164">
        <v>2697117660</v>
      </c>
      <c r="R164">
        <v>0</v>
      </c>
      <c r="S164">
        <v>0</v>
      </c>
      <c r="T164">
        <v>2697117660</v>
      </c>
      <c r="U164">
        <v>0</v>
      </c>
      <c r="V164">
        <v>0</v>
      </c>
      <c r="W164">
        <v>0</v>
      </c>
      <c r="AE164">
        <v>2697117660</v>
      </c>
      <c r="AF164">
        <v>2697117660</v>
      </c>
    </row>
    <row r="165" spans="1:32" x14ac:dyDescent="0.35">
      <c r="A165" t="s">
        <v>20</v>
      </c>
      <c r="C165" t="s">
        <v>722</v>
      </c>
      <c r="D165" t="s">
        <v>1009</v>
      </c>
      <c r="E165" t="s">
        <v>5719</v>
      </c>
      <c r="G165" t="s">
        <v>5720</v>
      </c>
      <c r="P165">
        <v>13800000</v>
      </c>
      <c r="R165">
        <v>0</v>
      </c>
      <c r="S165">
        <v>0</v>
      </c>
      <c r="T165">
        <v>0</v>
      </c>
      <c r="U165">
        <v>0</v>
      </c>
      <c r="V165">
        <v>0</v>
      </c>
      <c r="W165">
        <v>13800000</v>
      </c>
      <c r="AE165">
        <v>13800000</v>
      </c>
      <c r="AF165">
        <v>13800000</v>
      </c>
    </row>
    <row r="166" spans="1:32" x14ac:dyDescent="0.35">
      <c r="A166" t="s">
        <v>5437</v>
      </c>
      <c r="C166" t="s">
        <v>5437</v>
      </c>
      <c r="E166" t="s">
        <v>5721</v>
      </c>
      <c r="G166" t="s">
        <v>5722</v>
      </c>
      <c r="R166">
        <v>0</v>
      </c>
      <c r="S166">
        <v>0</v>
      </c>
      <c r="T166">
        <v>0</v>
      </c>
      <c r="U166">
        <v>0</v>
      </c>
      <c r="V166">
        <v>128247779</v>
      </c>
      <c r="W166">
        <v>0</v>
      </c>
      <c r="AE166">
        <v>128247779</v>
      </c>
      <c r="AF166">
        <v>128247779</v>
      </c>
    </row>
    <row r="167" spans="1:32" x14ac:dyDescent="0.35">
      <c r="A167" t="s">
        <v>5599</v>
      </c>
      <c r="C167" t="s">
        <v>5599</v>
      </c>
      <c r="D167" t="s">
        <v>5946</v>
      </c>
      <c r="E167" t="s">
        <v>5723</v>
      </c>
      <c r="G167" t="s">
        <v>5724</v>
      </c>
      <c r="R167">
        <v>0</v>
      </c>
      <c r="S167">
        <v>0</v>
      </c>
      <c r="T167">
        <v>99000000</v>
      </c>
      <c r="U167">
        <v>0</v>
      </c>
      <c r="V167">
        <v>0</v>
      </c>
      <c r="W167">
        <v>0</v>
      </c>
      <c r="AC167" t="s">
        <v>5725</v>
      </c>
      <c r="AE167">
        <v>99000000</v>
      </c>
      <c r="AF167">
        <v>99000000</v>
      </c>
    </row>
    <row r="168" spans="1:32" x14ac:dyDescent="0.35">
      <c r="A168" t="s">
        <v>20</v>
      </c>
      <c r="C168" t="s">
        <v>76</v>
      </c>
      <c r="D168" t="s">
        <v>2154</v>
      </c>
      <c r="E168" t="s">
        <v>5726</v>
      </c>
      <c r="G168" t="s">
        <v>5727</v>
      </c>
      <c r="L168" t="s">
        <v>5542</v>
      </c>
      <c r="R168">
        <v>0</v>
      </c>
      <c r="S168">
        <v>0</v>
      </c>
      <c r="T168">
        <v>0</v>
      </c>
      <c r="U168">
        <v>36500000</v>
      </c>
      <c r="V168">
        <v>0</v>
      </c>
      <c r="W168">
        <v>0</v>
      </c>
      <c r="AE168">
        <v>36500000</v>
      </c>
      <c r="AF168">
        <v>36500000</v>
      </c>
    </row>
    <row r="169" spans="1:32" x14ac:dyDescent="0.35">
      <c r="A169" t="s">
        <v>20</v>
      </c>
      <c r="C169" t="s">
        <v>51</v>
      </c>
      <c r="D169" t="s">
        <v>5728</v>
      </c>
      <c r="E169" t="s">
        <v>5728</v>
      </c>
      <c r="G169" t="s">
        <v>5729</v>
      </c>
      <c r="L169" t="s">
        <v>5542</v>
      </c>
      <c r="R169">
        <v>0</v>
      </c>
      <c r="S169">
        <v>0</v>
      </c>
      <c r="T169">
        <v>602000000</v>
      </c>
      <c r="U169">
        <v>0</v>
      </c>
      <c r="V169">
        <v>0</v>
      </c>
      <c r="W169">
        <v>0</v>
      </c>
      <c r="AC169" t="s">
        <v>5725</v>
      </c>
      <c r="AE169">
        <v>602000000</v>
      </c>
      <c r="AF169">
        <v>602000000</v>
      </c>
    </row>
    <row r="170" spans="1:32" x14ac:dyDescent="0.35">
      <c r="A170" t="s">
        <v>5437</v>
      </c>
      <c r="C170" t="s">
        <v>5437</v>
      </c>
      <c r="D170" t="s">
        <v>5730</v>
      </c>
      <c r="E170" t="s">
        <v>5730</v>
      </c>
      <c r="G170" t="s">
        <v>5731</v>
      </c>
      <c r="R170">
        <v>0</v>
      </c>
      <c r="S170">
        <v>0</v>
      </c>
      <c r="T170">
        <v>0</v>
      </c>
      <c r="U170">
        <v>0</v>
      </c>
      <c r="V170">
        <v>0</v>
      </c>
      <c r="W170">
        <v>6100000</v>
      </c>
      <c r="AE170">
        <v>6100000</v>
      </c>
      <c r="AF170">
        <v>6100000</v>
      </c>
    </row>
    <row r="171" spans="1:32" x14ac:dyDescent="0.35">
      <c r="A171" t="s">
        <v>348</v>
      </c>
      <c r="C171" t="s">
        <v>34</v>
      </c>
      <c r="D171" t="s">
        <v>566</v>
      </c>
      <c r="E171" t="s">
        <v>5732</v>
      </c>
      <c r="G171" t="s">
        <v>5733</v>
      </c>
      <c r="L171" t="s">
        <v>5542</v>
      </c>
      <c r="R171">
        <v>0</v>
      </c>
      <c r="S171">
        <v>0</v>
      </c>
      <c r="T171">
        <v>13500000</v>
      </c>
      <c r="U171">
        <v>0</v>
      </c>
      <c r="V171">
        <v>0</v>
      </c>
      <c r="W171">
        <v>0</v>
      </c>
      <c r="AC171" t="s">
        <v>5734</v>
      </c>
      <c r="AE171">
        <v>13500000</v>
      </c>
      <c r="AF171">
        <v>13500000</v>
      </c>
    </row>
    <row r="172" spans="1:32" x14ac:dyDescent="0.35">
      <c r="A172" t="s">
        <v>348</v>
      </c>
      <c r="C172" t="s">
        <v>34</v>
      </c>
      <c r="D172" t="s">
        <v>1024</v>
      </c>
      <c r="E172" t="s">
        <v>5735</v>
      </c>
      <c r="G172" t="s">
        <v>1025</v>
      </c>
      <c r="L172" t="s">
        <v>5542</v>
      </c>
      <c r="R172">
        <v>0</v>
      </c>
      <c r="S172">
        <v>0</v>
      </c>
      <c r="T172">
        <v>18250000</v>
      </c>
      <c r="U172">
        <v>0</v>
      </c>
      <c r="V172">
        <v>0</v>
      </c>
      <c r="W172">
        <v>0</v>
      </c>
      <c r="AC172" t="s">
        <v>5734</v>
      </c>
      <c r="AE172">
        <v>18250000</v>
      </c>
      <c r="AF172">
        <v>18250000</v>
      </c>
    </row>
    <row r="173" spans="1:32" x14ac:dyDescent="0.35">
      <c r="A173" t="s">
        <v>348</v>
      </c>
      <c r="C173" t="s">
        <v>34</v>
      </c>
      <c r="D173" t="s">
        <v>761</v>
      </c>
      <c r="E173" t="s">
        <v>5736</v>
      </c>
      <c r="G173" t="s">
        <v>5737</v>
      </c>
      <c r="L173" t="s">
        <v>5542</v>
      </c>
      <c r="R173">
        <v>0</v>
      </c>
      <c r="S173">
        <v>0</v>
      </c>
      <c r="T173">
        <v>15100000</v>
      </c>
      <c r="U173">
        <v>0</v>
      </c>
      <c r="V173">
        <v>0</v>
      </c>
      <c r="W173">
        <v>0</v>
      </c>
      <c r="AC173" t="s">
        <v>5734</v>
      </c>
      <c r="AE173">
        <v>15100000</v>
      </c>
      <c r="AF173">
        <v>15100000</v>
      </c>
    </row>
    <row r="174" spans="1:32" x14ac:dyDescent="0.35">
      <c r="A174" t="s">
        <v>348</v>
      </c>
      <c r="C174" t="s">
        <v>34</v>
      </c>
      <c r="D174" t="s">
        <v>1744</v>
      </c>
      <c r="E174" t="s">
        <v>5738</v>
      </c>
      <c r="G174" t="s">
        <v>5739</v>
      </c>
      <c r="L174" t="s">
        <v>5542</v>
      </c>
      <c r="R174">
        <v>0</v>
      </c>
      <c r="S174">
        <v>0</v>
      </c>
      <c r="T174">
        <v>15375000</v>
      </c>
      <c r="U174">
        <v>0</v>
      </c>
      <c r="V174">
        <v>0</v>
      </c>
      <c r="W174">
        <v>0</v>
      </c>
      <c r="AC174" t="s">
        <v>5734</v>
      </c>
      <c r="AE174">
        <v>15375000</v>
      </c>
      <c r="AF174">
        <v>15375000</v>
      </c>
    </row>
    <row r="175" spans="1:32" x14ac:dyDescent="0.35">
      <c r="A175" t="s">
        <v>20</v>
      </c>
      <c r="C175" t="s">
        <v>1311</v>
      </c>
      <c r="D175" t="s">
        <v>5947</v>
      </c>
      <c r="E175" t="s">
        <v>5740</v>
      </c>
      <c r="G175" t="s">
        <v>5741</v>
      </c>
      <c r="R175">
        <v>0</v>
      </c>
      <c r="S175">
        <v>0</v>
      </c>
      <c r="T175">
        <v>0</v>
      </c>
      <c r="U175">
        <v>0</v>
      </c>
      <c r="V175">
        <v>0</v>
      </c>
      <c r="W175">
        <v>243000000</v>
      </c>
      <c r="AC175" t="s">
        <v>5742</v>
      </c>
      <c r="AE175">
        <v>243000000</v>
      </c>
      <c r="AF175">
        <v>243000000</v>
      </c>
    </row>
    <row r="176" spans="1:32" x14ac:dyDescent="0.35">
      <c r="A176" t="s">
        <v>20</v>
      </c>
      <c r="C176" t="s">
        <v>61</v>
      </c>
      <c r="D176" t="s">
        <v>2296</v>
      </c>
      <c r="E176" t="s">
        <v>5743</v>
      </c>
      <c r="G176" t="s">
        <v>5744</v>
      </c>
      <c r="L176" t="s">
        <v>5443</v>
      </c>
      <c r="O176">
        <v>6012715645</v>
      </c>
      <c r="Q176">
        <v>417005645</v>
      </c>
      <c r="R176">
        <v>5595710000</v>
      </c>
      <c r="S176">
        <v>0</v>
      </c>
      <c r="T176">
        <v>0</v>
      </c>
      <c r="U176">
        <v>0</v>
      </c>
      <c r="V176">
        <v>0</v>
      </c>
      <c r="W176">
        <v>0</v>
      </c>
      <c r="AC176" t="s">
        <v>5745</v>
      </c>
      <c r="AE176">
        <v>6012715645</v>
      </c>
      <c r="AF176">
        <v>5595710000</v>
      </c>
    </row>
    <row r="177" spans="1:32" x14ac:dyDescent="0.35">
      <c r="A177" t="s">
        <v>20</v>
      </c>
      <c r="C177" t="s">
        <v>34</v>
      </c>
      <c r="D177" t="s">
        <v>2265</v>
      </c>
      <c r="E177" t="s">
        <v>5746</v>
      </c>
      <c r="G177" t="s">
        <v>5747</v>
      </c>
      <c r="L177" t="s">
        <v>5443</v>
      </c>
      <c r="O177">
        <v>3734879925</v>
      </c>
      <c r="Q177">
        <v>278854925</v>
      </c>
      <c r="R177">
        <v>3456025000</v>
      </c>
      <c r="S177">
        <v>0</v>
      </c>
      <c r="T177">
        <v>0</v>
      </c>
      <c r="U177">
        <v>0</v>
      </c>
      <c r="V177">
        <v>0</v>
      </c>
      <c r="W177">
        <v>0</v>
      </c>
      <c r="AC177" t="s">
        <v>5748</v>
      </c>
      <c r="AE177">
        <v>3734879925</v>
      </c>
      <c r="AF177">
        <v>3456025000</v>
      </c>
    </row>
    <row r="178" spans="1:32" x14ac:dyDescent="0.35">
      <c r="A178" t="s">
        <v>348</v>
      </c>
      <c r="C178" t="s">
        <v>2044</v>
      </c>
      <c r="D178" t="s">
        <v>2756</v>
      </c>
      <c r="E178" t="s">
        <v>5749</v>
      </c>
      <c r="G178" t="s">
        <v>5750</v>
      </c>
      <c r="K178" t="s">
        <v>5751</v>
      </c>
      <c r="L178" t="s">
        <v>5443</v>
      </c>
      <c r="O178">
        <v>3120926278</v>
      </c>
      <c r="Q178">
        <v>362447847</v>
      </c>
      <c r="R178">
        <v>0</v>
      </c>
      <c r="S178">
        <v>2758478431</v>
      </c>
      <c r="T178">
        <v>0</v>
      </c>
      <c r="U178">
        <v>0</v>
      </c>
      <c r="V178">
        <v>0</v>
      </c>
      <c r="W178">
        <v>0</v>
      </c>
      <c r="AC178" t="s">
        <v>5752</v>
      </c>
      <c r="AE178">
        <v>3120926278</v>
      </c>
      <c r="AF178">
        <v>2758478431</v>
      </c>
    </row>
    <row r="179" spans="1:32" x14ac:dyDescent="0.35">
      <c r="A179" t="s">
        <v>348</v>
      </c>
      <c r="C179" t="s">
        <v>61</v>
      </c>
      <c r="D179" t="s">
        <v>2300</v>
      </c>
      <c r="E179" t="s">
        <v>5753</v>
      </c>
      <c r="G179" t="s">
        <v>5754</v>
      </c>
      <c r="L179" t="s">
        <v>5443</v>
      </c>
      <c r="N179">
        <v>46042</v>
      </c>
      <c r="O179">
        <v>4921282609</v>
      </c>
      <c r="Q179">
        <v>232500000</v>
      </c>
      <c r="R179">
        <v>4688782609</v>
      </c>
      <c r="S179">
        <v>0</v>
      </c>
      <c r="T179">
        <v>0</v>
      </c>
      <c r="U179">
        <v>0</v>
      </c>
      <c r="V179">
        <v>0</v>
      </c>
      <c r="W179">
        <v>0</v>
      </c>
      <c r="AC179" t="s">
        <v>5755</v>
      </c>
      <c r="AE179">
        <v>4921282609</v>
      </c>
      <c r="AF179">
        <v>4688782609</v>
      </c>
    </row>
    <row r="180" spans="1:32" x14ac:dyDescent="0.35">
      <c r="A180" t="s">
        <v>348</v>
      </c>
      <c r="C180" t="s">
        <v>2044</v>
      </c>
      <c r="D180" t="s">
        <v>3077</v>
      </c>
      <c r="E180" t="s">
        <v>5756</v>
      </c>
      <c r="G180" t="s">
        <v>5757</v>
      </c>
      <c r="L180" t="s">
        <v>5443</v>
      </c>
      <c r="N180">
        <v>46042</v>
      </c>
      <c r="O180">
        <v>5554294575</v>
      </c>
      <c r="Q180">
        <v>242032075</v>
      </c>
      <c r="R180">
        <v>5312262500</v>
      </c>
      <c r="S180">
        <v>0</v>
      </c>
      <c r="T180">
        <v>0</v>
      </c>
      <c r="U180">
        <v>0</v>
      </c>
      <c r="V180">
        <v>0</v>
      </c>
      <c r="W180">
        <v>0</v>
      </c>
      <c r="AC180" t="s">
        <v>5758</v>
      </c>
      <c r="AE180">
        <v>5554294575</v>
      </c>
      <c r="AF180">
        <v>5312262500</v>
      </c>
    </row>
    <row r="181" spans="1:32" x14ac:dyDescent="0.35">
      <c r="A181" t="s">
        <v>348</v>
      </c>
      <c r="C181" t="s">
        <v>1019</v>
      </c>
      <c r="D181" t="s">
        <v>801</v>
      </c>
      <c r="E181" t="s">
        <v>5759</v>
      </c>
      <c r="G181" t="s">
        <v>5760</v>
      </c>
      <c r="L181" t="s">
        <v>5542</v>
      </c>
      <c r="N181">
        <v>46087</v>
      </c>
      <c r="R181">
        <v>0</v>
      </c>
      <c r="S181">
        <v>0</v>
      </c>
      <c r="T181">
        <v>182000000</v>
      </c>
      <c r="U181">
        <v>0</v>
      </c>
      <c r="V181">
        <v>0</v>
      </c>
      <c r="W181">
        <v>0</v>
      </c>
      <c r="AC181" t="s">
        <v>5761</v>
      </c>
      <c r="AE181">
        <v>182000000</v>
      </c>
      <c r="AF181">
        <v>182000000</v>
      </c>
    </row>
    <row r="182" spans="1:32" x14ac:dyDescent="0.35">
      <c r="A182" t="s">
        <v>20</v>
      </c>
      <c r="C182" t="s">
        <v>34</v>
      </c>
      <c r="D182" t="s">
        <v>2259</v>
      </c>
      <c r="E182" t="s">
        <v>5762</v>
      </c>
      <c r="G182" t="s">
        <v>5763</v>
      </c>
      <c r="L182" t="s">
        <v>5443</v>
      </c>
      <c r="N182">
        <v>46087</v>
      </c>
      <c r="O182">
        <v>4158691168</v>
      </c>
      <c r="Q182">
        <v>301649612</v>
      </c>
      <c r="R182">
        <v>3857041556</v>
      </c>
      <c r="S182">
        <v>0</v>
      </c>
      <c r="T182">
        <v>0</v>
      </c>
      <c r="U182">
        <v>0</v>
      </c>
      <c r="V182">
        <v>0</v>
      </c>
      <c r="W182">
        <v>0</v>
      </c>
      <c r="AC182" t="s">
        <v>5764</v>
      </c>
      <c r="AE182">
        <v>4158691168</v>
      </c>
      <c r="AF182">
        <v>3857041556</v>
      </c>
    </row>
    <row r="183" spans="1:32" x14ac:dyDescent="0.35">
      <c r="A183" t="s">
        <v>348</v>
      </c>
      <c r="C183" t="s">
        <v>1019</v>
      </c>
      <c r="D183" t="s">
        <v>1695</v>
      </c>
      <c r="E183" t="s">
        <v>5765</v>
      </c>
      <c r="G183" t="s">
        <v>5766</v>
      </c>
      <c r="L183" t="s">
        <v>5542</v>
      </c>
      <c r="N183">
        <v>46090</v>
      </c>
      <c r="R183">
        <v>0</v>
      </c>
      <c r="S183">
        <v>0</v>
      </c>
      <c r="T183">
        <v>139192000</v>
      </c>
      <c r="U183">
        <v>0</v>
      </c>
      <c r="V183">
        <v>0</v>
      </c>
      <c r="W183">
        <v>0</v>
      </c>
      <c r="AC183" t="s">
        <v>5767</v>
      </c>
      <c r="AE183">
        <v>139192000</v>
      </c>
      <c r="AF183">
        <v>139192000</v>
      </c>
    </row>
    <row r="184" spans="1:32" x14ac:dyDescent="0.35">
      <c r="A184" t="s">
        <v>20</v>
      </c>
      <c r="C184" t="s">
        <v>76</v>
      </c>
      <c r="D184" t="s">
        <v>299</v>
      </c>
      <c r="E184" t="s">
        <v>5768</v>
      </c>
      <c r="G184" t="s">
        <v>5769</v>
      </c>
      <c r="L184" t="s">
        <v>5542</v>
      </c>
      <c r="N184">
        <v>46090</v>
      </c>
      <c r="R184">
        <v>0</v>
      </c>
      <c r="S184">
        <v>0</v>
      </c>
      <c r="T184">
        <v>519548188</v>
      </c>
      <c r="U184">
        <v>0</v>
      </c>
      <c r="V184">
        <v>0</v>
      </c>
      <c r="W184">
        <v>0</v>
      </c>
      <c r="AC184" t="s">
        <v>5515</v>
      </c>
      <c r="AE184">
        <v>519548188</v>
      </c>
      <c r="AF184">
        <v>519548188</v>
      </c>
    </row>
    <row r="185" spans="1:32" x14ac:dyDescent="0.35">
      <c r="A185" t="s">
        <v>20</v>
      </c>
      <c r="C185" t="s">
        <v>34</v>
      </c>
      <c r="D185" t="s">
        <v>5941</v>
      </c>
      <c r="E185" t="s">
        <v>5770</v>
      </c>
      <c r="G185" t="s">
        <v>5771</v>
      </c>
      <c r="L185" t="s">
        <v>5443</v>
      </c>
      <c r="N185">
        <v>46090</v>
      </c>
      <c r="O185">
        <v>3873555556</v>
      </c>
      <c r="Q185">
        <v>310000000</v>
      </c>
      <c r="R185">
        <v>3563555556</v>
      </c>
      <c r="S185">
        <v>0</v>
      </c>
      <c r="T185">
        <v>0</v>
      </c>
      <c r="U185">
        <v>0</v>
      </c>
      <c r="V185">
        <v>0</v>
      </c>
      <c r="W185">
        <v>0</v>
      </c>
      <c r="AC185" t="s">
        <v>5772</v>
      </c>
      <c r="AE185">
        <v>3873555556</v>
      </c>
      <c r="AF185">
        <v>3563555556</v>
      </c>
    </row>
    <row r="186" spans="1:32" x14ac:dyDescent="0.35">
      <c r="A186" t="s">
        <v>20</v>
      </c>
      <c r="C186" t="s">
        <v>76</v>
      </c>
      <c r="D186" t="s">
        <v>4372</v>
      </c>
      <c r="E186" t="s">
        <v>5773</v>
      </c>
      <c r="G186" t="s">
        <v>5774</v>
      </c>
      <c r="N186">
        <v>46090</v>
      </c>
      <c r="O186">
        <v>3922000000</v>
      </c>
      <c r="Q186">
        <v>335000000</v>
      </c>
      <c r="R186">
        <v>3587000000</v>
      </c>
      <c r="S186">
        <v>0</v>
      </c>
      <c r="T186">
        <v>0</v>
      </c>
      <c r="U186">
        <v>0</v>
      </c>
      <c r="V186">
        <v>0</v>
      </c>
      <c r="W186">
        <v>0</v>
      </c>
      <c r="AC186" t="s">
        <v>5775</v>
      </c>
      <c r="AE186">
        <v>3922000000</v>
      </c>
      <c r="AF186">
        <v>3587000000</v>
      </c>
    </row>
    <row r="187" spans="1:32" x14ac:dyDescent="0.35">
      <c r="A187" t="s">
        <v>20</v>
      </c>
      <c r="C187" t="s">
        <v>1311</v>
      </c>
      <c r="D187" t="s">
        <v>1902</v>
      </c>
      <c r="E187" t="s">
        <v>5776</v>
      </c>
      <c r="G187" t="s">
        <v>2096</v>
      </c>
      <c r="R187">
        <v>0</v>
      </c>
      <c r="S187">
        <v>0</v>
      </c>
      <c r="T187">
        <v>0</v>
      </c>
      <c r="U187">
        <v>0</v>
      </c>
      <c r="V187">
        <v>0</v>
      </c>
      <c r="W187">
        <v>5400000</v>
      </c>
      <c r="AE187">
        <v>5400000</v>
      </c>
      <c r="AF187">
        <v>5400000</v>
      </c>
    </row>
    <row r="188" spans="1:32" x14ac:dyDescent="0.35">
      <c r="A188" t="s">
        <v>20</v>
      </c>
      <c r="C188" t="s">
        <v>301</v>
      </c>
      <c r="D188" t="s">
        <v>67</v>
      </c>
      <c r="E188" t="s">
        <v>5777</v>
      </c>
      <c r="G188" t="s">
        <v>5778</v>
      </c>
      <c r="R188">
        <v>0</v>
      </c>
      <c r="S188">
        <v>0</v>
      </c>
      <c r="T188">
        <v>0</v>
      </c>
      <c r="U188">
        <v>0</v>
      </c>
      <c r="V188">
        <v>0</v>
      </c>
      <c r="W188">
        <v>20180000</v>
      </c>
      <c r="AE188">
        <v>20180000</v>
      </c>
      <c r="AF188">
        <v>20180000</v>
      </c>
    </row>
    <row r="189" spans="1:32" x14ac:dyDescent="0.35">
      <c r="A189" t="s">
        <v>20</v>
      </c>
      <c r="C189" t="s">
        <v>301</v>
      </c>
      <c r="D189" t="s">
        <v>311</v>
      </c>
      <c r="E189" t="s">
        <v>5779</v>
      </c>
      <c r="G189" t="s">
        <v>5780</v>
      </c>
      <c r="R189">
        <v>0</v>
      </c>
      <c r="S189">
        <v>0</v>
      </c>
      <c r="T189">
        <v>0</v>
      </c>
      <c r="U189">
        <v>0</v>
      </c>
      <c r="V189">
        <v>0</v>
      </c>
      <c r="W189">
        <v>19000000</v>
      </c>
      <c r="AE189">
        <v>19000000</v>
      </c>
      <c r="AF189">
        <v>19000000</v>
      </c>
    </row>
    <row r="190" spans="1:32" x14ac:dyDescent="0.35">
      <c r="A190" t="s">
        <v>20</v>
      </c>
      <c r="C190" t="s">
        <v>94</v>
      </c>
      <c r="D190" t="s">
        <v>5550</v>
      </c>
      <c r="E190" t="s">
        <v>5781</v>
      </c>
      <c r="G190" t="s">
        <v>5782</v>
      </c>
      <c r="L190" t="s">
        <v>5443</v>
      </c>
      <c r="N190">
        <v>46091</v>
      </c>
      <c r="O190">
        <v>2117126287</v>
      </c>
      <c r="Q190">
        <v>503557896</v>
      </c>
      <c r="R190">
        <v>0</v>
      </c>
      <c r="S190">
        <v>0</v>
      </c>
      <c r="T190">
        <v>1613568391</v>
      </c>
      <c r="U190">
        <v>0</v>
      </c>
      <c r="V190">
        <v>0</v>
      </c>
      <c r="W190">
        <v>0</v>
      </c>
      <c r="AC190" t="s">
        <v>5783</v>
      </c>
      <c r="AE190">
        <v>2117126287</v>
      </c>
      <c r="AF190">
        <v>1613568391</v>
      </c>
    </row>
    <row r="191" spans="1:32" x14ac:dyDescent="0.35">
      <c r="A191" t="s">
        <v>20</v>
      </c>
      <c r="C191" t="s">
        <v>112</v>
      </c>
      <c r="D191" t="s">
        <v>2404</v>
      </c>
      <c r="E191" t="s">
        <v>5784</v>
      </c>
      <c r="G191" t="s">
        <v>5785</v>
      </c>
      <c r="L191" t="s">
        <v>5443</v>
      </c>
      <c r="N191">
        <v>46043</v>
      </c>
      <c r="O191">
        <v>4688200000</v>
      </c>
      <c r="Q191">
        <v>454000000</v>
      </c>
      <c r="R191">
        <v>4234200000</v>
      </c>
      <c r="S191">
        <v>0</v>
      </c>
      <c r="T191">
        <v>0</v>
      </c>
      <c r="U191">
        <v>0</v>
      </c>
      <c r="V191">
        <v>0</v>
      </c>
      <c r="W191">
        <v>0</v>
      </c>
      <c r="AC191" t="s">
        <v>5786</v>
      </c>
      <c r="AE191">
        <v>4688200000</v>
      </c>
      <c r="AF191">
        <v>4234200000</v>
      </c>
    </row>
    <row r="192" spans="1:32" x14ac:dyDescent="0.35">
      <c r="A192" t="s">
        <v>20</v>
      </c>
      <c r="C192" t="s">
        <v>61</v>
      </c>
      <c r="D192" t="s">
        <v>3462</v>
      </c>
      <c r="E192" t="s">
        <v>5787</v>
      </c>
      <c r="G192" t="s">
        <v>5788</v>
      </c>
      <c r="L192" t="s">
        <v>5443</v>
      </c>
      <c r="N192">
        <v>46092</v>
      </c>
      <c r="O192">
        <v>6609183932</v>
      </c>
      <c r="Q192">
        <v>456633932</v>
      </c>
      <c r="R192">
        <v>6152550000</v>
      </c>
      <c r="S192">
        <v>0</v>
      </c>
      <c r="T192">
        <v>0</v>
      </c>
      <c r="U192">
        <v>0</v>
      </c>
      <c r="V192">
        <v>0</v>
      </c>
      <c r="W192">
        <v>0</v>
      </c>
      <c r="AC192" t="s">
        <v>5789</v>
      </c>
      <c r="AE192">
        <v>6609183932</v>
      </c>
      <c r="AF192">
        <v>6152550000</v>
      </c>
    </row>
    <row r="193" spans="1:32" x14ac:dyDescent="0.35">
      <c r="A193" t="s">
        <v>348</v>
      </c>
      <c r="C193" t="s">
        <v>76</v>
      </c>
      <c r="D193" t="s">
        <v>5948</v>
      </c>
      <c r="E193" t="s">
        <v>5790</v>
      </c>
      <c r="G193" t="s">
        <v>5791</v>
      </c>
      <c r="L193" t="s">
        <v>5443</v>
      </c>
      <c r="N193">
        <v>46094</v>
      </c>
      <c r="O193">
        <v>2580365932</v>
      </c>
      <c r="Q193">
        <v>240016663</v>
      </c>
      <c r="R193">
        <v>2340349269</v>
      </c>
      <c r="S193">
        <v>0</v>
      </c>
      <c r="T193">
        <v>0</v>
      </c>
      <c r="U193">
        <v>0</v>
      </c>
      <c r="V193">
        <v>0</v>
      </c>
      <c r="W193">
        <v>0</v>
      </c>
      <c r="AC193" t="s">
        <v>5792</v>
      </c>
      <c r="AE193">
        <v>2580365932</v>
      </c>
      <c r="AF193">
        <v>2340349269</v>
      </c>
    </row>
    <row r="194" spans="1:32" x14ac:dyDescent="0.35">
      <c r="A194" t="s">
        <v>348</v>
      </c>
      <c r="C194" t="s">
        <v>2044</v>
      </c>
      <c r="D194" t="s">
        <v>5949</v>
      </c>
      <c r="E194" t="s">
        <v>5793</v>
      </c>
      <c r="G194" t="s">
        <v>5794</v>
      </c>
      <c r="L194" t="s">
        <v>5443</v>
      </c>
      <c r="N194">
        <v>46088</v>
      </c>
      <c r="O194">
        <v>5305365366</v>
      </c>
      <c r="Q194">
        <v>200137412</v>
      </c>
      <c r="R194">
        <v>5105227954</v>
      </c>
      <c r="S194">
        <v>0</v>
      </c>
      <c r="T194">
        <v>0</v>
      </c>
      <c r="U194">
        <v>0</v>
      </c>
      <c r="V194">
        <v>0</v>
      </c>
      <c r="W194">
        <v>0</v>
      </c>
      <c r="AC194" t="s">
        <v>5795</v>
      </c>
      <c r="AE194">
        <v>5305365366</v>
      </c>
      <c r="AF194">
        <v>5105227954</v>
      </c>
    </row>
    <row r="195" spans="1:32" x14ac:dyDescent="0.35">
      <c r="A195" t="s">
        <v>348</v>
      </c>
      <c r="C195" t="s">
        <v>1019</v>
      </c>
      <c r="D195" t="s">
        <v>5950</v>
      </c>
      <c r="E195" t="s">
        <v>5796</v>
      </c>
      <c r="G195" t="s">
        <v>5797</v>
      </c>
      <c r="L195" t="s">
        <v>5443</v>
      </c>
      <c r="N195">
        <v>46087</v>
      </c>
      <c r="O195">
        <v>4224655500</v>
      </c>
      <c r="Q195">
        <v>229512500</v>
      </c>
      <c r="R195">
        <v>3995143000</v>
      </c>
      <c r="S195">
        <v>0</v>
      </c>
      <c r="T195">
        <v>0</v>
      </c>
      <c r="U195">
        <v>0</v>
      </c>
      <c r="V195">
        <v>0</v>
      </c>
      <c r="W195">
        <v>0</v>
      </c>
      <c r="AC195" t="s">
        <v>5798</v>
      </c>
      <c r="AE195">
        <v>4224655500</v>
      </c>
      <c r="AF195">
        <v>3995143000</v>
      </c>
    </row>
    <row r="196" spans="1:32" x14ac:dyDescent="0.35">
      <c r="A196" t="s">
        <v>20</v>
      </c>
      <c r="C196" t="s">
        <v>76</v>
      </c>
      <c r="D196" t="s">
        <v>5550</v>
      </c>
      <c r="E196" t="s">
        <v>5799</v>
      </c>
      <c r="G196" t="s">
        <v>5800</v>
      </c>
      <c r="L196" t="s">
        <v>5443</v>
      </c>
      <c r="N196">
        <v>46098</v>
      </c>
      <c r="O196">
        <v>2155579929</v>
      </c>
      <c r="Q196">
        <v>342600000</v>
      </c>
      <c r="R196">
        <v>0</v>
      </c>
      <c r="S196">
        <v>0</v>
      </c>
      <c r="T196">
        <v>1812979929</v>
      </c>
      <c r="U196">
        <v>0</v>
      </c>
      <c r="V196">
        <v>0</v>
      </c>
      <c r="W196">
        <v>0</v>
      </c>
      <c r="AC196" t="s">
        <v>5801</v>
      </c>
      <c r="AE196">
        <v>2155579929</v>
      </c>
      <c r="AF196">
        <v>1812979929</v>
      </c>
    </row>
    <row r="197" spans="1:32" x14ac:dyDescent="0.35">
      <c r="A197" t="s">
        <v>348</v>
      </c>
      <c r="C197" t="s">
        <v>228</v>
      </c>
      <c r="D197" t="s">
        <v>2626</v>
      </c>
      <c r="E197" t="s">
        <v>5802</v>
      </c>
      <c r="G197" t="s">
        <v>5803</v>
      </c>
      <c r="L197" t="s">
        <v>5455</v>
      </c>
      <c r="N197">
        <v>46098</v>
      </c>
      <c r="O197">
        <v>2423171550</v>
      </c>
      <c r="Q197">
        <v>232000000</v>
      </c>
      <c r="R197">
        <v>2191171550</v>
      </c>
      <c r="S197">
        <v>0</v>
      </c>
      <c r="T197">
        <v>0</v>
      </c>
      <c r="U197">
        <v>0</v>
      </c>
      <c r="V197">
        <v>0</v>
      </c>
      <c r="W197">
        <v>0</v>
      </c>
      <c r="AC197" t="s">
        <v>5804</v>
      </c>
      <c r="AE197">
        <v>2423171550</v>
      </c>
      <c r="AF197">
        <v>2191171550</v>
      </c>
    </row>
    <row r="198" spans="1:32" x14ac:dyDescent="0.35">
      <c r="A198" t="s">
        <v>348</v>
      </c>
      <c r="C198" t="s">
        <v>228</v>
      </c>
      <c r="D198" t="s">
        <v>5951</v>
      </c>
      <c r="E198" t="s">
        <v>5805</v>
      </c>
      <c r="G198" t="s">
        <v>5806</v>
      </c>
      <c r="L198" t="s">
        <v>5443</v>
      </c>
      <c r="N198">
        <v>46098</v>
      </c>
      <c r="O198">
        <v>2865461088</v>
      </c>
      <c r="Q198">
        <v>198425483</v>
      </c>
      <c r="R198">
        <v>2667035605</v>
      </c>
      <c r="S198">
        <v>0</v>
      </c>
      <c r="T198">
        <v>0</v>
      </c>
      <c r="U198">
        <v>0</v>
      </c>
      <c r="V198">
        <v>0</v>
      </c>
      <c r="W198">
        <v>0</v>
      </c>
      <c r="AC198" t="s">
        <v>5807</v>
      </c>
      <c r="AE198">
        <v>2865461088</v>
      </c>
      <c r="AF198">
        <v>2667035605</v>
      </c>
    </row>
    <row r="199" spans="1:32" x14ac:dyDescent="0.35">
      <c r="A199" t="s">
        <v>20</v>
      </c>
      <c r="C199" t="s">
        <v>76</v>
      </c>
      <c r="D199" t="s">
        <v>1439</v>
      </c>
      <c r="E199" t="s">
        <v>5808</v>
      </c>
      <c r="G199" t="s">
        <v>5809</v>
      </c>
      <c r="L199" t="s">
        <v>5542</v>
      </c>
      <c r="R199">
        <v>0</v>
      </c>
      <c r="S199">
        <v>0</v>
      </c>
      <c r="T199">
        <v>145520000</v>
      </c>
      <c r="U199">
        <v>0</v>
      </c>
      <c r="V199">
        <v>0</v>
      </c>
      <c r="W199">
        <v>0</v>
      </c>
      <c r="AC199" t="s">
        <v>5810</v>
      </c>
      <c r="AE199">
        <v>145520000</v>
      </c>
      <c r="AF199">
        <v>145520000</v>
      </c>
    </row>
    <row r="200" spans="1:32" x14ac:dyDescent="0.35">
      <c r="A200" t="s">
        <v>20</v>
      </c>
      <c r="C200" t="s">
        <v>1771</v>
      </c>
      <c r="D200" t="s">
        <v>1450</v>
      </c>
      <c r="E200" t="s">
        <v>5811</v>
      </c>
      <c r="G200" t="s">
        <v>2017</v>
      </c>
      <c r="L200" t="s">
        <v>5542</v>
      </c>
      <c r="N200">
        <v>46099</v>
      </c>
      <c r="R200">
        <v>0</v>
      </c>
      <c r="S200">
        <v>0</v>
      </c>
      <c r="T200">
        <v>402000000</v>
      </c>
      <c r="U200">
        <v>0</v>
      </c>
      <c r="V200">
        <v>0</v>
      </c>
      <c r="W200">
        <v>0</v>
      </c>
      <c r="AC200" t="s">
        <v>5810</v>
      </c>
      <c r="AE200">
        <v>402000000</v>
      </c>
      <c r="AF200">
        <v>402000000</v>
      </c>
    </row>
    <row r="201" spans="1:32" x14ac:dyDescent="0.35">
      <c r="A201" t="s">
        <v>20</v>
      </c>
      <c r="C201" t="s">
        <v>112</v>
      </c>
      <c r="D201" t="s">
        <v>5812</v>
      </c>
      <c r="E201" t="s">
        <v>5812</v>
      </c>
      <c r="G201" t="s">
        <v>5813</v>
      </c>
      <c r="L201" t="s">
        <v>5542</v>
      </c>
      <c r="N201">
        <v>46100</v>
      </c>
      <c r="R201">
        <v>0</v>
      </c>
      <c r="S201">
        <v>0</v>
      </c>
      <c r="T201">
        <v>125000000</v>
      </c>
      <c r="U201">
        <v>0</v>
      </c>
      <c r="V201">
        <v>0</v>
      </c>
      <c r="W201">
        <v>0</v>
      </c>
      <c r="AC201" t="s">
        <v>5810</v>
      </c>
      <c r="AE201">
        <v>125000000</v>
      </c>
      <c r="AF201">
        <v>125000000</v>
      </c>
    </row>
    <row r="202" spans="1:32" x14ac:dyDescent="0.35">
      <c r="A202" t="s">
        <v>20</v>
      </c>
      <c r="C202" t="s">
        <v>112</v>
      </c>
      <c r="D202" t="s">
        <v>419</v>
      </c>
      <c r="E202" t="s">
        <v>5814</v>
      </c>
      <c r="G202" t="s">
        <v>5815</v>
      </c>
      <c r="L202" t="s">
        <v>5542</v>
      </c>
      <c r="N202">
        <v>46100</v>
      </c>
      <c r="R202">
        <v>0</v>
      </c>
      <c r="S202">
        <v>0</v>
      </c>
      <c r="T202">
        <v>12182400</v>
      </c>
      <c r="U202">
        <v>0</v>
      </c>
      <c r="V202">
        <v>0</v>
      </c>
      <c r="W202">
        <v>0</v>
      </c>
      <c r="AC202" t="s">
        <v>5810</v>
      </c>
      <c r="AE202">
        <v>12182400</v>
      </c>
      <c r="AF202">
        <v>12182400</v>
      </c>
    </row>
    <row r="203" spans="1:32" x14ac:dyDescent="0.35">
      <c r="A203" t="s">
        <v>20</v>
      </c>
      <c r="C203" t="s">
        <v>1771</v>
      </c>
      <c r="D203" t="s">
        <v>2626</v>
      </c>
      <c r="E203" t="s">
        <v>5816</v>
      </c>
      <c r="G203" t="s">
        <v>5817</v>
      </c>
      <c r="L203" t="s">
        <v>5455</v>
      </c>
      <c r="N203">
        <v>46101</v>
      </c>
      <c r="O203">
        <v>3451081497</v>
      </c>
      <c r="Q203">
        <v>93042233</v>
      </c>
      <c r="R203">
        <v>3358039264</v>
      </c>
      <c r="S203">
        <v>0</v>
      </c>
      <c r="T203">
        <v>0</v>
      </c>
      <c r="U203">
        <v>0</v>
      </c>
      <c r="V203">
        <v>0</v>
      </c>
      <c r="W203">
        <v>0</v>
      </c>
      <c r="AC203" t="s">
        <v>5818</v>
      </c>
      <c r="AE203">
        <v>3451081497</v>
      </c>
      <c r="AF203">
        <v>3358039264</v>
      </c>
    </row>
    <row r="204" spans="1:32" x14ac:dyDescent="0.35">
      <c r="A204" t="s">
        <v>20</v>
      </c>
      <c r="C204" t="s">
        <v>76</v>
      </c>
      <c r="D204" t="s">
        <v>5400</v>
      </c>
      <c r="E204" t="s">
        <v>5819</v>
      </c>
      <c r="G204" t="s">
        <v>5820</v>
      </c>
      <c r="L204" t="s">
        <v>5455</v>
      </c>
      <c r="N204">
        <v>46101</v>
      </c>
      <c r="O204">
        <v>2163220000</v>
      </c>
      <c r="Q204">
        <v>45360000</v>
      </c>
      <c r="R204">
        <v>2117860000</v>
      </c>
      <c r="S204">
        <v>0</v>
      </c>
      <c r="T204">
        <v>0</v>
      </c>
      <c r="U204">
        <v>0</v>
      </c>
      <c r="V204">
        <v>0</v>
      </c>
      <c r="W204">
        <v>0</v>
      </c>
      <c r="AC204" t="s">
        <v>5821</v>
      </c>
      <c r="AE204">
        <v>2163220000</v>
      </c>
      <c r="AF204">
        <v>2117860000</v>
      </c>
    </row>
    <row r="205" spans="1:32" x14ac:dyDescent="0.35">
      <c r="A205" t="s">
        <v>20</v>
      </c>
      <c r="C205" t="s">
        <v>76</v>
      </c>
      <c r="D205" t="s">
        <v>2360</v>
      </c>
      <c r="E205" t="s">
        <v>5822</v>
      </c>
      <c r="G205" t="s">
        <v>5823</v>
      </c>
      <c r="L205" t="s">
        <v>5443</v>
      </c>
      <c r="N205">
        <v>46101</v>
      </c>
      <c r="O205">
        <v>3691200000</v>
      </c>
      <c r="Q205">
        <v>85000000</v>
      </c>
      <c r="R205">
        <v>3606200000</v>
      </c>
      <c r="S205">
        <v>0</v>
      </c>
      <c r="T205">
        <v>0</v>
      </c>
      <c r="U205">
        <v>0</v>
      </c>
      <c r="V205">
        <v>0</v>
      </c>
      <c r="W205">
        <v>0</v>
      </c>
      <c r="AC205" t="s">
        <v>5824</v>
      </c>
      <c r="AE205">
        <v>3691200000</v>
      </c>
      <c r="AF205">
        <v>3606200000</v>
      </c>
    </row>
    <row r="206" spans="1:32" x14ac:dyDescent="0.35">
      <c r="A206" t="s">
        <v>348</v>
      </c>
      <c r="C206" t="s">
        <v>76</v>
      </c>
      <c r="D206" t="s">
        <v>5825</v>
      </c>
      <c r="E206" t="s">
        <v>5825</v>
      </c>
      <c r="G206" t="s">
        <v>5826</v>
      </c>
      <c r="R206">
        <v>0</v>
      </c>
      <c r="S206">
        <v>0</v>
      </c>
      <c r="T206">
        <v>58500000</v>
      </c>
      <c r="U206">
        <v>0</v>
      </c>
      <c r="V206">
        <v>0</v>
      </c>
      <c r="W206">
        <v>0</v>
      </c>
      <c r="AC206" t="s">
        <v>5810</v>
      </c>
      <c r="AE206">
        <v>58500000</v>
      </c>
      <c r="AF206">
        <v>58500000</v>
      </c>
    </row>
    <row r="207" spans="1:32" x14ac:dyDescent="0.35">
      <c r="A207" t="s">
        <v>348</v>
      </c>
      <c r="C207" t="s">
        <v>76</v>
      </c>
      <c r="D207" t="s">
        <v>936</v>
      </c>
      <c r="E207" t="s">
        <v>5827</v>
      </c>
      <c r="G207" t="s">
        <v>5828</v>
      </c>
      <c r="R207">
        <v>0</v>
      </c>
      <c r="S207">
        <v>0</v>
      </c>
      <c r="T207">
        <v>142100000</v>
      </c>
      <c r="U207">
        <v>0</v>
      </c>
      <c r="V207">
        <v>0</v>
      </c>
      <c r="W207">
        <v>0</v>
      </c>
      <c r="AC207" t="s">
        <v>5810</v>
      </c>
      <c r="AE207">
        <v>142100000</v>
      </c>
      <c r="AF207">
        <v>142100000</v>
      </c>
    </row>
    <row r="208" spans="1:32" x14ac:dyDescent="0.35">
      <c r="A208" t="s">
        <v>348</v>
      </c>
      <c r="C208" t="s">
        <v>76</v>
      </c>
      <c r="D208" t="s">
        <v>5829</v>
      </c>
      <c r="E208" t="s">
        <v>5829</v>
      </c>
      <c r="G208" t="s">
        <v>5830</v>
      </c>
      <c r="R208">
        <v>0</v>
      </c>
      <c r="S208">
        <v>0</v>
      </c>
      <c r="T208">
        <v>130000000</v>
      </c>
      <c r="U208">
        <v>0</v>
      </c>
      <c r="V208">
        <v>0</v>
      </c>
      <c r="W208">
        <v>0</v>
      </c>
      <c r="AC208" t="s">
        <v>5810</v>
      </c>
      <c r="AE208">
        <v>130000000</v>
      </c>
      <c r="AF208">
        <v>130000000</v>
      </c>
    </row>
    <row r="209" spans="3:33" x14ac:dyDescent="0.35">
      <c r="C209" t="s">
        <v>1506</v>
      </c>
      <c r="D209" t="s">
        <v>2202</v>
      </c>
      <c r="E209" t="s">
        <v>2202</v>
      </c>
      <c r="G209" t="s">
        <v>2203</v>
      </c>
      <c r="P209">
        <v>3939433393</v>
      </c>
      <c r="R209">
        <v>3939433393</v>
      </c>
      <c r="Y209">
        <v>1318</v>
      </c>
      <c r="Z209">
        <v>988</v>
      </c>
      <c r="AC209" t="s">
        <v>5831</v>
      </c>
      <c r="AE209">
        <v>3939433393</v>
      </c>
      <c r="AF209">
        <v>3939433393</v>
      </c>
      <c r="AG209" t="s">
        <v>2716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AC741-1FCA-4AE4-A948-65C19EC3BBF9}">
  <dimension ref="A1:AD2"/>
  <sheetViews>
    <sheetView workbookViewId="0"/>
  </sheetViews>
  <sheetFormatPr defaultRowHeight="14.5" x14ac:dyDescent="0.35"/>
  <cols>
    <col min="2" max="2" width="6.36328125" bestFit="1" customWidth="1"/>
    <col min="3" max="3" width="5.26953125" bestFit="1" customWidth="1"/>
    <col min="4" max="5" width="12.08984375" bestFit="1" customWidth="1"/>
    <col min="6" max="6" width="18.1796875" bestFit="1" customWidth="1"/>
    <col min="7" max="7" width="22.81640625" bestFit="1" customWidth="1"/>
    <col min="8" max="8" width="26.7265625" bestFit="1" customWidth="1"/>
    <col min="9" max="9" width="14.26953125" bestFit="1" customWidth="1"/>
    <col min="10" max="10" width="5.7265625" bestFit="1" customWidth="1"/>
    <col min="11" max="11" width="8.36328125" bestFit="1" customWidth="1"/>
    <col min="12" max="12" width="16.26953125" bestFit="1" customWidth="1"/>
    <col min="13" max="13" width="18.6328125" bestFit="1" customWidth="1"/>
    <col min="14" max="14" width="19.08984375" bestFit="1" customWidth="1"/>
    <col min="15" max="15" width="30.7265625" bestFit="1" customWidth="1"/>
    <col min="16" max="16" width="10.81640625" bestFit="1" customWidth="1"/>
    <col min="17" max="17" width="9.7265625" bestFit="1" customWidth="1"/>
    <col min="18" max="18" width="7.36328125" bestFit="1" customWidth="1"/>
    <col min="19" max="19" width="15.81640625" bestFit="1" customWidth="1"/>
    <col min="20" max="20" width="11.90625" bestFit="1" customWidth="1"/>
    <col min="21" max="21" width="7.6328125" bestFit="1" customWidth="1"/>
    <col min="22" max="22" width="12.90625" bestFit="1" customWidth="1"/>
    <col min="23" max="23" width="28.90625" bestFit="1" customWidth="1"/>
    <col min="24" max="24" width="7.1796875" bestFit="1" customWidth="1"/>
    <col min="25" max="25" width="21.36328125" bestFit="1" customWidth="1"/>
    <col min="26" max="26" width="16.26953125" bestFit="1" customWidth="1"/>
    <col min="27" max="27" width="12.26953125" bestFit="1" customWidth="1"/>
    <col min="28" max="28" width="11.81640625" bestFit="1" customWidth="1"/>
    <col min="29" max="29" width="29.81640625" bestFit="1" customWidth="1"/>
    <col min="30" max="30" width="10.36328125" bestFit="1" customWidth="1"/>
  </cols>
  <sheetData>
    <row r="1" spans="1:30" x14ac:dyDescent="0.35">
      <c r="A1" t="s">
        <v>5412</v>
      </c>
      <c r="B1" t="s">
        <v>5413</v>
      </c>
      <c r="C1" t="s">
        <v>8</v>
      </c>
      <c r="D1" t="s">
        <v>5414</v>
      </c>
      <c r="E1" t="s">
        <v>1425</v>
      </c>
      <c r="F1" t="s">
        <v>5</v>
      </c>
      <c r="G1" t="s">
        <v>5415</v>
      </c>
      <c r="H1" t="s">
        <v>5416</v>
      </c>
      <c r="I1" t="s">
        <v>15</v>
      </c>
      <c r="J1" t="s">
        <v>5417</v>
      </c>
      <c r="K1" t="s">
        <v>4</v>
      </c>
      <c r="L1" t="s">
        <v>5418</v>
      </c>
      <c r="M1" t="s">
        <v>5419</v>
      </c>
      <c r="N1" t="s">
        <v>5420</v>
      </c>
      <c r="O1" t="s">
        <v>5421</v>
      </c>
      <c r="P1" t="s">
        <v>5422</v>
      </c>
      <c r="Q1" t="s">
        <v>1794</v>
      </c>
      <c r="R1" t="s">
        <v>5423</v>
      </c>
      <c r="S1" t="s">
        <v>5424</v>
      </c>
      <c r="T1" t="s">
        <v>5425</v>
      </c>
      <c r="U1" t="s">
        <v>5426</v>
      </c>
      <c r="V1" t="s">
        <v>5427</v>
      </c>
      <c r="W1" t="s">
        <v>5428</v>
      </c>
      <c r="X1" t="s">
        <v>5429</v>
      </c>
      <c r="Y1" t="s">
        <v>5430</v>
      </c>
      <c r="Z1" t="s">
        <v>5431</v>
      </c>
      <c r="AA1" t="s">
        <v>5432</v>
      </c>
      <c r="AB1" t="s">
        <v>5433</v>
      </c>
      <c r="AC1" t="s">
        <v>5434</v>
      </c>
      <c r="AD1" t="s">
        <v>5435</v>
      </c>
    </row>
    <row r="2" spans="1:30" x14ac:dyDescent="0.35">
      <c r="C2" t="s">
        <v>1506</v>
      </c>
      <c r="D2" t="s">
        <v>2202</v>
      </c>
      <c r="E2" t="s">
        <v>2202</v>
      </c>
      <c r="F2" t="s">
        <v>2203</v>
      </c>
      <c r="N2">
        <v>3939433393</v>
      </c>
      <c r="P2">
        <v>3939433393</v>
      </c>
      <c r="V2">
        <v>3939433393</v>
      </c>
      <c r="W2">
        <v>3939433393</v>
      </c>
      <c r="Y2">
        <v>1318</v>
      </c>
      <c r="Z2">
        <v>988</v>
      </c>
      <c r="AC2" t="s">
        <v>5831</v>
      </c>
      <c r="AD2" t="s">
        <v>2716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282E2-C0FC-497E-A690-4C1381DF57D0}">
  <dimension ref="A1:AE153"/>
  <sheetViews>
    <sheetView workbookViewId="0">
      <selection sqref="A1:AE153"/>
    </sheetView>
  </sheetViews>
  <sheetFormatPr defaultRowHeight="14.5" x14ac:dyDescent="0.35"/>
  <cols>
    <col min="2" max="2" width="6.36328125" bestFit="1" customWidth="1"/>
    <col min="3" max="3" width="6.26953125" bestFit="1" customWidth="1"/>
    <col min="4" max="4" width="33.08984375" bestFit="1" customWidth="1"/>
    <col min="5" max="5" width="13.90625" bestFit="1" customWidth="1"/>
    <col min="6" max="6" width="37.26953125" bestFit="1" customWidth="1"/>
    <col min="7" max="7" width="22.81640625" bestFit="1" customWidth="1"/>
    <col min="8" max="8" width="26.7265625" bestFit="1" customWidth="1"/>
    <col min="9" max="9" width="21.54296875" bestFit="1" customWidth="1"/>
    <col min="10" max="10" width="9.6328125" bestFit="1" customWidth="1"/>
    <col min="11" max="11" width="8.36328125" bestFit="1" customWidth="1"/>
    <col min="12" max="12" width="16.26953125" bestFit="1" customWidth="1"/>
    <col min="13" max="13" width="18.6328125" bestFit="1" customWidth="1"/>
    <col min="14" max="14" width="19.08984375" bestFit="1" customWidth="1"/>
    <col min="15" max="15" width="30.7265625" bestFit="1" customWidth="1"/>
    <col min="16" max="18" width="10.81640625" bestFit="1" customWidth="1"/>
    <col min="19" max="19" width="15.81640625" bestFit="1" customWidth="1"/>
    <col min="20" max="20" width="11.90625" bestFit="1" customWidth="1"/>
    <col min="21" max="21" width="10.81640625" bestFit="1" customWidth="1"/>
    <col min="22" max="22" width="12.90625" bestFit="1" customWidth="1"/>
    <col min="23" max="23" width="28.90625" bestFit="1" customWidth="1"/>
    <col min="24" max="24" width="7.1796875" bestFit="1" customWidth="1"/>
    <col min="25" max="25" width="21.36328125" bestFit="1" customWidth="1"/>
    <col min="26" max="26" width="16.26953125" bestFit="1" customWidth="1"/>
    <col min="27" max="27" width="12.26953125" bestFit="1" customWidth="1"/>
    <col min="28" max="28" width="11.81640625" bestFit="1" customWidth="1"/>
    <col min="29" max="29" width="59.7265625" bestFit="1" customWidth="1"/>
    <col min="30" max="30" width="10.36328125" bestFit="1" customWidth="1"/>
    <col min="31" max="31" width="11.54296875" bestFit="1" customWidth="1"/>
  </cols>
  <sheetData>
    <row r="1" spans="1:31" x14ac:dyDescent="0.35">
      <c r="A1" t="s">
        <v>5412</v>
      </c>
      <c r="B1" t="s">
        <v>5413</v>
      </c>
      <c r="C1" t="s">
        <v>8</v>
      </c>
      <c r="D1" t="s">
        <v>5414</v>
      </c>
      <c r="E1" t="s">
        <v>1425</v>
      </c>
      <c r="F1" t="s">
        <v>5</v>
      </c>
      <c r="G1" t="s">
        <v>5415</v>
      </c>
      <c r="H1" t="s">
        <v>5416</v>
      </c>
      <c r="I1" t="s">
        <v>15</v>
      </c>
      <c r="J1" t="s">
        <v>5417</v>
      </c>
      <c r="K1" t="s">
        <v>4</v>
      </c>
      <c r="L1" t="s">
        <v>5418</v>
      </c>
      <c r="M1" t="s">
        <v>5419</v>
      </c>
      <c r="N1" t="s">
        <v>5420</v>
      </c>
      <c r="O1" t="s">
        <v>5421</v>
      </c>
      <c r="P1" t="s">
        <v>5422</v>
      </c>
      <c r="Q1" t="s">
        <v>1794</v>
      </c>
      <c r="R1" t="s">
        <v>5423</v>
      </c>
      <c r="S1" t="s">
        <v>5424</v>
      </c>
      <c r="T1" t="s">
        <v>5425</v>
      </c>
      <c r="U1" t="s">
        <v>5426</v>
      </c>
      <c r="V1" t="s">
        <v>5427</v>
      </c>
      <c r="W1" t="s">
        <v>5428</v>
      </c>
      <c r="X1" t="s">
        <v>5429</v>
      </c>
      <c r="Y1" t="s">
        <v>5430</v>
      </c>
      <c r="Z1" t="s">
        <v>5431</v>
      </c>
      <c r="AA1" t="s">
        <v>5432</v>
      </c>
      <c r="AB1" t="s">
        <v>5433</v>
      </c>
      <c r="AC1" t="s">
        <v>5434</v>
      </c>
      <c r="AD1" t="s">
        <v>5435</v>
      </c>
      <c r="AE1" t="s">
        <v>5436</v>
      </c>
    </row>
    <row r="2" spans="1:31" x14ac:dyDescent="0.35">
      <c r="A2" t="s">
        <v>5437</v>
      </c>
      <c r="C2" t="s">
        <v>5437</v>
      </c>
      <c r="D2" t="s">
        <v>5438</v>
      </c>
      <c r="E2" t="s">
        <v>5438</v>
      </c>
      <c r="F2" t="s">
        <v>5439</v>
      </c>
      <c r="N2">
        <v>36200000</v>
      </c>
      <c r="O2">
        <v>0</v>
      </c>
      <c r="P2">
        <v>0</v>
      </c>
      <c r="Q2">
        <v>0</v>
      </c>
      <c r="R2">
        <v>0</v>
      </c>
      <c r="S2">
        <v>0</v>
      </c>
      <c r="T2">
        <v>0</v>
      </c>
      <c r="U2">
        <v>36200000</v>
      </c>
      <c r="V2">
        <v>36200000</v>
      </c>
      <c r="W2">
        <v>36200000</v>
      </c>
      <c r="AC2" t="s">
        <v>5440</v>
      </c>
    </row>
    <row r="3" spans="1:31" x14ac:dyDescent="0.35">
      <c r="A3" t="s">
        <v>20</v>
      </c>
      <c r="C3" t="s">
        <v>24</v>
      </c>
      <c r="D3" t="s">
        <v>2217</v>
      </c>
      <c r="E3" t="s">
        <v>5441</v>
      </c>
      <c r="F3" t="s">
        <v>5442</v>
      </c>
      <c r="J3" t="s">
        <v>5443</v>
      </c>
      <c r="L3">
        <v>46017</v>
      </c>
      <c r="M3">
        <v>5836753938</v>
      </c>
      <c r="N3">
        <v>5836753938</v>
      </c>
      <c r="O3">
        <v>241928938</v>
      </c>
      <c r="P3">
        <v>5594825000</v>
      </c>
      <c r="Q3">
        <v>0</v>
      </c>
      <c r="R3">
        <v>0</v>
      </c>
      <c r="S3">
        <v>0</v>
      </c>
      <c r="T3">
        <v>0</v>
      </c>
      <c r="U3">
        <v>0</v>
      </c>
      <c r="V3">
        <v>5836753938</v>
      </c>
      <c r="W3">
        <v>5594825000</v>
      </c>
      <c r="Y3">
        <v>1620</v>
      </c>
      <c r="Z3">
        <v>1264</v>
      </c>
      <c r="AC3" t="s">
        <v>5444</v>
      </c>
      <c r="AD3" t="s">
        <v>2716</v>
      </c>
    </row>
    <row r="4" spans="1:31" x14ac:dyDescent="0.35">
      <c r="A4" t="s">
        <v>20</v>
      </c>
      <c r="C4" t="s">
        <v>24</v>
      </c>
      <c r="D4" t="s">
        <v>2417</v>
      </c>
      <c r="E4" t="s">
        <v>5445</v>
      </c>
      <c r="F4" t="s">
        <v>5446</v>
      </c>
      <c r="J4" t="s">
        <v>5443</v>
      </c>
      <c r="L4">
        <v>46017</v>
      </c>
      <c r="M4">
        <v>4985038938</v>
      </c>
      <c r="N4">
        <v>4985038938</v>
      </c>
      <c r="O4">
        <v>322038938</v>
      </c>
      <c r="P4">
        <v>4663000000</v>
      </c>
      <c r="Q4">
        <v>0</v>
      </c>
      <c r="R4">
        <v>0</v>
      </c>
      <c r="S4">
        <v>0</v>
      </c>
      <c r="T4">
        <v>0</v>
      </c>
      <c r="U4">
        <v>0</v>
      </c>
      <c r="V4">
        <v>4985038938</v>
      </c>
      <c r="W4">
        <v>4663000000</v>
      </c>
      <c r="AC4" t="s">
        <v>5447</v>
      </c>
    </row>
    <row r="5" spans="1:31" x14ac:dyDescent="0.35">
      <c r="A5" t="s">
        <v>348</v>
      </c>
      <c r="C5" t="s">
        <v>112</v>
      </c>
      <c r="D5" t="s">
        <v>2631</v>
      </c>
      <c r="E5" t="s">
        <v>5448</v>
      </c>
      <c r="F5" t="s">
        <v>5449</v>
      </c>
      <c r="I5" t="s">
        <v>5450</v>
      </c>
      <c r="J5" t="s">
        <v>5443</v>
      </c>
      <c r="L5">
        <v>46021</v>
      </c>
      <c r="M5">
        <v>4149877577.1010642</v>
      </c>
      <c r="N5">
        <v>4149877577.1010642</v>
      </c>
      <c r="O5">
        <v>215845577.10106373</v>
      </c>
      <c r="P5">
        <v>0</v>
      </c>
      <c r="Q5">
        <v>3473512000</v>
      </c>
      <c r="R5">
        <v>460520000</v>
      </c>
      <c r="S5">
        <v>0</v>
      </c>
      <c r="T5">
        <v>0</v>
      </c>
      <c r="U5">
        <v>0</v>
      </c>
      <c r="V5">
        <v>4149877577.1010642</v>
      </c>
      <c r="W5">
        <v>3934032000</v>
      </c>
      <c r="Y5">
        <v>3948</v>
      </c>
      <c r="Z5">
        <v>1579</v>
      </c>
      <c r="AC5" t="s">
        <v>5451</v>
      </c>
      <c r="AD5" t="s">
        <v>1794</v>
      </c>
    </row>
    <row r="6" spans="1:31" x14ac:dyDescent="0.35">
      <c r="A6" t="s">
        <v>348</v>
      </c>
      <c r="C6" t="s">
        <v>34</v>
      </c>
      <c r="D6" t="s">
        <v>454</v>
      </c>
      <c r="E6" t="s">
        <v>5453</v>
      </c>
      <c r="F6" t="s">
        <v>5454</v>
      </c>
      <c r="J6" t="s">
        <v>5443</v>
      </c>
      <c r="K6" t="s">
        <v>5455</v>
      </c>
      <c r="L6">
        <v>46028</v>
      </c>
      <c r="M6">
        <v>3134535760</v>
      </c>
      <c r="N6">
        <v>3134535760</v>
      </c>
      <c r="O6">
        <v>279000000</v>
      </c>
      <c r="P6">
        <v>0</v>
      </c>
      <c r="Q6">
        <v>0</v>
      </c>
      <c r="R6">
        <v>2855535760</v>
      </c>
      <c r="S6">
        <v>0</v>
      </c>
      <c r="T6">
        <v>0</v>
      </c>
      <c r="U6">
        <v>0</v>
      </c>
      <c r="V6">
        <v>3134535760</v>
      </c>
      <c r="W6">
        <v>2855535760</v>
      </c>
      <c r="AC6" t="s">
        <v>5456</v>
      </c>
    </row>
    <row r="7" spans="1:31" x14ac:dyDescent="0.35">
      <c r="A7" t="s">
        <v>348</v>
      </c>
      <c r="C7" t="s">
        <v>34</v>
      </c>
      <c r="D7" t="s">
        <v>920</v>
      </c>
      <c r="E7" t="s">
        <v>5457</v>
      </c>
      <c r="F7" t="s">
        <v>5458</v>
      </c>
      <c r="J7" t="s">
        <v>5443</v>
      </c>
      <c r="L7">
        <v>46028</v>
      </c>
      <c r="M7">
        <v>1476811150</v>
      </c>
      <c r="N7">
        <v>1476811150</v>
      </c>
      <c r="O7">
        <v>149000000</v>
      </c>
      <c r="P7">
        <v>0</v>
      </c>
      <c r="Q7">
        <v>0</v>
      </c>
      <c r="R7">
        <v>1327811150</v>
      </c>
      <c r="S7">
        <v>0</v>
      </c>
      <c r="T7">
        <v>0</v>
      </c>
      <c r="U7">
        <v>0</v>
      </c>
      <c r="V7">
        <v>1476811150</v>
      </c>
      <c r="W7">
        <v>1327811150</v>
      </c>
      <c r="AC7" t="s">
        <v>5459</v>
      </c>
    </row>
    <row r="8" spans="1:31" x14ac:dyDescent="0.35">
      <c r="A8" t="s">
        <v>348</v>
      </c>
      <c r="C8" t="s">
        <v>34</v>
      </c>
      <c r="D8" t="s">
        <v>2261</v>
      </c>
      <c r="E8" t="s">
        <v>5460</v>
      </c>
      <c r="F8" t="s">
        <v>5461</v>
      </c>
      <c r="J8" t="s">
        <v>5443</v>
      </c>
      <c r="K8" t="s">
        <v>5455</v>
      </c>
      <c r="L8">
        <v>46034</v>
      </c>
      <c r="M8">
        <v>4848946707</v>
      </c>
      <c r="N8">
        <v>4848946707</v>
      </c>
      <c r="P8">
        <v>4848946707</v>
      </c>
      <c r="Q8">
        <v>0</v>
      </c>
      <c r="R8">
        <v>0</v>
      </c>
      <c r="S8">
        <v>0</v>
      </c>
      <c r="T8">
        <v>0</v>
      </c>
      <c r="U8">
        <v>0</v>
      </c>
      <c r="V8">
        <v>4848946707</v>
      </c>
      <c r="W8">
        <v>4848946707</v>
      </c>
      <c r="AC8" t="s">
        <v>5462</v>
      </c>
      <c r="AD8" t="s">
        <v>2716</v>
      </c>
    </row>
    <row r="9" spans="1:31" x14ac:dyDescent="0.35">
      <c r="A9" t="s">
        <v>348</v>
      </c>
      <c r="C9" t="s">
        <v>34</v>
      </c>
      <c r="D9" t="s">
        <v>830</v>
      </c>
      <c r="E9" t="s">
        <v>5463</v>
      </c>
      <c r="F9" t="s">
        <v>5464</v>
      </c>
      <c r="J9" t="s">
        <v>5465</v>
      </c>
      <c r="N9">
        <v>70000000</v>
      </c>
      <c r="P9">
        <v>0</v>
      </c>
      <c r="Q9">
        <v>0</v>
      </c>
      <c r="R9">
        <v>0</v>
      </c>
      <c r="S9">
        <v>70000000</v>
      </c>
      <c r="T9">
        <v>0</v>
      </c>
      <c r="U9">
        <v>0</v>
      </c>
      <c r="V9">
        <v>70000000</v>
      </c>
      <c r="W9">
        <v>70000000</v>
      </c>
    </row>
    <row r="10" spans="1:31" x14ac:dyDescent="0.35">
      <c r="A10" t="s">
        <v>348</v>
      </c>
      <c r="C10" t="s">
        <v>34</v>
      </c>
      <c r="D10" t="s">
        <v>591</v>
      </c>
      <c r="E10" t="s">
        <v>5466</v>
      </c>
      <c r="F10" t="s">
        <v>5467</v>
      </c>
      <c r="J10" t="s">
        <v>5465</v>
      </c>
      <c r="N10">
        <v>70000000</v>
      </c>
      <c r="P10">
        <v>0</v>
      </c>
      <c r="Q10">
        <v>0</v>
      </c>
      <c r="R10">
        <v>0</v>
      </c>
      <c r="S10">
        <v>70000000</v>
      </c>
      <c r="T10">
        <v>0</v>
      </c>
      <c r="U10">
        <v>0</v>
      </c>
      <c r="V10">
        <v>70000000</v>
      </c>
      <c r="W10">
        <v>70000000</v>
      </c>
    </row>
    <row r="11" spans="1:31" x14ac:dyDescent="0.35">
      <c r="A11" t="s">
        <v>20</v>
      </c>
      <c r="C11" t="s">
        <v>1319</v>
      </c>
      <c r="D11" t="s">
        <v>2425</v>
      </c>
      <c r="E11" t="s">
        <v>5468</v>
      </c>
      <c r="F11" t="s">
        <v>5469</v>
      </c>
      <c r="J11" t="s">
        <v>5443</v>
      </c>
      <c r="L11">
        <v>46021</v>
      </c>
      <c r="M11">
        <v>1840722637</v>
      </c>
      <c r="N11">
        <v>1840722637</v>
      </c>
      <c r="O11">
        <v>45722637</v>
      </c>
      <c r="P11">
        <v>1795000000</v>
      </c>
      <c r="Q11">
        <v>0</v>
      </c>
      <c r="R11">
        <v>0</v>
      </c>
      <c r="S11">
        <v>0</v>
      </c>
      <c r="T11">
        <v>0</v>
      </c>
      <c r="U11">
        <v>0</v>
      </c>
      <c r="V11">
        <v>1840722637</v>
      </c>
      <c r="W11">
        <v>1795000000</v>
      </c>
      <c r="Y11">
        <v>720</v>
      </c>
      <c r="Z11">
        <v>504</v>
      </c>
      <c r="AC11" t="s">
        <v>5470</v>
      </c>
      <c r="AD11" t="s">
        <v>2716</v>
      </c>
    </row>
    <row r="12" spans="1:31" x14ac:dyDescent="0.35">
      <c r="A12" t="s">
        <v>348</v>
      </c>
      <c r="C12" t="s">
        <v>34</v>
      </c>
      <c r="D12" t="s">
        <v>450</v>
      </c>
      <c r="E12" t="s">
        <v>5471</v>
      </c>
      <c r="F12" t="s">
        <v>5472</v>
      </c>
      <c r="J12" t="s">
        <v>5443</v>
      </c>
      <c r="L12">
        <v>46031</v>
      </c>
      <c r="M12">
        <v>4363842161</v>
      </c>
      <c r="N12">
        <v>4363842161</v>
      </c>
      <c r="O12">
        <v>480574721</v>
      </c>
      <c r="P12">
        <v>0</v>
      </c>
      <c r="Q12">
        <v>0</v>
      </c>
      <c r="R12">
        <v>3883267440</v>
      </c>
      <c r="S12">
        <v>0</v>
      </c>
      <c r="T12">
        <v>0</v>
      </c>
      <c r="U12">
        <v>0</v>
      </c>
      <c r="V12">
        <v>4363842161</v>
      </c>
      <c r="W12">
        <v>3883267440</v>
      </c>
      <c r="AC12" t="s">
        <v>5473</v>
      </c>
    </row>
    <row r="13" spans="1:31" x14ac:dyDescent="0.35">
      <c r="A13" t="s">
        <v>348</v>
      </c>
      <c r="C13" t="s">
        <v>76</v>
      </c>
      <c r="D13" t="s">
        <v>2348</v>
      </c>
      <c r="E13" t="s">
        <v>5474</v>
      </c>
      <c r="F13" t="s">
        <v>5475</v>
      </c>
      <c r="J13" t="s">
        <v>5443</v>
      </c>
      <c r="L13">
        <v>46034</v>
      </c>
      <c r="M13">
        <v>4588734394</v>
      </c>
      <c r="N13">
        <v>4588734394</v>
      </c>
      <c r="P13">
        <v>4588734394</v>
      </c>
      <c r="Q13">
        <v>0</v>
      </c>
      <c r="R13">
        <v>0</v>
      </c>
      <c r="S13">
        <v>0</v>
      </c>
      <c r="T13">
        <v>0</v>
      </c>
      <c r="U13">
        <v>0</v>
      </c>
      <c r="V13">
        <v>4588734394</v>
      </c>
      <c r="W13">
        <v>4588734394</v>
      </c>
      <c r="AC13" t="s">
        <v>5476</v>
      </c>
      <c r="AD13" t="s">
        <v>2716</v>
      </c>
    </row>
    <row r="14" spans="1:31" x14ac:dyDescent="0.35">
      <c r="A14" t="s">
        <v>348</v>
      </c>
      <c r="C14" t="s">
        <v>76</v>
      </c>
      <c r="D14" t="s">
        <v>2629</v>
      </c>
      <c r="E14" t="s">
        <v>5477</v>
      </c>
      <c r="F14" t="s">
        <v>5478</v>
      </c>
      <c r="I14" t="s">
        <v>5479</v>
      </c>
      <c r="J14" t="s">
        <v>5443</v>
      </c>
      <c r="L14">
        <v>46034</v>
      </c>
      <c r="M14">
        <v>2707387500</v>
      </c>
      <c r="N14">
        <v>2707387500</v>
      </c>
      <c r="O14">
        <v>235387500</v>
      </c>
      <c r="P14">
        <v>0</v>
      </c>
      <c r="Q14">
        <v>2472000000</v>
      </c>
      <c r="R14">
        <v>0</v>
      </c>
      <c r="S14">
        <v>0</v>
      </c>
      <c r="T14">
        <v>0</v>
      </c>
      <c r="U14">
        <v>0</v>
      </c>
      <c r="V14">
        <v>2707387500</v>
      </c>
      <c r="W14">
        <v>2472000000</v>
      </c>
      <c r="Y14">
        <v>1138</v>
      </c>
      <c r="Z14">
        <v>500</v>
      </c>
      <c r="AC14" t="s">
        <v>5480</v>
      </c>
      <c r="AD14" t="s">
        <v>1794</v>
      </c>
    </row>
    <row r="15" spans="1:31" x14ac:dyDescent="0.35">
      <c r="A15" t="s">
        <v>348</v>
      </c>
      <c r="C15" t="s">
        <v>76</v>
      </c>
      <c r="D15" t="s">
        <v>5939</v>
      </c>
      <c r="E15" t="s">
        <v>5481</v>
      </c>
      <c r="F15" t="s">
        <v>5482</v>
      </c>
      <c r="I15" t="s">
        <v>5483</v>
      </c>
      <c r="J15" t="s">
        <v>5443</v>
      </c>
      <c r="L15">
        <v>46034</v>
      </c>
      <c r="M15">
        <v>2594142000</v>
      </c>
      <c r="N15">
        <v>2594142000</v>
      </c>
      <c r="O15">
        <v>230592000</v>
      </c>
      <c r="P15">
        <v>0</v>
      </c>
      <c r="Q15">
        <v>2363550000</v>
      </c>
      <c r="R15">
        <v>0</v>
      </c>
      <c r="S15">
        <v>0</v>
      </c>
      <c r="T15">
        <v>0</v>
      </c>
      <c r="U15">
        <v>0</v>
      </c>
      <c r="V15">
        <v>2594142000</v>
      </c>
      <c r="W15">
        <v>2363550000</v>
      </c>
      <c r="AC15" t="s">
        <v>5484</v>
      </c>
    </row>
    <row r="16" spans="1:31" x14ac:dyDescent="0.35">
      <c r="A16" t="s">
        <v>20</v>
      </c>
      <c r="C16" t="s">
        <v>2044</v>
      </c>
      <c r="D16" t="s">
        <v>1521</v>
      </c>
      <c r="E16" t="s">
        <v>5485</v>
      </c>
      <c r="F16" t="s">
        <v>5486</v>
      </c>
      <c r="J16" t="s">
        <v>5443</v>
      </c>
      <c r="L16">
        <v>46041</v>
      </c>
      <c r="M16">
        <v>4348679976</v>
      </c>
      <c r="N16">
        <v>4348679976</v>
      </c>
      <c r="O16">
        <v>170300000</v>
      </c>
      <c r="P16">
        <v>0</v>
      </c>
      <c r="Q16">
        <v>0</v>
      </c>
      <c r="R16">
        <v>4138679976</v>
      </c>
      <c r="S16">
        <v>39700000</v>
      </c>
      <c r="T16">
        <v>0</v>
      </c>
      <c r="U16">
        <v>0</v>
      </c>
      <c r="V16">
        <v>4348679976</v>
      </c>
      <c r="W16">
        <v>4178379976</v>
      </c>
      <c r="AC16" t="s">
        <v>5487</v>
      </c>
    </row>
    <row r="17" spans="1:30" x14ac:dyDescent="0.35">
      <c r="A17" t="s">
        <v>20</v>
      </c>
      <c r="C17" t="s">
        <v>2044</v>
      </c>
      <c r="D17" t="s">
        <v>2171</v>
      </c>
      <c r="E17" t="s">
        <v>5488</v>
      </c>
      <c r="F17" t="s">
        <v>5489</v>
      </c>
      <c r="I17" t="s">
        <v>5490</v>
      </c>
      <c r="J17" t="s">
        <v>5443</v>
      </c>
      <c r="L17">
        <v>46039</v>
      </c>
      <c r="M17">
        <v>3163939412</v>
      </c>
      <c r="N17">
        <v>3163939412</v>
      </c>
      <c r="O17">
        <v>389814457</v>
      </c>
      <c r="P17">
        <v>0</v>
      </c>
      <c r="Q17">
        <v>2593224955</v>
      </c>
      <c r="R17">
        <v>0</v>
      </c>
      <c r="S17">
        <v>180900000</v>
      </c>
      <c r="T17">
        <v>0</v>
      </c>
      <c r="U17">
        <v>0</v>
      </c>
      <c r="V17">
        <v>3163939412</v>
      </c>
      <c r="W17">
        <v>2774124955</v>
      </c>
      <c r="Y17">
        <v>1600</v>
      </c>
      <c r="Z17">
        <v>886</v>
      </c>
      <c r="AC17" t="s">
        <v>5491</v>
      </c>
      <c r="AD17" t="s">
        <v>1794</v>
      </c>
    </row>
    <row r="18" spans="1:30" x14ac:dyDescent="0.35">
      <c r="A18" t="s">
        <v>20</v>
      </c>
      <c r="C18" t="s">
        <v>2044</v>
      </c>
      <c r="D18" t="s">
        <v>2643</v>
      </c>
      <c r="E18" t="s">
        <v>5492</v>
      </c>
      <c r="F18" t="s">
        <v>5493</v>
      </c>
      <c r="I18" t="s">
        <v>5494</v>
      </c>
      <c r="J18" t="s">
        <v>5443</v>
      </c>
      <c r="M18">
        <v>6672409930</v>
      </c>
      <c r="N18">
        <v>6672409930</v>
      </c>
      <c r="O18">
        <v>148377635</v>
      </c>
      <c r="P18">
        <v>0</v>
      </c>
      <c r="Q18">
        <v>6524032295</v>
      </c>
      <c r="R18">
        <v>0</v>
      </c>
      <c r="S18">
        <v>0</v>
      </c>
      <c r="T18">
        <v>0</v>
      </c>
      <c r="U18">
        <v>0</v>
      </c>
      <c r="V18">
        <v>6672409930</v>
      </c>
      <c r="W18">
        <v>6524032295</v>
      </c>
      <c r="Y18">
        <v>2021</v>
      </c>
      <c r="Z18">
        <v>1253</v>
      </c>
      <c r="AC18" t="s">
        <v>5495</v>
      </c>
      <c r="AD18" t="s">
        <v>1794</v>
      </c>
    </row>
    <row r="19" spans="1:30" x14ac:dyDescent="0.35">
      <c r="A19" t="s">
        <v>20</v>
      </c>
      <c r="C19" t="s">
        <v>2044</v>
      </c>
      <c r="D19" t="s">
        <v>3620</v>
      </c>
      <c r="E19" t="s">
        <v>5496</v>
      </c>
      <c r="F19" t="s">
        <v>5497</v>
      </c>
      <c r="I19" t="s">
        <v>5498</v>
      </c>
      <c r="J19" t="s">
        <v>5443</v>
      </c>
      <c r="M19">
        <v>3028907743</v>
      </c>
      <c r="N19">
        <v>3028907743</v>
      </c>
      <c r="O19">
        <v>105532788</v>
      </c>
      <c r="P19">
        <v>0</v>
      </c>
      <c r="Q19">
        <v>2923374955</v>
      </c>
      <c r="R19">
        <v>0</v>
      </c>
      <c r="S19">
        <v>0</v>
      </c>
      <c r="T19">
        <v>0</v>
      </c>
      <c r="U19">
        <v>0</v>
      </c>
      <c r="V19">
        <v>3028907743</v>
      </c>
      <c r="W19">
        <v>2923374955</v>
      </c>
      <c r="AC19" t="s">
        <v>5499</v>
      </c>
      <c r="AD19" t="s">
        <v>1794</v>
      </c>
    </row>
    <row r="20" spans="1:30" x14ac:dyDescent="0.35">
      <c r="A20" t="s">
        <v>20</v>
      </c>
      <c r="C20" t="s">
        <v>2044</v>
      </c>
      <c r="D20" t="s">
        <v>2637</v>
      </c>
      <c r="E20" t="s">
        <v>5500</v>
      </c>
      <c r="F20" t="s">
        <v>5501</v>
      </c>
      <c r="I20" t="s">
        <v>5502</v>
      </c>
      <c r="J20" t="s">
        <v>5443</v>
      </c>
      <c r="L20">
        <v>46099</v>
      </c>
      <c r="M20">
        <v>8096832336</v>
      </c>
      <c r="N20">
        <v>8096832336</v>
      </c>
      <c r="O20">
        <v>473075456</v>
      </c>
      <c r="P20">
        <v>0</v>
      </c>
      <c r="Q20">
        <v>7623756880</v>
      </c>
      <c r="R20">
        <v>0</v>
      </c>
      <c r="S20">
        <v>0</v>
      </c>
      <c r="T20">
        <v>0</v>
      </c>
      <c r="U20">
        <v>0</v>
      </c>
      <c r="V20">
        <v>8096832336</v>
      </c>
      <c r="W20">
        <v>7623756880</v>
      </c>
      <c r="AC20" t="s">
        <v>5503</v>
      </c>
      <c r="AD20" t="s">
        <v>1794</v>
      </c>
    </row>
    <row r="21" spans="1:30" x14ac:dyDescent="0.35">
      <c r="A21" t="s">
        <v>348</v>
      </c>
      <c r="C21" t="s">
        <v>228</v>
      </c>
      <c r="D21" t="s">
        <v>2178</v>
      </c>
      <c r="E21" t="s">
        <v>5504</v>
      </c>
      <c r="F21" t="s">
        <v>5505</v>
      </c>
      <c r="I21" t="s">
        <v>5506</v>
      </c>
      <c r="J21" t="s">
        <v>5443</v>
      </c>
      <c r="L21">
        <v>46021</v>
      </c>
      <c r="M21">
        <v>1330500000</v>
      </c>
      <c r="N21">
        <v>1330500000</v>
      </c>
      <c r="O21">
        <v>356500000</v>
      </c>
      <c r="P21">
        <v>0</v>
      </c>
      <c r="Q21">
        <v>974000000</v>
      </c>
      <c r="R21">
        <v>0</v>
      </c>
      <c r="S21">
        <v>0</v>
      </c>
      <c r="T21">
        <v>0</v>
      </c>
      <c r="U21">
        <v>0</v>
      </c>
      <c r="V21">
        <v>1330500000</v>
      </c>
      <c r="W21">
        <v>974000000</v>
      </c>
      <c r="Y21">
        <v>479</v>
      </c>
      <c r="Z21">
        <v>374</v>
      </c>
      <c r="AC21" t="s">
        <v>5507</v>
      </c>
      <c r="AD21" t="s">
        <v>1794</v>
      </c>
    </row>
    <row r="22" spans="1:30" x14ac:dyDescent="0.35">
      <c r="A22" t="s">
        <v>20</v>
      </c>
      <c r="C22" t="s">
        <v>301</v>
      </c>
      <c r="D22" t="s">
        <v>5944</v>
      </c>
      <c r="E22" t="s">
        <v>5508</v>
      </c>
      <c r="F22" t="s">
        <v>5509</v>
      </c>
      <c r="J22" t="s">
        <v>5465</v>
      </c>
      <c r="N22">
        <v>54864820</v>
      </c>
      <c r="P22">
        <v>0</v>
      </c>
      <c r="Q22">
        <v>0</v>
      </c>
      <c r="R22">
        <v>0</v>
      </c>
      <c r="S22">
        <v>0</v>
      </c>
      <c r="T22">
        <v>0</v>
      </c>
      <c r="U22">
        <v>54864820</v>
      </c>
      <c r="V22">
        <v>54864820</v>
      </c>
      <c r="W22">
        <v>54864820</v>
      </c>
    </row>
    <row r="23" spans="1:30" x14ac:dyDescent="0.35">
      <c r="A23" t="s">
        <v>348</v>
      </c>
      <c r="C23" t="s">
        <v>34</v>
      </c>
      <c r="D23" t="s">
        <v>516</v>
      </c>
      <c r="E23" t="s">
        <v>5510</v>
      </c>
      <c r="F23" t="s">
        <v>5511</v>
      </c>
      <c r="J23" t="s">
        <v>5465</v>
      </c>
      <c r="N23">
        <v>29400000</v>
      </c>
      <c r="P23">
        <v>0</v>
      </c>
      <c r="Q23">
        <v>0</v>
      </c>
      <c r="R23">
        <v>0</v>
      </c>
      <c r="S23">
        <v>29400000</v>
      </c>
      <c r="T23">
        <v>0</v>
      </c>
      <c r="U23">
        <v>0</v>
      </c>
      <c r="V23">
        <v>29400000</v>
      </c>
      <c r="W23">
        <v>29400000</v>
      </c>
    </row>
    <row r="24" spans="1:30" x14ac:dyDescent="0.35">
      <c r="A24" t="s">
        <v>348</v>
      </c>
      <c r="C24" t="s">
        <v>34</v>
      </c>
      <c r="D24" t="s">
        <v>452</v>
      </c>
      <c r="E24" t="s">
        <v>5512</v>
      </c>
      <c r="F24" t="s">
        <v>5513</v>
      </c>
      <c r="J24" t="s">
        <v>5465</v>
      </c>
      <c r="N24">
        <v>40900000</v>
      </c>
      <c r="P24">
        <v>0</v>
      </c>
      <c r="Q24">
        <v>0</v>
      </c>
      <c r="R24">
        <v>0</v>
      </c>
      <c r="S24">
        <v>40900000</v>
      </c>
      <c r="T24">
        <v>0</v>
      </c>
      <c r="U24">
        <v>0</v>
      </c>
      <c r="V24">
        <v>40900000</v>
      </c>
      <c r="W24">
        <v>40900000</v>
      </c>
    </row>
    <row r="25" spans="1:30" x14ac:dyDescent="0.35">
      <c r="A25" t="s">
        <v>348</v>
      </c>
      <c r="C25" t="s">
        <v>34</v>
      </c>
      <c r="D25" t="s">
        <v>1247</v>
      </c>
      <c r="E25" t="s">
        <v>5514</v>
      </c>
      <c r="F25" t="s">
        <v>1248</v>
      </c>
      <c r="J25" t="s">
        <v>5465</v>
      </c>
      <c r="L25">
        <v>46029</v>
      </c>
      <c r="N25">
        <v>227023645</v>
      </c>
      <c r="P25">
        <v>0</v>
      </c>
      <c r="Q25">
        <v>0</v>
      </c>
      <c r="R25">
        <v>227023645</v>
      </c>
      <c r="S25">
        <v>0</v>
      </c>
      <c r="T25">
        <v>0</v>
      </c>
      <c r="U25">
        <v>0</v>
      </c>
      <c r="V25">
        <v>227023645</v>
      </c>
      <c r="W25">
        <v>227023645</v>
      </c>
      <c r="AC25" t="s">
        <v>5515</v>
      </c>
    </row>
    <row r="26" spans="1:30" x14ac:dyDescent="0.35">
      <c r="A26" t="s">
        <v>348</v>
      </c>
      <c r="C26" t="s">
        <v>34</v>
      </c>
      <c r="D26" t="s">
        <v>769</v>
      </c>
      <c r="E26" t="s">
        <v>5516</v>
      </c>
      <c r="F26" t="s">
        <v>5517</v>
      </c>
      <c r="J26" t="s">
        <v>5465</v>
      </c>
      <c r="L26">
        <v>46029</v>
      </c>
      <c r="N26">
        <v>432160120</v>
      </c>
      <c r="P26">
        <v>0</v>
      </c>
      <c r="Q26">
        <v>0</v>
      </c>
      <c r="R26">
        <v>432160120</v>
      </c>
      <c r="S26">
        <v>0</v>
      </c>
      <c r="T26">
        <v>0</v>
      </c>
      <c r="U26">
        <v>0</v>
      </c>
      <c r="V26">
        <v>432160120</v>
      </c>
      <c r="W26">
        <v>432160120</v>
      </c>
      <c r="AC26" t="s">
        <v>5515</v>
      </c>
    </row>
    <row r="27" spans="1:30" x14ac:dyDescent="0.35">
      <c r="A27" t="s">
        <v>348</v>
      </c>
      <c r="C27" t="s">
        <v>34</v>
      </c>
      <c r="D27" t="s">
        <v>1120</v>
      </c>
      <c r="E27" t="s">
        <v>5518</v>
      </c>
      <c r="F27" t="s">
        <v>5519</v>
      </c>
      <c r="J27" t="s">
        <v>5465</v>
      </c>
      <c r="L27">
        <v>46029</v>
      </c>
      <c r="N27">
        <v>294267720</v>
      </c>
      <c r="P27">
        <v>0</v>
      </c>
      <c r="Q27">
        <v>0</v>
      </c>
      <c r="R27">
        <v>294267720</v>
      </c>
      <c r="S27">
        <v>0</v>
      </c>
      <c r="T27">
        <v>0</v>
      </c>
      <c r="U27">
        <v>0</v>
      </c>
      <c r="V27">
        <v>294267720</v>
      </c>
      <c r="W27">
        <v>294267720</v>
      </c>
      <c r="AC27" t="s">
        <v>5515</v>
      </c>
    </row>
    <row r="28" spans="1:30" x14ac:dyDescent="0.35">
      <c r="A28" t="s">
        <v>348</v>
      </c>
      <c r="C28" t="s">
        <v>34</v>
      </c>
      <c r="D28" t="s">
        <v>659</v>
      </c>
      <c r="E28" t="s">
        <v>5520</v>
      </c>
      <c r="F28" t="s">
        <v>5521</v>
      </c>
      <c r="J28" t="s">
        <v>5465</v>
      </c>
      <c r="L28">
        <v>46029</v>
      </c>
      <c r="N28">
        <v>550736200</v>
      </c>
      <c r="P28">
        <v>0</v>
      </c>
      <c r="Q28">
        <v>0</v>
      </c>
      <c r="R28">
        <v>550736200</v>
      </c>
      <c r="S28">
        <v>0</v>
      </c>
      <c r="T28">
        <v>0</v>
      </c>
      <c r="U28">
        <v>0</v>
      </c>
      <c r="V28">
        <v>550736200</v>
      </c>
      <c r="W28">
        <v>550736200</v>
      </c>
      <c r="AC28" t="s">
        <v>5515</v>
      </c>
    </row>
    <row r="29" spans="1:30" x14ac:dyDescent="0.35">
      <c r="A29" t="s">
        <v>348</v>
      </c>
      <c r="C29" t="s">
        <v>34</v>
      </c>
      <c r="D29" t="s">
        <v>1139</v>
      </c>
      <c r="E29" t="s">
        <v>5522</v>
      </c>
      <c r="F29" t="s">
        <v>5523</v>
      </c>
      <c r="J29" t="s">
        <v>5465</v>
      </c>
      <c r="L29">
        <v>46029</v>
      </c>
      <c r="N29">
        <v>420954204</v>
      </c>
      <c r="P29">
        <v>0</v>
      </c>
      <c r="Q29">
        <v>0</v>
      </c>
      <c r="R29">
        <v>420954204</v>
      </c>
      <c r="S29">
        <v>0</v>
      </c>
      <c r="T29">
        <v>0</v>
      </c>
      <c r="U29">
        <v>0</v>
      </c>
      <c r="V29">
        <v>420954204</v>
      </c>
      <c r="W29">
        <v>420954204</v>
      </c>
      <c r="AC29" t="s">
        <v>5515</v>
      </c>
    </row>
    <row r="30" spans="1:30" x14ac:dyDescent="0.35">
      <c r="A30" t="s">
        <v>348</v>
      </c>
      <c r="C30" t="s">
        <v>34</v>
      </c>
      <c r="D30" t="s">
        <v>477</v>
      </c>
      <c r="E30" t="s">
        <v>5524</v>
      </c>
      <c r="F30" t="s">
        <v>5525</v>
      </c>
      <c r="J30" t="s">
        <v>5465</v>
      </c>
      <c r="L30">
        <v>46029</v>
      </c>
      <c r="N30">
        <v>323374300</v>
      </c>
      <c r="P30">
        <v>0</v>
      </c>
      <c r="Q30">
        <v>0</v>
      </c>
      <c r="R30">
        <v>323374300</v>
      </c>
      <c r="S30">
        <v>0</v>
      </c>
      <c r="T30">
        <v>0</v>
      </c>
      <c r="U30">
        <v>0</v>
      </c>
      <c r="V30">
        <v>323374300</v>
      </c>
      <c r="W30">
        <v>323374300</v>
      </c>
      <c r="AC30" t="s">
        <v>5515</v>
      </c>
    </row>
    <row r="31" spans="1:30" x14ac:dyDescent="0.35">
      <c r="A31" t="s">
        <v>348</v>
      </c>
      <c r="C31" t="s">
        <v>34</v>
      </c>
      <c r="D31" t="s">
        <v>867</v>
      </c>
      <c r="E31" t="s">
        <v>5526</v>
      </c>
      <c r="F31" t="s">
        <v>5527</v>
      </c>
      <c r="J31" t="s">
        <v>5465</v>
      </c>
      <c r="L31">
        <v>46029</v>
      </c>
      <c r="N31">
        <v>337347067</v>
      </c>
      <c r="P31">
        <v>0</v>
      </c>
      <c r="Q31">
        <v>0</v>
      </c>
      <c r="R31">
        <v>337347067</v>
      </c>
      <c r="S31">
        <v>0</v>
      </c>
      <c r="T31">
        <v>0</v>
      </c>
      <c r="U31">
        <v>0</v>
      </c>
      <c r="V31">
        <v>337347067</v>
      </c>
      <c r="W31">
        <v>337347067</v>
      </c>
      <c r="AC31" t="s">
        <v>5515</v>
      </c>
    </row>
    <row r="32" spans="1:30" x14ac:dyDescent="0.35">
      <c r="A32" t="s">
        <v>348</v>
      </c>
      <c r="C32" t="s">
        <v>34</v>
      </c>
      <c r="D32" t="s">
        <v>459</v>
      </c>
      <c r="E32" t="s">
        <v>5528</v>
      </c>
      <c r="F32" t="s">
        <v>5529</v>
      </c>
      <c r="J32" t="s">
        <v>5465</v>
      </c>
      <c r="L32">
        <v>46029</v>
      </c>
      <c r="N32">
        <v>330062688</v>
      </c>
      <c r="P32">
        <v>0</v>
      </c>
      <c r="Q32">
        <v>0</v>
      </c>
      <c r="R32">
        <v>330062688</v>
      </c>
      <c r="S32">
        <v>0</v>
      </c>
      <c r="T32">
        <v>0</v>
      </c>
      <c r="U32">
        <v>0</v>
      </c>
      <c r="V32">
        <v>330062688</v>
      </c>
      <c r="W32">
        <v>330062688</v>
      </c>
      <c r="AC32" t="s">
        <v>5515</v>
      </c>
    </row>
    <row r="33" spans="1:30" x14ac:dyDescent="0.35">
      <c r="A33" t="s">
        <v>348</v>
      </c>
      <c r="C33" t="s">
        <v>34</v>
      </c>
      <c r="D33" t="s">
        <v>785</v>
      </c>
      <c r="E33" t="s">
        <v>5530</v>
      </c>
      <c r="F33" t="s">
        <v>5531</v>
      </c>
      <c r="J33" t="s">
        <v>5465</v>
      </c>
      <c r="L33">
        <v>46029</v>
      </c>
      <c r="N33">
        <v>326977373</v>
      </c>
      <c r="P33">
        <v>0</v>
      </c>
      <c r="Q33">
        <v>0</v>
      </c>
      <c r="R33">
        <v>326977373</v>
      </c>
      <c r="S33">
        <v>0</v>
      </c>
      <c r="T33">
        <v>0</v>
      </c>
      <c r="U33">
        <v>0</v>
      </c>
      <c r="V33">
        <v>326977373</v>
      </c>
      <c r="W33">
        <v>326977373</v>
      </c>
      <c r="AC33" t="s">
        <v>5515</v>
      </c>
    </row>
    <row r="34" spans="1:30" x14ac:dyDescent="0.35">
      <c r="A34" t="s">
        <v>20</v>
      </c>
      <c r="C34" t="s">
        <v>2059</v>
      </c>
      <c r="D34" t="s">
        <v>2032</v>
      </c>
      <c r="E34" t="s">
        <v>5532</v>
      </c>
      <c r="F34" t="s">
        <v>5533</v>
      </c>
      <c r="N34">
        <v>8536000</v>
      </c>
      <c r="P34">
        <v>0</v>
      </c>
      <c r="Q34">
        <v>0</v>
      </c>
      <c r="R34">
        <v>0</v>
      </c>
      <c r="S34">
        <v>0</v>
      </c>
      <c r="T34">
        <v>0</v>
      </c>
      <c r="U34">
        <v>8536000</v>
      </c>
      <c r="V34">
        <v>8536000</v>
      </c>
      <c r="W34">
        <v>8536000</v>
      </c>
    </row>
    <row r="35" spans="1:30" x14ac:dyDescent="0.35">
      <c r="A35" t="s">
        <v>20</v>
      </c>
      <c r="C35" t="s">
        <v>94</v>
      </c>
      <c r="D35" t="s">
        <v>322</v>
      </c>
      <c r="E35" t="s">
        <v>5534</v>
      </c>
      <c r="F35" t="s">
        <v>5535</v>
      </c>
      <c r="N35">
        <v>648000</v>
      </c>
      <c r="P35">
        <v>0</v>
      </c>
      <c r="Q35">
        <v>0</v>
      </c>
      <c r="R35">
        <v>0</v>
      </c>
      <c r="S35">
        <v>0</v>
      </c>
      <c r="T35">
        <v>0</v>
      </c>
      <c r="U35">
        <v>648000</v>
      </c>
      <c r="V35">
        <v>648000</v>
      </c>
      <c r="W35">
        <v>648000</v>
      </c>
    </row>
    <row r="36" spans="1:30" x14ac:dyDescent="0.35">
      <c r="A36" t="s">
        <v>20</v>
      </c>
      <c r="C36" t="s">
        <v>1063</v>
      </c>
      <c r="D36" t="s">
        <v>1758</v>
      </c>
      <c r="E36" t="s">
        <v>5536</v>
      </c>
      <c r="F36" t="s">
        <v>5537</v>
      </c>
      <c r="N36">
        <v>645000</v>
      </c>
      <c r="P36">
        <v>0</v>
      </c>
      <c r="Q36">
        <v>0</v>
      </c>
      <c r="R36">
        <v>0</v>
      </c>
      <c r="S36">
        <v>0</v>
      </c>
      <c r="T36">
        <v>0</v>
      </c>
      <c r="U36">
        <v>645000</v>
      </c>
      <c r="V36">
        <v>645000</v>
      </c>
      <c r="W36">
        <v>645000</v>
      </c>
    </row>
    <row r="37" spans="1:30" x14ac:dyDescent="0.35">
      <c r="A37" t="s">
        <v>348</v>
      </c>
      <c r="C37" t="s">
        <v>1311</v>
      </c>
      <c r="D37" t="s">
        <v>2166</v>
      </c>
      <c r="E37" t="s">
        <v>5538</v>
      </c>
      <c r="F37" t="s">
        <v>5539</v>
      </c>
      <c r="N37">
        <v>15120000</v>
      </c>
      <c r="P37">
        <v>0</v>
      </c>
      <c r="Q37">
        <v>0</v>
      </c>
      <c r="R37">
        <v>0</v>
      </c>
      <c r="S37">
        <v>0</v>
      </c>
      <c r="T37">
        <v>0</v>
      </c>
      <c r="U37">
        <v>15120000</v>
      </c>
      <c r="V37">
        <v>15120000</v>
      </c>
      <c r="W37">
        <v>15120000</v>
      </c>
    </row>
    <row r="38" spans="1:30" x14ac:dyDescent="0.35">
      <c r="A38" t="s">
        <v>20</v>
      </c>
      <c r="C38" t="s">
        <v>76</v>
      </c>
      <c r="D38" t="s">
        <v>74</v>
      </c>
      <c r="E38" t="s">
        <v>5540</v>
      </c>
      <c r="F38" t="s">
        <v>5541</v>
      </c>
      <c r="J38" t="s">
        <v>5542</v>
      </c>
      <c r="L38">
        <v>46056</v>
      </c>
      <c r="N38">
        <v>65350000</v>
      </c>
      <c r="P38">
        <v>0</v>
      </c>
      <c r="Q38">
        <v>0</v>
      </c>
      <c r="R38">
        <v>13850000</v>
      </c>
      <c r="S38">
        <v>51500000</v>
      </c>
      <c r="T38">
        <v>0</v>
      </c>
      <c r="U38">
        <v>0</v>
      </c>
      <c r="V38">
        <v>65350000</v>
      </c>
      <c r="W38">
        <v>65350000</v>
      </c>
      <c r="AC38" t="s">
        <v>5543</v>
      </c>
    </row>
    <row r="39" spans="1:30" x14ac:dyDescent="0.35">
      <c r="A39" t="s">
        <v>20</v>
      </c>
      <c r="C39" t="s">
        <v>112</v>
      </c>
      <c r="D39" t="s">
        <v>1032</v>
      </c>
      <c r="E39" t="s">
        <v>5544</v>
      </c>
      <c r="F39" t="s">
        <v>1033</v>
      </c>
      <c r="N39">
        <v>7200000</v>
      </c>
      <c r="P39">
        <v>0</v>
      </c>
      <c r="Q39">
        <v>0</v>
      </c>
      <c r="R39">
        <v>7200000</v>
      </c>
      <c r="S39">
        <v>0</v>
      </c>
      <c r="T39">
        <v>0</v>
      </c>
      <c r="U39">
        <v>0</v>
      </c>
      <c r="V39">
        <v>7200000</v>
      </c>
      <c r="W39">
        <v>7200000</v>
      </c>
      <c r="AC39" t="s">
        <v>5545</v>
      </c>
    </row>
    <row r="40" spans="1:30" x14ac:dyDescent="0.35">
      <c r="A40" t="s">
        <v>5437</v>
      </c>
      <c r="C40" t="s">
        <v>5437</v>
      </c>
      <c r="D40" t="s">
        <v>5546</v>
      </c>
      <c r="E40" t="s">
        <v>5546</v>
      </c>
      <c r="F40" t="s">
        <v>5547</v>
      </c>
      <c r="N40">
        <v>47000000</v>
      </c>
      <c r="P40">
        <v>0</v>
      </c>
      <c r="Q40">
        <v>0</v>
      </c>
      <c r="R40">
        <v>0</v>
      </c>
      <c r="S40">
        <v>0</v>
      </c>
      <c r="T40">
        <v>0</v>
      </c>
      <c r="U40">
        <v>47000000</v>
      </c>
      <c r="V40">
        <v>47000000</v>
      </c>
      <c r="W40">
        <v>47000000</v>
      </c>
      <c r="AC40" t="s">
        <v>5440</v>
      </c>
    </row>
    <row r="41" spans="1:30" x14ac:dyDescent="0.35">
      <c r="A41" t="s">
        <v>20</v>
      </c>
      <c r="C41" t="s">
        <v>1239</v>
      </c>
      <c r="D41" t="s">
        <v>1241</v>
      </c>
      <c r="E41" t="s">
        <v>5548</v>
      </c>
      <c r="F41" t="s">
        <v>5549</v>
      </c>
      <c r="N41">
        <v>9000000</v>
      </c>
      <c r="P41">
        <v>0</v>
      </c>
      <c r="Q41">
        <v>0</v>
      </c>
      <c r="R41">
        <v>0</v>
      </c>
      <c r="S41">
        <v>0</v>
      </c>
      <c r="T41">
        <v>0</v>
      </c>
      <c r="U41">
        <v>9000000</v>
      </c>
      <c r="V41">
        <v>9000000</v>
      </c>
      <c r="W41">
        <v>9000000</v>
      </c>
    </row>
    <row r="42" spans="1:30" x14ac:dyDescent="0.35">
      <c r="A42" t="s">
        <v>348</v>
      </c>
      <c r="C42" t="s">
        <v>301</v>
      </c>
      <c r="D42" t="s">
        <v>5550</v>
      </c>
      <c r="E42" t="s">
        <v>5551</v>
      </c>
      <c r="F42" t="s">
        <v>5552</v>
      </c>
      <c r="I42" t="s">
        <v>1659</v>
      </c>
      <c r="J42" t="s">
        <v>5443</v>
      </c>
      <c r="M42">
        <v>2946139634</v>
      </c>
      <c r="N42">
        <v>2946139634</v>
      </c>
      <c r="O42">
        <v>265991194</v>
      </c>
      <c r="P42">
        <v>0</v>
      </c>
      <c r="Q42">
        <v>2680148440</v>
      </c>
      <c r="R42">
        <v>0</v>
      </c>
      <c r="S42">
        <v>0</v>
      </c>
      <c r="T42">
        <v>0</v>
      </c>
      <c r="U42">
        <v>0</v>
      </c>
      <c r="V42">
        <v>2946139634</v>
      </c>
      <c r="W42">
        <v>2680148440</v>
      </c>
      <c r="AC42" t="s">
        <v>5553</v>
      </c>
    </row>
    <row r="43" spans="1:30" x14ac:dyDescent="0.35">
      <c r="A43" t="s">
        <v>20</v>
      </c>
      <c r="C43" t="s">
        <v>1630</v>
      </c>
      <c r="D43" t="s">
        <v>1628</v>
      </c>
      <c r="E43" t="s">
        <v>5554</v>
      </c>
      <c r="F43" t="s">
        <v>5555</v>
      </c>
      <c r="N43">
        <v>2008800</v>
      </c>
      <c r="P43">
        <v>0</v>
      </c>
      <c r="Q43">
        <v>0</v>
      </c>
      <c r="R43">
        <v>0</v>
      </c>
      <c r="S43">
        <v>0</v>
      </c>
      <c r="T43">
        <v>0</v>
      </c>
      <c r="U43">
        <v>2008800</v>
      </c>
      <c r="V43">
        <v>2008800</v>
      </c>
      <c r="W43">
        <v>2008800</v>
      </c>
    </row>
    <row r="44" spans="1:30" x14ac:dyDescent="0.35">
      <c r="A44" t="s">
        <v>348</v>
      </c>
      <c r="C44" t="s">
        <v>301</v>
      </c>
      <c r="D44" t="s">
        <v>1756</v>
      </c>
      <c r="E44" t="s">
        <v>5556</v>
      </c>
      <c r="F44" t="s">
        <v>5557</v>
      </c>
      <c r="I44" t="s">
        <v>5558</v>
      </c>
      <c r="N44">
        <v>754407160</v>
      </c>
      <c r="P44">
        <v>0</v>
      </c>
      <c r="Q44">
        <v>754407160</v>
      </c>
      <c r="R44">
        <v>0</v>
      </c>
      <c r="S44">
        <v>0</v>
      </c>
      <c r="T44">
        <v>0</v>
      </c>
      <c r="U44">
        <v>0</v>
      </c>
      <c r="V44">
        <v>754407160</v>
      </c>
      <c r="W44">
        <v>754407160</v>
      </c>
      <c r="AC44" t="s">
        <v>5559</v>
      </c>
      <c r="AD44" t="s">
        <v>1794</v>
      </c>
    </row>
    <row r="45" spans="1:30" x14ac:dyDescent="0.35">
      <c r="A45" t="s">
        <v>20</v>
      </c>
      <c r="C45" t="s">
        <v>301</v>
      </c>
      <c r="D45" t="s">
        <v>1667</v>
      </c>
      <c r="E45" t="s">
        <v>5560</v>
      </c>
      <c r="F45" t="s">
        <v>5561</v>
      </c>
      <c r="N45">
        <v>20500000</v>
      </c>
      <c r="P45">
        <v>0</v>
      </c>
      <c r="Q45">
        <v>0</v>
      </c>
      <c r="R45">
        <v>0</v>
      </c>
      <c r="S45">
        <v>0</v>
      </c>
      <c r="T45">
        <v>0</v>
      </c>
      <c r="U45">
        <v>20500000</v>
      </c>
      <c r="V45">
        <v>20500000</v>
      </c>
      <c r="W45">
        <v>20500000</v>
      </c>
    </row>
    <row r="46" spans="1:30" x14ac:dyDescent="0.35">
      <c r="A46" t="s">
        <v>20</v>
      </c>
      <c r="C46" t="s">
        <v>76</v>
      </c>
      <c r="D46" t="s">
        <v>174</v>
      </c>
      <c r="E46" t="s">
        <v>5562</v>
      </c>
      <c r="F46" t="s">
        <v>5563</v>
      </c>
      <c r="N46">
        <v>39705000</v>
      </c>
      <c r="P46">
        <v>0</v>
      </c>
      <c r="Q46">
        <v>0</v>
      </c>
      <c r="R46">
        <v>0</v>
      </c>
      <c r="S46">
        <v>0</v>
      </c>
      <c r="T46">
        <v>0</v>
      </c>
      <c r="U46">
        <v>39705000</v>
      </c>
      <c r="V46">
        <v>39705000</v>
      </c>
      <c r="W46">
        <v>39705000</v>
      </c>
    </row>
    <row r="47" spans="1:30" x14ac:dyDescent="0.35">
      <c r="A47" t="s">
        <v>5437</v>
      </c>
      <c r="C47" t="s">
        <v>5437</v>
      </c>
      <c r="D47" t="s">
        <v>5564</v>
      </c>
      <c r="E47" t="s">
        <v>5565</v>
      </c>
      <c r="F47" t="s">
        <v>5566</v>
      </c>
      <c r="N47">
        <v>40000000</v>
      </c>
      <c r="P47">
        <v>0</v>
      </c>
      <c r="Q47">
        <v>0</v>
      </c>
      <c r="R47">
        <v>0</v>
      </c>
      <c r="S47">
        <v>0</v>
      </c>
      <c r="T47">
        <v>40000000</v>
      </c>
      <c r="U47">
        <v>0</v>
      </c>
      <c r="V47">
        <v>40000000</v>
      </c>
      <c r="W47">
        <v>40000000</v>
      </c>
      <c r="AC47" t="s">
        <v>5440</v>
      </c>
    </row>
    <row r="48" spans="1:30" x14ac:dyDescent="0.35">
      <c r="A48" t="s">
        <v>5437</v>
      </c>
      <c r="C48" t="s">
        <v>5437</v>
      </c>
      <c r="D48" t="s">
        <v>5567</v>
      </c>
      <c r="E48" t="s">
        <v>5567</v>
      </c>
      <c r="F48" t="s">
        <v>5568</v>
      </c>
      <c r="N48">
        <v>199000000</v>
      </c>
      <c r="P48">
        <v>0</v>
      </c>
      <c r="Q48">
        <v>0</v>
      </c>
      <c r="R48">
        <v>0</v>
      </c>
      <c r="S48">
        <v>0</v>
      </c>
      <c r="T48">
        <v>0</v>
      </c>
      <c r="U48">
        <v>199000000</v>
      </c>
      <c r="V48">
        <v>199000000</v>
      </c>
      <c r="W48">
        <v>199000000</v>
      </c>
      <c r="AC48" t="s">
        <v>5440</v>
      </c>
    </row>
    <row r="49" spans="1:30" x14ac:dyDescent="0.35">
      <c r="A49" t="s">
        <v>348</v>
      </c>
      <c r="C49" t="s">
        <v>76</v>
      </c>
      <c r="D49" t="s">
        <v>5550</v>
      </c>
      <c r="E49" t="s">
        <v>5569</v>
      </c>
      <c r="F49" t="s">
        <v>5570</v>
      </c>
      <c r="J49" t="s">
        <v>5465</v>
      </c>
      <c r="L49">
        <v>46041</v>
      </c>
      <c r="N49">
        <v>419530000</v>
      </c>
      <c r="P49">
        <v>0</v>
      </c>
      <c r="Q49">
        <v>0</v>
      </c>
      <c r="R49">
        <v>419530000</v>
      </c>
      <c r="S49">
        <v>0</v>
      </c>
      <c r="T49">
        <v>0</v>
      </c>
      <c r="U49">
        <v>0</v>
      </c>
      <c r="V49">
        <v>419530000</v>
      </c>
      <c r="W49">
        <v>419530000</v>
      </c>
      <c r="AC49" t="s">
        <v>5571</v>
      </c>
    </row>
    <row r="50" spans="1:30" x14ac:dyDescent="0.35">
      <c r="A50" t="s">
        <v>348</v>
      </c>
      <c r="C50" t="s">
        <v>76</v>
      </c>
      <c r="D50" t="s">
        <v>649</v>
      </c>
      <c r="E50" t="s">
        <v>5572</v>
      </c>
      <c r="F50" t="s">
        <v>5573</v>
      </c>
      <c r="J50" t="s">
        <v>5465</v>
      </c>
      <c r="L50">
        <v>46041</v>
      </c>
      <c r="N50">
        <v>25405000</v>
      </c>
      <c r="P50">
        <v>0</v>
      </c>
      <c r="Q50">
        <v>0</v>
      </c>
      <c r="R50">
        <v>25405000</v>
      </c>
      <c r="S50">
        <v>0</v>
      </c>
      <c r="T50">
        <v>0</v>
      </c>
      <c r="U50">
        <v>0</v>
      </c>
      <c r="V50">
        <v>25405000</v>
      </c>
      <c r="W50">
        <v>25405000</v>
      </c>
      <c r="AC50" t="s">
        <v>5574</v>
      </c>
    </row>
    <row r="51" spans="1:30" x14ac:dyDescent="0.35">
      <c r="A51" t="s">
        <v>348</v>
      </c>
      <c r="C51" t="s">
        <v>34</v>
      </c>
      <c r="D51" t="s">
        <v>1151</v>
      </c>
      <c r="E51" t="s">
        <v>5575</v>
      </c>
      <c r="F51" t="s">
        <v>5576</v>
      </c>
      <c r="J51" t="s">
        <v>5465</v>
      </c>
      <c r="L51">
        <v>46038</v>
      </c>
      <c r="N51">
        <v>233842462</v>
      </c>
      <c r="P51">
        <v>0</v>
      </c>
      <c r="Q51">
        <v>0</v>
      </c>
      <c r="R51">
        <v>233842462</v>
      </c>
      <c r="S51">
        <v>0</v>
      </c>
      <c r="T51">
        <v>0</v>
      </c>
      <c r="U51">
        <v>0</v>
      </c>
      <c r="V51">
        <v>233842462</v>
      </c>
      <c r="W51">
        <v>233842462</v>
      </c>
      <c r="AC51" t="s">
        <v>5515</v>
      </c>
    </row>
    <row r="52" spans="1:30" x14ac:dyDescent="0.35">
      <c r="A52" t="s">
        <v>348</v>
      </c>
      <c r="C52" t="s">
        <v>34</v>
      </c>
      <c r="D52" t="s">
        <v>1264</v>
      </c>
      <c r="E52" t="s">
        <v>5577</v>
      </c>
      <c r="F52" t="s">
        <v>5578</v>
      </c>
      <c r="J52" t="s">
        <v>5465</v>
      </c>
      <c r="L52">
        <v>46038</v>
      </c>
      <c r="N52">
        <v>202953400</v>
      </c>
      <c r="P52">
        <v>0</v>
      </c>
      <c r="Q52">
        <v>0</v>
      </c>
      <c r="R52">
        <v>202953400</v>
      </c>
      <c r="S52">
        <v>0</v>
      </c>
      <c r="T52">
        <v>0</v>
      </c>
      <c r="U52">
        <v>0</v>
      </c>
      <c r="V52">
        <v>202953400</v>
      </c>
      <c r="W52">
        <v>202953400</v>
      </c>
      <c r="AC52" t="s">
        <v>5515</v>
      </c>
    </row>
    <row r="53" spans="1:30" x14ac:dyDescent="0.35">
      <c r="A53" t="s">
        <v>348</v>
      </c>
      <c r="C53" t="s">
        <v>34</v>
      </c>
      <c r="D53" t="s">
        <v>1386</v>
      </c>
      <c r="E53" t="s">
        <v>5579</v>
      </c>
      <c r="F53" t="s">
        <v>5580</v>
      </c>
      <c r="J53" t="s">
        <v>5465</v>
      </c>
      <c r="L53">
        <v>46038</v>
      </c>
      <c r="N53">
        <v>216412180</v>
      </c>
      <c r="P53">
        <v>0</v>
      </c>
      <c r="Q53">
        <v>0</v>
      </c>
      <c r="R53">
        <v>216412180</v>
      </c>
      <c r="S53">
        <v>0</v>
      </c>
      <c r="T53">
        <v>0</v>
      </c>
      <c r="U53">
        <v>0</v>
      </c>
      <c r="V53">
        <v>216412180</v>
      </c>
      <c r="W53">
        <v>216412180</v>
      </c>
      <c r="AC53" t="s">
        <v>5515</v>
      </c>
    </row>
    <row r="54" spans="1:30" x14ac:dyDescent="0.35">
      <c r="A54" t="s">
        <v>348</v>
      </c>
      <c r="C54" t="s">
        <v>34</v>
      </c>
      <c r="D54" t="s">
        <v>1479</v>
      </c>
      <c r="E54" t="s">
        <v>5581</v>
      </c>
      <c r="F54" t="s">
        <v>5582</v>
      </c>
      <c r="J54" t="s">
        <v>5465</v>
      </c>
      <c r="L54">
        <v>46038</v>
      </c>
      <c r="N54">
        <v>518164325</v>
      </c>
      <c r="P54">
        <v>0</v>
      </c>
      <c r="Q54">
        <v>0</v>
      </c>
      <c r="R54">
        <v>518164325</v>
      </c>
      <c r="S54">
        <v>0</v>
      </c>
      <c r="T54">
        <v>0</v>
      </c>
      <c r="U54">
        <v>0</v>
      </c>
      <c r="V54">
        <v>518164325</v>
      </c>
      <c r="W54">
        <v>518164325</v>
      </c>
      <c r="AC54" t="s">
        <v>5515</v>
      </c>
    </row>
    <row r="55" spans="1:30" x14ac:dyDescent="0.35">
      <c r="A55" t="s">
        <v>348</v>
      </c>
      <c r="C55" t="s">
        <v>34</v>
      </c>
      <c r="D55" t="s">
        <v>918</v>
      </c>
      <c r="E55" t="s">
        <v>5583</v>
      </c>
      <c r="F55" t="s">
        <v>5584</v>
      </c>
      <c r="J55" t="s">
        <v>5465</v>
      </c>
      <c r="L55">
        <v>46038</v>
      </c>
      <c r="N55">
        <v>497640000</v>
      </c>
      <c r="P55">
        <v>0</v>
      </c>
      <c r="Q55">
        <v>0</v>
      </c>
      <c r="R55">
        <v>497640000</v>
      </c>
      <c r="S55">
        <v>0</v>
      </c>
      <c r="T55">
        <v>0</v>
      </c>
      <c r="U55">
        <v>0</v>
      </c>
      <c r="V55">
        <v>497640000</v>
      </c>
      <c r="W55">
        <v>497640000</v>
      </c>
      <c r="AC55" t="s">
        <v>5515</v>
      </c>
    </row>
    <row r="56" spans="1:30" x14ac:dyDescent="0.35">
      <c r="A56" t="s">
        <v>348</v>
      </c>
      <c r="C56" t="s">
        <v>34</v>
      </c>
      <c r="D56" t="s">
        <v>859</v>
      </c>
      <c r="E56" t="s">
        <v>5585</v>
      </c>
      <c r="F56" t="s">
        <v>5586</v>
      </c>
      <c r="J56" t="s">
        <v>5465</v>
      </c>
      <c r="L56">
        <v>46038</v>
      </c>
      <c r="N56">
        <v>518320000</v>
      </c>
      <c r="P56">
        <v>0</v>
      </c>
      <c r="Q56">
        <v>0</v>
      </c>
      <c r="R56">
        <v>518320000</v>
      </c>
      <c r="S56">
        <v>0</v>
      </c>
      <c r="T56">
        <v>0</v>
      </c>
      <c r="U56">
        <v>0</v>
      </c>
      <c r="V56">
        <v>518320000</v>
      </c>
      <c r="W56">
        <v>518320000</v>
      </c>
      <c r="AC56" t="s">
        <v>5587</v>
      </c>
    </row>
    <row r="57" spans="1:30" x14ac:dyDescent="0.35">
      <c r="A57" t="s">
        <v>348</v>
      </c>
      <c r="C57" t="s">
        <v>34</v>
      </c>
      <c r="D57" t="s">
        <v>652</v>
      </c>
      <c r="E57" t="s">
        <v>5588</v>
      </c>
      <c r="F57" t="s">
        <v>5589</v>
      </c>
      <c r="J57" t="s">
        <v>5465</v>
      </c>
      <c r="L57">
        <v>46038</v>
      </c>
      <c r="N57">
        <v>25405000</v>
      </c>
      <c r="P57">
        <v>0</v>
      </c>
      <c r="Q57">
        <v>0</v>
      </c>
      <c r="R57">
        <v>25405000</v>
      </c>
      <c r="S57">
        <v>0</v>
      </c>
      <c r="T57">
        <v>0</v>
      </c>
      <c r="U57">
        <v>0</v>
      </c>
      <c r="V57">
        <v>25405000</v>
      </c>
      <c r="W57">
        <v>25405000</v>
      </c>
      <c r="AC57" t="s">
        <v>5587</v>
      </c>
    </row>
    <row r="58" spans="1:30" x14ac:dyDescent="0.35">
      <c r="A58" t="s">
        <v>348</v>
      </c>
      <c r="C58" t="s">
        <v>2044</v>
      </c>
      <c r="D58" t="s">
        <v>2200</v>
      </c>
      <c r="E58" t="s">
        <v>5590</v>
      </c>
      <c r="F58" t="s">
        <v>5591</v>
      </c>
      <c r="I58" t="s">
        <v>5592</v>
      </c>
      <c r="J58" t="s">
        <v>5443</v>
      </c>
      <c r="L58">
        <v>46039</v>
      </c>
      <c r="M58">
        <v>3328374886</v>
      </c>
      <c r="N58">
        <v>3328374886</v>
      </c>
      <c r="O58">
        <v>379649471</v>
      </c>
      <c r="P58">
        <v>0</v>
      </c>
      <c r="Q58">
        <v>2948725415</v>
      </c>
      <c r="R58">
        <v>0</v>
      </c>
      <c r="S58">
        <v>0</v>
      </c>
      <c r="T58">
        <v>0</v>
      </c>
      <c r="U58">
        <v>0</v>
      </c>
      <c r="V58">
        <v>3328374886</v>
      </c>
      <c r="W58">
        <v>2948725415</v>
      </c>
      <c r="Y58">
        <v>1379</v>
      </c>
      <c r="Z58">
        <v>1100</v>
      </c>
      <c r="AC58" t="s">
        <v>5593</v>
      </c>
      <c r="AD58" t="s">
        <v>1794</v>
      </c>
    </row>
    <row r="59" spans="1:30" x14ac:dyDescent="0.35">
      <c r="A59" t="s">
        <v>20</v>
      </c>
      <c r="C59" t="s">
        <v>112</v>
      </c>
      <c r="D59" t="s">
        <v>5338</v>
      </c>
      <c r="E59" t="s">
        <v>5594</v>
      </c>
      <c r="F59" t="s">
        <v>5595</v>
      </c>
      <c r="J59" t="s">
        <v>5443</v>
      </c>
      <c r="L59">
        <v>46039</v>
      </c>
      <c r="M59">
        <v>4561297290</v>
      </c>
      <c r="N59">
        <v>4561297290</v>
      </c>
      <c r="O59">
        <v>400177290</v>
      </c>
      <c r="P59">
        <v>4161120000</v>
      </c>
      <c r="Q59">
        <v>0</v>
      </c>
      <c r="R59">
        <v>0</v>
      </c>
      <c r="S59">
        <v>0</v>
      </c>
      <c r="T59">
        <v>0</v>
      </c>
      <c r="U59">
        <v>0</v>
      </c>
      <c r="V59">
        <v>4561297290</v>
      </c>
      <c r="W59">
        <v>4161120000</v>
      </c>
      <c r="Y59">
        <v>1500</v>
      </c>
      <c r="Z59">
        <v>1022</v>
      </c>
      <c r="AC59" t="s">
        <v>5596</v>
      </c>
      <c r="AD59" t="s">
        <v>2716</v>
      </c>
    </row>
    <row r="60" spans="1:30" x14ac:dyDescent="0.35">
      <c r="A60" t="s">
        <v>20</v>
      </c>
      <c r="C60" t="s">
        <v>301</v>
      </c>
      <c r="D60" t="s">
        <v>1724</v>
      </c>
      <c r="E60" t="s">
        <v>5597</v>
      </c>
      <c r="F60" t="s">
        <v>5598</v>
      </c>
      <c r="N60">
        <v>20500000</v>
      </c>
      <c r="P60">
        <v>0</v>
      </c>
      <c r="Q60">
        <v>0</v>
      </c>
      <c r="R60">
        <v>0</v>
      </c>
      <c r="S60">
        <v>0</v>
      </c>
      <c r="T60">
        <v>0</v>
      </c>
      <c r="U60">
        <v>20500000</v>
      </c>
      <c r="V60">
        <v>20500000</v>
      </c>
      <c r="W60">
        <v>20500000</v>
      </c>
    </row>
    <row r="61" spans="1:30" x14ac:dyDescent="0.35">
      <c r="A61" t="s">
        <v>20</v>
      </c>
      <c r="C61" t="s">
        <v>5599</v>
      </c>
      <c r="D61" t="s">
        <v>5452</v>
      </c>
      <c r="E61" t="s">
        <v>5600</v>
      </c>
      <c r="F61" t="s">
        <v>5601</v>
      </c>
      <c r="N61">
        <v>9500000</v>
      </c>
      <c r="P61">
        <v>0</v>
      </c>
      <c r="Q61">
        <v>0</v>
      </c>
      <c r="R61">
        <v>0</v>
      </c>
      <c r="S61">
        <v>0</v>
      </c>
      <c r="T61">
        <v>0</v>
      </c>
      <c r="U61">
        <v>9500000</v>
      </c>
      <c r="V61">
        <v>9500000</v>
      </c>
      <c r="W61">
        <v>9500000</v>
      </c>
    </row>
    <row r="62" spans="1:30" x14ac:dyDescent="0.35">
      <c r="A62" t="s">
        <v>20</v>
      </c>
      <c r="C62" t="s">
        <v>76</v>
      </c>
      <c r="D62" t="s">
        <v>5602</v>
      </c>
      <c r="E62" t="s">
        <v>5602</v>
      </c>
      <c r="F62" t="s">
        <v>5603</v>
      </c>
      <c r="J62" t="s">
        <v>5465</v>
      </c>
      <c r="L62">
        <v>46036</v>
      </c>
      <c r="N62">
        <v>149700000</v>
      </c>
      <c r="P62">
        <v>0</v>
      </c>
      <c r="Q62">
        <v>0</v>
      </c>
      <c r="R62">
        <v>149700000</v>
      </c>
      <c r="S62">
        <v>0</v>
      </c>
      <c r="T62">
        <v>0</v>
      </c>
      <c r="U62">
        <v>0</v>
      </c>
      <c r="V62">
        <v>149700000</v>
      </c>
      <c r="W62">
        <v>149700000</v>
      </c>
      <c r="AC62" t="s">
        <v>5604</v>
      </c>
    </row>
    <row r="63" spans="1:30" x14ac:dyDescent="0.35">
      <c r="A63" t="s">
        <v>20</v>
      </c>
      <c r="C63" t="s">
        <v>5599</v>
      </c>
      <c r="D63" t="s">
        <v>5452</v>
      </c>
      <c r="E63" t="s">
        <v>5605</v>
      </c>
      <c r="F63" t="s">
        <v>5606</v>
      </c>
      <c r="N63">
        <v>1015000</v>
      </c>
      <c r="P63">
        <v>0</v>
      </c>
      <c r="Q63">
        <v>0</v>
      </c>
      <c r="R63">
        <v>0</v>
      </c>
      <c r="S63">
        <v>0</v>
      </c>
      <c r="T63">
        <v>0</v>
      </c>
      <c r="U63">
        <v>1015000</v>
      </c>
      <c r="V63">
        <v>1015000</v>
      </c>
      <c r="W63">
        <v>1015000</v>
      </c>
    </row>
    <row r="64" spans="1:30" x14ac:dyDescent="0.35">
      <c r="A64" t="s">
        <v>348</v>
      </c>
      <c r="C64" t="s">
        <v>76</v>
      </c>
      <c r="D64" t="s">
        <v>5550</v>
      </c>
      <c r="E64" t="s">
        <v>5607</v>
      </c>
      <c r="F64" t="s">
        <v>5608</v>
      </c>
      <c r="J64" t="s">
        <v>5465</v>
      </c>
      <c r="L64">
        <v>46048</v>
      </c>
      <c r="N64">
        <v>700640000</v>
      </c>
      <c r="P64">
        <v>0</v>
      </c>
      <c r="Q64">
        <v>0</v>
      </c>
      <c r="R64">
        <v>700640000</v>
      </c>
      <c r="S64">
        <v>0</v>
      </c>
      <c r="T64">
        <v>0</v>
      </c>
      <c r="U64">
        <v>0</v>
      </c>
      <c r="V64">
        <v>700640000</v>
      </c>
      <c r="W64">
        <v>700640000</v>
      </c>
      <c r="AC64" t="s">
        <v>5571</v>
      </c>
    </row>
    <row r="65" spans="1:30" x14ac:dyDescent="0.35">
      <c r="A65" t="s">
        <v>20</v>
      </c>
      <c r="C65" t="s">
        <v>34</v>
      </c>
      <c r="D65" t="s">
        <v>2239</v>
      </c>
      <c r="E65" t="s">
        <v>5609</v>
      </c>
      <c r="F65" t="s">
        <v>5610</v>
      </c>
      <c r="J65" t="s">
        <v>5443</v>
      </c>
      <c r="L65">
        <v>46051</v>
      </c>
      <c r="M65">
        <v>4052927111</v>
      </c>
      <c r="N65">
        <v>4052927111</v>
      </c>
      <c r="O65">
        <v>248670000</v>
      </c>
      <c r="P65">
        <v>3728007111</v>
      </c>
      <c r="Q65">
        <v>0</v>
      </c>
      <c r="R65">
        <v>0</v>
      </c>
      <c r="S65">
        <v>76250000</v>
      </c>
      <c r="T65">
        <v>0</v>
      </c>
      <c r="U65">
        <v>0</v>
      </c>
      <c r="V65">
        <v>4052927111</v>
      </c>
      <c r="W65">
        <v>3804257111</v>
      </c>
      <c r="Y65">
        <v>1269</v>
      </c>
      <c r="Z65">
        <v>825</v>
      </c>
      <c r="AC65" t="s">
        <v>5611</v>
      </c>
      <c r="AD65" t="s">
        <v>2716</v>
      </c>
    </row>
    <row r="66" spans="1:30" x14ac:dyDescent="0.35">
      <c r="A66" t="s">
        <v>20</v>
      </c>
      <c r="C66" t="s">
        <v>76</v>
      </c>
      <c r="D66" t="s">
        <v>3163</v>
      </c>
      <c r="E66" t="s">
        <v>5612</v>
      </c>
      <c r="F66" t="s">
        <v>5613</v>
      </c>
      <c r="J66" t="s">
        <v>5443</v>
      </c>
      <c r="L66">
        <v>46051</v>
      </c>
      <c r="M66">
        <v>4054743059</v>
      </c>
      <c r="N66">
        <v>4054743059</v>
      </c>
      <c r="O66">
        <v>88743059</v>
      </c>
      <c r="P66">
        <v>3966000000</v>
      </c>
      <c r="Q66">
        <v>0</v>
      </c>
      <c r="R66">
        <v>0</v>
      </c>
      <c r="S66">
        <v>0</v>
      </c>
      <c r="T66">
        <v>0</v>
      </c>
      <c r="U66">
        <v>0</v>
      </c>
      <c r="V66">
        <v>4054743059</v>
      </c>
      <c r="W66">
        <v>3966000000</v>
      </c>
      <c r="Y66">
        <v>1219</v>
      </c>
      <c r="Z66">
        <v>792</v>
      </c>
      <c r="AC66" t="s">
        <v>5614</v>
      </c>
      <c r="AD66" t="s">
        <v>2716</v>
      </c>
    </row>
    <row r="67" spans="1:30" x14ac:dyDescent="0.35">
      <c r="A67" t="s">
        <v>20</v>
      </c>
      <c r="C67" t="s">
        <v>76</v>
      </c>
      <c r="D67" t="s">
        <v>2350</v>
      </c>
      <c r="E67" t="s">
        <v>5615</v>
      </c>
      <c r="F67" t="s">
        <v>5616</v>
      </c>
      <c r="J67" t="s">
        <v>5443</v>
      </c>
      <c r="L67">
        <v>46051</v>
      </c>
      <c r="M67">
        <v>4122000000</v>
      </c>
      <c r="N67">
        <v>4122000000</v>
      </c>
      <c r="O67">
        <v>355000000</v>
      </c>
      <c r="P67">
        <v>3767000000</v>
      </c>
      <c r="Q67">
        <v>0</v>
      </c>
      <c r="R67">
        <v>0</v>
      </c>
      <c r="S67">
        <v>0</v>
      </c>
      <c r="T67">
        <v>0</v>
      </c>
      <c r="U67">
        <v>0</v>
      </c>
      <c r="V67">
        <v>4122000000</v>
      </c>
      <c r="W67">
        <v>3767000000</v>
      </c>
      <c r="Y67">
        <v>1386</v>
      </c>
      <c r="Z67">
        <v>970</v>
      </c>
      <c r="AC67" t="s">
        <v>5617</v>
      </c>
      <c r="AD67" t="s">
        <v>2716</v>
      </c>
    </row>
    <row r="68" spans="1:30" x14ac:dyDescent="0.35">
      <c r="A68" t="s">
        <v>348</v>
      </c>
      <c r="C68" t="s">
        <v>76</v>
      </c>
      <c r="D68" t="s">
        <v>5618</v>
      </c>
      <c r="E68" t="s">
        <v>5619</v>
      </c>
      <c r="F68" t="s">
        <v>1044</v>
      </c>
      <c r="J68" t="s">
        <v>5443</v>
      </c>
      <c r="L68">
        <v>46056</v>
      </c>
      <c r="M68">
        <v>2028650000</v>
      </c>
      <c r="N68">
        <v>2028650000</v>
      </c>
      <c r="O68">
        <v>247000000</v>
      </c>
      <c r="P68">
        <v>0</v>
      </c>
      <c r="Q68">
        <v>0</v>
      </c>
      <c r="R68">
        <v>1781650000</v>
      </c>
      <c r="S68">
        <v>0</v>
      </c>
      <c r="T68">
        <v>0</v>
      </c>
      <c r="U68">
        <v>0</v>
      </c>
      <c r="V68">
        <v>2028650000</v>
      </c>
      <c r="W68">
        <v>1781650000</v>
      </c>
      <c r="AC68" t="s">
        <v>5620</v>
      </c>
    </row>
    <row r="69" spans="1:30" x14ac:dyDescent="0.35">
      <c r="A69" t="s">
        <v>348</v>
      </c>
      <c r="C69" t="s">
        <v>5621</v>
      </c>
      <c r="D69" t="s">
        <v>5622</v>
      </c>
      <c r="E69" t="s">
        <v>5622</v>
      </c>
      <c r="F69" t="s">
        <v>5623</v>
      </c>
      <c r="N69">
        <v>1497033758</v>
      </c>
      <c r="P69">
        <v>0</v>
      </c>
      <c r="Q69">
        <v>0</v>
      </c>
      <c r="R69">
        <v>0</v>
      </c>
      <c r="S69">
        <v>0</v>
      </c>
      <c r="T69">
        <v>0</v>
      </c>
      <c r="U69">
        <v>1497033758</v>
      </c>
      <c r="V69">
        <v>1497033758</v>
      </c>
      <c r="W69">
        <v>1497033758</v>
      </c>
      <c r="AC69" t="s">
        <v>5624</v>
      </c>
    </row>
    <row r="70" spans="1:30" x14ac:dyDescent="0.35">
      <c r="A70" t="s">
        <v>348</v>
      </c>
      <c r="C70" t="s">
        <v>5621</v>
      </c>
      <c r="D70" t="s">
        <v>5625</v>
      </c>
      <c r="E70" t="s">
        <v>5625</v>
      </c>
      <c r="F70" t="s">
        <v>5626</v>
      </c>
      <c r="N70">
        <v>194968801</v>
      </c>
      <c r="P70">
        <v>0</v>
      </c>
      <c r="Q70">
        <v>0</v>
      </c>
      <c r="R70">
        <v>0</v>
      </c>
      <c r="S70">
        <v>0</v>
      </c>
      <c r="T70">
        <v>0</v>
      </c>
      <c r="U70">
        <v>194968801</v>
      </c>
      <c r="V70">
        <v>194968801</v>
      </c>
      <c r="W70">
        <v>194968801</v>
      </c>
      <c r="AC70" t="s">
        <v>5624</v>
      </c>
    </row>
    <row r="71" spans="1:30" x14ac:dyDescent="0.35">
      <c r="A71" t="s">
        <v>348</v>
      </c>
      <c r="C71" t="s">
        <v>5621</v>
      </c>
      <c r="D71" t="s">
        <v>5627</v>
      </c>
      <c r="E71" t="s">
        <v>5627</v>
      </c>
      <c r="F71" t="s">
        <v>5628</v>
      </c>
      <c r="N71">
        <v>28584720</v>
      </c>
      <c r="P71">
        <v>0</v>
      </c>
      <c r="Q71">
        <v>0</v>
      </c>
      <c r="R71">
        <v>0</v>
      </c>
      <c r="S71">
        <v>0</v>
      </c>
      <c r="T71">
        <v>0</v>
      </c>
      <c r="U71">
        <v>28584720</v>
      </c>
      <c r="V71">
        <v>28584720</v>
      </c>
      <c r="W71">
        <v>28584720</v>
      </c>
      <c r="AC71" t="s">
        <v>5624</v>
      </c>
    </row>
    <row r="72" spans="1:30" x14ac:dyDescent="0.35">
      <c r="A72" t="s">
        <v>348</v>
      </c>
      <c r="C72" t="s">
        <v>5621</v>
      </c>
      <c r="D72" t="s">
        <v>5629</v>
      </c>
      <c r="E72" t="s">
        <v>5629</v>
      </c>
      <c r="F72" t="s">
        <v>5630</v>
      </c>
      <c r="N72">
        <v>28584720</v>
      </c>
      <c r="P72">
        <v>0</v>
      </c>
      <c r="Q72">
        <v>0</v>
      </c>
      <c r="R72">
        <v>0</v>
      </c>
      <c r="S72">
        <v>0</v>
      </c>
      <c r="T72">
        <v>0</v>
      </c>
      <c r="U72">
        <v>28584720</v>
      </c>
      <c r="V72">
        <v>28584720</v>
      </c>
      <c r="W72">
        <v>28584720</v>
      </c>
      <c r="AC72" t="s">
        <v>5624</v>
      </c>
    </row>
    <row r="73" spans="1:30" x14ac:dyDescent="0.35">
      <c r="A73" t="s">
        <v>348</v>
      </c>
      <c r="C73" t="s">
        <v>5621</v>
      </c>
      <c r="D73" t="s">
        <v>5631</v>
      </c>
      <c r="E73" t="s">
        <v>5631</v>
      </c>
      <c r="F73" t="s">
        <v>5632</v>
      </c>
      <c r="N73">
        <v>10421568</v>
      </c>
      <c r="P73">
        <v>0</v>
      </c>
      <c r="Q73">
        <v>0</v>
      </c>
      <c r="R73">
        <v>0</v>
      </c>
      <c r="S73">
        <v>0</v>
      </c>
      <c r="T73">
        <v>0</v>
      </c>
      <c r="U73">
        <v>10421568</v>
      </c>
      <c r="V73">
        <v>10421568</v>
      </c>
      <c r="W73">
        <v>10421568</v>
      </c>
      <c r="AC73" t="s">
        <v>5624</v>
      </c>
    </row>
    <row r="74" spans="1:30" x14ac:dyDescent="0.35">
      <c r="A74" t="s">
        <v>348</v>
      </c>
      <c r="C74" t="s">
        <v>5621</v>
      </c>
      <c r="D74" t="s">
        <v>5633</v>
      </c>
      <c r="E74" t="s">
        <v>5633</v>
      </c>
      <c r="F74" t="s">
        <v>5634</v>
      </c>
      <c r="N74">
        <v>30692160</v>
      </c>
      <c r="P74">
        <v>0</v>
      </c>
      <c r="Q74">
        <v>0</v>
      </c>
      <c r="R74">
        <v>0</v>
      </c>
      <c r="S74">
        <v>0</v>
      </c>
      <c r="T74">
        <v>0</v>
      </c>
      <c r="U74">
        <v>30692160</v>
      </c>
      <c r="V74">
        <v>30692160</v>
      </c>
      <c r="W74">
        <v>30692160</v>
      </c>
      <c r="AC74" t="s">
        <v>5624</v>
      </c>
    </row>
    <row r="75" spans="1:30" x14ac:dyDescent="0.35">
      <c r="A75" t="s">
        <v>348</v>
      </c>
      <c r="C75" t="s">
        <v>5621</v>
      </c>
      <c r="D75" t="s">
        <v>5635</v>
      </c>
      <c r="E75" t="s">
        <v>5635</v>
      </c>
      <c r="F75" t="s">
        <v>5636</v>
      </c>
      <c r="N75">
        <v>8330400</v>
      </c>
      <c r="P75">
        <v>0</v>
      </c>
      <c r="Q75">
        <v>0</v>
      </c>
      <c r="R75">
        <v>0</v>
      </c>
      <c r="S75">
        <v>0</v>
      </c>
      <c r="T75">
        <v>0</v>
      </c>
      <c r="U75">
        <v>8330400</v>
      </c>
      <c r="V75">
        <v>8330400</v>
      </c>
      <c r="W75">
        <v>8330400</v>
      </c>
      <c r="AC75" t="s">
        <v>5624</v>
      </c>
    </row>
    <row r="76" spans="1:30" x14ac:dyDescent="0.35">
      <c r="A76" t="s">
        <v>348</v>
      </c>
      <c r="C76" t="s">
        <v>5621</v>
      </c>
      <c r="D76" t="s">
        <v>5637</v>
      </c>
      <c r="E76" t="s">
        <v>5637</v>
      </c>
      <c r="F76" t="s">
        <v>5638</v>
      </c>
      <c r="N76">
        <v>64411200</v>
      </c>
      <c r="P76">
        <v>0</v>
      </c>
      <c r="Q76">
        <v>0</v>
      </c>
      <c r="R76">
        <v>0</v>
      </c>
      <c r="S76">
        <v>0</v>
      </c>
      <c r="T76">
        <v>0</v>
      </c>
      <c r="U76">
        <v>64411200</v>
      </c>
      <c r="V76">
        <v>64411200</v>
      </c>
      <c r="W76">
        <v>64411200</v>
      </c>
      <c r="AC76" t="s">
        <v>5624</v>
      </c>
    </row>
    <row r="77" spans="1:30" x14ac:dyDescent="0.35">
      <c r="A77" t="s">
        <v>348</v>
      </c>
      <c r="C77" t="s">
        <v>5621</v>
      </c>
      <c r="D77" t="s">
        <v>5639</v>
      </c>
      <c r="E77" t="s">
        <v>5639</v>
      </c>
      <c r="F77" t="s">
        <v>5640</v>
      </c>
      <c r="N77">
        <v>14220000</v>
      </c>
      <c r="P77">
        <v>0</v>
      </c>
      <c r="Q77">
        <v>0</v>
      </c>
      <c r="R77">
        <v>0</v>
      </c>
      <c r="S77">
        <v>0</v>
      </c>
      <c r="T77">
        <v>0</v>
      </c>
      <c r="U77">
        <v>14220000</v>
      </c>
      <c r="V77">
        <v>14220000</v>
      </c>
      <c r="W77">
        <v>14220000</v>
      </c>
      <c r="AC77" t="s">
        <v>5624</v>
      </c>
    </row>
    <row r="78" spans="1:30" x14ac:dyDescent="0.35">
      <c r="A78" t="s">
        <v>348</v>
      </c>
      <c r="C78" t="s">
        <v>5621</v>
      </c>
      <c r="D78" t="s">
        <v>5641</v>
      </c>
      <c r="E78" t="s">
        <v>5641</v>
      </c>
      <c r="F78" t="s">
        <v>5642</v>
      </c>
      <c r="N78">
        <v>2841539200</v>
      </c>
      <c r="P78">
        <v>0</v>
      </c>
      <c r="Q78">
        <v>0</v>
      </c>
      <c r="R78">
        <v>0</v>
      </c>
      <c r="S78">
        <v>0</v>
      </c>
      <c r="T78">
        <v>0</v>
      </c>
      <c r="U78">
        <v>2841539200</v>
      </c>
      <c r="V78">
        <v>2841539200</v>
      </c>
      <c r="W78">
        <v>2841539200</v>
      </c>
      <c r="AC78" t="s">
        <v>5624</v>
      </c>
    </row>
    <row r="79" spans="1:30" x14ac:dyDescent="0.35">
      <c r="A79" t="s">
        <v>20</v>
      </c>
      <c r="C79" t="s">
        <v>76</v>
      </c>
      <c r="D79" t="s">
        <v>263</v>
      </c>
      <c r="E79" t="s">
        <v>5643</v>
      </c>
      <c r="F79" t="s">
        <v>5644</v>
      </c>
      <c r="J79" t="s">
        <v>5542</v>
      </c>
      <c r="L79">
        <v>46056</v>
      </c>
      <c r="N79">
        <v>43615000</v>
      </c>
      <c r="P79">
        <v>0</v>
      </c>
      <c r="Q79">
        <v>0</v>
      </c>
      <c r="R79">
        <v>43615000</v>
      </c>
      <c r="S79">
        <v>0</v>
      </c>
      <c r="T79">
        <v>0</v>
      </c>
      <c r="U79">
        <v>0</v>
      </c>
      <c r="V79">
        <v>43615000</v>
      </c>
      <c r="W79">
        <v>43615000</v>
      </c>
      <c r="AC79" t="s">
        <v>5645</v>
      </c>
    </row>
    <row r="80" spans="1:30" x14ac:dyDescent="0.35">
      <c r="A80" t="s">
        <v>20</v>
      </c>
      <c r="C80" t="s">
        <v>1311</v>
      </c>
      <c r="D80" t="s">
        <v>2173</v>
      </c>
      <c r="E80" t="s">
        <v>5646</v>
      </c>
      <c r="F80" t="s">
        <v>5647</v>
      </c>
      <c r="N80">
        <v>11200000</v>
      </c>
      <c r="P80">
        <v>0</v>
      </c>
      <c r="Q80">
        <v>0</v>
      </c>
      <c r="R80">
        <v>0</v>
      </c>
      <c r="S80">
        <v>0</v>
      </c>
      <c r="T80">
        <v>0</v>
      </c>
      <c r="U80">
        <v>11200000</v>
      </c>
      <c r="V80">
        <v>11200000</v>
      </c>
      <c r="W80">
        <v>11200000</v>
      </c>
      <c r="AD80" t="s">
        <v>1794</v>
      </c>
    </row>
    <row r="81" spans="1:29" x14ac:dyDescent="0.35">
      <c r="A81" t="s">
        <v>20</v>
      </c>
      <c r="C81" t="s">
        <v>76</v>
      </c>
      <c r="D81" t="s">
        <v>194</v>
      </c>
      <c r="E81" t="s">
        <v>5648</v>
      </c>
      <c r="F81" t="s">
        <v>5649</v>
      </c>
      <c r="J81" t="s">
        <v>5542</v>
      </c>
      <c r="L81">
        <v>46057</v>
      </c>
      <c r="N81">
        <v>27360000</v>
      </c>
      <c r="P81">
        <v>0</v>
      </c>
      <c r="Q81">
        <v>0</v>
      </c>
      <c r="R81">
        <v>27360000</v>
      </c>
      <c r="S81">
        <v>0</v>
      </c>
      <c r="T81">
        <v>0</v>
      </c>
      <c r="U81">
        <v>0</v>
      </c>
      <c r="V81">
        <v>27360000</v>
      </c>
      <c r="W81">
        <v>27360000</v>
      </c>
      <c r="AC81" t="s">
        <v>5515</v>
      </c>
    </row>
    <row r="82" spans="1:29" x14ac:dyDescent="0.35">
      <c r="A82" t="s">
        <v>20</v>
      </c>
      <c r="C82" t="s">
        <v>76</v>
      </c>
      <c r="D82" t="s">
        <v>201</v>
      </c>
      <c r="E82" t="s">
        <v>5650</v>
      </c>
      <c r="F82" t="s">
        <v>5651</v>
      </c>
      <c r="N82">
        <v>14400000</v>
      </c>
      <c r="P82">
        <v>0</v>
      </c>
      <c r="Q82">
        <v>0</v>
      </c>
      <c r="R82">
        <v>0</v>
      </c>
      <c r="S82">
        <v>0</v>
      </c>
      <c r="T82">
        <v>0</v>
      </c>
      <c r="U82">
        <v>14400000</v>
      </c>
      <c r="V82">
        <v>14400000</v>
      </c>
      <c r="W82">
        <v>14400000</v>
      </c>
    </row>
    <row r="83" spans="1:29" x14ac:dyDescent="0.35">
      <c r="A83" t="s">
        <v>5437</v>
      </c>
      <c r="C83" t="s">
        <v>5437</v>
      </c>
      <c r="D83" t="s">
        <v>5652</v>
      </c>
      <c r="E83" t="s">
        <v>5652</v>
      </c>
      <c r="F83" t="s">
        <v>5653</v>
      </c>
      <c r="N83">
        <v>281678000</v>
      </c>
      <c r="P83">
        <v>0</v>
      </c>
      <c r="Q83">
        <v>0</v>
      </c>
      <c r="R83">
        <v>0</v>
      </c>
      <c r="S83">
        <v>0</v>
      </c>
      <c r="T83">
        <v>165678000</v>
      </c>
      <c r="U83">
        <v>116000000</v>
      </c>
      <c r="V83">
        <v>281678000</v>
      </c>
      <c r="W83">
        <v>281678000</v>
      </c>
      <c r="AC83" t="s">
        <v>5440</v>
      </c>
    </row>
    <row r="84" spans="1:29" x14ac:dyDescent="0.35">
      <c r="A84" t="s">
        <v>20</v>
      </c>
      <c r="C84" t="s">
        <v>2059</v>
      </c>
      <c r="D84" t="s">
        <v>1276</v>
      </c>
      <c r="E84" t="s">
        <v>5654</v>
      </c>
      <c r="F84" t="s">
        <v>5655</v>
      </c>
      <c r="N84">
        <v>1000000</v>
      </c>
      <c r="P84">
        <v>0</v>
      </c>
      <c r="Q84">
        <v>0</v>
      </c>
      <c r="R84">
        <v>0</v>
      </c>
      <c r="S84">
        <v>0</v>
      </c>
      <c r="T84">
        <v>0</v>
      </c>
      <c r="U84">
        <v>1000000</v>
      </c>
      <c r="V84">
        <v>1000000</v>
      </c>
      <c r="W84">
        <v>1000000</v>
      </c>
    </row>
    <row r="85" spans="1:29" x14ac:dyDescent="0.35">
      <c r="A85" t="s">
        <v>5437</v>
      </c>
      <c r="C85" t="s">
        <v>5437</v>
      </c>
      <c r="D85" t="s">
        <v>5656</v>
      </c>
      <c r="E85" t="s">
        <v>5656</v>
      </c>
      <c r="F85" t="s">
        <v>5657</v>
      </c>
      <c r="N85">
        <v>72500000</v>
      </c>
      <c r="P85">
        <v>0</v>
      </c>
      <c r="Q85">
        <v>0</v>
      </c>
      <c r="R85">
        <v>0</v>
      </c>
      <c r="S85">
        <v>0</v>
      </c>
      <c r="T85">
        <v>0</v>
      </c>
      <c r="U85">
        <v>72500000</v>
      </c>
      <c r="V85">
        <v>72500000</v>
      </c>
      <c r="W85">
        <v>72500000</v>
      </c>
      <c r="AC85" t="s">
        <v>5440</v>
      </c>
    </row>
    <row r="86" spans="1:29" x14ac:dyDescent="0.35">
      <c r="A86" t="s">
        <v>5437</v>
      </c>
      <c r="C86" t="s">
        <v>5437</v>
      </c>
      <c r="D86" t="s">
        <v>5658</v>
      </c>
      <c r="E86" t="s">
        <v>5658</v>
      </c>
      <c r="F86" t="s">
        <v>5659</v>
      </c>
      <c r="N86">
        <v>756000000</v>
      </c>
      <c r="P86">
        <v>0</v>
      </c>
      <c r="Q86">
        <v>0</v>
      </c>
      <c r="R86">
        <v>0</v>
      </c>
      <c r="S86">
        <v>0</v>
      </c>
      <c r="T86">
        <v>0</v>
      </c>
      <c r="U86">
        <v>756000000</v>
      </c>
      <c r="V86">
        <v>756000000</v>
      </c>
      <c r="W86">
        <v>756000000</v>
      </c>
      <c r="AC86" t="s">
        <v>5440</v>
      </c>
    </row>
    <row r="87" spans="1:29" x14ac:dyDescent="0.35">
      <c r="A87" t="s">
        <v>5437</v>
      </c>
      <c r="C87" t="s">
        <v>5437</v>
      </c>
      <c r="D87" t="s">
        <v>5660</v>
      </c>
      <c r="E87" t="s">
        <v>5660</v>
      </c>
      <c r="F87" t="s">
        <v>5661</v>
      </c>
      <c r="N87">
        <v>58000000</v>
      </c>
      <c r="P87">
        <v>0</v>
      </c>
      <c r="Q87">
        <v>0</v>
      </c>
      <c r="R87">
        <v>0</v>
      </c>
      <c r="S87">
        <v>0</v>
      </c>
      <c r="T87">
        <v>0</v>
      </c>
      <c r="U87">
        <v>58000000</v>
      </c>
      <c r="V87">
        <v>58000000</v>
      </c>
      <c r="W87">
        <v>58000000</v>
      </c>
      <c r="AC87" t="s">
        <v>5440</v>
      </c>
    </row>
    <row r="88" spans="1:29" x14ac:dyDescent="0.35">
      <c r="A88" t="s">
        <v>5437</v>
      </c>
      <c r="C88" t="s">
        <v>5437</v>
      </c>
      <c r="D88" t="s">
        <v>5662</v>
      </c>
      <c r="E88" t="s">
        <v>5662</v>
      </c>
      <c r="F88" t="s">
        <v>5663</v>
      </c>
      <c r="N88">
        <v>100000000</v>
      </c>
      <c r="P88">
        <v>0</v>
      </c>
      <c r="Q88">
        <v>0</v>
      </c>
      <c r="R88">
        <v>0</v>
      </c>
      <c r="S88">
        <v>0</v>
      </c>
      <c r="T88">
        <v>0</v>
      </c>
      <c r="U88">
        <v>100000000</v>
      </c>
      <c r="V88">
        <v>100000000</v>
      </c>
      <c r="W88">
        <v>100000000</v>
      </c>
      <c r="AC88" t="s">
        <v>5440</v>
      </c>
    </row>
    <row r="89" spans="1:29" x14ac:dyDescent="0.35">
      <c r="A89" t="s">
        <v>5437</v>
      </c>
      <c r="C89" t="s">
        <v>5437</v>
      </c>
      <c r="D89" t="s">
        <v>5664</v>
      </c>
      <c r="E89" t="s">
        <v>5664</v>
      </c>
      <c r="F89" t="s">
        <v>5665</v>
      </c>
      <c r="N89">
        <v>50000000</v>
      </c>
      <c r="P89">
        <v>0</v>
      </c>
      <c r="Q89">
        <v>0</v>
      </c>
      <c r="R89">
        <v>0</v>
      </c>
      <c r="S89">
        <v>0</v>
      </c>
      <c r="T89">
        <v>0</v>
      </c>
      <c r="U89">
        <v>50000000</v>
      </c>
      <c r="V89">
        <v>50000000</v>
      </c>
      <c r="W89">
        <v>50000000</v>
      </c>
      <c r="AC89" t="s">
        <v>5440</v>
      </c>
    </row>
    <row r="90" spans="1:29" x14ac:dyDescent="0.35">
      <c r="A90" t="s">
        <v>5437</v>
      </c>
      <c r="C90" t="s">
        <v>5437</v>
      </c>
      <c r="D90" t="s">
        <v>5666</v>
      </c>
      <c r="E90" t="s">
        <v>5666</v>
      </c>
      <c r="F90" t="s">
        <v>5667</v>
      </c>
      <c r="N90">
        <v>43500000</v>
      </c>
      <c r="P90">
        <v>0</v>
      </c>
      <c r="Q90">
        <v>0</v>
      </c>
      <c r="R90">
        <v>0</v>
      </c>
      <c r="S90">
        <v>0</v>
      </c>
      <c r="T90">
        <v>0</v>
      </c>
      <c r="U90">
        <v>43500000</v>
      </c>
      <c r="V90">
        <v>43500000</v>
      </c>
      <c r="W90">
        <v>43500000</v>
      </c>
      <c r="AC90" t="s">
        <v>5440</v>
      </c>
    </row>
    <row r="91" spans="1:29" x14ac:dyDescent="0.35">
      <c r="A91" t="s">
        <v>5437</v>
      </c>
      <c r="C91" t="s">
        <v>5437</v>
      </c>
      <c r="D91" t="s">
        <v>5668</v>
      </c>
      <c r="E91" t="s">
        <v>5668</v>
      </c>
      <c r="F91" t="s">
        <v>5669</v>
      </c>
      <c r="N91">
        <v>600000000</v>
      </c>
      <c r="P91">
        <v>0</v>
      </c>
      <c r="Q91">
        <v>0</v>
      </c>
      <c r="R91">
        <v>0</v>
      </c>
      <c r="S91">
        <v>0</v>
      </c>
      <c r="T91">
        <v>0</v>
      </c>
      <c r="U91">
        <v>600000000</v>
      </c>
      <c r="V91">
        <v>600000000</v>
      </c>
      <c r="W91">
        <v>600000000</v>
      </c>
      <c r="AC91" t="s">
        <v>5440</v>
      </c>
    </row>
    <row r="92" spans="1:29" x14ac:dyDescent="0.35">
      <c r="A92" t="s">
        <v>5437</v>
      </c>
      <c r="C92" t="s">
        <v>5437</v>
      </c>
      <c r="D92" t="s">
        <v>5670</v>
      </c>
      <c r="E92" t="s">
        <v>5670</v>
      </c>
      <c r="F92" t="s">
        <v>5671</v>
      </c>
      <c r="N92">
        <v>56000000</v>
      </c>
      <c r="P92">
        <v>0</v>
      </c>
      <c r="Q92">
        <v>0</v>
      </c>
      <c r="R92">
        <v>0</v>
      </c>
      <c r="S92">
        <v>0</v>
      </c>
      <c r="T92">
        <v>0</v>
      </c>
      <c r="U92">
        <v>56000000</v>
      </c>
      <c r="V92">
        <v>56000000</v>
      </c>
      <c r="W92">
        <v>56000000</v>
      </c>
      <c r="AC92" t="s">
        <v>5440</v>
      </c>
    </row>
    <row r="93" spans="1:29" x14ac:dyDescent="0.35">
      <c r="A93" t="s">
        <v>5437</v>
      </c>
      <c r="C93" t="s">
        <v>5437</v>
      </c>
      <c r="D93" t="s">
        <v>5672</v>
      </c>
      <c r="E93" t="s">
        <v>5672</v>
      </c>
      <c r="F93" t="s">
        <v>5673</v>
      </c>
      <c r="N93">
        <v>254000000</v>
      </c>
      <c r="P93">
        <v>0</v>
      </c>
      <c r="Q93">
        <v>0</v>
      </c>
      <c r="R93">
        <v>0</v>
      </c>
      <c r="S93">
        <v>0</v>
      </c>
      <c r="T93">
        <v>0</v>
      </c>
      <c r="U93">
        <v>254000000</v>
      </c>
      <c r="V93">
        <v>254000000</v>
      </c>
      <c r="W93">
        <v>254000000</v>
      </c>
      <c r="AC93" t="s">
        <v>5440</v>
      </c>
    </row>
    <row r="94" spans="1:29" x14ac:dyDescent="0.35">
      <c r="A94" t="s">
        <v>5437</v>
      </c>
      <c r="C94" t="s">
        <v>5437</v>
      </c>
      <c r="D94" t="s">
        <v>5674</v>
      </c>
      <c r="E94" t="s">
        <v>5674</v>
      </c>
      <c r="F94" t="s">
        <v>5675</v>
      </c>
      <c r="N94">
        <v>54000000</v>
      </c>
      <c r="P94">
        <v>0</v>
      </c>
      <c r="Q94">
        <v>0</v>
      </c>
      <c r="R94">
        <v>0</v>
      </c>
      <c r="S94">
        <v>0</v>
      </c>
      <c r="T94">
        <v>0</v>
      </c>
      <c r="U94">
        <v>54000000</v>
      </c>
      <c r="V94">
        <v>54000000</v>
      </c>
      <c r="W94">
        <v>54000000</v>
      </c>
      <c r="AC94" t="s">
        <v>5440</v>
      </c>
    </row>
    <row r="95" spans="1:29" x14ac:dyDescent="0.35">
      <c r="A95" t="s">
        <v>5437</v>
      </c>
      <c r="C95" t="s">
        <v>5437</v>
      </c>
      <c r="D95" t="s">
        <v>5676</v>
      </c>
      <c r="E95" t="s">
        <v>5676</v>
      </c>
      <c r="F95" t="s">
        <v>5677</v>
      </c>
      <c r="N95">
        <v>534540111</v>
      </c>
      <c r="P95">
        <v>0</v>
      </c>
      <c r="Q95">
        <v>0</v>
      </c>
      <c r="R95">
        <v>0</v>
      </c>
      <c r="S95">
        <v>0</v>
      </c>
      <c r="T95">
        <v>534540111</v>
      </c>
      <c r="U95">
        <v>0</v>
      </c>
      <c r="V95">
        <v>534540111</v>
      </c>
      <c r="W95">
        <v>534540111</v>
      </c>
      <c r="AC95" t="s">
        <v>5440</v>
      </c>
    </row>
    <row r="96" spans="1:29" x14ac:dyDescent="0.35">
      <c r="A96" t="s">
        <v>5437</v>
      </c>
      <c r="C96" t="s">
        <v>5437</v>
      </c>
      <c r="D96" t="s">
        <v>5564</v>
      </c>
      <c r="E96" t="s">
        <v>5678</v>
      </c>
      <c r="F96" t="s">
        <v>5679</v>
      </c>
      <c r="N96">
        <v>148921430</v>
      </c>
      <c r="P96">
        <v>0</v>
      </c>
      <c r="Q96">
        <v>0</v>
      </c>
      <c r="R96">
        <v>0</v>
      </c>
      <c r="S96">
        <v>0</v>
      </c>
      <c r="T96">
        <v>148921430</v>
      </c>
      <c r="U96">
        <v>0</v>
      </c>
      <c r="V96">
        <v>148921430</v>
      </c>
      <c r="W96">
        <v>148921430</v>
      </c>
      <c r="AC96" t="s">
        <v>5440</v>
      </c>
    </row>
    <row r="97" spans="1:30" x14ac:dyDescent="0.35">
      <c r="A97" t="s">
        <v>5437</v>
      </c>
      <c r="C97" t="s">
        <v>5437</v>
      </c>
      <c r="D97" t="s">
        <v>5564</v>
      </c>
      <c r="E97" t="s">
        <v>5680</v>
      </c>
      <c r="F97" t="s">
        <v>5681</v>
      </c>
      <c r="N97">
        <v>566912861</v>
      </c>
      <c r="P97">
        <v>0</v>
      </c>
      <c r="Q97">
        <v>0</v>
      </c>
      <c r="R97">
        <v>0</v>
      </c>
      <c r="S97">
        <v>0</v>
      </c>
      <c r="T97">
        <v>566912861</v>
      </c>
      <c r="U97">
        <v>0</v>
      </c>
      <c r="V97">
        <v>566912861</v>
      </c>
      <c r="W97">
        <v>566912861</v>
      </c>
      <c r="AC97" t="s">
        <v>5440</v>
      </c>
    </row>
    <row r="98" spans="1:30" x14ac:dyDescent="0.35">
      <c r="A98" t="s">
        <v>20</v>
      </c>
      <c r="C98" t="s">
        <v>76</v>
      </c>
      <c r="D98" t="s">
        <v>84</v>
      </c>
      <c r="E98" t="s">
        <v>5682</v>
      </c>
      <c r="F98" t="s">
        <v>5683</v>
      </c>
      <c r="N98">
        <v>792115561</v>
      </c>
      <c r="P98">
        <v>0</v>
      </c>
      <c r="Q98">
        <v>0</v>
      </c>
      <c r="R98">
        <v>792115561</v>
      </c>
      <c r="S98">
        <v>0</v>
      </c>
      <c r="T98">
        <v>0</v>
      </c>
      <c r="U98">
        <v>0</v>
      </c>
      <c r="V98">
        <v>792115561</v>
      </c>
      <c r="W98">
        <v>792115561</v>
      </c>
      <c r="AC98" t="s">
        <v>5684</v>
      </c>
    </row>
    <row r="99" spans="1:30" x14ac:dyDescent="0.35">
      <c r="A99" t="s">
        <v>20</v>
      </c>
      <c r="C99" t="s">
        <v>2132</v>
      </c>
      <c r="D99" t="s">
        <v>4126</v>
      </c>
      <c r="E99" t="s">
        <v>5685</v>
      </c>
      <c r="F99" t="s">
        <v>5686</v>
      </c>
      <c r="I99" t="s">
        <v>5687</v>
      </c>
      <c r="M99">
        <v>1575895000</v>
      </c>
      <c r="N99">
        <v>1575895000</v>
      </c>
      <c r="O99">
        <v>60000000</v>
      </c>
      <c r="P99">
        <v>0</v>
      </c>
      <c r="Q99">
        <v>1515895000</v>
      </c>
      <c r="R99">
        <v>0</v>
      </c>
      <c r="S99">
        <v>0</v>
      </c>
      <c r="T99">
        <v>0</v>
      </c>
      <c r="U99">
        <v>0</v>
      </c>
      <c r="V99">
        <v>1575895000</v>
      </c>
      <c r="W99">
        <v>1515895000</v>
      </c>
      <c r="Y99">
        <v>1038</v>
      </c>
      <c r="Z99">
        <v>821</v>
      </c>
      <c r="AC99" t="s">
        <v>5688</v>
      </c>
      <c r="AD99" t="s">
        <v>1794</v>
      </c>
    </row>
    <row r="100" spans="1:30" x14ac:dyDescent="0.35">
      <c r="A100" t="s">
        <v>20</v>
      </c>
      <c r="C100" t="s">
        <v>2044</v>
      </c>
      <c r="D100" t="s">
        <v>3958</v>
      </c>
      <c r="E100" t="s">
        <v>5689</v>
      </c>
      <c r="F100" t="s">
        <v>5690</v>
      </c>
      <c r="I100" t="s">
        <v>5691</v>
      </c>
      <c r="M100">
        <v>3257144388</v>
      </c>
      <c r="N100">
        <v>3257144388</v>
      </c>
      <c r="O100">
        <v>98769433</v>
      </c>
      <c r="P100">
        <v>0</v>
      </c>
      <c r="Q100">
        <v>3158374955</v>
      </c>
      <c r="R100">
        <v>0</v>
      </c>
      <c r="S100">
        <v>0</v>
      </c>
      <c r="T100">
        <v>0</v>
      </c>
      <c r="U100">
        <v>0</v>
      </c>
      <c r="V100">
        <v>3257144388</v>
      </c>
      <c r="W100">
        <v>3158374955</v>
      </c>
      <c r="Y100">
        <v>1500</v>
      </c>
      <c r="Z100">
        <v>975</v>
      </c>
      <c r="AC100" t="s">
        <v>5692</v>
      </c>
      <c r="AD100" t="s">
        <v>1794</v>
      </c>
    </row>
    <row r="101" spans="1:30" x14ac:dyDescent="0.35">
      <c r="A101" t="s">
        <v>20</v>
      </c>
      <c r="C101" t="s">
        <v>2044</v>
      </c>
      <c r="D101" t="s">
        <v>5945</v>
      </c>
      <c r="E101" t="s">
        <v>5693</v>
      </c>
      <c r="F101" t="s">
        <v>5694</v>
      </c>
      <c r="I101" t="s">
        <v>5695</v>
      </c>
      <c r="M101">
        <v>2188592179</v>
      </c>
      <c r="N101">
        <v>2188592179</v>
      </c>
      <c r="O101">
        <v>75000000</v>
      </c>
      <c r="P101">
        <v>0</v>
      </c>
      <c r="Q101">
        <v>2113592179</v>
      </c>
      <c r="R101">
        <v>0</v>
      </c>
      <c r="S101">
        <v>0</v>
      </c>
      <c r="T101">
        <v>0</v>
      </c>
      <c r="U101">
        <v>0</v>
      </c>
      <c r="V101">
        <v>2188592179</v>
      </c>
      <c r="W101">
        <v>2113592179</v>
      </c>
      <c r="AC101" t="s">
        <v>5692</v>
      </c>
    </row>
    <row r="102" spans="1:30" x14ac:dyDescent="0.35">
      <c r="A102" t="s">
        <v>348</v>
      </c>
      <c r="C102" t="s">
        <v>112</v>
      </c>
      <c r="D102" t="s">
        <v>2408</v>
      </c>
      <c r="E102" t="s">
        <v>5696</v>
      </c>
      <c r="F102" t="s">
        <v>5697</v>
      </c>
      <c r="M102">
        <v>6019078939</v>
      </c>
      <c r="O102">
        <v>359299999</v>
      </c>
      <c r="P102">
        <v>5659778940</v>
      </c>
      <c r="Q102">
        <v>0</v>
      </c>
      <c r="R102">
        <v>0</v>
      </c>
      <c r="S102">
        <v>0</v>
      </c>
      <c r="T102">
        <v>0</v>
      </c>
      <c r="U102">
        <v>0</v>
      </c>
      <c r="V102">
        <v>6019078939</v>
      </c>
      <c r="W102">
        <v>5659778940</v>
      </c>
      <c r="AC102" t="s">
        <v>5698</v>
      </c>
    </row>
    <row r="103" spans="1:30" x14ac:dyDescent="0.35">
      <c r="A103" t="s">
        <v>348</v>
      </c>
      <c r="C103" t="s">
        <v>2044</v>
      </c>
      <c r="D103" t="s">
        <v>2643</v>
      </c>
      <c r="E103" t="s">
        <v>5699</v>
      </c>
      <c r="F103" t="s">
        <v>5700</v>
      </c>
      <c r="I103" t="s">
        <v>5701</v>
      </c>
      <c r="M103">
        <v>2539912503</v>
      </c>
      <c r="N103">
        <v>2539912503</v>
      </c>
      <c r="O103">
        <v>216821952</v>
      </c>
      <c r="P103">
        <v>0</v>
      </c>
      <c r="Q103">
        <v>2323090551</v>
      </c>
      <c r="R103">
        <v>0</v>
      </c>
      <c r="S103">
        <v>0</v>
      </c>
      <c r="T103">
        <v>0</v>
      </c>
      <c r="U103">
        <v>0</v>
      </c>
      <c r="V103">
        <v>2539912503</v>
      </c>
      <c r="W103">
        <v>2323090551</v>
      </c>
      <c r="AC103" t="s">
        <v>5702</v>
      </c>
      <c r="AD103" t="s">
        <v>1794</v>
      </c>
    </row>
    <row r="104" spans="1:30" x14ac:dyDescent="0.35">
      <c r="A104" t="s">
        <v>20</v>
      </c>
      <c r="C104" t="s">
        <v>2044</v>
      </c>
      <c r="D104" t="s">
        <v>5334</v>
      </c>
      <c r="E104" t="s">
        <v>5703</v>
      </c>
      <c r="F104" t="s">
        <v>5704</v>
      </c>
      <c r="I104" t="s">
        <v>5705</v>
      </c>
      <c r="M104">
        <v>2422170370</v>
      </c>
      <c r="N104">
        <v>2422170370</v>
      </c>
      <c r="O104">
        <v>65054719</v>
      </c>
      <c r="P104">
        <v>0</v>
      </c>
      <c r="Q104">
        <v>2357115651</v>
      </c>
      <c r="R104">
        <v>0</v>
      </c>
      <c r="S104">
        <v>0</v>
      </c>
      <c r="T104">
        <v>0</v>
      </c>
      <c r="U104">
        <v>0</v>
      </c>
      <c r="V104">
        <v>2422170370</v>
      </c>
      <c r="W104">
        <v>2357115651</v>
      </c>
      <c r="AC104" t="s">
        <v>5706</v>
      </c>
      <c r="AD104" t="s">
        <v>1794</v>
      </c>
    </row>
    <row r="105" spans="1:30" x14ac:dyDescent="0.35">
      <c r="A105" t="s">
        <v>348</v>
      </c>
      <c r="C105" t="s">
        <v>228</v>
      </c>
      <c r="D105" t="s">
        <v>5707</v>
      </c>
      <c r="E105" t="s">
        <v>5708</v>
      </c>
      <c r="F105" t="s">
        <v>5709</v>
      </c>
      <c r="M105">
        <v>1819129876</v>
      </c>
      <c r="N105">
        <v>1819129876</v>
      </c>
      <c r="O105">
        <v>87778952</v>
      </c>
      <c r="P105">
        <v>1731350924</v>
      </c>
      <c r="Q105">
        <v>0</v>
      </c>
      <c r="R105">
        <v>0</v>
      </c>
      <c r="S105">
        <v>0</v>
      </c>
      <c r="T105">
        <v>0</v>
      </c>
      <c r="U105">
        <v>0</v>
      </c>
      <c r="V105">
        <v>1819129876</v>
      </c>
      <c r="W105">
        <v>1731350924</v>
      </c>
      <c r="AC105" t="s">
        <v>5710</v>
      </c>
    </row>
    <row r="106" spans="1:30" x14ac:dyDescent="0.35">
      <c r="A106" t="s">
        <v>348</v>
      </c>
      <c r="C106" t="s">
        <v>34</v>
      </c>
      <c r="D106" t="s">
        <v>619</v>
      </c>
      <c r="E106" t="s">
        <v>5711</v>
      </c>
      <c r="F106" t="s">
        <v>5712</v>
      </c>
      <c r="N106">
        <v>43179676</v>
      </c>
      <c r="P106">
        <v>0</v>
      </c>
      <c r="Q106">
        <v>0</v>
      </c>
      <c r="R106">
        <v>43179676</v>
      </c>
      <c r="S106">
        <v>0</v>
      </c>
      <c r="T106">
        <v>0</v>
      </c>
      <c r="U106">
        <v>0</v>
      </c>
      <c r="V106">
        <v>43179676</v>
      </c>
      <c r="W106">
        <v>43179676</v>
      </c>
      <c r="AC106" t="s">
        <v>5713</v>
      </c>
    </row>
    <row r="107" spans="1:30" x14ac:dyDescent="0.35">
      <c r="A107" t="s">
        <v>348</v>
      </c>
      <c r="C107" t="s">
        <v>34</v>
      </c>
      <c r="D107" t="s">
        <v>943</v>
      </c>
      <c r="E107" t="s">
        <v>5714</v>
      </c>
      <c r="F107" t="s">
        <v>5715</v>
      </c>
      <c r="N107">
        <v>30000000</v>
      </c>
      <c r="P107">
        <v>0</v>
      </c>
      <c r="Q107">
        <v>0</v>
      </c>
      <c r="R107">
        <v>30000000</v>
      </c>
      <c r="S107">
        <v>0</v>
      </c>
      <c r="T107">
        <v>0</v>
      </c>
      <c r="U107">
        <v>0</v>
      </c>
      <c r="V107">
        <v>30000000</v>
      </c>
      <c r="W107">
        <v>30000000</v>
      </c>
      <c r="AC107" t="s">
        <v>5713</v>
      </c>
    </row>
    <row r="108" spans="1:30" x14ac:dyDescent="0.35">
      <c r="A108" t="s">
        <v>348</v>
      </c>
      <c r="C108" t="s">
        <v>34</v>
      </c>
      <c r="D108" t="s">
        <v>997</v>
      </c>
      <c r="E108" t="s">
        <v>5716</v>
      </c>
      <c r="F108" t="s">
        <v>998</v>
      </c>
      <c r="N108">
        <v>30000000</v>
      </c>
      <c r="P108">
        <v>0</v>
      </c>
      <c r="Q108">
        <v>0</v>
      </c>
      <c r="R108">
        <v>30000000</v>
      </c>
      <c r="S108">
        <v>0</v>
      </c>
      <c r="T108">
        <v>0</v>
      </c>
      <c r="U108">
        <v>0</v>
      </c>
      <c r="V108">
        <v>30000000</v>
      </c>
      <c r="W108">
        <v>30000000</v>
      </c>
      <c r="AC108" t="s">
        <v>5713</v>
      </c>
    </row>
    <row r="109" spans="1:30" x14ac:dyDescent="0.35">
      <c r="A109" t="s">
        <v>20</v>
      </c>
      <c r="C109" t="s">
        <v>1239</v>
      </c>
      <c r="D109" t="s">
        <v>5717</v>
      </c>
      <c r="E109" t="s">
        <v>5717</v>
      </c>
      <c r="F109" t="s">
        <v>5718</v>
      </c>
      <c r="N109">
        <v>2697117660</v>
      </c>
      <c r="P109">
        <v>0</v>
      </c>
      <c r="Q109">
        <v>0</v>
      </c>
      <c r="R109">
        <v>2697117660</v>
      </c>
      <c r="S109">
        <v>0</v>
      </c>
      <c r="T109">
        <v>0</v>
      </c>
      <c r="U109">
        <v>0</v>
      </c>
      <c r="V109">
        <v>2697117660</v>
      </c>
      <c r="W109">
        <v>2697117660</v>
      </c>
    </row>
    <row r="110" spans="1:30" x14ac:dyDescent="0.35">
      <c r="A110" t="s">
        <v>20</v>
      </c>
      <c r="C110" t="s">
        <v>722</v>
      </c>
      <c r="D110" t="s">
        <v>1009</v>
      </c>
      <c r="E110" t="s">
        <v>5719</v>
      </c>
      <c r="F110" t="s">
        <v>5720</v>
      </c>
      <c r="N110">
        <v>13800000</v>
      </c>
      <c r="P110">
        <v>0</v>
      </c>
      <c r="Q110">
        <v>0</v>
      </c>
      <c r="R110">
        <v>0</v>
      </c>
      <c r="S110">
        <v>0</v>
      </c>
      <c r="T110">
        <v>0</v>
      </c>
      <c r="U110">
        <v>13800000</v>
      </c>
      <c r="V110">
        <v>13800000</v>
      </c>
      <c r="W110">
        <v>13800000</v>
      </c>
    </row>
    <row r="111" spans="1:30" x14ac:dyDescent="0.35">
      <c r="A111" t="s">
        <v>5437</v>
      </c>
      <c r="C111" t="s">
        <v>5437</v>
      </c>
      <c r="E111" t="s">
        <v>5721</v>
      </c>
      <c r="F111" t="s">
        <v>5722</v>
      </c>
      <c r="P111">
        <v>0</v>
      </c>
      <c r="Q111">
        <v>0</v>
      </c>
      <c r="R111">
        <v>0</v>
      </c>
      <c r="S111">
        <v>0</v>
      </c>
      <c r="T111">
        <v>128247779</v>
      </c>
      <c r="U111">
        <v>0</v>
      </c>
      <c r="V111">
        <v>128247779</v>
      </c>
      <c r="W111">
        <v>128247779</v>
      </c>
    </row>
    <row r="112" spans="1:30" x14ac:dyDescent="0.35">
      <c r="A112" t="s">
        <v>5599</v>
      </c>
      <c r="C112" t="s">
        <v>5599</v>
      </c>
      <c r="D112" t="s">
        <v>5946</v>
      </c>
      <c r="E112" t="s">
        <v>5723</v>
      </c>
      <c r="F112" t="s">
        <v>5724</v>
      </c>
      <c r="P112">
        <v>0</v>
      </c>
      <c r="Q112">
        <v>0</v>
      </c>
      <c r="R112">
        <v>99000000</v>
      </c>
      <c r="S112">
        <v>0</v>
      </c>
      <c r="T112">
        <v>0</v>
      </c>
      <c r="U112">
        <v>0</v>
      </c>
      <c r="V112">
        <v>99000000</v>
      </c>
      <c r="W112">
        <v>99000000</v>
      </c>
      <c r="AC112" t="s">
        <v>5725</v>
      </c>
    </row>
    <row r="113" spans="1:29" x14ac:dyDescent="0.35">
      <c r="A113" t="s">
        <v>20</v>
      </c>
      <c r="C113" t="s">
        <v>76</v>
      </c>
      <c r="D113" t="s">
        <v>2154</v>
      </c>
      <c r="E113" t="s">
        <v>5726</v>
      </c>
      <c r="F113" t="s">
        <v>5727</v>
      </c>
      <c r="J113" t="s">
        <v>5542</v>
      </c>
      <c r="P113">
        <v>0</v>
      </c>
      <c r="Q113">
        <v>0</v>
      </c>
      <c r="R113">
        <v>0</v>
      </c>
      <c r="S113">
        <v>36500000</v>
      </c>
      <c r="T113">
        <v>0</v>
      </c>
      <c r="U113">
        <v>0</v>
      </c>
      <c r="V113">
        <v>36500000</v>
      </c>
      <c r="W113">
        <v>36500000</v>
      </c>
    </row>
    <row r="114" spans="1:29" x14ac:dyDescent="0.35">
      <c r="A114" t="s">
        <v>20</v>
      </c>
      <c r="C114" t="s">
        <v>51</v>
      </c>
      <c r="D114" t="s">
        <v>5728</v>
      </c>
      <c r="E114" t="s">
        <v>5728</v>
      </c>
      <c r="F114" t="s">
        <v>5729</v>
      </c>
      <c r="J114" t="s">
        <v>5542</v>
      </c>
      <c r="P114">
        <v>0</v>
      </c>
      <c r="Q114">
        <v>0</v>
      </c>
      <c r="R114">
        <v>602000000</v>
      </c>
      <c r="S114">
        <v>0</v>
      </c>
      <c r="T114">
        <v>0</v>
      </c>
      <c r="U114">
        <v>0</v>
      </c>
      <c r="V114">
        <v>602000000</v>
      </c>
      <c r="W114">
        <v>602000000</v>
      </c>
      <c r="AC114" t="s">
        <v>5725</v>
      </c>
    </row>
    <row r="115" spans="1:29" x14ac:dyDescent="0.35">
      <c r="A115" t="s">
        <v>5437</v>
      </c>
      <c r="C115" t="s">
        <v>5437</v>
      </c>
      <c r="D115" t="s">
        <v>5730</v>
      </c>
      <c r="E115" t="s">
        <v>5730</v>
      </c>
      <c r="F115" t="s">
        <v>5731</v>
      </c>
      <c r="P115">
        <v>0</v>
      </c>
      <c r="Q115">
        <v>0</v>
      </c>
      <c r="R115">
        <v>0</v>
      </c>
      <c r="S115">
        <v>0</v>
      </c>
      <c r="T115">
        <v>0</v>
      </c>
      <c r="U115">
        <v>6100000</v>
      </c>
      <c r="V115">
        <v>6100000</v>
      </c>
      <c r="W115">
        <v>6100000</v>
      </c>
    </row>
    <row r="116" spans="1:29" x14ac:dyDescent="0.35">
      <c r="A116" t="s">
        <v>348</v>
      </c>
      <c r="C116" t="s">
        <v>34</v>
      </c>
      <c r="D116" t="s">
        <v>566</v>
      </c>
      <c r="E116" t="s">
        <v>5732</v>
      </c>
      <c r="F116" t="s">
        <v>5733</v>
      </c>
      <c r="J116" t="s">
        <v>5542</v>
      </c>
      <c r="P116">
        <v>0</v>
      </c>
      <c r="Q116">
        <v>0</v>
      </c>
      <c r="R116">
        <v>13500000</v>
      </c>
      <c r="S116">
        <v>0</v>
      </c>
      <c r="T116">
        <v>0</v>
      </c>
      <c r="U116">
        <v>0</v>
      </c>
      <c r="V116">
        <v>13500000</v>
      </c>
      <c r="W116">
        <v>13500000</v>
      </c>
      <c r="AC116" t="s">
        <v>5734</v>
      </c>
    </row>
    <row r="117" spans="1:29" x14ac:dyDescent="0.35">
      <c r="A117" t="s">
        <v>348</v>
      </c>
      <c r="C117" t="s">
        <v>34</v>
      </c>
      <c r="D117" t="s">
        <v>1024</v>
      </c>
      <c r="E117" t="s">
        <v>5735</v>
      </c>
      <c r="F117" t="s">
        <v>1025</v>
      </c>
      <c r="J117" t="s">
        <v>5542</v>
      </c>
      <c r="P117">
        <v>0</v>
      </c>
      <c r="Q117">
        <v>0</v>
      </c>
      <c r="R117">
        <v>18250000</v>
      </c>
      <c r="S117">
        <v>0</v>
      </c>
      <c r="T117">
        <v>0</v>
      </c>
      <c r="U117">
        <v>0</v>
      </c>
      <c r="V117">
        <v>18250000</v>
      </c>
      <c r="W117">
        <v>18250000</v>
      </c>
      <c r="AC117" t="s">
        <v>5734</v>
      </c>
    </row>
    <row r="118" spans="1:29" x14ac:dyDescent="0.35">
      <c r="A118" t="s">
        <v>348</v>
      </c>
      <c r="C118" t="s">
        <v>34</v>
      </c>
      <c r="D118" t="s">
        <v>761</v>
      </c>
      <c r="E118" t="s">
        <v>5736</v>
      </c>
      <c r="F118" t="s">
        <v>5737</v>
      </c>
      <c r="J118" t="s">
        <v>5542</v>
      </c>
      <c r="P118">
        <v>0</v>
      </c>
      <c r="Q118">
        <v>0</v>
      </c>
      <c r="R118">
        <v>15100000</v>
      </c>
      <c r="S118">
        <v>0</v>
      </c>
      <c r="T118">
        <v>0</v>
      </c>
      <c r="U118">
        <v>0</v>
      </c>
      <c r="V118">
        <v>15100000</v>
      </c>
      <c r="W118">
        <v>15100000</v>
      </c>
      <c r="AC118" t="s">
        <v>5734</v>
      </c>
    </row>
    <row r="119" spans="1:29" x14ac:dyDescent="0.35">
      <c r="A119" t="s">
        <v>348</v>
      </c>
      <c r="C119" t="s">
        <v>34</v>
      </c>
      <c r="D119" t="s">
        <v>1744</v>
      </c>
      <c r="E119" t="s">
        <v>5738</v>
      </c>
      <c r="F119" t="s">
        <v>5739</v>
      </c>
      <c r="J119" t="s">
        <v>5542</v>
      </c>
      <c r="P119">
        <v>0</v>
      </c>
      <c r="Q119">
        <v>0</v>
      </c>
      <c r="R119">
        <v>15375000</v>
      </c>
      <c r="S119">
        <v>0</v>
      </c>
      <c r="T119">
        <v>0</v>
      </c>
      <c r="U119">
        <v>0</v>
      </c>
      <c r="V119">
        <v>15375000</v>
      </c>
      <c r="W119">
        <v>15375000</v>
      </c>
      <c r="AC119" t="s">
        <v>5734</v>
      </c>
    </row>
    <row r="120" spans="1:29" x14ac:dyDescent="0.35">
      <c r="A120" t="s">
        <v>20</v>
      </c>
      <c r="C120" t="s">
        <v>1311</v>
      </c>
      <c r="D120" t="s">
        <v>5947</v>
      </c>
      <c r="E120" t="s">
        <v>5740</v>
      </c>
      <c r="F120" t="s">
        <v>5741</v>
      </c>
      <c r="P120">
        <v>0</v>
      </c>
      <c r="Q120">
        <v>0</v>
      </c>
      <c r="R120">
        <v>0</v>
      </c>
      <c r="S120">
        <v>0</v>
      </c>
      <c r="T120">
        <v>0</v>
      </c>
      <c r="U120">
        <v>243000000</v>
      </c>
      <c r="V120">
        <v>243000000</v>
      </c>
      <c r="W120">
        <v>243000000</v>
      </c>
      <c r="AC120" t="s">
        <v>5742</v>
      </c>
    </row>
    <row r="121" spans="1:29" x14ac:dyDescent="0.35">
      <c r="A121" t="s">
        <v>20</v>
      </c>
      <c r="C121" t="s">
        <v>61</v>
      </c>
      <c r="D121" t="s">
        <v>2296</v>
      </c>
      <c r="E121" t="s">
        <v>5743</v>
      </c>
      <c r="F121" t="s">
        <v>5744</v>
      </c>
      <c r="J121" t="s">
        <v>5443</v>
      </c>
      <c r="M121">
        <v>6012715645</v>
      </c>
      <c r="O121">
        <v>417005645</v>
      </c>
      <c r="P121">
        <v>5595710000</v>
      </c>
      <c r="Q121">
        <v>0</v>
      </c>
      <c r="R121">
        <v>0</v>
      </c>
      <c r="S121">
        <v>0</v>
      </c>
      <c r="T121">
        <v>0</v>
      </c>
      <c r="U121">
        <v>0</v>
      </c>
      <c r="V121">
        <v>6012715645</v>
      </c>
      <c r="W121">
        <v>5595710000</v>
      </c>
      <c r="AC121" t="s">
        <v>5745</v>
      </c>
    </row>
    <row r="122" spans="1:29" x14ac:dyDescent="0.35">
      <c r="A122" t="s">
        <v>20</v>
      </c>
      <c r="C122" t="s">
        <v>34</v>
      </c>
      <c r="D122" t="s">
        <v>2265</v>
      </c>
      <c r="E122" t="s">
        <v>5746</v>
      </c>
      <c r="F122" t="s">
        <v>5747</v>
      </c>
      <c r="J122" t="s">
        <v>5443</v>
      </c>
      <c r="M122">
        <v>3734879925</v>
      </c>
      <c r="O122">
        <v>278854925</v>
      </c>
      <c r="P122">
        <v>3456025000</v>
      </c>
      <c r="Q122">
        <v>0</v>
      </c>
      <c r="R122">
        <v>0</v>
      </c>
      <c r="S122">
        <v>0</v>
      </c>
      <c r="T122">
        <v>0</v>
      </c>
      <c r="U122">
        <v>0</v>
      </c>
      <c r="V122">
        <v>3734879925</v>
      </c>
      <c r="W122">
        <v>3456025000</v>
      </c>
      <c r="AC122" t="s">
        <v>5748</v>
      </c>
    </row>
    <row r="123" spans="1:29" x14ac:dyDescent="0.35">
      <c r="A123" t="s">
        <v>348</v>
      </c>
      <c r="C123" t="s">
        <v>2044</v>
      </c>
      <c r="D123" t="s">
        <v>2756</v>
      </c>
      <c r="E123" t="s">
        <v>5749</v>
      </c>
      <c r="F123" t="s">
        <v>5750</v>
      </c>
      <c r="I123" t="s">
        <v>5751</v>
      </c>
      <c r="J123" t="s">
        <v>5443</v>
      </c>
      <c r="M123">
        <v>3120926278</v>
      </c>
      <c r="O123">
        <v>362447847</v>
      </c>
      <c r="P123">
        <v>0</v>
      </c>
      <c r="Q123">
        <v>2758478431</v>
      </c>
      <c r="R123">
        <v>0</v>
      </c>
      <c r="S123">
        <v>0</v>
      </c>
      <c r="T123">
        <v>0</v>
      </c>
      <c r="U123">
        <v>0</v>
      </c>
      <c r="V123">
        <v>3120926278</v>
      </c>
      <c r="W123">
        <v>2758478431</v>
      </c>
      <c r="AC123" t="s">
        <v>5752</v>
      </c>
    </row>
    <row r="124" spans="1:29" x14ac:dyDescent="0.35">
      <c r="A124" t="s">
        <v>348</v>
      </c>
      <c r="C124" t="s">
        <v>61</v>
      </c>
      <c r="D124" t="s">
        <v>2300</v>
      </c>
      <c r="E124" t="s">
        <v>5753</v>
      </c>
      <c r="F124" t="s">
        <v>5754</v>
      </c>
      <c r="J124" t="s">
        <v>5443</v>
      </c>
      <c r="L124">
        <v>46042</v>
      </c>
      <c r="M124">
        <v>4921282609</v>
      </c>
      <c r="O124">
        <v>232500000</v>
      </c>
      <c r="P124">
        <v>4688782609</v>
      </c>
      <c r="Q124">
        <v>0</v>
      </c>
      <c r="R124">
        <v>0</v>
      </c>
      <c r="S124">
        <v>0</v>
      </c>
      <c r="T124">
        <v>0</v>
      </c>
      <c r="U124">
        <v>0</v>
      </c>
      <c r="V124">
        <v>4921282609</v>
      </c>
      <c r="W124">
        <v>4688782609</v>
      </c>
      <c r="AC124" t="s">
        <v>5755</v>
      </c>
    </row>
    <row r="125" spans="1:29" x14ac:dyDescent="0.35">
      <c r="A125" t="s">
        <v>348</v>
      </c>
      <c r="C125" t="s">
        <v>2044</v>
      </c>
      <c r="D125" t="s">
        <v>3077</v>
      </c>
      <c r="E125" t="s">
        <v>5756</v>
      </c>
      <c r="F125" t="s">
        <v>5757</v>
      </c>
      <c r="J125" t="s">
        <v>5443</v>
      </c>
      <c r="L125">
        <v>46042</v>
      </c>
      <c r="M125">
        <v>5554294575</v>
      </c>
      <c r="O125">
        <v>242032075</v>
      </c>
      <c r="P125">
        <v>5312262500</v>
      </c>
      <c r="Q125">
        <v>0</v>
      </c>
      <c r="R125">
        <v>0</v>
      </c>
      <c r="S125">
        <v>0</v>
      </c>
      <c r="T125">
        <v>0</v>
      </c>
      <c r="U125">
        <v>0</v>
      </c>
      <c r="V125">
        <v>5554294575</v>
      </c>
      <c r="W125">
        <v>5312262500</v>
      </c>
      <c r="AC125" t="s">
        <v>5758</v>
      </c>
    </row>
    <row r="126" spans="1:29" x14ac:dyDescent="0.35">
      <c r="A126" t="s">
        <v>348</v>
      </c>
      <c r="C126" t="s">
        <v>1019</v>
      </c>
      <c r="D126" t="s">
        <v>801</v>
      </c>
      <c r="E126" t="s">
        <v>5759</v>
      </c>
      <c r="F126" t="s">
        <v>5760</v>
      </c>
      <c r="J126" t="s">
        <v>5542</v>
      </c>
      <c r="L126">
        <v>46087</v>
      </c>
      <c r="P126">
        <v>0</v>
      </c>
      <c r="Q126">
        <v>0</v>
      </c>
      <c r="R126">
        <v>182000000</v>
      </c>
      <c r="S126">
        <v>0</v>
      </c>
      <c r="T126">
        <v>0</v>
      </c>
      <c r="U126">
        <v>0</v>
      </c>
      <c r="V126">
        <v>182000000</v>
      </c>
      <c r="W126">
        <v>182000000</v>
      </c>
      <c r="AC126" t="s">
        <v>5761</v>
      </c>
    </row>
    <row r="127" spans="1:29" x14ac:dyDescent="0.35">
      <c r="A127" t="s">
        <v>20</v>
      </c>
      <c r="C127" t="s">
        <v>34</v>
      </c>
      <c r="D127" t="s">
        <v>2259</v>
      </c>
      <c r="E127" t="s">
        <v>5762</v>
      </c>
      <c r="F127" t="s">
        <v>5763</v>
      </c>
      <c r="J127" t="s">
        <v>5443</v>
      </c>
      <c r="L127">
        <v>46087</v>
      </c>
      <c r="M127">
        <v>4158691168</v>
      </c>
      <c r="O127">
        <v>301649612</v>
      </c>
      <c r="P127">
        <v>3857041556</v>
      </c>
      <c r="Q127">
        <v>0</v>
      </c>
      <c r="R127">
        <v>0</v>
      </c>
      <c r="S127">
        <v>0</v>
      </c>
      <c r="T127">
        <v>0</v>
      </c>
      <c r="U127">
        <v>0</v>
      </c>
      <c r="V127">
        <v>4158691168</v>
      </c>
      <c r="W127">
        <v>3857041556</v>
      </c>
      <c r="AC127" t="s">
        <v>5764</v>
      </c>
    </row>
    <row r="128" spans="1:29" x14ac:dyDescent="0.35">
      <c r="A128" t="s">
        <v>348</v>
      </c>
      <c r="C128" t="s">
        <v>1019</v>
      </c>
      <c r="D128" t="s">
        <v>1695</v>
      </c>
      <c r="E128" t="s">
        <v>5765</v>
      </c>
      <c r="F128" t="s">
        <v>5766</v>
      </c>
      <c r="J128" t="s">
        <v>5542</v>
      </c>
      <c r="L128">
        <v>46090</v>
      </c>
      <c r="P128">
        <v>0</v>
      </c>
      <c r="Q128">
        <v>0</v>
      </c>
      <c r="R128">
        <v>139192000</v>
      </c>
      <c r="S128">
        <v>0</v>
      </c>
      <c r="T128">
        <v>0</v>
      </c>
      <c r="U128">
        <v>0</v>
      </c>
      <c r="V128">
        <v>139192000</v>
      </c>
      <c r="W128">
        <v>139192000</v>
      </c>
      <c r="AC128" t="s">
        <v>5767</v>
      </c>
    </row>
    <row r="129" spans="1:29" x14ac:dyDescent="0.35">
      <c r="A129" t="s">
        <v>20</v>
      </c>
      <c r="C129" t="s">
        <v>76</v>
      </c>
      <c r="D129" t="s">
        <v>299</v>
      </c>
      <c r="E129" t="s">
        <v>5768</v>
      </c>
      <c r="F129" t="s">
        <v>5769</v>
      </c>
      <c r="J129" t="s">
        <v>5542</v>
      </c>
      <c r="L129">
        <v>46090</v>
      </c>
      <c r="P129">
        <v>0</v>
      </c>
      <c r="Q129">
        <v>0</v>
      </c>
      <c r="R129">
        <v>519548188</v>
      </c>
      <c r="S129">
        <v>0</v>
      </c>
      <c r="T129">
        <v>0</v>
      </c>
      <c r="U129">
        <v>0</v>
      </c>
      <c r="V129">
        <v>519548188</v>
      </c>
      <c r="W129">
        <v>519548188</v>
      </c>
      <c r="AC129" t="s">
        <v>5515</v>
      </c>
    </row>
    <row r="130" spans="1:29" x14ac:dyDescent="0.35">
      <c r="A130" t="s">
        <v>20</v>
      </c>
      <c r="C130" t="s">
        <v>34</v>
      </c>
      <c r="D130" t="s">
        <v>5941</v>
      </c>
      <c r="E130" t="s">
        <v>5770</v>
      </c>
      <c r="F130" t="s">
        <v>5771</v>
      </c>
      <c r="J130" t="s">
        <v>5443</v>
      </c>
      <c r="L130">
        <v>46090</v>
      </c>
      <c r="M130">
        <v>3873555556</v>
      </c>
      <c r="O130">
        <v>310000000</v>
      </c>
      <c r="P130">
        <v>3563555556</v>
      </c>
      <c r="Q130">
        <v>0</v>
      </c>
      <c r="R130">
        <v>0</v>
      </c>
      <c r="S130">
        <v>0</v>
      </c>
      <c r="T130">
        <v>0</v>
      </c>
      <c r="U130">
        <v>0</v>
      </c>
      <c r="V130">
        <v>3873555556</v>
      </c>
      <c r="W130">
        <v>3563555556</v>
      </c>
      <c r="AC130" t="s">
        <v>5772</v>
      </c>
    </row>
    <row r="131" spans="1:29" x14ac:dyDescent="0.35">
      <c r="A131" t="s">
        <v>20</v>
      </c>
      <c r="C131" t="s">
        <v>76</v>
      </c>
      <c r="D131" t="s">
        <v>4372</v>
      </c>
      <c r="E131" t="s">
        <v>5773</v>
      </c>
      <c r="F131" t="s">
        <v>5774</v>
      </c>
      <c r="L131">
        <v>46090</v>
      </c>
      <c r="M131">
        <v>3922000000</v>
      </c>
      <c r="O131">
        <v>335000000</v>
      </c>
      <c r="P131">
        <v>3587000000</v>
      </c>
      <c r="Q131">
        <v>0</v>
      </c>
      <c r="R131">
        <v>0</v>
      </c>
      <c r="S131">
        <v>0</v>
      </c>
      <c r="T131">
        <v>0</v>
      </c>
      <c r="U131">
        <v>0</v>
      </c>
      <c r="V131">
        <v>3922000000</v>
      </c>
      <c r="W131">
        <v>3587000000</v>
      </c>
      <c r="AC131" t="s">
        <v>5775</v>
      </c>
    </row>
    <row r="132" spans="1:29" x14ac:dyDescent="0.35">
      <c r="A132" t="s">
        <v>20</v>
      </c>
      <c r="C132" t="s">
        <v>1311</v>
      </c>
      <c r="D132" t="s">
        <v>1902</v>
      </c>
      <c r="E132" t="s">
        <v>5776</v>
      </c>
      <c r="F132" t="s">
        <v>2096</v>
      </c>
      <c r="P132">
        <v>0</v>
      </c>
      <c r="Q132">
        <v>0</v>
      </c>
      <c r="R132">
        <v>0</v>
      </c>
      <c r="S132">
        <v>0</v>
      </c>
      <c r="T132">
        <v>0</v>
      </c>
      <c r="U132">
        <v>5400000</v>
      </c>
      <c r="V132">
        <v>5400000</v>
      </c>
      <c r="W132">
        <v>5400000</v>
      </c>
    </row>
    <row r="133" spans="1:29" x14ac:dyDescent="0.35">
      <c r="A133" t="s">
        <v>20</v>
      </c>
      <c r="C133" t="s">
        <v>301</v>
      </c>
      <c r="D133" t="s">
        <v>67</v>
      </c>
      <c r="E133" t="s">
        <v>5777</v>
      </c>
      <c r="F133" t="s">
        <v>5778</v>
      </c>
      <c r="P133">
        <v>0</v>
      </c>
      <c r="Q133">
        <v>0</v>
      </c>
      <c r="R133">
        <v>0</v>
      </c>
      <c r="S133">
        <v>0</v>
      </c>
      <c r="T133">
        <v>0</v>
      </c>
      <c r="U133">
        <v>20180000</v>
      </c>
      <c r="V133">
        <v>20180000</v>
      </c>
      <c r="W133">
        <v>20180000</v>
      </c>
    </row>
    <row r="134" spans="1:29" x14ac:dyDescent="0.35">
      <c r="A134" t="s">
        <v>20</v>
      </c>
      <c r="C134" t="s">
        <v>301</v>
      </c>
      <c r="D134" t="s">
        <v>311</v>
      </c>
      <c r="E134" t="s">
        <v>5779</v>
      </c>
      <c r="F134" t="s">
        <v>5780</v>
      </c>
      <c r="P134">
        <v>0</v>
      </c>
      <c r="Q134">
        <v>0</v>
      </c>
      <c r="R134">
        <v>0</v>
      </c>
      <c r="S134">
        <v>0</v>
      </c>
      <c r="T134">
        <v>0</v>
      </c>
      <c r="U134">
        <v>19000000</v>
      </c>
      <c r="V134">
        <v>19000000</v>
      </c>
      <c r="W134">
        <v>19000000</v>
      </c>
    </row>
    <row r="135" spans="1:29" x14ac:dyDescent="0.35">
      <c r="A135" t="s">
        <v>20</v>
      </c>
      <c r="C135" t="s">
        <v>94</v>
      </c>
      <c r="D135" t="s">
        <v>5550</v>
      </c>
      <c r="E135" t="s">
        <v>5781</v>
      </c>
      <c r="F135" t="s">
        <v>5782</v>
      </c>
      <c r="J135" t="s">
        <v>5443</v>
      </c>
      <c r="L135">
        <v>46091</v>
      </c>
      <c r="M135">
        <v>2117126287</v>
      </c>
      <c r="O135">
        <v>503557896</v>
      </c>
      <c r="P135">
        <v>0</v>
      </c>
      <c r="Q135">
        <v>0</v>
      </c>
      <c r="R135">
        <v>1613568391</v>
      </c>
      <c r="S135">
        <v>0</v>
      </c>
      <c r="T135">
        <v>0</v>
      </c>
      <c r="U135">
        <v>0</v>
      </c>
      <c r="V135">
        <v>2117126287</v>
      </c>
      <c r="W135">
        <v>1613568391</v>
      </c>
      <c r="AC135" t="s">
        <v>5783</v>
      </c>
    </row>
    <row r="136" spans="1:29" x14ac:dyDescent="0.35">
      <c r="A136" t="s">
        <v>20</v>
      </c>
      <c r="C136" t="s">
        <v>112</v>
      </c>
      <c r="D136" t="s">
        <v>2404</v>
      </c>
      <c r="E136" t="s">
        <v>5784</v>
      </c>
      <c r="F136" t="s">
        <v>5785</v>
      </c>
      <c r="J136" t="s">
        <v>5443</v>
      </c>
      <c r="L136">
        <v>46043</v>
      </c>
      <c r="M136">
        <v>4688200000</v>
      </c>
      <c r="O136">
        <v>454000000</v>
      </c>
      <c r="P136">
        <v>4234200000</v>
      </c>
      <c r="Q136">
        <v>0</v>
      </c>
      <c r="R136">
        <v>0</v>
      </c>
      <c r="S136">
        <v>0</v>
      </c>
      <c r="T136">
        <v>0</v>
      </c>
      <c r="U136">
        <v>0</v>
      </c>
      <c r="V136">
        <v>4688200000</v>
      </c>
      <c r="W136">
        <v>4234200000</v>
      </c>
      <c r="AC136" t="s">
        <v>5786</v>
      </c>
    </row>
    <row r="137" spans="1:29" x14ac:dyDescent="0.35">
      <c r="A137" t="s">
        <v>20</v>
      </c>
      <c r="C137" t="s">
        <v>61</v>
      </c>
      <c r="D137" t="s">
        <v>3462</v>
      </c>
      <c r="E137" t="s">
        <v>5787</v>
      </c>
      <c r="F137" t="s">
        <v>5788</v>
      </c>
      <c r="J137" t="s">
        <v>5443</v>
      </c>
      <c r="L137">
        <v>46092</v>
      </c>
      <c r="M137">
        <v>6609183932</v>
      </c>
      <c r="O137">
        <v>456633932</v>
      </c>
      <c r="P137">
        <v>6152550000</v>
      </c>
      <c r="Q137">
        <v>0</v>
      </c>
      <c r="R137">
        <v>0</v>
      </c>
      <c r="S137">
        <v>0</v>
      </c>
      <c r="T137">
        <v>0</v>
      </c>
      <c r="U137">
        <v>0</v>
      </c>
      <c r="V137">
        <v>6609183932</v>
      </c>
      <c r="W137">
        <v>6152550000</v>
      </c>
      <c r="AC137" t="s">
        <v>5789</v>
      </c>
    </row>
    <row r="138" spans="1:29" x14ac:dyDescent="0.35">
      <c r="A138" t="s">
        <v>348</v>
      </c>
      <c r="C138" t="s">
        <v>76</v>
      </c>
      <c r="D138" t="s">
        <v>5948</v>
      </c>
      <c r="E138" t="s">
        <v>5790</v>
      </c>
      <c r="F138" t="s">
        <v>5791</v>
      </c>
      <c r="J138" t="s">
        <v>5443</v>
      </c>
      <c r="L138">
        <v>46094</v>
      </c>
      <c r="M138">
        <v>2580365932</v>
      </c>
      <c r="O138">
        <v>240016663</v>
      </c>
      <c r="P138">
        <v>2340349269</v>
      </c>
      <c r="Q138">
        <v>0</v>
      </c>
      <c r="R138">
        <v>0</v>
      </c>
      <c r="S138">
        <v>0</v>
      </c>
      <c r="T138">
        <v>0</v>
      </c>
      <c r="U138">
        <v>0</v>
      </c>
      <c r="V138">
        <v>2580365932</v>
      </c>
      <c r="W138">
        <v>2340349269</v>
      </c>
      <c r="AC138" t="s">
        <v>5792</v>
      </c>
    </row>
    <row r="139" spans="1:29" x14ac:dyDescent="0.35">
      <c r="A139" t="s">
        <v>348</v>
      </c>
      <c r="C139" t="s">
        <v>2044</v>
      </c>
      <c r="D139" t="s">
        <v>5949</v>
      </c>
      <c r="E139" t="s">
        <v>5793</v>
      </c>
      <c r="F139" t="s">
        <v>5794</v>
      </c>
      <c r="J139" t="s">
        <v>5443</v>
      </c>
      <c r="L139">
        <v>46088</v>
      </c>
      <c r="M139">
        <v>5305365366</v>
      </c>
      <c r="O139">
        <v>200137412</v>
      </c>
      <c r="P139">
        <v>5105227954</v>
      </c>
      <c r="Q139">
        <v>0</v>
      </c>
      <c r="R139">
        <v>0</v>
      </c>
      <c r="S139">
        <v>0</v>
      </c>
      <c r="T139">
        <v>0</v>
      </c>
      <c r="U139">
        <v>0</v>
      </c>
      <c r="V139">
        <v>5305365366</v>
      </c>
      <c r="W139">
        <v>5105227954</v>
      </c>
      <c r="AC139" t="s">
        <v>5795</v>
      </c>
    </row>
    <row r="140" spans="1:29" x14ac:dyDescent="0.35">
      <c r="A140" t="s">
        <v>348</v>
      </c>
      <c r="C140" t="s">
        <v>1019</v>
      </c>
      <c r="D140" t="s">
        <v>5950</v>
      </c>
      <c r="E140" t="s">
        <v>5796</v>
      </c>
      <c r="F140" t="s">
        <v>5797</v>
      </c>
      <c r="J140" t="s">
        <v>5443</v>
      </c>
      <c r="L140">
        <v>46087</v>
      </c>
      <c r="M140">
        <v>4224655500</v>
      </c>
      <c r="O140">
        <v>229512500</v>
      </c>
      <c r="P140">
        <v>3995143000</v>
      </c>
      <c r="Q140">
        <v>0</v>
      </c>
      <c r="R140">
        <v>0</v>
      </c>
      <c r="S140">
        <v>0</v>
      </c>
      <c r="T140">
        <v>0</v>
      </c>
      <c r="U140">
        <v>0</v>
      </c>
      <c r="V140">
        <v>4224655500</v>
      </c>
      <c r="W140">
        <v>3995143000</v>
      </c>
      <c r="AC140" t="s">
        <v>5798</v>
      </c>
    </row>
    <row r="141" spans="1:29" x14ac:dyDescent="0.35">
      <c r="A141" t="s">
        <v>20</v>
      </c>
      <c r="C141" t="s">
        <v>76</v>
      </c>
      <c r="D141" t="s">
        <v>5550</v>
      </c>
      <c r="E141" t="s">
        <v>5799</v>
      </c>
      <c r="F141" t="s">
        <v>5800</v>
      </c>
      <c r="J141" t="s">
        <v>5443</v>
      </c>
      <c r="L141">
        <v>46098</v>
      </c>
      <c r="M141">
        <v>2155579929</v>
      </c>
      <c r="O141">
        <v>342600000</v>
      </c>
      <c r="P141">
        <v>0</v>
      </c>
      <c r="Q141">
        <v>0</v>
      </c>
      <c r="R141">
        <v>1812979929</v>
      </c>
      <c r="S141">
        <v>0</v>
      </c>
      <c r="T141">
        <v>0</v>
      </c>
      <c r="U141">
        <v>0</v>
      </c>
      <c r="V141">
        <v>2155579929</v>
      </c>
      <c r="W141">
        <v>1812979929</v>
      </c>
      <c r="AC141" t="s">
        <v>5801</v>
      </c>
    </row>
    <row r="142" spans="1:29" x14ac:dyDescent="0.35">
      <c r="A142" t="s">
        <v>348</v>
      </c>
      <c r="C142" t="s">
        <v>228</v>
      </c>
      <c r="D142" t="s">
        <v>2626</v>
      </c>
      <c r="E142" t="s">
        <v>5802</v>
      </c>
      <c r="F142" t="s">
        <v>5803</v>
      </c>
      <c r="J142" t="s">
        <v>5455</v>
      </c>
      <c r="L142">
        <v>46098</v>
      </c>
      <c r="M142">
        <v>2423171550</v>
      </c>
      <c r="O142">
        <v>232000000</v>
      </c>
      <c r="P142">
        <v>2191171550</v>
      </c>
      <c r="Q142">
        <v>0</v>
      </c>
      <c r="R142">
        <v>0</v>
      </c>
      <c r="S142">
        <v>0</v>
      </c>
      <c r="T142">
        <v>0</v>
      </c>
      <c r="U142">
        <v>0</v>
      </c>
      <c r="V142">
        <v>2423171550</v>
      </c>
      <c r="W142">
        <v>2191171550</v>
      </c>
      <c r="AC142" t="s">
        <v>5804</v>
      </c>
    </row>
    <row r="143" spans="1:29" x14ac:dyDescent="0.35">
      <c r="A143" t="s">
        <v>348</v>
      </c>
      <c r="C143" t="s">
        <v>228</v>
      </c>
      <c r="D143" t="s">
        <v>5951</v>
      </c>
      <c r="E143" t="s">
        <v>5805</v>
      </c>
      <c r="F143" t="s">
        <v>5806</v>
      </c>
      <c r="J143" t="s">
        <v>5443</v>
      </c>
      <c r="L143">
        <v>46098</v>
      </c>
      <c r="M143">
        <v>2865461088</v>
      </c>
      <c r="O143">
        <v>198425483</v>
      </c>
      <c r="P143">
        <v>2667035605</v>
      </c>
      <c r="Q143">
        <v>0</v>
      </c>
      <c r="R143">
        <v>0</v>
      </c>
      <c r="S143">
        <v>0</v>
      </c>
      <c r="T143">
        <v>0</v>
      </c>
      <c r="U143">
        <v>0</v>
      </c>
      <c r="V143">
        <v>2865461088</v>
      </c>
      <c r="W143">
        <v>2667035605</v>
      </c>
      <c r="AC143" t="s">
        <v>5807</v>
      </c>
    </row>
    <row r="144" spans="1:29" x14ac:dyDescent="0.35">
      <c r="A144" t="s">
        <v>20</v>
      </c>
      <c r="C144" t="s">
        <v>76</v>
      </c>
      <c r="D144" t="s">
        <v>1439</v>
      </c>
      <c r="E144" t="s">
        <v>5808</v>
      </c>
      <c r="F144" t="s">
        <v>5809</v>
      </c>
      <c r="J144" t="s">
        <v>5542</v>
      </c>
      <c r="P144">
        <v>0</v>
      </c>
      <c r="Q144">
        <v>0</v>
      </c>
      <c r="R144">
        <v>145520000</v>
      </c>
      <c r="S144">
        <v>0</v>
      </c>
      <c r="T144">
        <v>0</v>
      </c>
      <c r="U144">
        <v>0</v>
      </c>
      <c r="V144">
        <v>145520000</v>
      </c>
      <c r="W144">
        <v>145520000</v>
      </c>
      <c r="AC144" t="s">
        <v>5810</v>
      </c>
    </row>
    <row r="145" spans="1:29" x14ac:dyDescent="0.35">
      <c r="A145" t="s">
        <v>20</v>
      </c>
      <c r="C145" t="s">
        <v>1771</v>
      </c>
      <c r="D145" t="s">
        <v>1450</v>
      </c>
      <c r="E145" t="s">
        <v>5811</v>
      </c>
      <c r="F145" t="s">
        <v>2017</v>
      </c>
      <c r="J145" t="s">
        <v>5542</v>
      </c>
      <c r="L145">
        <v>46099</v>
      </c>
      <c r="P145">
        <v>0</v>
      </c>
      <c r="Q145">
        <v>0</v>
      </c>
      <c r="R145">
        <v>402000000</v>
      </c>
      <c r="S145">
        <v>0</v>
      </c>
      <c r="T145">
        <v>0</v>
      </c>
      <c r="U145">
        <v>0</v>
      </c>
      <c r="V145">
        <v>402000000</v>
      </c>
      <c r="W145">
        <v>402000000</v>
      </c>
      <c r="AC145" t="s">
        <v>5810</v>
      </c>
    </row>
    <row r="146" spans="1:29" x14ac:dyDescent="0.35">
      <c r="A146" t="s">
        <v>20</v>
      </c>
      <c r="C146" t="s">
        <v>112</v>
      </c>
      <c r="D146" t="s">
        <v>5812</v>
      </c>
      <c r="E146" t="s">
        <v>5812</v>
      </c>
      <c r="F146" t="s">
        <v>5813</v>
      </c>
      <c r="J146" t="s">
        <v>5542</v>
      </c>
      <c r="L146">
        <v>46100</v>
      </c>
      <c r="P146">
        <v>0</v>
      </c>
      <c r="Q146">
        <v>0</v>
      </c>
      <c r="R146">
        <v>125000000</v>
      </c>
      <c r="S146">
        <v>0</v>
      </c>
      <c r="T146">
        <v>0</v>
      </c>
      <c r="U146">
        <v>0</v>
      </c>
      <c r="V146">
        <v>125000000</v>
      </c>
      <c r="W146">
        <v>125000000</v>
      </c>
      <c r="AC146" t="s">
        <v>5810</v>
      </c>
    </row>
    <row r="147" spans="1:29" x14ac:dyDescent="0.35">
      <c r="A147" t="s">
        <v>20</v>
      </c>
      <c r="C147" t="s">
        <v>112</v>
      </c>
      <c r="D147" t="s">
        <v>419</v>
      </c>
      <c r="E147" t="s">
        <v>5814</v>
      </c>
      <c r="F147" t="s">
        <v>5815</v>
      </c>
      <c r="J147" t="s">
        <v>5542</v>
      </c>
      <c r="L147">
        <v>46100</v>
      </c>
      <c r="P147">
        <v>0</v>
      </c>
      <c r="Q147">
        <v>0</v>
      </c>
      <c r="R147">
        <v>12182400</v>
      </c>
      <c r="S147">
        <v>0</v>
      </c>
      <c r="T147">
        <v>0</v>
      </c>
      <c r="U147">
        <v>0</v>
      </c>
      <c r="V147">
        <v>12182400</v>
      </c>
      <c r="W147">
        <v>12182400</v>
      </c>
      <c r="AC147" t="s">
        <v>5810</v>
      </c>
    </row>
    <row r="148" spans="1:29" x14ac:dyDescent="0.35">
      <c r="A148" t="s">
        <v>20</v>
      </c>
      <c r="C148" t="s">
        <v>1771</v>
      </c>
      <c r="D148" t="s">
        <v>2626</v>
      </c>
      <c r="E148" t="s">
        <v>5816</v>
      </c>
      <c r="F148" t="s">
        <v>5817</v>
      </c>
      <c r="J148" t="s">
        <v>5455</v>
      </c>
      <c r="L148">
        <v>46101</v>
      </c>
      <c r="M148">
        <v>3451081497</v>
      </c>
      <c r="O148">
        <v>93042233</v>
      </c>
      <c r="P148">
        <v>3358039264</v>
      </c>
      <c r="Q148">
        <v>0</v>
      </c>
      <c r="R148">
        <v>0</v>
      </c>
      <c r="S148">
        <v>0</v>
      </c>
      <c r="T148">
        <v>0</v>
      </c>
      <c r="U148">
        <v>0</v>
      </c>
      <c r="V148">
        <v>3451081497</v>
      </c>
      <c r="W148">
        <v>3358039264</v>
      </c>
      <c r="AC148" t="s">
        <v>5818</v>
      </c>
    </row>
    <row r="149" spans="1:29" x14ac:dyDescent="0.35">
      <c r="A149" t="s">
        <v>20</v>
      </c>
      <c r="C149" t="s">
        <v>76</v>
      </c>
      <c r="D149" t="s">
        <v>5400</v>
      </c>
      <c r="E149" t="s">
        <v>5819</v>
      </c>
      <c r="F149" t="s">
        <v>5820</v>
      </c>
      <c r="J149" t="s">
        <v>5455</v>
      </c>
      <c r="L149">
        <v>46101</v>
      </c>
      <c r="M149">
        <v>2163220000</v>
      </c>
      <c r="O149">
        <v>45360000</v>
      </c>
      <c r="P149">
        <v>2117860000</v>
      </c>
      <c r="Q149">
        <v>0</v>
      </c>
      <c r="R149">
        <v>0</v>
      </c>
      <c r="S149">
        <v>0</v>
      </c>
      <c r="T149">
        <v>0</v>
      </c>
      <c r="U149">
        <v>0</v>
      </c>
      <c r="V149">
        <v>2163220000</v>
      </c>
      <c r="W149">
        <v>2117860000</v>
      </c>
      <c r="AC149" t="s">
        <v>5821</v>
      </c>
    </row>
    <row r="150" spans="1:29" x14ac:dyDescent="0.35">
      <c r="A150" t="s">
        <v>20</v>
      </c>
      <c r="C150" t="s">
        <v>76</v>
      </c>
      <c r="D150" t="s">
        <v>2360</v>
      </c>
      <c r="E150" t="s">
        <v>5822</v>
      </c>
      <c r="F150" t="s">
        <v>5823</v>
      </c>
      <c r="J150" t="s">
        <v>5443</v>
      </c>
      <c r="L150">
        <v>46101</v>
      </c>
      <c r="M150">
        <v>3691200000</v>
      </c>
      <c r="O150">
        <v>85000000</v>
      </c>
      <c r="P150">
        <v>3606200000</v>
      </c>
      <c r="Q150">
        <v>0</v>
      </c>
      <c r="R150">
        <v>0</v>
      </c>
      <c r="S150">
        <v>0</v>
      </c>
      <c r="T150">
        <v>0</v>
      </c>
      <c r="U150">
        <v>0</v>
      </c>
      <c r="V150">
        <v>3691200000</v>
      </c>
      <c r="W150">
        <v>3606200000</v>
      </c>
      <c r="AC150" t="s">
        <v>5824</v>
      </c>
    </row>
    <row r="151" spans="1:29" x14ac:dyDescent="0.35">
      <c r="A151" t="s">
        <v>348</v>
      </c>
      <c r="C151" t="s">
        <v>76</v>
      </c>
      <c r="D151" t="s">
        <v>5825</v>
      </c>
      <c r="E151" t="s">
        <v>5825</v>
      </c>
      <c r="F151" t="s">
        <v>5826</v>
      </c>
      <c r="P151">
        <v>0</v>
      </c>
      <c r="Q151">
        <v>0</v>
      </c>
      <c r="R151">
        <v>58500000</v>
      </c>
      <c r="S151">
        <v>0</v>
      </c>
      <c r="T151">
        <v>0</v>
      </c>
      <c r="U151">
        <v>0</v>
      </c>
      <c r="V151">
        <v>58500000</v>
      </c>
      <c r="W151">
        <v>58500000</v>
      </c>
      <c r="AC151" t="s">
        <v>5810</v>
      </c>
    </row>
    <row r="152" spans="1:29" x14ac:dyDescent="0.35">
      <c r="A152" t="s">
        <v>348</v>
      </c>
      <c r="C152" t="s">
        <v>76</v>
      </c>
      <c r="D152" t="s">
        <v>936</v>
      </c>
      <c r="E152" t="s">
        <v>5827</v>
      </c>
      <c r="F152" t="s">
        <v>5828</v>
      </c>
      <c r="P152">
        <v>0</v>
      </c>
      <c r="Q152">
        <v>0</v>
      </c>
      <c r="R152">
        <v>142100000</v>
      </c>
      <c r="S152">
        <v>0</v>
      </c>
      <c r="T152">
        <v>0</v>
      </c>
      <c r="U152">
        <v>0</v>
      </c>
      <c r="V152">
        <v>142100000</v>
      </c>
      <c r="W152">
        <v>142100000</v>
      </c>
      <c r="AC152" t="s">
        <v>5810</v>
      </c>
    </row>
    <row r="153" spans="1:29" x14ac:dyDescent="0.35">
      <c r="A153" t="s">
        <v>348</v>
      </c>
      <c r="C153" t="s">
        <v>76</v>
      </c>
      <c r="D153" t="s">
        <v>5829</v>
      </c>
      <c r="E153" t="s">
        <v>5829</v>
      </c>
      <c r="F153" t="s">
        <v>5830</v>
      </c>
      <c r="P153">
        <v>0</v>
      </c>
      <c r="Q153">
        <v>0</v>
      </c>
      <c r="R153">
        <v>130000000</v>
      </c>
      <c r="S153">
        <v>0</v>
      </c>
      <c r="T153">
        <v>0</v>
      </c>
      <c r="U153">
        <v>0</v>
      </c>
      <c r="V153">
        <v>130000000</v>
      </c>
      <c r="W153">
        <v>130000000</v>
      </c>
      <c r="AC153" t="s">
        <v>5810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70B1-80D5-4ABC-BB18-CC09A9BEAE1B}">
  <dimension ref="A1:P69"/>
  <sheetViews>
    <sheetView workbookViewId="0"/>
  </sheetViews>
  <sheetFormatPr defaultRowHeight="14.5" x14ac:dyDescent="0.35"/>
  <cols>
    <col min="1" max="1" width="9.36328125" bestFit="1" customWidth="1"/>
    <col min="2" max="2" width="20.81640625" bestFit="1" customWidth="1"/>
    <col min="3" max="3" width="14" bestFit="1" customWidth="1"/>
    <col min="4" max="4" width="40.54296875" bestFit="1" customWidth="1"/>
    <col min="5" max="5" width="46.1796875" bestFit="1" customWidth="1"/>
    <col min="6" max="6" width="14.5429687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5974</v>
      </c>
      <c r="B2" t="s">
        <v>6345</v>
      </c>
      <c r="C2" t="s">
        <v>318</v>
      </c>
      <c r="D2" t="s">
        <v>6566</v>
      </c>
      <c r="E2" t="s">
        <v>5976</v>
      </c>
      <c r="F2" t="s">
        <v>6567</v>
      </c>
      <c r="G2" t="s">
        <v>5423</v>
      </c>
      <c r="H2" t="s">
        <v>5976</v>
      </c>
      <c r="I2" t="s">
        <v>5977</v>
      </c>
      <c r="J2" t="s">
        <v>5977</v>
      </c>
      <c r="K2" t="s">
        <v>5977</v>
      </c>
      <c r="L2">
        <v>46142</v>
      </c>
      <c r="M2" t="s">
        <v>5976</v>
      </c>
      <c r="N2" t="s">
        <v>5976</v>
      </c>
      <c r="P2" t="s">
        <v>6011</v>
      </c>
    </row>
    <row r="3" spans="1:16" x14ac:dyDescent="0.35">
      <c r="A3" t="s">
        <v>5974</v>
      </c>
      <c r="B3" t="s">
        <v>6568</v>
      </c>
      <c r="C3" t="s">
        <v>67</v>
      </c>
      <c r="D3" t="s">
        <v>6569</v>
      </c>
      <c r="E3" t="s">
        <v>5976</v>
      </c>
      <c r="F3" t="s">
        <v>6570</v>
      </c>
      <c r="G3" t="s">
        <v>5423</v>
      </c>
      <c r="H3" t="s">
        <v>5976</v>
      </c>
      <c r="I3" t="s">
        <v>5977</v>
      </c>
      <c r="J3" t="s">
        <v>5977</v>
      </c>
      <c r="K3" t="s">
        <v>5977</v>
      </c>
      <c r="L3">
        <v>46057</v>
      </c>
      <c r="M3">
        <v>46027</v>
      </c>
      <c r="N3">
        <v>46049</v>
      </c>
      <c r="O3">
        <v>0.95</v>
      </c>
      <c r="P3" t="s">
        <v>5977</v>
      </c>
    </row>
    <row r="4" spans="1:16" x14ac:dyDescent="0.35">
      <c r="A4" t="s">
        <v>61</v>
      </c>
      <c r="B4" t="s">
        <v>6571</v>
      </c>
      <c r="C4">
        <v>1011008</v>
      </c>
      <c r="D4" t="s">
        <v>6572</v>
      </c>
      <c r="E4" t="s">
        <v>6573</v>
      </c>
      <c r="F4" t="s">
        <v>2023</v>
      </c>
      <c r="G4" t="s">
        <v>5976</v>
      </c>
      <c r="H4" t="s">
        <v>5976</v>
      </c>
      <c r="I4" t="s">
        <v>5977</v>
      </c>
      <c r="J4" t="s">
        <v>6011</v>
      </c>
      <c r="K4" t="s">
        <v>5977</v>
      </c>
      <c r="L4">
        <v>46136</v>
      </c>
      <c r="M4" t="s">
        <v>5976</v>
      </c>
      <c r="N4" t="s">
        <v>5976</v>
      </c>
      <c r="O4">
        <v>0</v>
      </c>
      <c r="P4" t="s">
        <v>6011</v>
      </c>
    </row>
    <row r="5" spans="1:16" x14ac:dyDescent="0.35">
      <c r="A5" t="s">
        <v>61</v>
      </c>
      <c r="B5" t="s">
        <v>6574</v>
      </c>
      <c r="C5" t="s">
        <v>1660</v>
      </c>
      <c r="D5" t="s">
        <v>6575</v>
      </c>
      <c r="F5" t="s">
        <v>6570</v>
      </c>
      <c r="G5" t="s">
        <v>5423</v>
      </c>
      <c r="H5" t="s">
        <v>5976</v>
      </c>
      <c r="I5" t="s">
        <v>5977</v>
      </c>
      <c r="J5" t="s">
        <v>5977</v>
      </c>
      <c r="K5" t="s">
        <v>5977</v>
      </c>
      <c r="L5">
        <v>46112</v>
      </c>
      <c r="M5">
        <v>46082</v>
      </c>
      <c r="N5" t="s">
        <v>5976</v>
      </c>
      <c r="O5">
        <v>0.6</v>
      </c>
      <c r="P5" t="s">
        <v>6011</v>
      </c>
    </row>
    <row r="6" spans="1:16" x14ac:dyDescent="0.35">
      <c r="A6" t="s">
        <v>61</v>
      </c>
      <c r="B6" t="s">
        <v>6576</v>
      </c>
      <c r="C6" t="s">
        <v>2626</v>
      </c>
      <c r="D6" t="s">
        <v>5803</v>
      </c>
      <c r="E6" t="s">
        <v>6577</v>
      </c>
      <c r="F6" t="s">
        <v>229</v>
      </c>
      <c r="G6" t="s">
        <v>1794</v>
      </c>
      <c r="H6" t="s">
        <v>5976</v>
      </c>
      <c r="I6" t="s">
        <v>5977</v>
      </c>
      <c r="J6" t="s">
        <v>6011</v>
      </c>
      <c r="K6" t="s">
        <v>5977</v>
      </c>
      <c r="L6">
        <v>46107</v>
      </c>
      <c r="M6">
        <v>46082</v>
      </c>
      <c r="O6">
        <v>0.6</v>
      </c>
      <c r="P6" t="s">
        <v>6011</v>
      </c>
    </row>
    <row r="7" spans="1:16" x14ac:dyDescent="0.35">
      <c r="A7" t="s">
        <v>61</v>
      </c>
      <c r="B7" t="s">
        <v>6578</v>
      </c>
      <c r="C7" t="s">
        <v>2291</v>
      </c>
      <c r="D7" t="s">
        <v>6579</v>
      </c>
      <c r="E7" t="s">
        <v>5976</v>
      </c>
      <c r="F7" t="s">
        <v>6580</v>
      </c>
      <c r="G7" t="s">
        <v>2716</v>
      </c>
      <c r="H7" t="s">
        <v>2732</v>
      </c>
      <c r="I7" t="s">
        <v>5977</v>
      </c>
      <c r="J7" t="s">
        <v>5977</v>
      </c>
      <c r="K7" t="s">
        <v>5977</v>
      </c>
      <c r="L7">
        <v>46134</v>
      </c>
      <c r="M7">
        <v>46094</v>
      </c>
      <c r="N7" t="s">
        <v>5976</v>
      </c>
      <c r="O7">
        <v>0.05</v>
      </c>
      <c r="P7" t="s">
        <v>6011</v>
      </c>
    </row>
    <row r="8" spans="1:16" x14ac:dyDescent="0.35">
      <c r="A8" t="s">
        <v>5974</v>
      </c>
      <c r="B8" t="s">
        <v>6581</v>
      </c>
      <c r="C8" t="s">
        <v>1416</v>
      </c>
      <c r="D8" t="s">
        <v>6582</v>
      </c>
      <c r="E8" t="s">
        <v>6583</v>
      </c>
      <c r="F8" t="s">
        <v>71</v>
      </c>
      <c r="G8" t="s">
        <v>1794</v>
      </c>
      <c r="H8" t="s">
        <v>2709</v>
      </c>
      <c r="I8" t="s">
        <v>5977</v>
      </c>
      <c r="J8" t="s">
        <v>5977</v>
      </c>
      <c r="K8" t="s">
        <v>5977</v>
      </c>
      <c r="L8">
        <v>46049</v>
      </c>
      <c r="M8">
        <v>46029</v>
      </c>
      <c r="N8" t="s">
        <v>5976</v>
      </c>
      <c r="O8">
        <v>1</v>
      </c>
      <c r="P8" t="s">
        <v>5977</v>
      </c>
    </row>
    <row r="9" spans="1:16" x14ac:dyDescent="0.35">
      <c r="A9" t="s">
        <v>5974</v>
      </c>
      <c r="B9" t="s">
        <v>6301</v>
      </c>
      <c r="C9" t="s">
        <v>1584</v>
      </c>
      <c r="D9" t="s">
        <v>6584</v>
      </c>
      <c r="E9" t="s">
        <v>5976</v>
      </c>
      <c r="F9" t="s">
        <v>6585</v>
      </c>
      <c r="G9" t="s">
        <v>5423</v>
      </c>
      <c r="H9" t="s">
        <v>5976</v>
      </c>
      <c r="I9" t="s">
        <v>5977</v>
      </c>
      <c r="J9" t="s">
        <v>5977</v>
      </c>
      <c r="K9" t="s">
        <v>5977</v>
      </c>
      <c r="L9" t="s">
        <v>5976</v>
      </c>
      <c r="M9" t="s">
        <v>5976</v>
      </c>
      <c r="N9" t="s">
        <v>5976</v>
      </c>
      <c r="O9" t="s">
        <v>5976</v>
      </c>
      <c r="P9" t="s">
        <v>6011</v>
      </c>
    </row>
    <row r="10" spans="1:16" x14ac:dyDescent="0.35">
      <c r="A10" t="s">
        <v>5974</v>
      </c>
      <c r="B10" t="s">
        <v>6304</v>
      </c>
      <c r="C10" t="s">
        <v>114</v>
      </c>
      <c r="D10" t="s">
        <v>115</v>
      </c>
      <c r="E10" t="s">
        <v>5976</v>
      </c>
      <c r="F10" t="s">
        <v>95</v>
      </c>
      <c r="G10" t="s">
        <v>5423</v>
      </c>
      <c r="H10" t="s">
        <v>5976</v>
      </c>
      <c r="I10" t="s">
        <v>5977</v>
      </c>
      <c r="J10" t="s">
        <v>5977</v>
      </c>
      <c r="K10" t="s">
        <v>5977</v>
      </c>
      <c r="L10">
        <v>46129</v>
      </c>
      <c r="M10" t="s">
        <v>5976</v>
      </c>
      <c r="N10" t="s">
        <v>5976</v>
      </c>
      <c r="P10" t="s">
        <v>6011</v>
      </c>
    </row>
    <row r="11" spans="1:16" x14ac:dyDescent="0.35">
      <c r="A11" t="s">
        <v>61</v>
      </c>
      <c r="B11" t="s">
        <v>6307</v>
      </c>
      <c r="C11" t="s">
        <v>2178</v>
      </c>
      <c r="D11" t="s">
        <v>6586</v>
      </c>
      <c r="E11" t="s">
        <v>6022</v>
      </c>
      <c r="F11" t="s">
        <v>229</v>
      </c>
      <c r="G11" t="s">
        <v>1794</v>
      </c>
      <c r="H11" t="s">
        <v>5976</v>
      </c>
      <c r="I11" t="s">
        <v>5977</v>
      </c>
      <c r="J11" t="s">
        <v>5977</v>
      </c>
      <c r="K11" t="s">
        <v>5977</v>
      </c>
      <c r="L11">
        <v>46068</v>
      </c>
      <c r="M11">
        <v>46053</v>
      </c>
      <c r="N11">
        <v>46068</v>
      </c>
      <c r="O11">
        <v>1</v>
      </c>
      <c r="P11" t="s">
        <v>5977</v>
      </c>
    </row>
    <row r="12" spans="1:16" x14ac:dyDescent="0.35">
      <c r="A12" t="s">
        <v>5974</v>
      </c>
      <c r="B12" t="s">
        <v>6327</v>
      </c>
      <c r="C12" t="s">
        <v>1607</v>
      </c>
      <c r="D12" t="s">
        <v>1608</v>
      </c>
      <c r="E12" t="s">
        <v>5976</v>
      </c>
      <c r="F12" t="s">
        <v>6587</v>
      </c>
      <c r="G12" t="s">
        <v>5423</v>
      </c>
      <c r="H12" t="s">
        <v>5976</v>
      </c>
      <c r="I12" t="s">
        <v>5977</v>
      </c>
      <c r="J12" t="s">
        <v>5977</v>
      </c>
      <c r="K12" t="s">
        <v>5977</v>
      </c>
      <c r="L12">
        <v>45699</v>
      </c>
      <c r="M12">
        <v>46021</v>
      </c>
      <c r="N12" t="s">
        <v>5976</v>
      </c>
      <c r="O12">
        <v>0.95</v>
      </c>
      <c r="P12" t="s">
        <v>6011</v>
      </c>
    </row>
    <row r="13" spans="1:16" x14ac:dyDescent="0.35">
      <c r="A13" t="s">
        <v>5974</v>
      </c>
      <c r="B13" t="s">
        <v>6329</v>
      </c>
      <c r="C13" t="s">
        <v>1605</v>
      </c>
      <c r="D13" t="s">
        <v>1606</v>
      </c>
      <c r="E13" t="s">
        <v>5976</v>
      </c>
      <c r="F13" t="s">
        <v>6587</v>
      </c>
      <c r="G13" t="s">
        <v>5423</v>
      </c>
      <c r="H13" t="s">
        <v>5976</v>
      </c>
      <c r="I13" t="s">
        <v>6011</v>
      </c>
      <c r="J13" t="s">
        <v>5981</v>
      </c>
      <c r="K13" t="s">
        <v>5981</v>
      </c>
      <c r="L13" t="s">
        <v>5976</v>
      </c>
      <c r="M13" t="s">
        <v>5976</v>
      </c>
      <c r="N13" t="s">
        <v>5976</v>
      </c>
      <c r="O13" t="s">
        <v>5976</v>
      </c>
      <c r="P13" t="s">
        <v>5976</v>
      </c>
    </row>
    <row r="14" spans="1:16" x14ac:dyDescent="0.35">
      <c r="A14" t="s">
        <v>61</v>
      </c>
      <c r="B14" t="s">
        <v>6363</v>
      </c>
      <c r="C14" t="s">
        <v>2176</v>
      </c>
      <c r="D14" t="s">
        <v>5840</v>
      </c>
      <c r="E14" t="s">
        <v>5976</v>
      </c>
      <c r="F14" t="s">
        <v>3255</v>
      </c>
      <c r="G14" t="s">
        <v>2716</v>
      </c>
      <c r="H14" t="s">
        <v>5976</v>
      </c>
      <c r="I14" t="s">
        <v>5977</v>
      </c>
      <c r="J14" t="s">
        <v>5977</v>
      </c>
      <c r="K14" t="s">
        <v>5977</v>
      </c>
      <c r="L14">
        <v>46038</v>
      </c>
      <c r="M14">
        <v>46007</v>
      </c>
      <c r="N14">
        <v>46038</v>
      </c>
      <c r="O14">
        <v>1</v>
      </c>
      <c r="P14" t="s">
        <v>5977</v>
      </c>
    </row>
    <row r="15" spans="1:16" x14ac:dyDescent="0.35">
      <c r="A15" t="s">
        <v>6588</v>
      </c>
      <c r="B15" t="s">
        <v>6369</v>
      </c>
      <c r="C15" t="s">
        <v>6589</v>
      </c>
      <c r="D15" t="s">
        <v>6590</v>
      </c>
      <c r="E15" t="s">
        <v>5976</v>
      </c>
      <c r="F15" t="s">
        <v>6591</v>
      </c>
      <c r="G15" t="s">
        <v>5423</v>
      </c>
      <c r="H15" t="s">
        <v>5976</v>
      </c>
      <c r="I15" t="s">
        <v>5977</v>
      </c>
      <c r="J15" t="s">
        <v>5977</v>
      </c>
      <c r="K15" t="s">
        <v>5977</v>
      </c>
      <c r="L15" t="s">
        <v>5976</v>
      </c>
      <c r="M15" t="s">
        <v>5976</v>
      </c>
      <c r="N15" t="s">
        <v>5976</v>
      </c>
      <c r="O15" t="s">
        <v>5976</v>
      </c>
      <c r="P15" t="s">
        <v>5976</v>
      </c>
    </row>
    <row r="16" spans="1:16" x14ac:dyDescent="0.35">
      <c r="A16" t="s">
        <v>6588</v>
      </c>
      <c r="B16" t="s">
        <v>6371</v>
      </c>
      <c r="C16" t="s">
        <v>6589</v>
      </c>
      <c r="D16" t="s">
        <v>6592</v>
      </c>
      <c r="E16" t="s">
        <v>5976</v>
      </c>
      <c r="F16" t="s">
        <v>1772</v>
      </c>
      <c r="G16" t="s">
        <v>2716</v>
      </c>
      <c r="H16" t="s">
        <v>5976</v>
      </c>
      <c r="I16" t="s">
        <v>5977</v>
      </c>
      <c r="J16" t="s">
        <v>5981</v>
      </c>
      <c r="K16" t="s">
        <v>5977</v>
      </c>
      <c r="L16" t="s">
        <v>5976</v>
      </c>
      <c r="M16" t="s">
        <v>5976</v>
      </c>
      <c r="N16" t="s">
        <v>5976</v>
      </c>
      <c r="O16" t="s">
        <v>5976</v>
      </c>
      <c r="P16" t="s">
        <v>5996</v>
      </c>
    </row>
    <row r="17" spans="1:16" x14ac:dyDescent="0.35">
      <c r="A17" t="s">
        <v>5974</v>
      </c>
      <c r="B17" t="s">
        <v>6373</v>
      </c>
      <c r="C17" t="s">
        <v>6593</v>
      </c>
      <c r="D17" t="s">
        <v>6594</v>
      </c>
      <c r="E17" t="s">
        <v>6595</v>
      </c>
      <c r="F17" t="s">
        <v>6585</v>
      </c>
      <c r="G17" t="s">
        <v>2716</v>
      </c>
      <c r="H17" t="s">
        <v>5976</v>
      </c>
      <c r="I17" t="s">
        <v>5977</v>
      </c>
      <c r="J17" t="s">
        <v>5977</v>
      </c>
      <c r="K17" t="s">
        <v>5977</v>
      </c>
      <c r="L17" t="s">
        <v>5976</v>
      </c>
      <c r="M17" t="s">
        <v>5976</v>
      </c>
      <c r="N17" t="s">
        <v>5976</v>
      </c>
      <c r="O17" t="s">
        <v>5976</v>
      </c>
      <c r="P17" t="s">
        <v>6011</v>
      </c>
    </row>
    <row r="18" spans="1:16" x14ac:dyDescent="0.35">
      <c r="A18" t="s">
        <v>5974</v>
      </c>
      <c r="B18" t="s">
        <v>6376</v>
      </c>
      <c r="C18" t="s">
        <v>6589</v>
      </c>
      <c r="D18" t="s">
        <v>6596</v>
      </c>
      <c r="E18" t="s">
        <v>5976</v>
      </c>
      <c r="F18" t="s">
        <v>6597</v>
      </c>
      <c r="G18" t="s">
        <v>5423</v>
      </c>
      <c r="H18" t="s">
        <v>5976</v>
      </c>
      <c r="I18" t="s">
        <v>5977</v>
      </c>
      <c r="J18" t="s">
        <v>5977</v>
      </c>
      <c r="K18" t="s">
        <v>5980</v>
      </c>
      <c r="L18" t="s">
        <v>5976</v>
      </c>
      <c r="M18" t="s">
        <v>5976</v>
      </c>
      <c r="N18" t="s">
        <v>5976</v>
      </c>
      <c r="O18" t="s">
        <v>5976</v>
      </c>
      <c r="P18" t="s">
        <v>5980</v>
      </c>
    </row>
    <row r="19" spans="1:16" x14ac:dyDescent="0.35">
      <c r="A19" t="s">
        <v>5974</v>
      </c>
      <c r="B19" t="s">
        <v>6598</v>
      </c>
      <c r="C19" t="s">
        <v>2635</v>
      </c>
      <c r="D19" t="s">
        <v>6599</v>
      </c>
      <c r="E19" t="s">
        <v>6600</v>
      </c>
      <c r="F19" t="s">
        <v>3191</v>
      </c>
      <c r="G19" t="s">
        <v>1794</v>
      </c>
      <c r="H19" t="s">
        <v>5976</v>
      </c>
      <c r="I19" t="s">
        <v>6011</v>
      </c>
      <c r="J19" t="s">
        <v>5981</v>
      </c>
      <c r="K19" t="s">
        <v>5981</v>
      </c>
      <c r="L19" t="s">
        <v>5976</v>
      </c>
      <c r="M19" t="s">
        <v>5976</v>
      </c>
      <c r="N19" t="s">
        <v>5976</v>
      </c>
      <c r="O19" t="s">
        <v>5976</v>
      </c>
      <c r="P19" t="s">
        <v>5976</v>
      </c>
    </row>
    <row r="20" spans="1:16" x14ac:dyDescent="0.35">
      <c r="A20" t="s">
        <v>5974</v>
      </c>
      <c r="B20" t="s">
        <v>6378</v>
      </c>
      <c r="C20" t="s">
        <v>1664</v>
      </c>
      <c r="D20" t="s">
        <v>6601</v>
      </c>
      <c r="E20" t="s">
        <v>5976</v>
      </c>
      <c r="F20" t="s">
        <v>6602</v>
      </c>
      <c r="G20" t="s">
        <v>6603</v>
      </c>
      <c r="H20" t="s">
        <v>5976</v>
      </c>
      <c r="I20" t="s">
        <v>5977</v>
      </c>
      <c r="J20" t="s">
        <v>5977</v>
      </c>
      <c r="K20" t="s">
        <v>6011</v>
      </c>
      <c r="L20">
        <v>46159</v>
      </c>
      <c r="M20">
        <v>46087</v>
      </c>
      <c r="N20" t="s">
        <v>5976</v>
      </c>
      <c r="O20" t="s">
        <v>5976</v>
      </c>
      <c r="P20" t="s">
        <v>6011</v>
      </c>
    </row>
    <row r="21" spans="1:16" x14ac:dyDescent="0.35">
      <c r="A21" t="s">
        <v>61</v>
      </c>
      <c r="B21" t="s">
        <v>6381</v>
      </c>
      <c r="C21" t="s">
        <v>5951</v>
      </c>
      <c r="D21" t="s">
        <v>6604</v>
      </c>
      <c r="F21" t="s">
        <v>229</v>
      </c>
      <c r="G21" t="s">
        <v>1794</v>
      </c>
      <c r="H21" t="s">
        <v>5976</v>
      </c>
      <c r="I21" t="s">
        <v>5977</v>
      </c>
      <c r="J21" t="s">
        <v>5977</v>
      </c>
      <c r="K21" t="s">
        <v>5977</v>
      </c>
      <c r="L21">
        <v>46114</v>
      </c>
      <c r="M21">
        <v>46084</v>
      </c>
      <c r="N21" t="s">
        <v>5976</v>
      </c>
      <c r="O21">
        <v>0.4</v>
      </c>
      <c r="P21" t="s">
        <v>6011</v>
      </c>
    </row>
    <row r="22" spans="1:16" x14ac:dyDescent="0.35">
      <c r="A22" t="s">
        <v>61</v>
      </c>
      <c r="B22" t="s">
        <v>6387</v>
      </c>
      <c r="C22" t="s">
        <v>930</v>
      </c>
      <c r="D22" t="s">
        <v>6605</v>
      </c>
      <c r="E22" t="s">
        <v>6606</v>
      </c>
      <c r="F22" t="s">
        <v>6607</v>
      </c>
      <c r="G22" t="s">
        <v>5423</v>
      </c>
      <c r="H22" t="s">
        <v>5976</v>
      </c>
      <c r="I22" t="s">
        <v>5977</v>
      </c>
      <c r="J22" t="s">
        <v>6011</v>
      </c>
      <c r="K22" t="s">
        <v>5977</v>
      </c>
      <c r="L22" t="s">
        <v>5976</v>
      </c>
      <c r="M22" t="s">
        <v>5976</v>
      </c>
      <c r="N22" t="s">
        <v>5976</v>
      </c>
      <c r="O22" t="s">
        <v>5976</v>
      </c>
      <c r="P22" t="s">
        <v>5976</v>
      </c>
    </row>
    <row r="23" spans="1:16" x14ac:dyDescent="0.35">
      <c r="A23" t="s">
        <v>5974</v>
      </c>
      <c r="B23" t="s">
        <v>6608</v>
      </c>
      <c r="C23" t="s">
        <v>2202</v>
      </c>
      <c r="D23" t="s">
        <v>2203</v>
      </c>
      <c r="E23" t="s">
        <v>5976</v>
      </c>
      <c r="F23" t="s">
        <v>6597</v>
      </c>
      <c r="G23" t="s">
        <v>2716</v>
      </c>
      <c r="H23" t="s">
        <v>2732</v>
      </c>
      <c r="I23" t="s">
        <v>6011</v>
      </c>
      <c r="J23" t="s">
        <v>5977</v>
      </c>
      <c r="K23" t="s">
        <v>6011</v>
      </c>
      <c r="L23">
        <v>46162</v>
      </c>
      <c r="M23" t="s">
        <v>5976</v>
      </c>
      <c r="N23" t="s">
        <v>5976</v>
      </c>
      <c r="O23" t="s">
        <v>5976</v>
      </c>
      <c r="P23" t="s">
        <v>5976</v>
      </c>
    </row>
    <row r="24" spans="1:16" x14ac:dyDescent="0.35">
      <c r="A24" t="s">
        <v>61</v>
      </c>
      <c r="B24" t="s">
        <v>6609</v>
      </c>
      <c r="C24" t="s">
        <v>6589</v>
      </c>
      <c r="D24" t="s">
        <v>6610</v>
      </c>
      <c r="E24" t="s">
        <v>5976</v>
      </c>
      <c r="F24" t="s">
        <v>4012</v>
      </c>
      <c r="G24" t="s">
        <v>2716</v>
      </c>
      <c r="H24" t="s">
        <v>2732</v>
      </c>
      <c r="I24" t="s">
        <v>5996</v>
      </c>
      <c r="J24" t="s">
        <v>5996</v>
      </c>
      <c r="K24" t="s">
        <v>5996</v>
      </c>
      <c r="L24" t="s">
        <v>5976</v>
      </c>
      <c r="M24" t="s">
        <v>5976</v>
      </c>
      <c r="N24" t="s">
        <v>5976</v>
      </c>
      <c r="O24" t="s">
        <v>5976</v>
      </c>
      <c r="P24" t="s">
        <v>5976</v>
      </c>
    </row>
    <row r="25" spans="1:16" x14ac:dyDescent="0.35">
      <c r="A25" t="s">
        <v>61</v>
      </c>
      <c r="B25" t="s">
        <v>6611</v>
      </c>
      <c r="C25" t="s">
        <v>2164</v>
      </c>
      <c r="D25" t="s">
        <v>5911</v>
      </c>
      <c r="E25" t="s">
        <v>5976</v>
      </c>
      <c r="F25" t="s">
        <v>229</v>
      </c>
      <c r="G25" t="s">
        <v>1794</v>
      </c>
      <c r="H25" t="s">
        <v>2732</v>
      </c>
      <c r="I25" t="s">
        <v>5977</v>
      </c>
      <c r="J25" t="s">
        <v>5977</v>
      </c>
      <c r="K25" t="s">
        <v>5977</v>
      </c>
      <c r="L25">
        <v>46044</v>
      </c>
      <c r="M25">
        <v>46021</v>
      </c>
      <c r="N25">
        <v>46044</v>
      </c>
      <c r="O25">
        <v>1</v>
      </c>
      <c r="P25" t="s">
        <v>5977</v>
      </c>
    </row>
    <row r="26" spans="1:16" x14ac:dyDescent="0.35">
      <c r="A26" t="s">
        <v>61</v>
      </c>
      <c r="B26" t="s">
        <v>6612</v>
      </c>
      <c r="C26" t="s">
        <v>2456</v>
      </c>
      <c r="D26" t="s">
        <v>6613</v>
      </c>
      <c r="E26" t="s">
        <v>6614</v>
      </c>
      <c r="F26" t="s">
        <v>1772</v>
      </c>
      <c r="G26" t="s">
        <v>1794</v>
      </c>
      <c r="H26" t="s">
        <v>2732</v>
      </c>
      <c r="I26" t="s">
        <v>6011</v>
      </c>
      <c r="J26" t="s">
        <v>5981</v>
      </c>
      <c r="K26" t="s">
        <v>5981</v>
      </c>
      <c r="L26">
        <v>46162</v>
      </c>
      <c r="M26" t="s">
        <v>5976</v>
      </c>
      <c r="N26" t="s">
        <v>5976</v>
      </c>
      <c r="O26" t="s">
        <v>5976</v>
      </c>
      <c r="P26" t="s">
        <v>5976</v>
      </c>
    </row>
    <row r="27" spans="1:16" x14ac:dyDescent="0.35">
      <c r="A27" t="s">
        <v>61</v>
      </c>
      <c r="B27" t="s">
        <v>6615</v>
      </c>
      <c r="C27" t="s">
        <v>2423</v>
      </c>
      <c r="D27" t="s">
        <v>6616</v>
      </c>
      <c r="E27" t="s">
        <v>6002</v>
      </c>
      <c r="F27" t="s">
        <v>25</v>
      </c>
      <c r="G27" t="s">
        <v>2716</v>
      </c>
      <c r="H27" t="s">
        <v>2732</v>
      </c>
      <c r="I27" t="s">
        <v>5981</v>
      </c>
      <c r="J27" t="s">
        <v>5981</v>
      </c>
      <c r="K27" t="s">
        <v>5981</v>
      </c>
      <c r="L27" t="s">
        <v>5976</v>
      </c>
      <c r="M27" t="s">
        <v>5976</v>
      </c>
      <c r="N27" t="s">
        <v>5976</v>
      </c>
      <c r="O27" t="s">
        <v>5976</v>
      </c>
      <c r="P27" t="s">
        <v>5976</v>
      </c>
    </row>
    <row r="28" spans="1:16" x14ac:dyDescent="0.35">
      <c r="A28" t="s">
        <v>61</v>
      </c>
      <c r="B28" t="s">
        <v>6617</v>
      </c>
      <c r="C28" t="s">
        <v>2289</v>
      </c>
      <c r="D28" t="s">
        <v>6618</v>
      </c>
      <c r="E28" t="s">
        <v>6002</v>
      </c>
      <c r="F28" t="s">
        <v>6580</v>
      </c>
      <c r="G28" t="s">
        <v>2716</v>
      </c>
      <c r="H28" t="s">
        <v>2732</v>
      </c>
      <c r="I28" t="s">
        <v>5981</v>
      </c>
      <c r="J28" t="s">
        <v>5981</v>
      </c>
      <c r="K28" t="s">
        <v>5981</v>
      </c>
      <c r="L28" t="s">
        <v>5976</v>
      </c>
      <c r="M28" t="s">
        <v>5976</v>
      </c>
      <c r="N28" t="s">
        <v>5976</v>
      </c>
      <c r="O28" t="s">
        <v>5976</v>
      </c>
      <c r="P28" t="s">
        <v>5976</v>
      </c>
    </row>
    <row r="29" spans="1:16" x14ac:dyDescent="0.35">
      <c r="A29" t="s">
        <v>61</v>
      </c>
      <c r="B29" t="s">
        <v>6619</v>
      </c>
      <c r="C29" t="s">
        <v>4690</v>
      </c>
      <c r="D29" t="s">
        <v>6620</v>
      </c>
      <c r="E29" t="s">
        <v>6002</v>
      </c>
      <c r="F29" t="s">
        <v>4012</v>
      </c>
      <c r="G29" t="s">
        <v>2716</v>
      </c>
      <c r="H29" t="s">
        <v>2732</v>
      </c>
      <c r="I29" t="s">
        <v>5981</v>
      </c>
      <c r="J29" t="s">
        <v>5981</v>
      </c>
      <c r="K29" t="s">
        <v>5981</v>
      </c>
      <c r="L29" t="s">
        <v>5976</v>
      </c>
      <c r="M29" t="s">
        <v>5976</v>
      </c>
      <c r="N29" t="s">
        <v>5976</v>
      </c>
      <c r="O29" t="s">
        <v>5976</v>
      </c>
      <c r="P29" t="s">
        <v>5976</v>
      </c>
    </row>
    <row r="30" spans="1:16" x14ac:dyDescent="0.35">
      <c r="A30" t="s">
        <v>61</v>
      </c>
      <c r="B30" t="s">
        <v>6621</v>
      </c>
      <c r="C30" t="s">
        <v>5053</v>
      </c>
      <c r="D30" t="s">
        <v>6622</v>
      </c>
      <c r="E30" t="s">
        <v>6002</v>
      </c>
      <c r="F30" t="s">
        <v>6567</v>
      </c>
      <c r="G30" t="s">
        <v>2716</v>
      </c>
      <c r="H30" t="s">
        <v>2732</v>
      </c>
      <c r="I30" t="s">
        <v>5981</v>
      </c>
      <c r="J30" t="s">
        <v>5981</v>
      </c>
      <c r="K30" t="s">
        <v>5981</v>
      </c>
      <c r="L30" t="s">
        <v>5976</v>
      </c>
      <c r="M30" t="s">
        <v>5976</v>
      </c>
      <c r="N30" t="s">
        <v>5976</v>
      </c>
      <c r="O30" t="s">
        <v>5976</v>
      </c>
      <c r="P30" t="s">
        <v>5976</v>
      </c>
    </row>
    <row r="31" spans="1:16" x14ac:dyDescent="0.35">
      <c r="A31" t="s">
        <v>61</v>
      </c>
      <c r="B31" t="s">
        <v>6623</v>
      </c>
      <c r="C31" t="s">
        <v>2455</v>
      </c>
      <c r="D31" t="s">
        <v>6624</v>
      </c>
      <c r="E31" t="s">
        <v>6002</v>
      </c>
      <c r="F31" t="s">
        <v>1772</v>
      </c>
      <c r="G31" t="s">
        <v>2716</v>
      </c>
      <c r="H31" t="s">
        <v>2732</v>
      </c>
      <c r="I31" t="s">
        <v>5981</v>
      </c>
      <c r="J31" t="s">
        <v>5981</v>
      </c>
      <c r="K31" t="s">
        <v>5981</v>
      </c>
      <c r="L31">
        <v>46218</v>
      </c>
      <c r="M31" t="s">
        <v>5976</v>
      </c>
      <c r="N31" t="s">
        <v>5976</v>
      </c>
      <c r="O31" t="s">
        <v>5976</v>
      </c>
      <c r="P31" t="s">
        <v>5976</v>
      </c>
    </row>
    <row r="32" spans="1:16" x14ac:dyDescent="0.35">
      <c r="A32" t="s">
        <v>5974</v>
      </c>
      <c r="B32" t="s">
        <v>6625</v>
      </c>
      <c r="C32" t="s">
        <v>1416</v>
      </c>
      <c r="D32" t="s">
        <v>6626</v>
      </c>
      <c r="E32" t="s">
        <v>6627</v>
      </c>
      <c r="F32" t="s">
        <v>184</v>
      </c>
      <c r="G32" t="s">
        <v>5423</v>
      </c>
      <c r="H32" t="s">
        <v>2709</v>
      </c>
      <c r="I32" t="s">
        <v>5977</v>
      </c>
      <c r="J32" t="s">
        <v>5977</v>
      </c>
      <c r="K32" t="s">
        <v>5981</v>
      </c>
      <c r="L32" t="s">
        <v>5976</v>
      </c>
      <c r="M32" t="s">
        <v>5976</v>
      </c>
      <c r="N32" t="s">
        <v>5976</v>
      </c>
      <c r="O32" t="s">
        <v>5976</v>
      </c>
      <c r="P32" t="s">
        <v>5976</v>
      </c>
    </row>
    <row r="33" spans="1:16" x14ac:dyDescent="0.35">
      <c r="A33" t="s">
        <v>61</v>
      </c>
      <c r="B33" t="s">
        <v>6309</v>
      </c>
      <c r="C33" t="s">
        <v>6589</v>
      </c>
      <c r="D33" t="s">
        <v>6628</v>
      </c>
      <c r="E33" t="s">
        <v>5976</v>
      </c>
      <c r="F33" t="s">
        <v>6580</v>
      </c>
      <c r="G33" t="s">
        <v>2716</v>
      </c>
      <c r="H33" t="s">
        <v>2709</v>
      </c>
      <c r="I33" t="s">
        <v>5996</v>
      </c>
      <c r="J33" t="s">
        <v>5996</v>
      </c>
      <c r="K33" t="s">
        <v>5996</v>
      </c>
      <c r="L33" t="s">
        <v>5976</v>
      </c>
      <c r="M33" t="s">
        <v>5976</v>
      </c>
      <c r="N33" t="s">
        <v>5976</v>
      </c>
      <c r="O33" t="s">
        <v>5976</v>
      </c>
      <c r="P33" t="s">
        <v>5976</v>
      </c>
    </row>
    <row r="34" spans="1:16" x14ac:dyDescent="0.35">
      <c r="A34" t="s">
        <v>61</v>
      </c>
      <c r="B34" t="s">
        <v>6311</v>
      </c>
      <c r="C34" t="s">
        <v>4823</v>
      </c>
      <c r="D34" t="s">
        <v>6629</v>
      </c>
      <c r="E34" t="s">
        <v>5976</v>
      </c>
      <c r="F34" t="s">
        <v>6567</v>
      </c>
      <c r="G34" t="s">
        <v>2716</v>
      </c>
      <c r="H34" t="s">
        <v>2732</v>
      </c>
      <c r="I34" t="s">
        <v>6011</v>
      </c>
      <c r="J34" t="s">
        <v>5981</v>
      </c>
      <c r="K34" t="s">
        <v>5981</v>
      </c>
      <c r="L34">
        <v>46147</v>
      </c>
      <c r="M34" t="s">
        <v>5976</v>
      </c>
      <c r="N34" t="s">
        <v>5976</v>
      </c>
      <c r="O34" t="s">
        <v>5976</v>
      </c>
      <c r="P34" t="s">
        <v>5976</v>
      </c>
    </row>
    <row r="35" spans="1:16" x14ac:dyDescent="0.35">
      <c r="A35" t="s">
        <v>61</v>
      </c>
      <c r="B35" t="s">
        <v>6314</v>
      </c>
      <c r="C35" t="s">
        <v>4826</v>
      </c>
      <c r="D35" t="s">
        <v>6630</v>
      </c>
      <c r="E35" t="s">
        <v>5976</v>
      </c>
      <c r="F35" t="s">
        <v>1772</v>
      </c>
      <c r="G35" t="s">
        <v>2716</v>
      </c>
      <c r="H35" t="s">
        <v>2732</v>
      </c>
      <c r="I35" t="s">
        <v>6011</v>
      </c>
      <c r="J35" t="s">
        <v>5981</v>
      </c>
      <c r="K35" t="s">
        <v>5981</v>
      </c>
      <c r="L35">
        <v>46147</v>
      </c>
      <c r="M35" t="s">
        <v>5976</v>
      </c>
      <c r="N35" t="s">
        <v>5976</v>
      </c>
      <c r="O35" t="s">
        <v>5976</v>
      </c>
      <c r="P35" t="s">
        <v>5976</v>
      </c>
    </row>
    <row r="36" spans="1:16" x14ac:dyDescent="0.35">
      <c r="A36" t="s">
        <v>5974</v>
      </c>
      <c r="B36" t="s">
        <v>6317</v>
      </c>
      <c r="C36" t="s">
        <v>2435</v>
      </c>
      <c r="D36" t="s">
        <v>5843</v>
      </c>
      <c r="E36" t="s">
        <v>5976</v>
      </c>
      <c r="F36" t="s">
        <v>6631</v>
      </c>
      <c r="G36" t="s">
        <v>2716</v>
      </c>
      <c r="H36" t="s">
        <v>2732</v>
      </c>
      <c r="I36" t="s">
        <v>5977</v>
      </c>
      <c r="J36" t="s">
        <v>5977</v>
      </c>
      <c r="K36" t="s">
        <v>5977</v>
      </c>
      <c r="L36">
        <v>46120</v>
      </c>
      <c r="M36" t="s">
        <v>5976</v>
      </c>
      <c r="N36" t="s">
        <v>5976</v>
      </c>
      <c r="O36" t="s">
        <v>5976</v>
      </c>
      <c r="P36" t="s">
        <v>6011</v>
      </c>
    </row>
    <row r="37" spans="1:16" x14ac:dyDescent="0.35">
      <c r="A37" t="s">
        <v>5974</v>
      </c>
      <c r="B37" t="s">
        <v>6320</v>
      </c>
      <c r="C37" t="s">
        <v>2417</v>
      </c>
      <c r="D37" t="s">
        <v>6632</v>
      </c>
      <c r="E37" t="s">
        <v>5976</v>
      </c>
      <c r="F37" t="s">
        <v>25</v>
      </c>
      <c r="G37" t="s">
        <v>2716</v>
      </c>
      <c r="H37" t="s">
        <v>2732</v>
      </c>
      <c r="I37" t="s">
        <v>5996</v>
      </c>
      <c r="J37" t="s">
        <v>5996</v>
      </c>
      <c r="K37" t="s">
        <v>5996</v>
      </c>
      <c r="L37" t="s">
        <v>5976</v>
      </c>
      <c r="M37" t="s">
        <v>5976</v>
      </c>
      <c r="N37" t="s">
        <v>5976</v>
      </c>
      <c r="O37" t="s">
        <v>5976</v>
      </c>
      <c r="P37" t="s">
        <v>5976</v>
      </c>
    </row>
    <row r="38" spans="1:16" x14ac:dyDescent="0.35">
      <c r="A38" t="s">
        <v>5974</v>
      </c>
      <c r="B38" t="s">
        <v>6323</v>
      </c>
      <c r="C38" t="s">
        <v>2032</v>
      </c>
      <c r="D38" t="s">
        <v>6633</v>
      </c>
      <c r="E38" t="s">
        <v>6634</v>
      </c>
      <c r="F38" t="s">
        <v>6597</v>
      </c>
      <c r="G38" t="s">
        <v>1794</v>
      </c>
      <c r="H38" t="s">
        <v>2732</v>
      </c>
      <c r="I38" t="s">
        <v>5977</v>
      </c>
      <c r="J38" t="s">
        <v>5977</v>
      </c>
      <c r="K38" t="s">
        <v>5977</v>
      </c>
      <c r="L38" t="s">
        <v>5976</v>
      </c>
      <c r="M38" t="s">
        <v>5976</v>
      </c>
      <c r="N38" t="s">
        <v>5976</v>
      </c>
      <c r="O38" t="s">
        <v>5976</v>
      </c>
      <c r="P38" t="s">
        <v>5977</v>
      </c>
    </row>
    <row r="39" spans="1:16" x14ac:dyDescent="0.35">
      <c r="A39" t="s">
        <v>5974</v>
      </c>
      <c r="B39" t="s">
        <v>6325</v>
      </c>
      <c r="C39" t="s">
        <v>6589</v>
      </c>
      <c r="D39" t="s">
        <v>6635</v>
      </c>
      <c r="E39" t="s">
        <v>5976</v>
      </c>
      <c r="F39" t="s">
        <v>6636</v>
      </c>
      <c r="G39" t="s">
        <v>2716</v>
      </c>
      <c r="H39" t="s">
        <v>2732</v>
      </c>
      <c r="I39" t="s">
        <v>5996</v>
      </c>
      <c r="J39" t="s">
        <v>5996</v>
      </c>
      <c r="K39" t="s">
        <v>5996</v>
      </c>
      <c r="L39" t="s">
        <v>5976</v>
      </c>
      <c r="M39" t="s">
        <v>5976</v>
      </c>
      <c r="N39" t="s">
        <v>5976</v>
      </c>
      <c r="O39" t="s">
        <v>5976</v>
      </c>
      <c r="P39" t="s">
        <v>5976</v>
      </c>
    </row>
    <row r="40" spans="1:16" x14ac:dyDescent="0.35">
      <c r="A40" t="s">
        <v>5974</v>
      </c>
      <c r="B40" t="s">
        <v>6327</v>
      </c>
      <c r="C40" t="s">
        <v>6589</v>
      </c>
      <c r="D40" t="s">
        <v>6637</v>
      </c>
      <c r="E40" t="s">
        <v>5976</v>
      </c>
      <c r="F40" t="s">
        <v>1772</v>
      </c>
      <c r="G40" t="s">
        <v>2716</v>
      </c>
      <c r="H40" t="s">
        <v>2732</v>
      </c>
      <c r="I40" t="s">
        <v>5996</v>
      </c>
      <c r="J40" t="s">
        <v>5996</v>
      </c>
      <c r="K40" t="s">
        <v>5996</v>
      </c>
      <c r="L40" t="s">
        <v>5976</v>
      </c>
      <c r="M40" t="s">
        <v>5976</v>
      </c>
      <c r="N40" t="s">
        <v>5976</v>
      </c>
      <c r="O40" t="s">
        <v>5976</v>
      </c>
      <c r="P40" t="s">
        <v>5996</v>
      </c>
    </row>
    <row r="41" spans="1:16" x14ac:dyDescent="0.35">
      <c r="A41" t="s">
        <v>61</v>
      </c>
      <c r="B41" t="s">
        <v>6329</v>
      </c>
      <c r="C41" t="s">
        <v>5951</v>
      </c>
      <c r="D41" t="s">
        <v>6638</v>
      </c>
      <c r="E41" t="s">
        <v>5976</v>
      </c>
      <c r="F41" t="s">
        <v>229</v>
      </c>
      <c r="G41" t="s">
        <v>2716</v>
      </c>
      <c r="H41" t="s">
        <v>2732</v>
      </c>
      <c r="I41" t="s">
        <v>6011</v>
      </c>
      <c r="J41" t="s">
        <v>5981</v>
      </c>
      <c r="K41" t="s">
        <v>5981</v>
      </c>
      <c r="L41">
        <v>46147</v>
      </c>
      <c r="M41" t="s">
        <v>5976</v>
      </c>
      <c r="N41" t="s">
        <v>5976</v>
      </c>
      <c r="O41" t="s">
        <v>5976</v>
      </c>
      <c r="P41" t="s">
        <v>5976</v>
      </c>
    </row>
    <row r="42" spans="1:16" x14ac:dyDescent="0.35">
      <c r="A42" t="s">
        <v>5974</v>
      </c>
      <c r="B42" t="s">
        <v>6331</v>
      </c>
      <c r="C42" t="s">
        <v>3894</v>
      </c>
      <c r="D42" t="s">
        <v>6639</v>
      </c>
      <c r="E42" t="s">
        <v>5976</v>
      </c>
      <c r="F42" t="s">
        <v>1772</v>
      </c>
      <c r="G42" t="s">
        <v>2716</v>
      </c>
      <c r="H42" t="s">
        <v>2732</v>
      </c>
      <c r="I42" t="s">
        <v>6011</v>
      </c>
      <c r="J42" t="s">
        <v>5981</v>
      </c>
      <c r="K42" t="s">
        <v>5981</v>
      </c>
      <c r="L42">
        <v>46165</v>
      </c>
      <c r="M42" t="s">
        <v>5976</v>
      </c>
      <c r="N42" t="s">
        <v>5976</v>
      </c>
      <c r="O42" t="s">
        <v>5976</v>
      </c>
      <c r="P42" t="s">
        <v>5976</v>
      </c>
    </row>
    <row r="43" spans="1:16" x14ac:dyDescent="0.35">
      <c r="A43" t="s">
        <v>5974</v>
      </c>
      <c r="B43" t="s">
        <v>6333</v>
      </c>
      <c r="C43" t="s">
        <v>1309</v>
      </c>
      <c r="D43" t="s">
        <v>6640</v>
      </c>
      <c r="E43" t="s">
        <v>5976</v>
      </c>
      <c r="F43" t="s">
        <v>3191</v>
      </c>
      <c r="G43" t="s">
        <v>5423</v>
      </c>
      <c r="H43" t="s">
        <v>2810</v>
      </c>
      <c r="I43" t="s">
        <v>6011</v>
      </c>
      <c r="J43" t="s">
        <v>5981</v>
      </c>
      <c r="K43" t="s">
        <v>5981</v>
      </c>
      <c r="L43" t="s">
        <v>5976</v>
      </c>
      <c r="M43" t="s">
        <v>5976</v>
      </c>
      <c r="N43" t="s">
        <v>5976</v>
      </c>
      <c r="O43" t="s">
        <v>5976</v>
      </c>
      <c r="P43" t="s">
        <v>5976</v>
      </c>
    </row>
    <row r="44" spans="1:16" x14ac:dyDescent="0.35">
      <c r="A44" t="s">
        <v>5974</v>
      </c>
      <c r="B44" t="s">
        <v>6335</v>
      </c>
      <c r="C44" t="s">
        <v>2217</v>
      </c>
      <c r="D44" t="s">
        <v>6641</v>
      </c>
      <c r="E44" t="s">
        <v>5976</v>
      </c>
      <c r="F44" t="s">
        <v>25</v>
      </c>
      <c r="G44" t="s">
        <v>2716</v>
      </c>
      <c r="H44" t="s">
        <v>2732</v>
      </c>
      <c r="I44" t="s">
        <v>6011</v>
      </c>
      <c r="J44" t="s">
        <v>5977</v>
      </c>
      <c r="K44" t="s">
        <v>6011</v>
      </c>
      <c r="L44">
        <v>46167</v>
      </c>
      <c r="M44" t="s">
        <v>5976</v>
      </c>
      <c r="N44" t="s">
        <v>5976</v>
      </c>
      <c r="O44" t="s">
        <v>5976</v>
      </c>
      <c r="P44" t="s">
        <v>5981</v>
      </c>
    </row>
    <row r="45" spans="1:16" x14ac:dyDescent="0.35">
      <c r="A45" t="s">
        <v>5974</v>
      </c>
      <c r="B45" t="s">
        <v>6337</v>
      </c>
      <c r="C45" t="s">
        <v>3589</v>
      </c>
      <c r="D45" t="s">
        <v>6642</v>
      </c>
      <c r="E45" t="s">
        <v>5976</v>
      </c>
      <c r="F45" t="s">
        <v>6567</v>
      </c>
      <c r="G45" t="s">
        <v>2716</v>
      </c>
      <c r="H45" t="s">
        <v>2810</v>
      </c>
      <c r="I45" t="s">
        <v>6011</v>
      </c>
      <c r="J45" t="s">
        <v>5981</v>
      </c>
      <c r="K45" t="s">
        <v>5981</v>
      </c>
      <c r="L45">
        <v>46157</v>
      </c>
      <c r="M45" t="s">
        <v>5976</v>
      </c>
      <c r="N45" t="s">
        <v>5976</v>
      </c>
      <c r="O45" t="s">
        <v>5976</v>
      </c>
      <c r="P45" t="s">
        <v>5976</v>
      </c>
    </row>
    <row r="46" spans="1:16" x14ac:dyDescent="0.35">
      <c r="A46" t="s">
        <v>61</v>
      </c>
      <c r="B46" t="s">
        <v>6340</v>
      </c>
      <c r="C46" t="s">
        <v>621</v>
      </c>
      <c r="D46" t="s">
        <v>6643</v>
      </c>
      <c r="E46" t="s">
        <v>5976</v>
      </c>
      <c r="F46" t="s">
        <v>3255</v>
      </c>
      <c r="G46" t="s">
        <v>5423</v>
      </c>
      <c r="H46" t="s">
        <v>6597</v>
      </c>
      <c r="I46" t="s">
        <v>6644</v>
      </c>
      <c r="J46" t="s">
        <v>5981</v>
      </c>
      <c r="K46" t="s">
        <v>5977</v>
      </c>
      <c r="L46" t="s">
        <v>5976</v>
      </c>
      <c r="M46" t="s">
        <v>5976</v>
      </c>
      <c r="N46" t="s">
        <v>5976</v>
      </c>
      <c r="O46" t="s">
        <v>5976</v>
      </c>
      <c r="P46" t="s">
        <v>5976</v>
      </c>
    </row>
    <row r="47" spans="1:16" x14ac:dyDescent="0.35">
      <c r="A47" t="s">
        <v>5974</v>
      </c>
      <c r="B47" t="s">
        <v>6342</v>
      </c>
      <c r="C47" t="s">
        <v>6589</v>
      </c>
      <c r="D47" t="s">
        <v>6645</v>
      </c>
      <c r="E47" t="s">
        <v>5976</v>
      </c>
      <c r="F47" t="s">
        <v>6597</v>
      </c>
      <c r="G47" t="s">
        <v>2716</v>
      </c>
      <c r="H47" t="s">
        <v>6597</v>
      </c>
      <c r="I47" t="s">
        <v>5976</v>
      </c>
      <c r="J47" t="s">
        <v>5976</v>
      </c>
      <c r="K47" t="s">
        <v>5976</v>
      </c>
      <c r="L47" t="s">
        <v>5976</v>
      </c>
      <c r="M47" t="s">
        <v>5976</v>
      </c>
      <c r="N47" t="s">
        <v>5976</v>
      </c>
      <c r="O47" t="s">
        <v>5976</v>
      </c>
      <c r="P47" t="s">
        <v>5976</v>
      </c>
    </row>
    <row r="48" spans="1:16" x14ac:dyDescent="0.35">
      <c r="A48" t="s">
        <v>5974</v>
      </c>
      <c r="B48" t="s">
        <v>6266</v>
      </c>
      <c r="C48" t="s">
        <v>2425</v>
      </c>
      <c r="D48" t="s">
        <v>6646</v>
      </c>
      <c r="E48" t="s">
        <v>5976</v>
      </c>
      <c r="F48" t="s">
        <v>6631</v>
      </c>
      <c r="G48" t="s">
        <v>2716</v>
      </c>
      <c r="H48" t="s">
        <v>2732</v>
      </c>
      <c r="I48" t="s">
        <v>5977</v>
      </c>
      <c r="J48" t="s">
        <v>5977</v>
      </c>
      <c r="K48" t="s">
        <v>5977</v>
      </c>
      <c r="L48">
        <v>46167</v>
      </c>
      <c r="M48" t="s">
        <v>5976</v>
      </c>
      <c r="N48" t="s">
        <v>5976</v>
      </c>
      <c r="O48" t="s">
        <v>5976</v>
      </c>
      <c r="P48" t="s">
        <v>6011</v>
      </c>
    </row>
    <row r="49" spans="1:16" x14ac:dyDescent="0.35">
      <c r="A49" t="s">
        <v>61</v>
      </c>
      <c r="B49" t="s">
        <v>6345</v>
      </c>
      <c r="C49" t="s">
        <v>1695</v>
      </c>
      <c r="D49" t="s">
        <v>6647</v>
      </c>
      <c r="E49" t="s">
        <v>6648</v>
      </c>
      <c r="F49" t="s">
        <v>6580</v>
      </c>
      <c r="G49" t="s">
        <v>5423</v>
      </c>
      <c r="H49" t="s">
        <v>2709</v>
      </c>
      <c r="I49" t="s">
        <v>5977</v>
      </c>
      <c r="J49" t="s">
        <v>5976</v>
      </c>
      <c r="K49" t="s">
        <v>5976</v>
      </c>
      <c r="L49" t="s">
        <v>5976</v>
      </c>
      <c r="M49" t="s">
        <v>5976</v>
      </c>
      <c r="N49" t="s">
        <v>5976</v>
      </c>
      <c r="O49" t="s">
        <v>5976</v>
      </c>
      <c r="P49" t="s">
        <v>5977</v>
      </c>
    </row>
    <row r="50" spans="1:16" x14ac:dyDescent="0.35">
      <c r="A50" t="s">
        <v>61</v>
      </c>
      <c r="B50" t="s">
        <v>6347</v>
      </c>
      <c r="C50" t="s">
        <v>2173</v>
      </c>
      <c r="D50" t="s">
        <v>5647</v>
      </c>
      <c r="E50" t="s">
        <v>6649</v>
      </c>
      <c r="F50" t="s">
        <v>3191</v>
      </c>
      <c r="G50" t="s">
        <v>1794</v>
      </c>
      <c r="H50" t="s">
        <v>2709</v>
      </c>
      <c r="I50" t="s">
        <v>5977</v>
      </c>
      <c r="J50" t="s">
        <v>5977</v>
      </c>
      <c r="K50" t="s">
        <v>5977</v>
      </c>
      <c r="L50" t="s">
        <v>5976</v>
      </c>
      <c r="M50" t="s">
        <v>5976</v>
      </c>
      <c r="N50" t="s">
        <v>5976</v>
      </c>
      <c r="O50">
        <v>1</v>
      </c>
      <c r="P50" t="s">
        <v>5977</v>
      </c>
    </row>
    <row r="51" spans="1:16" x14ac:dyDescent="0.35">
      <c r="A51" t="s">
        <v>5974</v>
      </c>
      <c r="B51" t="s">
        <v>6349</v>
      </c>
      <c r="C51" t="s">
        <v>4124</v>
      </c>
      <c r="D51" t="s">
        <v>6650</v>
      </c>
      <c r="E51" t="s">
        <v>6246</v>
      </c>
      <c r="F51" t="s">
        <v>1772</v>
      </c>
      <c r="G51" t="s">
        <v>2716</v>
      </c>
      <c r="H51" t="s">
        <v>2732</v>
      </c>
      <c r="I51" t="s">
        <v>6011</v>
      </c>
      <c r="J51" t="s">
        <v>5981</v>
      </c>
      <c r="K51" t="s">
        <v>5981</v>
      </c>
      <c r="L51">
        <v>46172</v>
      </c>
      <c r="M51" t="s">
        <v>5976</v>
      </c>
      <c r="N51" t="s">
        <v>5976</v>
      </c>
      <c r="O51" t="s">
        <v>5976</v>
      </c>
      <c r="P51" t="s">
        <v>5976</v>
      </c>
    </row>
    <row r="52" spans="1:16" x14ac:dyDescent="0.35">
      <c r="A52" t="s">
        <v>61</v>
      </c>
      <c r="B52" t="s">
        <v>6351</v>
      </c>
      <c r="C52" t="s">
        <v>801</v>
      </c>
      <c r="D52" t="s">
        <v>6651</v>
      </c>
      <c r="E52" t="s">
        <v>6652</v>
      </c>
      <c r="F52" t="s">
        <v>6580</v>
      </c>
      <c r="G52" t="s">
        <v>5423</v>
      </c>
      <c r="H52" t="s">
        <v>5976</v>
      </c>
      <c r="I52" t="s">
        <v>5977</v>
      </c>
      <c r="J52" t="s">
        <v>5976</v>
      </c>
      <c r="K52" t="s">
        <v>5977</v>
      </c>
      <c r="L52" t="s">
        <v>5976</v>
      </c>
      <c r="M52" t="s">
        <v>5976</v>
      </c>
      <c r="N52" t="s">
        <v>5976</v>
      </c>
      <c r="O52" t="s">
        <v>5976</v>
      </c>
    </row>
    <row r="53" spans="1:16" x14ac:dyDescent="0.35">
      <c r="A53" t="s">
        <v>5974</v>
      </c>
      <c r="B53" t="s">
        <v>5987</v>
      </c>
      <c r="C53" t="s">
        <v>6589</v>
      </c>
      <c r="D53" t="s">
        <v>6653</v>
      </c>
      <c r="E53" t="s">
        <v>5976</v>
      </c>
      <c r="F53" t="s">
        <v>6597</v>
      </c>
      <c r="G53" t="s">
        <v>2716</v>
      </c>
      <c r="H53" t="s">
        <v>5976</v>
      </c>
      <c r="I53" t="s">
        <v>6011</v>
      </c>
      <c r="J53" t="s">
        <v>5981</v>
      </c>
      <c r="K53" t="s">
        <v>5977</v>
      </c>
      <c r="L53" t="s">
        <v>5976</v>
      </c>
      <c r="M53" t="s">
        <v>5976</v>
      </c>
      <c r="N53" t="s">
        <v>5976</v>
      </c>
      <c r="O53" t="s">
        <v>5976</v>
      </c>
      <c r="P53" t="s">
        <v>5976</v>
      </c>
    </row>
    <row r="54" spans="1:16" x14ac:dyDescent="0.35">
      <c r="A54" t="s">
        <v>5974</v>
      </c>
      <c r="B54" t="s">
        <v>6354</v>
      </c>
      <c r="C54" t="s">
        <v>27</v>
      </c>
      <c r="D54" t="s">
        <v>6654</v>
      </c>
      <c r="E54" t="s">
        <v>5976</v>
      </c>
      <c r="F54" t="s">
        <v>25</v>
      </c>
      <c r="G54" t="s">
        <v>5423</v>
      </c>
      <c r="H54" t="s">
        <v>2709</v>
      </c>
      <c r="I54" t="s">
        <v>5981</v>
      </c>
      <c r="J54" t="s">
        <v>5981</v>
      </c>
      <c r="K54" t="s">
        <v>5981</v>
      </c>
      <c r="L54" t="s">
        <v>5976</v>
      </c>
      <c r="M54" t="s">
        <v>5976</v>
      </c>
      <c r="N54" t="s">
        <v>5976</v>
      </c>
      <c r="O54" t="s">
        <v>5976</v>
      </c>
      <c r="P54" t="s">
        <v>5976</v>
      </c>
    </row>
    <row r="55" spans="1:16" x14ac:dyDescent="0.35">
      <c r="A55" t="s">
        <v>5974</v>
      </c>
      <c r="B55" t="s">
        <v>6356</v>
      </c>
      <c r="C55" t="s">
        <v>30</v>
      </c>
      <c r="D55" t="s">
        <v>6655</v>
      </c>
      <c r="E55" t="s">
        <v>5976</v>
      </c>
      <c r="F55" t="s">
        <v>25</v>
      </c>
      <c r="G55" t="s">
        <v>5423</v>
      </c>
      <c r="H55" t="s">
        <v>2709</v>
      </c>
      <c r="I55" t="s">
        <v>5981</v>
      </c>
      <c r="J55" t="s">
        <v>5981</v>
      </c>
      <c r="K55" t="s">
        <v>5981</v>
      </c>
      <c r="L55" t="s">
        <v>5976</v>
      </c>
      <c r="M55" t="s">
        <v>5976</v>
      </c>
      <c r="N55" t="s">
        <v>5976</v>
      </c>
      <c r="O55" t="s">
        <v>5976</v>
      </c>
      <c r="P55" t="s">
        <v>5976</v>
      </c>
    </row>
    <row r="56" spans="1:16" x14ac:dyDescent="0.35">
      <c r="A56" t="s">
        <v>5974</v>
      </c>
      <c r="B56" t="s">
        <v>6359</v>
      </c>
      <c r="C56" t="s">
        <v>2036</v>
      </c>
      <c r="D56" t="s">
        <v>2125</v>
      </c>
      <c r="E56" t="s">
        <v>6656</v>
      </c>
      <c r="F56" t="s">
        <v>3191</v>
      </c>
      <c r="G56" t="s">
        <v>5423</v>
      </c>
      <c r="H56" t="s">
        <v>5976</v>
      </c>
      <c r="I56" t="s">
        <v>5976</v>
      </c>
      <c r="J56" t="s">
        <v>5976</v>
      </c>
      <c r="K56" t="s">
        <v>5977</v>
      </c>
      <c r="L56" t="s">
        <v>5976</v>
      </c>
      <c r="M56" t="s">
        <v>5976</v>
      </c>
      <c r="N56" t="s">
        <v>5976</v>
      </c>
      <c r="O56" t="s">
        <v>5976</v>
      </c>
      <c r="P56" t="s">
        <v>5976</v>
      </c>
    </row>
    <row r="57" spans="1:16" x14ac:dyDescent="0.35">
      <c r="A57" t="s">
        <v>5974</v>
      </c>
      <c r="B57" t="s">
        <v>6361</v>
      </c>
      <c r="C57" t="s">
        <v>1450</v>
      </c>
      <c r="D57" t="s">
        <v>6657</v>
      </c>
      <c r="E57" t="s">
        <v>6658</v>
      </c>
      <c r="F57" t="s">
        <v>1772</v>
      </c>
      <c r="G57" t="s">
        <v>5423</v>
      </c>
      <c r="H57" t="s">
        <v>5976</v>
      </c>
      <c r="I57" t="s">
        <v>5977</v>
      </c>
      <c r="J57" t="s">
        <v>5976</v>
      </c>
      <c r="K57" t="s">
        <v>5977</v>
      </c>
      <c r="L57" t="s">
        <v>5976</v>
      </c>
      <c r="M57" t="s">
        <v>5976</v>
      </c>
      <c r="N57" t="s">
        <v>5976</v>
      </c>
      <c r="O57" t="s">
        <v>5976</v>
      </c>
      <c r="P57" t="s">
        <v>5976</v>
      </c>
    </row>
    <row r="58" spans="1:16" x14ac:dyDescent="0.35">
      <c r="A58" t="s">
        <v>5974</v>
      </c>
      <c r="B58" t="s">
        <v>6363</v>
      </c>
      <c r="C58" t="s">
        <v>4028</v>
      </c>
      <c r="D58" t="s">
        <v>6659</v>
      </c>
      <c r="F58" t="s">
        <v>1772</v>
      </c>
      <c r="G58" t="s">
        <v>2716</v>
      </c>
      <c r="H58" t="s">
        <v>2732</v>
      </c>
      <c r="I58" t="s">
        <v>6011</v>
      </c>
      <c r="K58" t="s">
        <v>6011</v>
      </c>
      <c r="L58">
        <v>46171</v>
      </c>
    </row>
    <row r="59" spans="1:16" x14ac:dyDescent="0.35">
      <c r="A59" t="s">
        <v>5974</v>
      </c>
      <c r="B59" t="s">
        <v>5990</v>
      </c>
      <c r="C59" t="s">
        <v>6589</v>
      </c>
      <c r="D59" t="s">
        <v>6660</v>
      </c>
      <c r="E59" t="s">
        <v>6661</v>
      </c>
      <c r="F59" t="s">
        <v>6597</v>
      </c>
      <c r="G59" t="s">
        <v>5423</v>
      </c>
      <c r="H59" t="s">
        <v>6597</v>
      </c>
    </row>
    <row r="60" spans="1:16" x14ac:dyDescent="0.35">
      <c r="A60" t="s">
        <v>5974</v>
      </c>
      <c r="B60" t="s">
        <v>6366</v>
      </c>
      <c r="C60" t="s">
        <v>2380</v>
      </c>
      <c r="D60" t="s">
        <v>6662</v>
      </c>
      <c r="F60" t="s">
        <v>6636</v>
      </c>
      <c r="H60" t="s">
        <v>2732</v>
      </c>
      <c r="I60" t="s">
        <v>6011</v>
      </c>
      <c r="J60" t="s">
        <v>5977</v>
      </c>
      <c r="K60" t="s">
        <v>5977</v>
      </c>
      <c r="L60">
        <v>46158</v>
      </c>
      <c r="P60" t="s">
        <v>5981</v>
      </c>
    </row>
    <row r="61" spans="1:16" x14ac:dyDescent="0.35">
      <c r="A61" t="s">
        <v>61</v>
      </c>
      <c r="B61" t="s">
        <v>6277</v>
      </c>
      <c r="C61" t="s">
        <v>5951</v>
      </c>
      <c r="D61" t="s">
        <v>6663</v>
      </c>
      <c r="F61" t="s">
        <v>229</v>
      </c>
      <c r="I61" t="s">
        <v>6011</v>
      </c>
    </row>
    <row r="62" spans="1:16" x14ac:dyDescent="0.35">
      <c r="A62" t="s">
        <v>6588</v>
      </c>
      <c r="C62" t="s">
        <v>6589</v>
      </c>
      <c r="D62" t="s">
        <v>6664</v>
      </c>
      <c r="F62" t="s">
        <v>6631</v>
      </c>
      <c r="G62" t="s">
        <v>2716</v>
      </c>
    </row>
    <row r="63" spans="1:16" x14ac:dyDescent="0.35">
      <c r="A63" t="s">
        <v>5974</v>
      </c>
      <c r="C63" t="s">
        <v>4198</v>
      </c>
      <c r="D63" t="s">
        <v>6665</v>
      </c>
      <c r="E63" t="s">
        <v>6666</v>
      </c>
      <c r="F63" t="s">
        <v>6597</v>
      </c>
    </row>
    <row r="64" spans="1:16" x14ac:dyDescent="0.35">
      <c r="A64" t="s">
        <v>5974</v>
      </c>
      <c r="C64" t="s">
        <v>5940</v>
      </c>
      <c r="D64" t="s">
        <v>6667</v>
      </c>
      <c r="F64" t="s">
        <v>6631</v>
      </c>
      <c r="G64" t="s">
        <v>2716</v>
      </c>
      <c r="H64" t="s">
        <v>2732</v>
      </c>
      <c r="L64">
        <v>46222</v>
      </c>
    </row>
    <row r="65" spans="1:16" x14ac:dyDescent="0.35">
      <c r="A65" t="s">
        <v>61</v>
      </c>
      <c r="C65" t="s">
        <v>5950</v>
      </c>
      <c r="D65" t="s">
        <v>6668</v>
      </c>
      <c r="E65" t="s">
        <v>6669</v>
      </c>
      <c r="F65" t="s">
        <v>6580</v>
      </c>
      <c r="G65" t="s">
        <v>2716</v>
      </c>
      <c r="K65" t="s">
        <v>6011</v>
      </c>
      <c r="L65">
        <v>46146</v>
      </c>
      <c r="O65">
        <v>0</v>
      </c>
      <c r="P65" t="s">
        <v>6011</v>
      </c>
    </row>
    <row r="66" spans="1:16" x14ac:dyDescent="0.35">
      <c r="A66" t="s">
        <v>5974</v>
      </c>
      <c r="C66" t="s">
        <v>1717</v>
      </c>
      <c r="D66" t="s">
        <v>6670</v>
      </c>
      <c r="E66" t="s">
        <v>6671</v>
      </c>
      <c r="F66" t="s">
        <v>6597</v>
      </c>
      <c r="G66" t="s">
        <v>6090</v>
      </c>
      <c r="L66">
        <v>46121</v>
      </c>
      <c r="O66">
        <v>0</v>
      </c>
      <c r="P66" t="s">
        <v>6011</v>
      </c>
    </row>
    <row r="67" spans="1:16" x14ac:dyDescent="0.35">
      <c r="A67" t="s">
        <v>5974</v>
      </c>
      <c r="C67" t="s">
        <v>339</v>
      </c>
      <c r="D67" t="s">
        <v>340</v>
      </c>
      <c r="F67" t="s">
        <v>229</v>
      </c>
      <c r="G67" t="s">
        <v>5423</v>
      </c>
      <c r="L67">
        <v>46163</v>
      </c>
    </row>
    <row r="68" spans="1:16" x14ac:dyDescent="0.35">
      <c r="A68" t="s">
        <v>61</v>
      </c>
      <c r="C68" t="s">
        <v>2452</v>
      </c>
      <c r="D68" t="s">
        <v>6672</v>
      </c>
      <c r="E68" t="s">
        <v>6673</v>
      </c>
      <c r="F68" t="s">
        <v>1772</v>
      </c>
      <c r="G68" t="s">
        <v>1794</v>
      </c>
      <c r="H68" t="s">
        <v>2732</v>
      </c>
      <c r="L68">
        <v>46163</v>
      </c>
    </row>
    <row r="69" spans="1:16" x14ac:dyDescent="0.35">
      <c r="A69" t="s">
        <v>5974</v>
      </c>
      <c r="C69" t="s">
        <v>6674</v>
      </c>
      <c r="D69" t="s">
        <v>6675</v>
      </c>
      <c r="F69" t="s">
        <v>6676</v>
      </c>
      <c r="G69" t="s">
        <v>2716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0D6AD-6805-459A-A8E4-71BCC50F0000}">
  <dimension ref="A1:P14"/>
  <sheetViews>
    <sheetView workbookViewId="0"/>
  </sheetViews>
  <sheetFormatPr defaultRowHeight="14.5" x14ac:dyDescent="0.35"/>
  <cols>
    <col min="1" max="1" width="9.36328125" bestFit="1" customWidth="1"/>
    <col min="2" max="2" width="20.81640625" bestFit="1" customWidth="1"/>
    <col min="3" max="3" width="14.7265625" bestFit="1" customWidth="1"/>
    <col min="4" max="4" width="30.1796875" bestFit="1" customWidth="1"/>
    <col min="5" max="5" width="46.1796875" bestFit="1" customWidth="1"/>
    <col min="6" max="6" width="10.0898437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61</v>
      </c>
      <c r="B2" t="s">
        <v>6297</v>
      </c>
      <c r="C2" t="s">
        <v>2402</v>
      </c>
      <c r="D2" t="s">
        <v>6549</v>
      </c>
      <c r="E2" t="s">
        <v>5976</v>
      </c>
      <c r="F2" t="s">
        <v>2772</v>
      </c>
      <c r="G2" t="s">
        <v>2716</v>
      </c>
      <c r="H2" t="s">
        <v>2732</v>
      </c>
      <c r="I2" t="s">
        <v>5977</v>
      </c>
      <c r="J2" t="s">
        <v>5977</v>
      </c>
      <c r="K2" t="s">
        <v>5977</v>
      </c>
      <c r="L2">
        <v>46139</v>
      </c>
      <c r="M2">
        <v>46094</v>
      </c>
      <c r="N2" t="s">
        <v>5976</v>
      </c>
      <c r="O2">
        <v>0.05</v>
      </c>
      <c r="P2" t="s">
        <v>6011</v>
      </c>
    </row>
    <row r="3" spans="1:16" x14ac:dyDescent="0.35">
      <c r="A3" t="s">
        <v>5974</v>
      </c>
      <c r="B3" t="s">
        <v>6366</v>
      </c>
      <c r="C3" t="s">
        <v>2160</v>
      </c>
      <c r="D3" t="s">
        <v>5931</v>
      </c>
      <c r="E3" t="s">
        <v>2833</v>
      </c>
      <c r="F3" t="s">
        <v>2772</v>
      </c>
      <c r="G3" t="s">
        <v>1794</v>
      </c>
      <c r="H3" t="s">
        <v>2709</v>
      </c>
      <c r="I3" t="s">
        <v>5977</v>
      </c>
      <c r="J3" t="s">
        <v>5977</v>
      </c>
      <c r="K3" t="s">
        <v>5977</v>
      </c>
      <c r="L3">
        <v>46038</v>
      </c>
      <c r="M3">
        <v>46006</v>
      </c>
      <c r="N3">
        <v>46038</v>
      </c>
      <c r="O3">
        <v>1</v>
      </c>
      <c r="P3" t="s">
        <v>5977</v>
      </c>
    </row>
    <row r="4" spans="1:16" x14ac:dyDescent="0.35">
      <c r="A4" t="s">
        <v>61</v>
      </c>
      <c r="B4" t="s">
        <v>6550</v>
      </c>
      <c r="C4" t="s">
        <v>6551</v>
      </c>
      <c r="D4" t="s">
        <v>6552</v>
      </c>
      <c r="E4" t="s">
        <v>5976</v>
      </c>
      <c r="F4" t="s">
        <v>2772</v>
      </c>
      <c r="G4" t="s">
        <v>2716</v>
      </c>
      <c r="H4" t="s">
        <v>2732</v>
      </c>
      <c r="I4" t="s">
        <v>6553</v>
      </c>
      <c r="J4" t="s">
        <v>5981</v>
      </c>
      <c r="L4">
        <v>46147</v>
      </c>
      <c r="M4" t="s">
        <v>5976</v>
      </c>
      <c r="O4" t="s">
        <v>5976</v>
      </c>
      <c r="P4" t="s">
        <v>5976</v>
      </c>
    </row>
    <row r="5" spans="1:16" x14ac:dyDescent="0.35">
      <c r="A5" t="s">
        <v>61</v>
      </c>
      <c r="B5" t="s">
        <v>6003</v>
      </c>
      <c r="C5" t="s">
        <v>756</v>
      </c>
      <c r="D5" t="s">
        <v>6554</v>
      </c>
      <c r="E5" t="s">
        <v>5976</v>
      </c>
      <c r="F5" t="s">
        <v>2772</v>
      </c>
      <c r="G5" t="s">
        <v>5423</v>
      </c>
      <c r="H5" t="s">
        <v>2732</v>
      </c>
      <c r="I5" t="s">
        <v>5977</v>
      </c>
      <c r="J5" t="s">
        <v>5977</v>
      </c>
      <c r="K5" t="s">
        <v>5977</v>
      </c>
      <c r="L5">
        <v>46049</v>
      </c>
      <c r="M5">
        <v>46027</v>
      </c>
      <c r="N5">
        <v>46049</v>
      </c>
      <c r="O5">
        <v>1</v>
      </c>
      <c r="P5" t="s">
        <v>5977</v>
      </c>
    </row>
    <row r="6" spans="1:16" x14ac:dyDescent="0.35">
      <c r="A6" t="s">
        <v>5974</v>
      </c>
      <c r="B6" t="s">
        <v>6006</v>
      </c>
      <c r="C6" t="s">
        <v>1032</v>
      </c>
      <c r="D6" t="s">
        <v>1033</v>
      </c>
      <c r="E6" t="s">
        <v>6555</v>
      </c>
      <c r="F6" t="s">
        <v>2772</v>
      </c>
      <c r="G6" t="s">
        <v>5423</v>
      </c>
      <c r="H6" t="s">
        <v>2810</v>
      </c>
      <c r="I6" t="s">
        <v>5977</v>
      </c>
      <c r="J6" t="s">
        <v>5977</v>
      </c>
      <c r="L6" t="s">
        <v>5976</v>
      </c>
      <c r="M6" t="s">
        <v>5976</v>
      </c>
      <c r="N6" t="s">
        <v>5976</v>
      </c>
      <c r="O6" t="s">
        <v>5976</v>
      </c>
      <c r="P6" t="s">
        <v>5976</v>
      </c>
    </row>
    <row r="7" spans="1:16" x14ac:dyDescent="0.35">
      <c r="A7" t="s">
        <v>61</v>
      </c>
      <c r="B7" t="s">
        <v>6009</v>
      </c>
      <c r="C7" t="s">
        <v>2631</v>
      </c>
      <c r="D7" t="s">
        <v>5449</v>
      </c>
      <c r="E7" t="s">
        <v>6556</v>
      </c>
      <c r="F7" t="s">
        <v>2772</v>
      </c>
      <c r="G7" t="s">
        <v>5423</v>
      </c>
      <c r="H7" t="s">
        <v>2732</v>
      </c>
      <c r="I7" t="s">
        <v>5977</v>
      </c>
      <c r="J7" t="s">
        <v>5977</v>
      </c>
      <c r="K7" t="s">
        <v>5977</v>
      </c>
      <c r="L7">
        <v>46121</v>
      </c>
      <c r="M7">
        <v>46101</v>
      </c>
      <c r="N7" t="s">
        <v>5976</v>
      </c>
      <c r="O7">
        <v>0.05</v>
      </c>
      <c r="P7" t="s">
        <v>6011</v>
      </c>
    </row>
    <row r="8" spans="1:16" x14ac:dyDescent="0.35">
      <c r="A8" t="s">
        <v>61</v>
      </c>
      <c r="B8" t="s">
        <v>6013</v>
      </c>
      <c r="C8" t="s">
        <v>1084</v>
      </c>
      <c r="D8" t="s">
        <v>6557</v>
      </c>
      <c r="E8" t="s">
        <v>5976</v>
      </c>
      <c r="F8" t="s">
        <v>2772</v>
      </c>
      <c r="G8" t="s">
        <v>5423</v>
      </c>
      <c r="H8" t="s">
        <v>2732</v>
      </c>
      <c r="I8" t="s">
        <v>5996</v>
      </c>
      <c r="J8" t="s">
        <v>5981</v>
      </c>
      <c r="K8" t="s">
        <v>5996</v>
      </c>
      <c r="L8">
        <v>46068</v>
      </c>
      <c r="M8">
        <v>46053</v>
      </c>
      <c r="N8">
        <v>46068</v>
      </c>
      <c r="O8">
        <v>1</v>
      </c>
      <c r="P8" t="s">
        <v>5977</v>
      </c>
    </row>
    <row r="9" spans="1:16" x14ac:dyDescent="0.35">
      <c r="A9" t="s">
        <v>5974</v>
      </c>
      <c r="B9" t="s">
        <v>6012</v>
      </c>
      <c r="C9" t="s">
        <v>424</v>
      </c>
      <c r="D9" t="s">
        <v>425</v>
      </c>
      <c r="E9" t="s">
        <v>5976</v>
      </c>
      <c r="F9" t="s">
        <v>2772</v>
      </c>
      <c r="G9" t="s">
        <v>5423</v>
      </c>
      <c r="H9" t="s">
        <v>2709</v>
      </c>
      <c r="I9" t="s">
        <v>6553</v>
      </c>
      <c r="J9" t="s">
        <v>5977</v>
      </c>
      <c r="K9" t="s">
        <v>5976</v>
      </c>
      <c r="L9" t="s">
        <v>5976</v>
      </c>
      <c r="M9" t="s">
        <v>5976</v>
      </c>
      <c r="N9" t="s">
        <v>5976</v>
      </c>
      <c r="O9" t="s">
        <v>5976</v>
      </c>
      <c r="P9" t="s">
        <v>5976</v>
      </c>
    </row>
    <row r="10" spans="1:16" x14ac:dyDescent="0.35">
      <c r="A10" t="s">
        <v>5974</v>
      </c>
      <c r="B10" t="s">
        <v>6015</v>
      </c>
      <c r="C10" t="s">
        <v>5338</v>
      </c>
      <c r="D10" t="s">
        <v>5595</v>
      </c>
      <c r="E10" t="s">
        <v>5976</v>
      </c>
      <c r="F10" t="s">
        <v>5976</v>
      </c>
      <c r="G10" t="s">
        <v>2716</v>
      </c>
      <c r="H10" t="s">
        <v>5976</v>
      </c>
      <c r="I10" t="s">
        <v>6553</v>
      </c>
      <c r="J10" t="s">
        <v>5981</v>
      </c>
      <c r="K10" t="s">
        <v>5976</v>
      </c>
      <c r="L10">
        <v>46216</v>
      </c>
      <c r="M10" t="s">
        <v>5976</v>
      </c>
      <c r="N10" t="s">
        <v>5976</v>
      </c>
    </row>
    <row r="11" spans="1:16" x14ac:dyDescent="0.35">
      <c r="A11" t="s">
        <v>5974</v>
      </c>
      <c r="B11" t="s">
        <v>6016</v>
      </c>
      <c r="C11" t="s">
        <v>2404</v>
      </c>
      <c r="D11" t="s">
        <v>6558</v>
      </c>
      <c r="E11" t="s">
        <v>5976</v>
      </c>
      <c r="F11" t="s">
        <v>5976</v>
      </c>
      <c r="G11" t="s">
        <v>2716</v>
      </c>
      <c r="H11" t="s">
        <v>5976</v>
      </c>
      <c r="I11" t="s">
        <v>6553</v>
      </c>
      <c r="J11" t="s">
        <v>5981</v>
      </c>
      <c r="K11" t="s">
        <v>5976</v>
      </c>
      <c r="L11">
        <v>46244</v>
      </c>
      <c r="M11" t="s">
        <v>5976</v>
      </c>
      <c r="N11" t="s">
        <v>5976</v>
      </c>
      <c r="O11" t="s">
        <v>5976</v>
      </c>
      <c r="P11" t="s">
        <v>5976</v>
      </c>
    </row>
    <row r="12" spans="1:16" x14ac:dyDescent="0.35">
      <c r="A12" t="s">
        <v>5974</v>
      </c>
      <c r="B12" t="s">
        <v>6559</v>
      </c>
      <c r="C12" t="s">
        <v>1032</v>
      </c>
      <c r="D12" t="s">
        <v>1033</v>
      </c>
      <c r="E12" t="s">
        <v>6560</v>
      </c>
      <c r="F12" t="s">
        <v>2772</v>
      </c>
      <c r="G12" t="s">
        <v>5423</v>
      </c>
      <c r="H12" t="s">
        <v>2810</v>
      </c>
      <c r="I12" t="s">
        <v>5977</v>
      </c>
      <c r="J12" t="s">
        <v>5977</v>
      </c>
      <c r="K12" t="s">
        <v>5977</v>
      </c>
      <c r="L12" t="s">
        <v>5976</v>
      </c>
      <c r="M12" t="s">
        <v>5976</v>
      </c>
      <c r="N12" t="s">
        <v>5976</v>
      </c>
      <c r="O12" t="s">
        <v>5976</v>
      </c>
      <c r="P12" t="s">
        <v>6011</v>
      </c>
    </row>
    <row r="13" spans="1:16" x14ac:dyDescent="0.35">
      <c r="A13" t="s">
        <v>61</v>
      </c>
      <c r="B13" t="s">
        <v>6561</v>
      </c>
      <c r="C13" t="s">
        <v>1001</v>
      </c>
      <c r="D13" t="s">
        <v>6562</v>
      </c>
      <c r="E13" t="s">
        <v>5976</v>
      </c>
      <c r="F13" t="s">
        <v>5976</v>
      </c>
      <c r="G13" t="s">
        <v>5423</v>
      </c>
      <c r="H13" t="s">
        <v>5976</v>
      </c>
      <c r="I13" t="s">
        <v>6011</v>
      </c>
      <c r="J13" t="s">
        <v>5981</v>
      </c>
      <c r="K13" t="s">
        <v>6011</v>
      </c>
      <c r="L13">
        <v>46112</v>
      </c>
      <c r="M13" t="s">
        <v>5976</v>
      </c>
      <c r="N13" t="s">
        <v>5976</v>
      </c>
      <c r="O13" t="s">
        <v>5976</v>
      </c>
      <c r="P13" t="s">
        <v>5976</v>
      </c>
    </row>
    <row r="14" spans="1:16" x14ac:dyDescent="0.35">
      <c r="A14" t="s">
        <v>61</v>
      </c>
      <c r="B14" t="s">
        <v>6563</v>
      </c>
      <c r="C14" t="s">
        <v>882</v>
      </c>
      <c r="D14" t="s">
        <v>6564</v>
      </c>
      <c r="E14" t="s">
        <v>6565</v>
      </c>
      <c r="F14" t="s">
        <v>5976</v>
      </c>
      <c r="G14" t="s">
        <v>5423</v>
      </c>
      <c r="H14" t="s">
        <v>5976</v>
      </c>
      <c r="I14" t="s">
        <v>5976</v>
      </c>
      <c r="J14" t="s">
        <v>5981</v>
      </c>
      <c r="K14" t="s">
        <v>5976</v>
      </c>
      <c r="L14" t="s">
        <v>5976</v>
      </c>
      <c r="M14" t="s">
        <v>5976</v>
      </c>
      <c r="N14" t="s">
        <v>5976</v>
      </c>
      <c r="O14" t="s">
        <v>5976</v>
      </c>
      <c r="P14" t="s">
        <v>5976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83E3-A4FD-412F-A83D-BE8D0339D10D}">
  <dimension ref="A1:P53"/>
  <sheetViews>
    <sheetView workbookViewId="0"/>
  </sheetViews>
  <sheetFormatPr defaultRowHeight="14.5" x14ac:dyDescent="0.35"/>
  <cols>
    <col min="1" max="1" width="9.36328125" bestFit="1" customWidth="1"/>
    <col min="2" max="2" width="20.81640625" bestFit="1" customWidth="1"/>
    <col min="3" max="3" width="13.7265625" bestFit="1" customWidth="1"/>
    <col min="4" max="4" width="39.1796875" bestFit="1" customWidth="1"/>
    <col min="5" max="5" width="80.7265625" bestFit="1" customWidth="1"/>
    <col min="6" max="6" width="10.0898437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5974</v>
      </c>
      <c r="B2" t="s">
        <v>6465</v>
      </c>
      <c r="C2" t="s">
        <v>2158</v>
      </c>
      <c r="D2" t="s">
        <v>6466</v>
      </c>
      <c r="E2" t="s">
        <v>6271</v>
      </c>
      <c r="F2" t="s">
        <v>6467</v>
      </c>
      <c r="G2" t="s">
        <v>2716</v>
      </c>
      <c r="H2" t="s">
        <v>2732</v>
      </c>
      <c r="I2" t="s">
        <v>5977</v>
      </c>
      <c r="J2" t="s">
        <v>5977</v>
      </c>
      <c r="K2" t="s">
        <v>5977</v>
      </c>
      <c r="L2">
        <v>46003</v>
      </c>
      <c r="M2">
        <v>45882</v>
      </c>
      <c r="N2">
        <v>46003</v>
      </c>
      <c r="O2">
        <v>1</v>
      </c>
      <c r="P2" t="s">
        <v>5977</v>
      </c>
    </row>
    <row r="3" spans="1:16" x14ac:dyDescent="0.35">
      <c r="A3" t="s">
        <v>61</v>
      </c>
      <c r="B3" t="s">
        <v>6026</v>
      </c>
      <c r="C3" t="s">
        <v>2247</v>
      </c>
      <c r="D3" t="s">
        <v>6468</v>
      </c>
      <c r="F3" t="s">
        <v>6467</v>
      </c>
      <c r="G3" t="s">
        <v>2716</v>
      </c>
      <c r="H3" t="s">
        <v>2732</v>
      </c>
      <c r="I3" t="s">
        <v>5977</v>
      </c>
      <c r="J3" t="s">
        <v>5977</v>
      </c>
      <c r="K3" t="s">
        <v>5977</v>
      </c>
      <c r="L3">
        <v>46134</v>
      </c>
      <c r="M3">
        <v>46094</v>
      </c>
      <c r="N3" t="s">
        <v>5976</v>
      </c>
      <c r="O3">
        <v>0.05</v>
      </c>
      <c r="P3" t="s">
        <v>6011</v>
      </c>
    </row>
    <row r="4" spans="1:16" x14ac:dyDescent="0.35">
      <c r="A4" t="s">
        <v>5974</v>
      </c>
      <c r="B4" t="s">
        <v>6391</v>
      </c>
      <c r="C4" t="s">
        <v>440</v>
      </c>
      <c r="D4" t="s">
        <v>6469</v>
      </c>
      <c r="E4" t="s">
        <v>6470</v>
      </c>
      <c r="F4" t="s">
        <v>6467</v>
      </c>
      <c r="G4" t="s">
        <v>5423</v>
      </c>
      <c r="H4" t="s">
        <v>2732</v>
      </c>
      <c r="I4" t="s">
        <v>5977</v>
      </c>
      <c r="J4" t="s">
        <v>5977</v>
      </c>
      <c r="K4" t="s">
        <v>5977</v>
      </c>
      <c r="L4">
        <v>46137</v>
      </c>
      <c r="M4" t="s">
        <v>5976</v>
      </c>
      <c r="N4" t="s">
        <v>5976</v>
      </c>
      <c r="O4" t="s">
        <v>5976</v>
      </c>
      <c r="P4" t="s">
        <v>5981</v>
      </c>
    </row>
    <row r="5" spans="1:16" x14ac:dyDescent="0.35">
      <c r="A5" t="s">
        <v>61</v>
      </c>
      <c r="B5" t="s">
        <v>6393</v>
      </c>
      <c r="C5" t="s">
        <v>450</v>
      </c>
      <c r="D5" t="s">
        <v>6471</v>
      </c>
      <c r="E5" t="s">
        <v>6470</v>
      </c>
      <c r="F5" t="s">
        <v>6467</v>
      </c>
      <c r="G5" t="s">
        <v>5423</v>
      </c>
      <c r="H5" t="s">
        <v>2732</v>
      </c>
      <c r="I5" t="s">
        <v>5977</v>
      </c>
      <c r="J5" t="s">
        <v>5977</v>
      </c>
      <c r="K5" t="s">
        <v>5977</v>
      </c>
      <c r="L5">
        <v>46141</v>
      </c>
      <c r="M5">
        <v>46096</v>
      </c>
      <c r="N5" t="s">
        <v>5976</v>
      </c>
      <c r="O5">
        <v>10</v>
      </c>
      <c r="P5" t="s">
        <v>6011</v>
      </c>
    </row>
    <row r="6" spans="1:16" x14ac:dyDescent="0.35">
      <c r="A6" t="s">
        <v>61</v>
      </c>
      <c r="B6" t="s">
        <v>6397</v>
      </c>
      <c r="C6" t="s">
        <v>448</v>
      </c>
      <c r="D6" t="s">
        <v>6472</v>
      </c>
      <c r="E6" t="s">
        <v>6138</v>
      </c>
      <c r="F6" t="s">
        <v>6467</v>
      </c>
      <c r="G6" t="s">
        <v>5423</v>
      </c>
      <c r="H6" t="s">
        <v>2810</v>
      </c>
      <c r="I6" t="s">
        <v>5977</v>
      </c>
      <c r="J6" t="s">
        <v>5977</v>
      </c>
      <c r="K6" t="s">
        <v>6011</v>
      </c>
      <c r="L6" t="s">
        <v>5976</v>
      </c>
      <c r="M6" t="s">
        <v>5976</v>
      </c>
      <c r="N6" t="s">
        <v>5976</v>
      </c>
      <c r="O6" t="s">
        <v>5976</v>
      </c>
    </row>
    <row r="7" spans="1:16" x14ac:dyDescent="0.35">
      <c r="A7" t="s">
        <v>61</v>
      </c>
      <c r="B7" t="s">
        <v>6399</v>
      </c>
      <c r="C7" t="s">
        <v>488</v>
      </c>
      <c r="D7" t="s">
        <v>6473</v>
      </c>
      <c r="E7" t="s">
        <v>6474</v>
      </c>
      <c r="F7" t="s">
        <v>6467</v>
      </c>
      <c r="G7" t="s">
        <v>5423</v>
      </c>
      <c r="H7" t="s">
        <v>2709</v>
      </c>
      <c r="I7" t="s">
        <v>5977</v>
      </c>
      <c r="J7" t="s">
        <v>6011</v>
      </c>
      <c r="K7" t="s">
        <v>6011</v>
      </c>
      <c r="L7" t="s">
        <v>5976</v>
      </c>
      <c r="M7" t="s">
        <v>5976</v>
      </c>
      <c r="N7" t="s">
        <v>5976</v>
      </c>
      <c r="O7" t="s">
        <v>5976</v>
      </c>
      <c r="P7" t="s">
        <v>5981</v>
      </c>
    </row>
    <row r="8" spans="1:16" x14ac:dyDescent="0.35">
      <c r="A8" t="s">
        <v>61</v>
      </c>
      <c r="B8" t="s">
        <v>6401</v>
      </c>
      <c r="C8" t="s">
        <v>645</v>
      </c>
      <c r="D8" t="s">
        <v>6475</v>
      </c>
      <c r="E8" t="s">
        <v>6476</v>
      </c>
      <c r="F8" t="s">
        <v>6467</v>
      </c>
      <c r="G8" t="s">
        <v>5423</v>
      </c>
      <c r="H8" t="s">
        <v>2709</v>
      </c>
      <c r="I8" t="s">
        <v>5977</v>
      </c>
      <c r="J8" t="s">
        <v>6011</v>
      </c>
      <c r="K8" t="s">
        <v>6011</v>
      </c>
      <c r="L8" t="s">
        <v>5976</v>
      </c>
      <c r="M8" t="s">
        <v>5976</v>
      </c>
      <c r="N8" t="s">
        <v>5976</v>
      </c>
      <c r="O8" t="s">
        <v>5976</v>
      </c>
      <c r="P8" t="s">
        <v>5981</v>
      </c>
    </row>
    <row r="9" spans="1:16" x14ac:dyDescent="0.35">
      <c r="A9" t="s">
        <v>61</v>
      </c>
      <c r="B9" t="s">
        <v>6403</v>
      </c>
      <c r="C9" t="s">
        <v>454</v>
      </c>
      <c r="D9" t="s">
        <v>6477</v>
      </c>
      <c r="E9" t="s">
        <v>6478</v>
      </c>
      <c r="F9" t="s">
        <v>6467</v>
      </c>
      <c r="G9" t="s">
        <v>5423</v>
      </c>
      <c r="H9" t="s">
        <v>2709</v>
      </c>
      <c r="I9" t="s">
        <v>5977</v>
      </c>
      <c r="J9" t="s">
        <v>5977</v>
      </c>
      <c r="K9" t="s">
        <v>5977</v>
      </c>
      <c r="L9">
        <v>46069</v>
      </c>
      <c r="M9">
        <v>46034</v>
      </c>
      <c r="N9">
        <v>46069</v>
      </c>
      <c r="O9">
        <v>1</v>
      </c>
      <c r="P9" t="s">
        <v>5977</v>
      </c>
    </row>
    <row r="10" spans="1:16" x14ac:dyDescent="0.35">
      <c r="A10" t="s">
        <v>61</v>
      </c>
      <c r="B10" t="s">
        <v>6405</v>
      </c>
      <c r="C10" t="s">
        <v>918</v>
      </c>
      <c r="D10" t="s">
        <v>6479</v>
      </c>
      <c r="E10" t="s">
        <v>6480</v>
      </c>
      <c r="F10" t="s">
        <v>6467</v>
      </c>
      <c r="G10" t="s">
        <v>5423</v>
      </c>
      <c r="H10" t="s">
        <v>2709</v>
      </c>
      <c r="I10" t="s">
        <v>5977</v>
      </c>
      <c r="J10" t="s">
        <v>5977</v>
      </c>
      <c r="K10" t="s">
        <v>5977</v>
      </c>
      <c r="L10">
        <v>46122</v>
      </c>
      <c r="M10" t="s">
        <v>5976</v>
      </c>
      <c r="N10" t="s">
        <v>5976</v>
      </c>
      <c r="O10" t="s">
        <v>5976</v>
      </c>
      <c r="P10" t="s">
        <v>5981</v>
      </c>
    </row>
    <row r="11" spans="1:16" x14ac:dyDescent="0.35">
      <c r="A11" t="s">
        <v>61</v>
      </c>
      <c r="B11" t="s">
        <v>6409</v>
      </c>
      <c r="C11" t="s">
        <v>1707</v>
      </c>
      <c r="D11" t="s">
        <v>6481</v>
      </c>
      <c r="E11" t="s">
        <v>6482</v>
      </c>
      <c r="F11" t="s">
        <v>6467</v>
      </c>
      <c r="G11" t="s">
        <v>5423</v>
      </c>
      <c r="H11" t="s">
        <v>2732</v>
      </c>
      <c r="I11" t="s">
        <v>5977</v>
      </c>
      <c r="J11" t="s">
        <v>5977</v>
      </c>
      <c r="K11" t="s">
        <v>6011</v>
      </c>
      <c r="L11" t="s">
        <v>5976</v>
      </c>
      <c r="M11" t="s">
        <v>5976</v>
      </c>
      <c r="N11" t="s">
        <v>5976</v>
      </c>
      <c r="O11" t="s">
        <v>5976</v>
      </c>
      <c r="P11" t="s">
        <v>5981</v>
      </c>
    </row>
    <row r="12" spans="1:16" x14ac:dyDescent="0.35">
      <c r="A12" t="s">
        <v>61</v>
      </c>
      <c r="B12" t="s">
        <v>6414</v>
      </c>
      <c r="C12" t="s">
        <v>943</v>
      </c>
      <c r="D12" t="s">
        <v>6483</v>
      </c>
      <c r="E12" t="s">
        <v>6484</v>
      </c>
      <c r="F12" t="s">
        <v>6467</v>
      </c>
      <c r="G12" t="s">
        <v>5423</v>
      </c>
      <c r="H12" t="s">
        <v>2709</v>
      </c>
      <c r="I12" t="s">
        <v>5977</v>
      </c>
      <c r="J12" t="s">
        <v>5981</v>
      </c>
      <c r="K12" t="s">
        <v>6011</v>
      </c>
      <c r="L12" t="s">
        <v>5976</v>
      </c>
      <c r="M12" t="s">
        <v>5976</v>
      </c>
      <c r="N12">
        <v>45986</v>
      </c>
      <c r="O12" t="s">
        <v>5976</v>
      </c>
      <c r="P12" t="s">
        <v>5981</v>
      </c>
    </row>
    <row r="13" spans="1:16" x14ac:dyDescent="0.35">
      <c r="A13" t="s">
        <v>61</v>
      </c>
      <c r="B13" t="s">
        <v>6416</v>
      </c>
      <c r="C13" t="s">
        <v>553</v>
      </c>
      <c r="D13" t="s">
        <v>6485</v>
      </c>
      <c r="E13" t="s">
        <v>6486</v>
      </c>
      <c r="F13" t="s">
        <v>6467</v>
      </c>
      <c r="G13" t="s">
        <v>5423</v>
      </c>
      <c r="H13" t="s">
        <v>2732</v>
      </c>
      <c r="I13" t="s">
        <v>5977</v>
      </c>
      <c r="J13" t="s">
        <v>5977</v>
      </c>
      <c r="K13" t="s">
        <v>5996</v>
      </c>
      <c r="L13" t="s">
        <v>5976</v>
      </c>
      <c r="M13" t="s">
        <v>5976</v>
      </c>
      <c r="N13" t="s">
        <v>5976</v>
      </c>
      <c r="O13" t="s">
        <v>5976</v>
      </c>
      <c r="P13" t="s">
        <v>5996</v>
      </c>
    </row>
    <row r="14" spans="1:16" x14ac:dyDescent="0.35">
      <c r="A14" t="s">
        <v>61</v>
      </c>
      <c r="B14" t="s">
        <v>6419</v>
      </c>
      <c r="C14" t="s">
        <v>1026</v>
      </c>
      <c r="D14" t="s">
        <v>6487</v>
      </c>
      <c r="E14" t="s">
        <v>6488</v>
      </c>
      <c r="F14" t="s">
        <v>6467</v>
      </c>
      <c r="G14" t="s">
        <v>5423</v>
      </c>
      <c r="H14" t="s">
        <v>5976</v>
      </c>
      <c r="I14" t="s">
        <v>5977</v>
      </c>
      <c r="J14" t="s">
        <v>5981</v>
      </c>
      <c r="K14" t="s">
        <v>6011</v>
      </c>
      <c r="L14" t="s">
        <v>5976</v>
      </c>
      <c r="M14" t="s">
        <v>5976</v>
      </c>
      <c r="N14" t="s">
        <v>5976</v>
      </c>
      <c r="O14" t="s">
        <v>5976</v>
      </c>
      <c r="P14" t="s">
        <v>5981</v>
      </c>
    </row>
    <row r="15" spans="1:16" x14ac:dyDescent="0.35">
      <c r="A15" t="s">
        <v>61</v>
      </c>
      <c r="B15" t="s">
        <v>6421</v>
      </c>
      <c r="C15" t="s">
        <v>677</v>
      </c>
      <c r="D15" t="s">
        <v>6489</v>
      </c>
      <c r="E15" t="s">
        <v>6490</v>
      </c>
      <c r="F15" t="s">
        <v>6467</v>
      </c>
      <c r="G15" t="s">
        <v>5423</v>
      </c>
      <c r="H15" t="s">
        <v>5976</v>
      </c>
      <c r="I15" t="s">
        <v>5977</v>
      </c>
      <c r="J15" t="s">
        <v>5981</v>
      </c>
      <c r="K15" t="s">
        <v>6011</v>
      </c>
      <c r="L15" t="s">
        <v>5976</v>
      </c>
      <c r="M15" t="s">
        <v>5976</v>
      </c>
      <c r="N15" t="s">
        <v>5976</v>
      </c>
      <c r="O15" t="s">
        <v>5976</v>
      </c>
      <c r="P15" t="s">
        <v>5981</v>
      </c>
    </row>
    <row r="16" spans="1:16" x14ac:dyDescent="0.35">
      <c r="A16" t="s">
        <v>61</v>
      </c>
      <c r="B16" t="s">
        <v>6423</v>
      </c>
      <c r="C16" t="s">
        <v>1139</v>
      </c>
      <c r="D16" t="s">
        <v>6491</v>
      </c>
      <c r="E16" t="s">
        <v>6492</v>
      </c>
      <c r="F16" t="s">
        <v>6467</v>
      </c>
      <c r="G16" t="s">
        <v>5423</v>
      </c>
      <c r="H16" t="s">
        <v>2709</v>
      </c>
      <c r="I16" t="s">
        <v>5977</v>
      </c>
      <c r="J16" t="s">
        <v>5977</v>
      </c>
      <c r="K16" t="s">
        <v>5977</v>
      </c>
      <c r="P16" t="s">
        <v>6011</v>
      </c>
    </row>
    <row r="17" spans="1:16" x14ac:dyDescent="0.35">
      <c r="A17" t="s">
        <v>61</v>
      </c>
      <c r="B17" t="s">
        <v>6425</v>
      </c>
      <c r="C17" t="s">
        <v>769</v>
      </c>
      <c r="D17" t="s">
        <v>6493</v>
      </c>
      <c r="E17" t="s">
        <v>6492</v>
      </c>
      <c r="F17" t="s">
        <v>6467</v>
      </c>
      <c r="G17" t="s">
        <v>5423</v>
      </c>
      <c r="H17" t="s">
        <v>2709</v>
      </c>
      <c r="I17" t="s">
        <v>5977</v>
      </c>
      <c r="J17" t="s">
        <v>5977</v>
      </c>
      <c r="K17" t="s">
        <v>5977</v>
      </c>
      <c r="P17" t="s">
        <v>6011</v>
      </c>
    </row>
    <row r="18" spans="1:16" x14ac:dyDescent="0.35">
      <c r="A18" t="s">
        <v>61</v>
      </c>
      <c r="B18" t="s">
        <v>6426</v>
      </c>
      <c r="C18" t="s">
        <v>859</v>
      </c>
      <c r="D18" t="s">
        <v>6494</v>
      </c>
      <c r="F18" t="s">
        <v>6467</v>
      </c>
      <c r="G18" t="s">
        <v>5423</v>
      </c>
      <c r="H18" t="s">
        <v>2709</v>
      </c>
      <c r="I18" t="s">
        <v>5977</v>
      </c>
      <c r="J18" t="s">
        <v>5977</v>
      </c>
      <c r="K18" t="s">
        <v>5977</v>
      </c>
      <c r="L18" t="s">
        <v>5976</v>
      </c>
      <c r="M18" t="s">
        <v>5976</v>
      </c>
      <c r="N18" t="s">
        <v>5976</v>
      </c>
      <c r="O18" t="s">
        <v>5976</v>
      </c>
      <c r="P18" t="s">
        <v>5981</v>
      </c>
    </row>
    <row r="19" spans="1:16" x14ac:dyDescent="0.35">
      <c r="A19" t="s">
        <v>61</v>
      </c>
      <c r="B19" t="s">
        <v>6429</v>
      </c>
      <c r="C19" t="s">
        <v>1285</v>
      </c>
      <c r="D19" t="s">
        <v>6495</v>
      </c>
      <c r="F19" t="s">
        <v>6467</v>
      </c>
      <c r="G19" t="s">
        <v>5423</v>
      </c>
      <c r="H19" t="s">
        <v>2709</v>
      </c>
      <c r="I19" t="s">
        <v>5996</v>
      </c>
      <c r="J19" t="s">
        <v>5996</v>
      </c>
      <c r="K19" t="s">
        <v>5996</v>
      </c>
      <c r="L19" t="s">
        <v>5976</v>
      </c>
      <c r="M19" t="s">
        <v>5976</v>
      </c>
      <c r="N19" t="s">
        <v>5976</v>
      </c>
      <c r="O19" t="s">
        <v>5976</v>
      </c>
      <c r="P19" t="s">
        <v>5996</v>
      </c>
    </row>
    <row r="20" spans="1:16" x14ac:dyDescent="0.35">
      <c r="A20" t="s">
        <v>61</v>
      </c>
      <c r="B20" t="s">
        <v>6431</v>
      </c>
      <c r="C20" t="s">
        <v>920</v>
      </c>
      <c r="D20" t="s">
        <v>6496</v>
      </c>
      <c r="F20" t="s">
        <v>6467</v>
      </c>
      <c r="G20" t="s">
        <v>5423</v>
      </c>
      <c r="H20" t="s">
        <v>2732</v>
      </c>
      <c r="I20" t="s">
        <v>5977</v>
      </c>
      <c r="J20" t="s">
        <v>5981</v>
      </c>
      <c r="K20" t="s">
        <v>6011</v>
      </c>
      <c r="L20" t="s">
        <v>5976</v>
      </c>
      <c r="M20" t="s">
        <v>5976</v>
      </c>
      <c r="N20" t="s">
        <v>5976</v>
      </c>
      <c r="O20" t="s">
        <v>5976</v>
      </c>
      <c r="P20" t="s">
        <v>5981</v>
      </c>
    </row>
    <row r="21" spans="1:16" x14ac:dyDescent="0.35">
      <c r="A21" t="s">
        <v>61</v>
      </c>
      <c r="B21" t="s">
        <v>6497</v>
      </c>
      <c r="C21" t="s">
        <v>643</v>
      </c>
      <c r="D21" t="s">
        <v>6498</v>
      </c>
      <c r="F21" t="s">
        <v>6467</v>
      </c>
      <c r="G21" t="s">
        <v>5423</v>
      </c>
      <c r="H21" t="s">
        <v>2709</v>
      </c>
      <c r="I21" t="s">
        <v>5977</v>
      </c>
      <c r="J21" t="s">
        <v>5981</v>
      </c>
      <c r="K21" t="s">
        <v>5977</v>
      </c>
    </row>
    <row r="22" spans="1:16" x14ac:dyDescent="0.35">
      <c r="A22" t="s">
        <v>61</v>
      </c>
      <c r="B22" t="s">
        <v>6499</v>
      </c>
      <c r="C22" t="s">
        <v>821</v>
      </c>
      <c r="D22" t="s">
        <v>822</v>
      </c>
      <c r="F22" t="s">
        <v>6467</v>
      </c>
      <c r="G22" t="s">
        <v>5423</v>
      </c>
      <c r="H22" t="s">
        <v>2709</v>
      </c>
      <c r="I22" t="s">
        <v>5996</v>
      </c>
      <c r="J22" t="s">
        <v>5996</v>
      </c>
      <c r="K22" t="s">
        <v>5996</v>
      </c>
      <c r="L22" t="s">
        <v>5976</v>
      </c>
      <c r="M22" t="s">
        <v>5976</v>
      </c>
      <c r="N22" t="s">
        <v>5976</v>
      </c>
      <c r="O22" t="s">
        <v>5976</v>
      </c>
      <c r="P22" t="s">
        <v>5996</v>
      </c>
    </row>
    <row r="23" spans="1:16" x14ac:dyDescent="0.35">
      <c r="A23" t="s">
        <v>61</v>
      </c>
      <c r="B23" t="s">
        <v>6500</v>
      </c>
      <c r="C23" t="s">
        <v>477</v>
      </c>
      <c r="D23" t="s">
        <v>6501</v>
      </c>
      <c r="E23" t="s">
        <v>6502</v>
      </c>
      <c r="F23" t="s">
        <v>6467</v>
      </c>
      <c r="G23" t="s">
        <v>5423</v>
      </c>
      <c r="H23" t="s">
        <v>2709</v>
      </c>
      <c r="I23" t="s">
        <v>5977</v>
      </c>
      <c r="J23" t="s">
        <v>5977</v>
      </c>
      <c r="K23" t="s">
        <v>5977</v>
      </c>
      <c r="L23">
        <v>46059</v>
      </c>
      <c r="M23">
        <v>46048</v>
      </c>
      <c r="N23">
        <v>46059</v>
      </c>
      <c r="O23">
        <v>1</v>
      </c>
      <c r="P23" t="s">
        <v>5977</v>
      </c>
    </row>
    <row r="24" spans="1:16" x14ac:dyDescent="0.35">
      <c r="A24" t="s">
        <v>61</v>
      </c>
      <c r="B24" t="s">
        <v>6503</v>
      </c>
      <c r="C24" t="s">
        <v>785</v>
      </c>
      <c r="D24" t="s">
        <v>6504</v>
      </c>
      <c r="E24" t="s">
        <v>6492</v>
      </c>
      <c r="F24" t="s">
        <v>6467</v>
      </c>
      <c r="G24" t="s">
        <v>5423</v>
      </c>
      <c r="H24" t="s">
        <v>2709</v>
      </c>
      <c r="I24" t="s">
        <v>5977</v>
      </c>
      <c r="J24" t="s">
        <v>5977</v>
      </c>
      <c r="K24" t="s">
        <v>5977</v>
      </c>
      <c r="N24" t="s">
        <v>5976</v>
      </c>
      <c r="O24" t="s">
        <v>5976</v>
      </c>
      <c r="P24" t="s">
        <v>6011</v>
      </c>
    </row>
    <row r="25" spans="1:16" x14ac:dyDescent="0.35">
      <c r="A25" t="s">
        <v>61</v>
      </c>
      <c r="B25" t="s">
        <v>6505</v>
      </c>
      <c r="C25" t="s">
        <v>1386</v>
      </c>
      <c r="D25" t="s">
        <v>6506</v>
      </c>
      <c r="F25" t="s">
        <v>6467</v>
      </c>
      <c r="G25" t="s">
        <v>5423</v>
      </c>
      <c r="H25" t="s">
        <v>2709</v>
      </c>
      <c r="I25" t="s">
        <v>5977</v>
      </c>
      <c r="J25" t="s">
        <v>5981</v>
      </c>
      <c r="K25" t="s">
        <v>5977</v>
      </c>
      <c r="L25">
        <v>46063</v>
      </c>
      <c r="M25">
        <v>46053</v>
      </c>
      <c r="N25">
        <v>46059</v>
      </c>
      <c r="O25">
        <v>1</v>
      </c>
      <c r="P25" t="s">
        <v>5977</v>
      </c>
    </row>
    <row r="26" spans="1:16" x14ac:dyDescent="0.35">
      <c r="A26" t="s">
        <v>61</v>
      </c>
      <c r="B26" t="s">
        <v>6507</v>
      </c>
      <c r="C26" t="s">
        <v>1479</v>
      </c>
      <c r="D26" t="s">
        <v>6508</v>
      </c>
      <c r="F26" t="s">
        <v>6467</v>
      </c>
      <c r="G26" t="s">
        <v>5423</v>
      </c>
      <c r="H26" t="s">
        <v>2709</v>
      </c>
      <c r="I26" t="s">
        <v>5977</v>
      </c>
      <c r="J26" t="s">
        <v>5981</v>
      </c>
      <c r="K26" t="s">
        <v>5977</v>
      </c>
      <c r="L26">
        <v>46093</v>
      </c>
      <c r="M26">
        <v>46085</v>
      </c>
      <c r="N26">
        <v>46093</v>
      </c>
      <c r="O26">
        <v>1</v>
      </c>
      <c r="P26" t="s">
        <v>5977</v>
      </c>
    </row>
    <row r="27" spans="1:16" x14ac:dyDescent="0.35">
      <c r="A27" t="s">
        <v>61</v>
      </c>
      <c r="B27" t="s">
        <v>6509</v>
      </c>
      <c r="C27" t="s">
        <v>1151</v>
      </c>
      <c r="D27" t="s">
        <v>6510</v>
      </c>
      <c r="F27" t="s">
        <v>6467</v>
      </c>
      <c r="G27" t="s">
        <v>5423</v>
      </c>
      <c r="H27" t="s">
        <v>2709</v>
      </c>
      <c r="I27" t="s">
        <v>5977</v>
      </c>
      <c r="J27" t="s">
        <v>5977</v>
      </c>
      <c r="K27" t="s">
        <v>5977</v>
      </c>
      <c r="L27">
        <v>46066</v>
      </c>
      <c r="M27">
        <v>46060</v>
      </c>
      <c r="N27">
        <v>46066</v>
      </c>
      <c r="O27">
        <v>1</v>
      </c>
      <c r="P27" t="s">
        <v>5977</v>
      </c>
    </row>
    <row r="28" spans="1:16" x14ac:dyDescent="0.35">
      <c r="A28" t="s">
        <v>61</v>
      </c>
      <c r="B28" t="s">
        <v>6511</v>
      </c>
      <c r="C28" t="s">
        <v>459</v>
      </c>
      <c r="D28" t="s">
        <v>6512</v>
      </c>
      <c r="E28" t="s">
        <v>6492</v>
      </c>
      <c r="F28" t="s">
        <v>6467</v>
      </c>
      <c r="G28" t="s">
        <v>5423</v>
      </c>
      <c r="H28" t="s">
        <v>2709</v>
      </c>
      <c r="I28" t="s">
        <v>5977</v>
      </c>
      <c r="J28" t="s">
        <v>5977</v>
      </c>
      <c r="K28" t="s">
        <v>5977</v>
      </c>
      <c r="N28" t="s">
        <v>5976</v>
      </c>
      <c r="O28" t="s">
        <v>5976</v>
      </c>
      <c r="P28" t="s">
        <v>6011</v>
      </c>
    </row>
    <row r="29" spans="1:16" x14ac:dyDescent="0.35">
      <c r="A29" t="s">
        <v>61</v>
      </c>
      <c r="B29" t="s">
        <v>6513</v>
      </c>
      <c r="C29" t="s">
        <v>659</v>
      </c>
      <c r="D29" t="s">
        <v>6514</v>
      </c>
      <c r="E29" t="s">
        <v>6502</v>
      </c>
      <c r="F29" t="s">
        <v>6467</v>
      </c>
      <c r="G29" t="s">
        <v>5423</v>
      </c>
      <c r="H29" t="s">
        <v>2709</v>
      </c>
      <c r="I29" t="s">
        <v>5977</v>
      </c>
      <c r="J29" t="s">
        <v>5977</v>
      </c>
      <c r="K29" t="s">
        <v>5977</v>
      </c>
      <c r="L29">
        <v>46060</v>
      </c>
      <c r="M29">
        <v>46046</v>
      </c>
      <c r="N29">
        <v>46060</v>
      </c>
      <c r="O29">
        <v>1</v>
      </c>
      <c r="P29" t="s">
        <v>5977</v>
      </c>
    </row>
    <row r="30" spans="1:16" x14ac:dyDescent="0.35">
      <c r="A30" t="s">
        <v>61</v>
      </c>
      <c r="B30" t="s">
        <v>6515</v>
      </c>
      <c r="C30" t="s">
        <v>867</v>
      </c>
      <c r="D30" t="s">
        <v>6516</v>
      </c>
      <c r="E30" t="s">
        <v>6492</v>
      </c>
      <c r="F30" t="s">
        <v>6467</v>
      </c>
      <c r="G30" t="s">
        <v>5423</v>
      </c>
      <c r="H30" t="s">
        <v>2709</v>
      </c>
      <c r="I30" t="s">
        <v>5977</v>
      </c>
      <c r="J30" t="s">
        <v>5977</v>
      </c>
      <c r="K30" t="s">
        <v>5977</v>
      </c>
      <c r="N30" t="s">
        <v>5976</v>
      </c>
      <c r="O30" t="s">
        <v>5976</v>
      </c>
      <c r="P30" t="s">
        <v>6011</v>
      </c>
    </row>
    <row r="31" spans="1:16" x14ac:dyDescent="0.35">
      <c r="A31" t="s">
        <v>61</v>
      </c>
      <c r="B31" t="s">
        <v>6517</v>
      </c>
      <c r="C31" t="s">
        <v>997</v>
      </c>
      <c r="D31" t="s">
        <v>6518</v>
      </c>
      <c r="F31" t="s">
        <v>6467</v>
      </c>
      <c r="G31" t="s">
        <v>5423</v>
      </c>
      <c r="H31" t="s">
        <v>2709</v>
      </c>
      <c r="I31" t="s">
        <v>5977</v>
      </c>
      <c r="J31" t="s">
        <v>5981</v>
      </c>
      <c r="K31" t="s">
        <v>6011</v>
      </c>
      <c r="L31" t="s">
        <v>5976</v>
      </c>
      <c r="M31" t="s">
        <v>5976</v>
      </c>
      <c r="N31" t="s">
        <v>5976</v>
      </c>
      <c r="O31" t="s">
        <v>5976</v>
      </c>
      <c r="P31" t="s">
        <v>5981</v>
      </c>
    </row>
    <row r="32" spans="1:16" x14ac:dyDescent="0.35">
      <c r="A32" t="s">
        <v>61</v>
      </c>
      <c r="B32" t="s">
        <v>6519</v>
      </c>
      <c r="C32" t="s">
        <v>1120</v>
      </c>
      <c r="D32" t="s">
        <v>6520</v>
      </c>
      <c r="E32" t="s">
        <v>6492</v>
      </c>
      <c r="F32" t="s">
        <v>6467</v>
      </c>
      <c r="G32" t="s">
        <v>5423</v>
      </c>
      <c r="H32" t="s">
        <v>2709</v>
      </c>
      <c r="I32" t="s">
        <v>5977</v>
      </c>
      <c r="J32" t="s">
        <v>5977</v>
      </c>
      <c r="K32" t="s">
        <v>5977</v>
      </c>
      <c r="P32" t="s">
        <v>6011</v>
      </c>
    </row>
    <row r="33" spans="1:16" x14ac:dyDescent="0.35">
      <c r="A33" t="s">
        <v>61</v>
      </c>
      <c r="B33" t="s">
        <v>6521</v>
      </c>
      <c r="C33" t="s">
        <v>1264</v>
      </c>
      <c r="D33" t="s">
        <v>6522</v>
      </c>
      <c r="F33" t="s">
        <v>6467</v>
      </c>
      <c r="G33" t="s">
        <v>5423</v>
      </c>
      <c r="H33" t="s">
        <v>2709</v>
      </c>
      <c r="I33" t="s">
        <v>5977</v>
      </c>
      <c r="J33" t="s">
        <v>5981</v>
      </c>
      <c r="K33" t="s">
        <v>5977</v>
      </c>
      <c r="L33">
        <v>46091</v>
      </c>
      <c r="M33">
        <v>46081</v>
      </c>
      <c r="N33">
        <v>46091</v>
      </c>
      <c r="O33">
        <v>1</v>
      </c>
      <c r="P33" t="s">
        <v>5977</v>
      </c>
    </row>
    <row r="34" spans="1:16" x14ac:dyDescent="0.35">
      <c r="A34" t="s">
        <v>61</v>
      </c>
      <c r="B34" t="s">
        <v>6523</v>
      </c>
      <c r="C34" t="s">
        <v>1247</v>
      </c>
      <c r="D34" t="s">
        <v>6524</v>
      </c>
      <c r="E34" t="s">
        <v>6502</v>
      </c>
      <c r="F34" t="s">
        <v>6467</v>
      </c>
      <c r="G34" t="s">
        <v>5423</v>
      </c>
      <c r="H34" t="s">
        <v>2709</v>
      </c>
      <c r="I34" t="s">
        <v>5977</v>
      </c>
      <c r="J34" t="s">
        <v>5977</v>
      </c>
      <c r="K34" t="s">
        <v>5977</v>
      </c>
      <c r="L34">
        <v>46062</v>
      </c>
      <c r="M34">
        <v>46043</v>
      </c>
      <c r="N34">
        <v>46061</v>
      </c>
      <c r="O34">
        <v>1</v>
      </c>
      <c r="P34" t="s">
        <v>5977</v>
      </c>
    </row>
    <row r="35" spans="1:16" x14ac:dyDescent="0.35">
      <c r="A35" t="s">
        <v>61</v>
      </c>
      <c r="B35" t="s">
        <v>6525</v>
      </c>
      <c r="C35" t="s">
        <v>452</v>
      </c>
      <c r="D35" t="s">
        <v>6526</v>
      </c>
      <c r="E35" t="s">
        <v>6470</v>
      </c>
      <c r="F35" t="s">
        <v>6467</v>
      </c>
      <c r="G35" t="s">
        <v>5423</v>
      </c>
      <c r="H35" t="s">
        <v>2709</v>
      </c>
      <c r="I35" t="s">
        <v>5977</v>
      </c>
      <c r="J35" t="s">
        <v>5981</v>
      </c>
      <c r="K35" t="s">
        <v>5981</v>
      </c>
      <c r="L35">
        <v>46137</v>
      </c>
      <c r="M35" t="s">
        <v>5976</v>
      </c>
      <c r="N35" t="s">
        <v>5976</v>
      </c>
      <c r="O35" t="s">
        <v>5976</v>
      </c>
      <c r="P35" t="s">
        <v>5981</v>
      </c>
    </row>
    <row r="36" spans="1:16" x14ac:dyDescent="0.35">
      <c r="A36" t="s">
        <v>61</v>
      </c>
      <c r="B36" t="s">
        <v>6527</v>
      </c>
      <c r="C36" t="s">
        <v>874</v>
      </c>
      <c r="D36" t="s">
        <v>831</v>
      </c>
      <c r="E36" t="s">
        <v>6470</v>
      </c>
      <c r="F36" t="s">
        <v>6467</v>
      </c>
      <c r="G36" t="s">
        <v>5423</v>
      </c>
      <c r="H36" t="s">
        <v>2709</v>
      </c>
      <c r="I36" t="s">
        <v>6011</v>
      </c>
      <c r="J36" t="s">
        <v>5981</v>
      </c>
      <c r="K36" t="s">
        <v>5981</v>
      </c>
      <c r="L36">
        <v>46137</v>
      </c>
      <c r="M36" t="s">
        <v>5976</v>
      </c>
      <c r="N36" t="s">
        <v>5976</v>
      </c>
      <c r="O36" t="s">
        <v>5976</v>
      </c>
      <c r="P36" t="s">
        <v>5981</v>
      </c>
    </row>
    <row r="37" spans="1:16" x14ac:dyDescent="0.35">
      <c r="A37" t="s">
        <v>61</v>
      </c>
      <c r="B37" t="s">
        <v>6528</v>
      </c>
      <c r="C37" t="s">
        <v>516</v>
      </c>
      <c r="D37" t="s">
        <v>6529</v>
      </c>
      <c r="E37" t="s">
        <v>6470</v>
      </c>
      <c r="F37" t="s">
        <v>6467</v>
      </c>
      <c r="G37" t="s">
        <v>5423</v>
      </c>
      <c r="H37" t="s">
        <v>2732</v>
      </c>
      <c r="I37" t="s">
        <v>5977</v>
      </c>
      <c r="J37" t="s">
        <v>5981</v>
      </c>
      <c r="K37" t="s">
        <v>5981</v>
      </c>
      <c r="L37">
        <v>46137</v>
      </c>
      <c r="M37" t="s">
        <v>5976</v>
      </c>
      <c r="N37" t="s">
        <v>5976</v>
      </c>
      <c r="O37" t="s">
        <v>5976</v>
      </c>
      <c r="P37" t="s">
        <v>5981</v>
      </c>
    </row>
    <row r="38" spans="1:16" x14ac:dyDescent="0.35">
      <c r="A38" t="s">
        <v>61</v>
      </c>
      <c r="B38" t="s">
        <v>6530</v>
      </c>
      <c r="C38" t="s">
        <v>591</v>
      </c>
      <c r="D38" t="s">
        <v>6531</v>
      </c>
      <c r="E38" t="s">
        <v>6470</v>
      </c>
      <c r="F38" t="s">
        <v>6467</v>
      </c>
      <c r="G38" t="s">
        <v>5423</v>
      </c>
      <c r="H38" t="s">
        <v>2732</v>
      </c>
      <c r="I38" t="s">
        <v>6011</v>
      </c>
      <c r="J38" t="s">
        <v>5981</v>
      </c>
      <c r="K38" t="s">
        <v>5981</v>
      </c>
      <c r="L38">
        <v>46137</v>
      </c>
      <c r="M38" t="s">
        <v>5976</v>
      </c>
      <c r="N38" t="s">
        <v>5976</v>
      </c>
      <c r="O38" t="s">
        <v>5976</v>
      </c>
      <c r="P38" t="s">
        <v>5981</v>
      </c>
    </row>
    <row r="39" spans="1:16" x14ac:dyDescent="0.35">
      <c r="A39" t="s">
        <v>5974</v>
      </c>
      <c r="B39" t="s">
        <v>6532</v>
      </c>
      <c r="C39" t="s">
        <v>363</v>
      </c>
      <c r="D39" t="s">
        <v>364</v>
      </c>
      <c r="E39" t="s">
        <v>6470</v>
      </c>
      <c r="F39" t="s">
        <v>6467</v>
      </c>
      <c r="G39" t="s">
        <v>5423</v>
      </c>
      <c r="H39" t="s">
        <v>2732</v>
      </c>
      <c r="I39" t="s">
        <v>6011</v>
      </c>
      <c r="J39" t="s">
        <v>5977</v>
      </c>
      <c r="K39" t="s">
        <v>5980</v>
      </c>
      <c r="L39">
        <v>46137</v>
      </c>
      <c r="M39" t="s">
        <v>5976</v>
      </c>
      <c r="N39" t="s">
        <v>5976</v>
      </c>
      <c r="O39" t="s">
        <v>5976</v>
      </c>
      <c r="P39" t="s">
        <v>5981</v>
      </c>
    </row>
    <row r="40" spans="1:16" x14ac:dyDescent="0.35">
      <c r="A40" t="s">
        <v>5974</v>
      </c>
      <c r="B40" t="s">
        <v>6533</v>
      </c>
      <c r="C40" t="s">
        <v>80</v>
      </c>
      <c r="D40" t="s">
        <v>6534</v>
      </c>
      <c r="E40" t="s">
        <v>6470</v>
      </c>
      <c r="F40" t="s">
        <v>6467</v>
      </c>
      <c r="G40" t="s">
        <v>5423</v>
      </c>
      <c r="H40" t="s">
        <v>2732</v>
      </c>
      <c r="I40" t="s">
        <v>6011</v>
      </c>
      <c r="J40" t="s">
        <v>5981</v>
      </c>
      <c r="K40" t="s">
        <v>5980</v>
      </c>
      <c r="L40">
        <v>46137</v>
      </c>
      <c r="M40" t="s">
        <v>5976</v>
      </c>
      <c r="N40" t="s">
        <v>5976</v>
      </c>
      <c r="O40" t="s">
        <v>5976</v>
      </c>
      <c r="P40" t="s">
        <v>5981</v>
      </c>
    </row>
    <row r="41" spans="1:16" x14ac:dyDescent="0.35">
      <c r="A41" t="s">
        <v>61</v>
      </c>
      <c r="B41" t="s">
        <v>6266</v>
      </c>
      <c r="C41" t="s">
        <v>5976</v>
      </c>
      <c r="D41" t="s">
        <v>6535</v>
      </c>
      <c r="F41" t="s">
        <v>6467</v>
      </c>
      <c r="G41" t="s">
        <v>2716</v>
      </c>
      <c r="H41" t="s">
        <v>2709</v>
      </c>
      <c r="I41" t="s">
        <v>5996</v>
      </c>
      <c r="J41" t="s">
        <v>5996</v>
      </c>
      <c r="K41" t="s">
        <v>5996</v>
      </c>
      <c r="L41" t="s">
        <v>5976</v>
      </c>
      <c r="M41" t="s">
        <v>5976</v>
      </c>
      <c r="N41" t="s">
        <v>5976</v>
      </c>
      <c r="O41" t="s">
        <v>5976</v>
      </c>
      <c r="P41" t="s">
        <v>5996</v>
      </c>
    </row>
    <row r="42" spans="1:16" x14ac:dyDescent="0.35">
      <c r="A42" t="s">
        <v>61</v>
      </c>
      <c r="B42" t="s">
        <v>6345</v>
      </c>
      <c r="C42" t="s">
        <v>2261</v>
      </c>
      <c r="D42" t="s">
        <v>6536</v>
      </c>
      <c r="F42" t="s">
        <v>6467</v>
      </c>
      <c r="G42" t="s">
        <v>2716</v>
      </c>
      <c r="H42" t="s">
        <v>2709</v>
      </c>
      <c r="I42" t="s">
        <v>5977</v>
      </c>
      <c r="J42" t="s">
        <v>5977</v>
      </c>
      <c r="K42" t="s">
        <v>5977</v>
      </c>
      <c r="L42">
        <v>46123</v>
      </c>
      <c r="M42">
        <v>46083</v>
      </c>
      <c r="N42" t="s">
        <v>5976</v>
      </c>
      <c r="O42">
        <v>0.4</v>
      </c>
      <c r="P42" t="s">
        <v>6011</v>
      </c>
    </row>
    <row r="43" spans="1:16" x14ac:dyDescent="0.35">
      <c r="A43" t="s">
        <v>5974</v>
      </c>
      <c r="B43" t="s">
        <v>6349</v>
      </c>
      <c r="C43" t="s">
        <v>2255</v>
      </c>
      <c r="D43" t="s">
        <v>6537</v>
      </c>
      <c r="F43" t="s">
        <v>6467</v>
      </c>
      <c r="G43" t="s">
        <v>2716</v>
      </c>
      <c r="H43" t="s">
        <v>2732</v>
      </c>
      <c r="I43" t="s">
        <v>5996</v>
      </c>
      <c r="J43" t="s">
        <v>5981</v>
      </c>
      <c r="K43" t="s">
        <v>5981</v>
      </c>
      <c r="L43" t="s">
        <v>5976</v>
      </c>
      <c r="M43" t="s">
        <v>5976</v>
      </c>
      <c r="N43" t="s">
        <v>5976</v>
      </c>
      <c r="O43" t="s">
        <v>5976</v>
      </c>
      <c r="P43" t="s">
        <v>5996</v>
      </c>
    </row>
    <row r="44" spans="1:16" x14ac:dyDescent="0.35">
      <c r="A44" t="s">
        <v>61</v>
      </c>
      <c r="B44" t="s">
        <v>6351</v>
      </c>
      <c r="C44" t="s">
        <v>913</v>
      </c>
      <c r="D44" t="s">
        <v>6538</v>
      </c>
      <c r="E44" t="s">
        <v>6090</v>
      </c>
      <c r="F44" t="s">
        <v>6467</v>
      </c>
      <c r="G44" t="s">
        <v>5423</v>
      </c>
      <c r="H44" t="s">
        <v>2732</v>
      </c>
      <c r="I44" t="s">
        <v>5977</v>
      </c>
      <c r="J44" t="s">
        <v>5981</v>
      </c>
      <c r="K44" t="s">
        <v>6011</v>
      </c>
      <c r="L44" t="s">
        <v>5976</v>
      </c>
      <c r="M44" t="s">
        <v>5976</v>
      </c>
      <c r="N44" t="s">
        <v>5976</v>
      </c>
      <c r="O44" t="s">
        <v>5976</v>
      </c>
      <c r="P44" t="s">
        <v>5981</v>
      </c>
    </row>
    <row r="45" spans="1:16" x14ac:dyDescent="0.35">
      <c r="A45" t="s">
        <v>5974</v>
      </c>
      <c r="B45" t="s">
        <v>5987</v>
      </c>
      <c r="C45" t="s">
        <v>2265</v>
      </c>
      <c r="D45" t="s">
        <v>6539</v>
      </c>
      <c r="F45" t="s">
        <v>6467</v>
      </c>
      <c r="G45" t="s">
        <v>2716</v>
      </c>
      <c r="H45" t="s">
        <v>2810</v>
      </c>
      <c r="I45" t="s">
        <v>6011</v>
      </c>
      <c r="J45" t="s">
        <v>5981</v>
      </c>
      <c r="K45" t="s">
        <v>5981</v>
      </c>
      <c r="L45">
        <v>46157</v>
      </c>
      <c r="M45" t="s">
        <v>5976</v>
      </c>
      <c r="N45" t="s">
        <v>5976</v>
      </c>
      <c r="O45" t="s">
        <v>5976</v>
      </c>
      <c r="P45" t="s">
        <v>5981</v>
      </c>
    </row>
    <row r="46" spans="1:16" x14ac:dyDescent="0.35">
      <c r="A46" t="s">
        <v>5974</v>
      </c>
      <c r="B46" t="s">
        <v>6354</v>
      </c>
      <c r="C46" t="s">
        <v>2259</v>
      </c>
      <c r="D46" t="s">
        <v>6540</v>
      </c>
      <c r="F46" t="s">
        <v>6467</v>
      </c>
      <c r="G46" t="s">
        <v>2716</v>
      </c>
      <c r="H46" t="s">
        <v>2732</v>
      </c>
      <c r="I46" t="s">
        <v>6011</v>
      </c>
      <c r="J46" t="s">
        <v>5981</v>
      </c>
      <c r="K46" t="s">
        <v>5981</v>
      </c>
      <c r="L46">
        <v>46216</v>
      </c>
      <c r="M46" t="s">
        <v>5976</v>
      </c>
      <c r="N46" t="s">
        <v>5976</v>
      </c>
      <c r="O46" t="s">
        <v>5976</v>
      </c>
      <c r="P46" t="s">
        <v>5981</v>
      </c>
    </row>
    <row r="47" spans="1:16" x14ac:dyDescent="0.35">
      <c r="A47" t="s">
        <v>5974</v>
      </c>
      <c r="B47" t="s">
        <v>6356</v>
      </c>
      <c r="C47" t="s">
        <v>2239</v>
      </c>
      <c r="D47" t="s">
        <v>6541</v>
      </c>
      <c r="F47" t="s">
        <v>6467</v>
      </c>
      <c r="G47" t="s">
        <v>2716</v>
      </c>
      <c r="H47" t="s">
        <v>2732</v>
      </c>
      <c r="I47" t="s">
        <v>6011</v>
      </c>
      <c r="J47" t="s">
        <v>6011</v>
      </c>
      <c r="K47" t="s">
        <v>5981</v>
      </c>
      <c r="L47">
        <v>46244</v>
      </c>
      <c r="M47" t="s">
        <v>5976</v>
      </c>
      <c r="N47" t="s">
        <v>5976</v>
      </c>
      <c r="O47" t="s">
        <v>5976</v>
      </c>
      <c r="P47" t="s">
        <v>5981</v>
      </c>
    </row>
    <row r="48" spans="1:16" x14ac:dyDescent="0.35">
      <c r="A48" t="s">
        <v>61</v>
      </c>
      <c r="B48" t="s">
        <v>6511</v>
      </c>
      <c r="C48" t="s">
        <v>459</v>
      </c>
      <c r="D48" t="s">
        <v>6542</v>
      </c>
      <c r="E48" t="s">
        <v>6543</v>
      </c>
      <c r="F48" t="s">
        <v>6467</v>
      </c>
      <c r="G48" t="s">
        <v>5423</v>
      </c>
      <c r="H48" t="s">
        <v>2709</v>
      </c>
      <c r="I48" t="s">
        <v>5980</v>
      </c>
      <c r="J48" t="s">
        <v>5981</v>
      </c>
      <c r="K48" t="s">
        <v>5981</v>
      </c>
      <c r="L48" t="s">
        <v>5976</v>
      </c>
      <c r="M48" t="s">
        <v>5976</v>
      </c>
      <c r="N48" t="s">
        <v>5976</v>
      </c>
      <c r="O48" t="s">
        <v>5976</v>
      </c>
      <c r="P48" t="s">
        <v>5981</v>
      </c>
    </row>
    <row r="49" spans="1:16" x14ac:dyDescent="0.35">
      <c r="A49" t="s">
        <v>61</v>
      </c>
      <c r="B49" t="s">
        <v>6425</v>
      </c>
      <c r="C49" t="s">
        <v>769</v>
      </c>
      <c r="D49" t="s">
        <v>6544</v>
      </c>
      <c r="E49" t="s">
        <v>6543</v>
      </c>
      <c r="F49" t="s">
        <v>6467</v>
      </c>
      <c r="G49" t="s">
        <v>5423</v>
      </c>
      <c r="H49" t="s">
        <v>2709</v>
      </c>
      <c r="I49" t="s">
        <v>5981</v>
      </c>
      <c r="J49" t="s">
        <v>5981</v>
      </c>
      <c r="K49" t="s">
        <v>5981</v>
      </c>
      <c r="L49" t="s">
        <v>5976</v>
      </c>
      <c r="M49" t="s">
        <v>5976</v>
      </c>
      <c r="N49" t="s">
        <v>5976</v>
      </c>
      <c r="O49" t="s">
        <v>5976</v>
      </c>
      <c r="P49" t="s">
        <v>5981</v>
      </c>
    </row>
    <row r="50" spans="1:16" x14ac:dyDescent="0.35">
      <c r="A50" t="s">
        <v>61</v>
      </c>
      <c r="B50" t="s">
        <v>6513</v>
      </c>
      <c r="C50" t="s">
        <v>659</v>
      </c>
      <c r="D50" t="s">
        <v>6545</v>
      </c>
      <c r="E50" t="s">
        <v>6543</v>
      </c>
      <c r="F50" t="s">
        <v>6467</v>
      </c>
      <c r="G50" t="s">
        <v>5423</v>
      </c>
      <c r="H50" t="s">
        <v>2709</v>
      </c>
      <c r="I50" t="s">
        <v>6011</v>
      </c>
      <c r="J50" t="s">
        <v>5981</v>
      </c>
      <c r="K50" t="s">
        <v>5981</v>
      </c>
      <c r="L50" t="s">
        <v>5976</v>
      </c>
      <c r="M50" t="s">
        <v>5976</v>
      </c>
      <c r="N50" t="s">
        <v>5976</v>
      </c>
      <c r="O50" t="s">
        <v>5976</v>
      </c>
      <c r="P50" t="s">
        <v>5981</v>
      </c>
    </row>
    <row r="51" spans="1:16" x14ac:dyDescent="0.35">
      <c r="A51" t="s">
        <v>61</v>
      </c>
      <c r="B51" t="s">
        <v>6500</v>
      </c>
      <c r="C51" t="s">
        <v>477</v>
      </c>
      <c r="D51" t="s">
        <v>6546</v>
      </c>
      <c r="E51" t="s">
        <v>6543</v>
      </c>
      <c r="F51" t="s">
        <v>6467</v>
      </c>
      <c r="G51" t="s">
        <v>5423</v>
      </c>
      <c r="H51" t="s">
        <v>2709</v>
      </c>
      <c r="I51" t="s">
        <v>6011</v>
      </c>
      <c r="J51" t="s">
        <v>5981</v>
      </c>
      <c r="K51" t="s">
        <v>5981</v>
      </c>
      <c r="L51" t="s">
        <v>5976</v>
      </c>
      <c r="M51" t="s">
        <v>5976</v>
      </c>
      <c r="N51" t="s">
        <v>5976</v>
      </c>
      <c r="O51" t="s">
        <v>5976</v>
      </c>
      <c r="P51" t="s">
        <v>5981</v>
      </c>
    </row>
    <row r="52" spans="1:16" x14ac:dyDescent="0.35">
      <c r="A52" t="s">
        <v>5974</v>
      </c>
      <c r="B52" t="s">
        <v>5976</v>
      </c>
      <c r="D52" t="s">
        <v>6547</v>
      </c>
      <c r="F52" t="s">
        <v>34</v>
      </c>
      <c r="G52" t="s">
        <v>2716</v>
      </c>
      <c r="H52" t="s">
        <v>5976</v>
      </c>
      <c r="J52" t="s">
        <v>5976</v>
      </c>
      <c r="K52" t="s">
        <v>5981</v>
      </c>
      <c r="L52">
        <v>46222</v>
      </c>
      <c r="M52" t="s">
        <v>5976</v>
      </c>
      <c r="N52" t="s">
        <v>5976</v>
      </c>
      <c r="O52" t="s">
        <v>5976</v>
      </c>
    </row>
    <row r="53" spans="1:16" x14ac:dyDescent="0.35">
      <c r="A53" t="s">
        <v>61</v>
      </c>
      <c r="B53" t="s">
        <v>5976</v>
      </c>
      <c r="D53" t="s">
        <v>6548</v>
      </c>
      <c r="F53" t="s">
        <v>34</v>
      </c>
      <c r="H53" t="s">
        <v>5976</v>
      </c>
      <c r="I53" t="s">
        <v>5976</v>
      </c>
      <c r="J53" t="s">
        <v>5976</v>
      </c>
      <c r="K53" t="s">
        <v>5976</v>
      </c>
      <c r="L53" t="s">
        <v>5976</v>
      </c>
      <c r="M53" t="s">
        <v>5976</v>
      </c>
      <c r="N53" t="s">
        <v>5976</v>
      </c>
      <c r="O53" t="s">
        <v>5976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A7248-2043-4A7F-981E-778DABEE8D49}">
  <dimension ref="A1:P9"/>
  <sheetViews>
    <sheetView workbookViewId="0"/>
  </sheetViews>
  <sheetFormatPr defaultRowHeight="14.5" x14ac:dyDescent="0.35"/>
  <cols>
    <col min="1" max="1" width="9.36328125" bestFit="1" customWidth="1"/>
    <col min="2" max="2" width="20.81640625" bestFit="1" customWidth="1"/>
    <col min="3" max="3" width="13.7265625" bestFit="1" customWidth="1"/>
    <col min="4" max="4" width="31.54296875" bestFit="1" customWidth="1"/>
    <col min="5" max="5" width="35.81640625" bestFit="1" customWidth="1"/>
    <col min="6" max="6" width="10.0898437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61</v>
      </c>
      <c r="B2" t="s">
        <v>6018</v>
      </c>
      <c r="C2" t="s">
        <v>1291</v>
      </c>
      <c r="D2" t="s">
        <v>6447</v>
      </c>
      <c r="E2" t="s">
        <v>6448</v>
      </c>
      <c r="F2" t="s">
        <v>62</v>
      </c>
      <c r="G2" t="s">
        <v>6090</v>
      </c>
      <c r="H2" t="s">
        <v>2732</v>
      </c>
      <c r="I2" t="s">
        <v>5977</v>
      </c>
      <c r="J2" t="s">
        <v>5977</v>
      </c>
      <c r="K2" t="s">
        <v>5977</v>
      </c>
      <c r="L2">
        <v>46126</v>
      </c>
      <c r="M2" t="s">
        <v>5976</v>
      </c>
      <c r="N2" t="s">
        <v>5976</v>
      </c>
      <c r="O2">
        <v>0</v>
      </c>
      <c r="P2" t="s">
        <v>6011</v>
      </c>
    </row>
    <row r="3" spans="1:16" x14ac:dyDescent="0.35">
      <c r="A3" t="s">
        <v>5974</v>
      </c>
      <c r="B3" t="s">
        <v>6449</v>
      </c>
      <c r="C3" t="s">
        <v>290</v>
      </c>
      <c r="D3" t="s">
        <v>6450</v>
      </c>
      <c r="E3" t="s">
        <v>6451</v>
      </c>
      <c r="F3" t="s">
        <v>62</v>
      </c>
      <c r="G3" t="s">
        <v>5423</v>
      </c>
      <c r="H3" t="s">
        <v>2810</v>
      </c>
      <c r="I3" t="s">
        <v>5981</v>
      </c>
      <c r="J3" t="s">
        <v>5981</v>
      </c>
      <c r="K3" t="s">
        <v>5981</v>
      </c>
      <c r="L3" t="s">
        <v>5976</v>
      </c>
      <c r="M3" t="s">
        <v>5976</v>
      </c>
      <c r="N3" t="s">
        <v>5976</v>
      </c>
      <c r="O3" t="s">
        <v>5976</v>
      </c>
      <c r="P3" t="s">
        <v>5981</v>
      </c>
    </row>
    <row r="4" spans="1:16" x14ac:dyDescent="0.35">
      <c r="A4" t="s">
        <v>5974</v>
      </c>
      <c r="B4" t="s">
        <v>6452</v>
      </c>
      <c r="C4" t="s">
        <v>371</v>
      </c>
      <c r="D4" t="s">
        <v>5901</v>
      </c>
      <c r="E4" t="s">
        <v>6453</v>
      </c>
      <c r="F4" t="s">
        <v>62</v>
      </c>
      <c r="G4" t="s">
        <v>2716</v>
      </c>
      <c r="H4" t="s">
        <v>2732</v>
      </c>
      <c r="I4" t="s">
        <v>6011</v>
      </c>
      <c r="J4" t="s">
        <v>5981</v>
      </c>
      <c r="K4" t="s">
        <v>6011</v>
      </c>
      <c r="L4">
        <v>46167</v>
      </c>
      <c r="M4" t="s">
        <v>5976</v>
      </c>
      <c r="N4" t="s">
        <v>5976</v>
      </c>
      <c r="O4" t="s">
        <v>5976</v>
      </c>
      <c r="P4" t="s">
        <v>5981</v>
      </c>
    </row>
    <row r="5" spans="1:16" x14ac:dyDescent="0.35">
      <c r="A5" t="s">
        <v>5974</v>
      </c>
      <c r="B5" t="s">
        <v>5982</v>
      </c>
      <c r="C5" t="s">
        <v>3462</v>
      </c>
      <c r="D5" t="s">
        <v>6454</v>
      </c>
      <c r="E5" t="s">
        <v>5976</v>
      </c>
      <c r="F5" t="s">
        <v>62</v>
      </c>
      <c r="G5" t="s">
        <v>2716</v>
      </c>
      <c r="H5" t="s">
        <v>2810</v>
      </c>
      <c r="I5" t="s">
        <v>5981</v>
      </c>
      <c r="J5" t="s">
        <v>5981</v>
      </c>
      <c r="K5" t="s">
        <v>5981</v>
      </c>
      <c r="L5">
        <v>46188</v>
      </c>
      <c r="M5" t="s">
        <v>5976</v>
      </c>
      <c r="N5" t="s">
        <v>5976</v>
      </c>
      <c r="O5" t="s">
        <v>5976</v>
      </c>
      <c r="P5" t="s">
        <v>5981</v>
      </c>
    </row>
    <row r="6" spans="1:16" x14ac:dyDescent="0.35">
      <c r="A6" t="s">
        <v>61</v>
      </c>
      <c r="B6" t="s">
        <v>5983</v>
      </c>
      <c r="C6" t="s">
        <v>6455</v>
      </c>
      <c r="D6" t="s">
        <v>6456</v>
      </c>
      <c r="E6" t="s">
        <v>5976</v>
      </c>
      <c r="F6" t="s">
        <v>62</v>
      </c>
      <c r="G6" t="s">
        <v>2716</v>
      </c>
      <c r="H6" t="s">
        <v>2709</v>
      </c>
      <c r="I6" t="s">
        <v>6011</v>
      </c>
      <c r="J6" t="s">
        <v>5981</v>
      </c>
      <c r="K6" t="s">
        <v>5981</v>
      </c>
      <c r="L6">
        <v>46139</v>
      </c>
      <c r="M6" t="s">
        <v>5976</v>
      </c>
      <c r="N6" t="s">
        <v>5976</v>
      </c>
      <c r="O6" t="s">
        <v>5976</v>
      </c>
      <c r="P6" t="s">
        <v>5981</v>
      </c>
    </row>
    <row r="7" spans="1:16" x14ac:dyDescent="0.35">
      <c r="A7" t="s">
        <v>5974</v>
      </c>
      <c r="B7" t="s">
        <v>6457</v>
      </c>
      <c r="C7" t="s">
        <v>250</v>
      </c>
      <c r="D7" t="s">
        <v>6458</v>
      </c>
      <c r="E7" t="s">
        <v>6459</v>
      </c>
      <c r="F7" t="s">
        <v>62</v>
      </c>
      <c r="G7" t="s">
        <v>5423</v>
      </c>
      <c r="H7" t="s">
        <v>2810</v>
      </c>
      <c r="I7" t="s">
        <v>5981</v>
      </c>
      <c r="J7" t="s">
        <v>5981</v>
      </c>
      <c r="K7" t="s">
        <v>5981</v>
      </c>
      <c r="L7" t="s">
        <v>5976</v>
      </c>
      <c r="M7" t="s">
        <v>5976</v>
      </c>
      <c r="N7" t="s">
        <v>5976</v>
      </c>
      <c r="O7" t="s">
        <v>5976</v>
      </c>
      <c r="P7" t="s">
        <v>5981</v>
      </c>
    </row>
    <row r="8" spans="1:16" x14ac:dyDescent="0.35">
      <c r="A8" t="s">
        <v>5974</v>
      </c>
      <c r="B8" t="s">
        <v>6460</v>
      </c>
      <c r="C8" t="s">
        <v>2296</v>
      </c>
      <c r="D8" t="s">
        <v>6461</v>
      </c>
      <c r="E8" t="s">
        <v>5976</v>
      </c>
      <c r="F8" t="s">
        <v>62</v>
      </c>
      <c r="G8" t="s">
        <v>2716</v>
      </c>
      <c r="H8" t="s">
        <v>2732</v>
      </c>
      <c r="I8" t="s">
        <v>6011</v>
      </c>
      <c r="J8" t="s">
        <v>5981</v>
      </c>
      <c r="K8" t="s">
        <v>5981</v>
      </c>
      <c r="L8">
        <v>46244</v>
      </c>
      <c r="M8" t="s">
        <v>5976</v>
      </c>
      <c r="N8" t="s">
        <v>5976</v>
      </c>
      <c r="O8" t="s">
        <v>5976</v>
      </c>
      <c r="P8" t="s">
        <v>5981</v>
      </c>
    </row>
    <row r="9" spans="1:16" x14ac:dyDescent="0.35">
      <c r="A9" t="s">
        <v>5974</v>
      </c>
      <c r="B9" t="s">
        <v>6462</v>
      </c>
      <c r="C9" t="s">
        <v>1361</v>
      </c>
      <c r="D9" t="s">
        <v>6463</v>
      </c>
      <c r="E9" t="s">
        <v>6464</v>
      </c>
      <c r="F9" t="s">
        <v>5976</v>
      </c>
      <c r="G9" t="s">
        <v>5976</v>
      </c>
      <c r="H9" t="s">
        <v>5976</v>
      </c>
      <c r="I9" t="s">
        <v>5977</v>
      </c>
      <c r="J9" t="s">
        <v>5977</v>
      </c>
      <c r="K9" t="s">
        <v>5977</v>
      </c>
      <c r="L9" t="s">
        <v>5976</v>
      </c>
      <c r="M9" t="s">
        <v>5976</v>
      </c>
      <c r="N9" t="s">
        <v>5976</v>
      </c>
      <c r="O9" t="s">
        <v>5976</v>
      </c>
      <c r="P9" t="s">
        <v>6011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9F50D-1B1F-4A30-960B-63ED0B461724}">
  <dimension ref="A1:P88"/>
  <sheetViews>
    <sheetView workbookViewId="0"/>
  </sheetViews>
  <sheetFormatPr defaultRowHeight="14.5" x14ac:dyDescent="0.35"/>
  <cols>
    <col min="1" max="1" width="9.36328125" bestFit="1" customWidth="1"/>
    <col min="2" max="2" width="20.81640625" bestFit="1" customWidth="1"/>
    <col min="3" max="3" width="13.7265625" bestFit="1" customWidth="1"/>
    <col min="4" max="4" width="39.08984375" bestFit="1" customWidth="1"/>
    <col min="5" max="5" width="80.7265625" bestFit="1" customWidth="1"/>
    <col min="6" max="6" width="48.9062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5974</v>
      </c>
      <c r="B2" t="s">
        <v>6266</v>
      </c>
      <c r="C2" t="s">
        <v>320</v>
      </c>
      <c r="D2" t="s">
        <v>6267</v>
      </c>
      <c r="E2" t="s">
        <v>6268</v>
      </c>
      <c r="F2" t="s">
        <v>76</v>
      </c>
      <c r="G2" t="s">
        <v>5423</v>
      </c>
      <c r="H2" t="s">
        <v>2732</v>
      </c>
      <c r="I2" t="s">
        <v>5977</v>
      </c>
      <c r="J2" t="s">
        <v>5977</v>
      </c>
      <c r="K2" t="s">
        <v>5977</v>
      </c>
      <c r="L2">
        <v>46136</v>
      </c>
      <c r="M2" t="s">
        <v>5976</v>
      </c>
      <c r="N2" t="s">
        <v>5976</v>
      </c>
      <c r="P2" t="s">
        <v>6011</v>
      </c>
    </row>
    <row r="3" spans="1:16" x14ac:dyDescent="0.35">
      <c r="A3" t="s">
        <v>5974</v>
      </c>
      <c r="B3" t="s">
        <v>6269</v>
      </c>
      <c r="C3" t="s">
        <v>2154</v>
      </c>
      <c r="D3" t="s">
        <v>6270</v>
      </c>
      <c r="E3" t="s">
        <v>6271</v>
      </c>
      <c r="F3" t="s">
        <v>76</v>
      </c>
      <c r="G3" t="s">
        <v>2716</v>
      </c>
      <c r="H3" t="s">
        <v>2732</v>
      </c>
      <c r="I3" t="s">
        <v>5977</v>
      </c>
      <c r="J3" t="s">
        <v>5977</v>
      </c>
      <c r="K3" t="s">
        <v>5977</v>
      </c>
      <c r="L3">
        <v>46001</v>
      </c>
      <c r="M3">
        <v>45882</v>
      </c>
      <c r="N3">
        <v>45992</v>
      </c>
      <c r="O3">
        <v>1</v>
      </c>
      <c r="P3" t="s">
        <v>5977</v>
      </c>
    </row>
    <row r="4" spans="1:16" x14ac:dyDescent="0.35">
      <c r="A4" t="s">
        <v>5974</v>
      </c>
      <c r="B4" t="s">
        <v>6003</v>
      </c>
      <c r="C4" t="s">
        <v>414</v>
      </c>
      <c r="D4" t="s">
        <v>6272</v>
      </c>
      <c r="E4" t="s">
        <v>6268</v>
      </c>
      <c r="F4" t="s">
        <v>76</v>
      </c>
      <c r="G4" t="s">
        <v>5423</v>
      </c>
      <c r="H4" t="s">
        <v>2709</v>
      </c>
      <c r="I4" t="s">
        <v>5977</v>
      </c>
      <c r="J4" t="s">
        <v>5977</v>
      </c>
      <c r="K4" t="s">
        <v>5981</v>
      </c>
      <c r="L4">
        <v>46140</v>
      </c>
      <c r="M4" t="s">
        <v>5976</v>
      </c>
      <c r="N4" t="s">
        <v>5976</v>
      </c>
      <c r="P4" t="s">
        <v>5981</v>
      </c>
    </row>
    <row r="5" spans="1:16" x14ac:dyDescent="0.35">
      <c r="A5" t="s">
        <v>61</v>
      </c>
      <c r="B5" t="s">
        <v>6009</v>
      </c>
      <c r="C5" t="s">
        <v>2336</v>
      </c>
      <c r="D5" t="s">
        <v>6273</v>
      </c>
      <c r="E5" t="s">
        <v>5976</v>
      </c>
      <c r="F5" t="s">
        <v>76</v>
      </c>
      <c r="G5" t="s">
        <v>2716</v>
      </c>
      <c r="H5" t="s">
        <v>2732</v>
      </c>
      <c r="I5" t="s">
        <v>5977</v>
      </c>
      <c r="J5" t="s">
        <v>5977</v>
      </c>
      <c r="K5" t="s">
        <v>5977</v>
      </c>
      <c r="L5">
        <v>46134</v>
      </c>
      <c r="M5">
        <v>46094</v>
      </c>
      <c r="N5" t="s">
        <v>5976</v>
      </c>
      <c r="O5">
        <v>0.05</v>
      </c>
      <c r="P5" t="s">
        <v>6011</v>
      </c>
    </row>
    <row r="6" spans="1:16" x14ac:dyDescent="0.35">
      <c r="A6" t="s">
        <v>5974</v>
      </c>
      <c r="B6" t="s">
        <v>6012</v>
      </c>
      <c r="C6" t="s">
        <v>84</v>
      </c>
      <c r="D6" t="s">
        <v>6274</v>
      </c>
      <c r="E6" t="s">
        <v>6275</v>
      </c>
      <c r="F6" t="s">
        <v>76</v>
      </c>
      <c r="G6" t="s">
        <v>5423</v>
      </c>
      <c r="H6" t="s">
        <v>2732</v>
      </c>
      <c r="I6" t="s">
        <v>5977</v>
      </c>
      <c r="J6" t="s">
        <v>5977</v>
      </c>
      <c r="K6" t="s">
        <v>5977</v>
      </c>
      <c r="L6">
        <v>46132</v>
      </c>
      <c r="M6" t="s">
        <v>5976</v>
      </c>
      <c r="N6" t="s">
        <v>5976</v>
      </c>
      <c r="P6" t="s">
        <v>6011</v>
      </c>
    </row>
    <row r="7" spans="1:16" x14ac:dyDescent="0.35">
      <c r="A7" t="s">
        <v>5974</v>
      </c>
      <c r="B7" t="s">
        <v>6015</v>
      </c>
      <c r="C7" t="s">
        <v>174</v>
      </c>
      <c r="D7" t="s">
        <v>6276</v>
      </c>
      <c r="E7" t="s">
        <v>5976</v>
      </c>
      <c r="F7" t="s">
        <v>76</v>
      </c>
      <c r="G7" t="s">
        <v>5423</v>
      </c>
      <c r="H7" t="s">
        <v>2732</v>
      </c>
      <c r="I7" t="s">
        <v>5977</v>
      </c>
      <c r="J7" t="s">
        <v>5977</v>
      </c>
      <c r="K7" t="s">
        <v>5977</v>
      </c>
      <c r="L7">
        <v>46038</v>
      </c>
      <c r="M7">
        <v>46013</v>
      </c>
      <c r="N7">
        <v>46038</v>
      </c>
      <c r="O7">
        <v>1</v>
      </c>
      <c r="P7" t="s">
        <v>5977</v>
      </c>
    </row>
    <row r="8" spans="1:16" x14ac:dyDescent="0.35">
      <c r="A8" t="s">
        <v>5974</v>
      </c>
      <c r="B8" t="s">
        <v>6277</v>
      </c>
      <c r="C8" t="s">
        <v>277</v>
      </c>
      <c r="D8" t="s">
        <v>6278</v>
      </c>
      <c r="F8" t="s">
        <v>76</v>
      </c>
      <c r="G8" t="s">
        <v>5423</v>
      </c>
      <c r="H8" t="s">
        <v>2709</v>
      </c>
      <c r="I8" t="s">
        <v>5977</v>
      </c>
      <c r="J8" t="s">
        <v>5981</v>
      </c>
      <c r="K8" t="s">
        <v>5981</v>
      </c>
      <c r="L8">
        <v>46136</v>
      </c>
      <c r="M8" t="s">
        <v>5976</v>
      </c>
      <c r="N8" t="s">
        <v>5976</v>
      </c>
      <c r="O8" t="s">
        <v>5976</v>
      </c>
      <c r="P8" t="s">
        <v>5981</v>
      </c>
    </row>
    <row r="9" spans="1:16" x14ac:dyDescent="0.35">
      <c r="A9" t="s">
        <v>61</v>
      </c>
      <c r="B9" t="s">
        <v>6279</v>
      </c>
      <c r="C9" t="s">
        <v>2162</v>
      </c>
      <c r="D9" t="s">
        <v>6280</v>
      </c>
      <c r="E9" t="s">
        <v>5976</v>
      </c>
      <c r="F9" t="s">
        <v>76</v>
      </c>
      <c r="G9" t="s">
        <v>1794</v>
      </c>
      <c r="H9" t="s">
        <v>2732</v>
      </c>
      <c r="I9" t="s">
        <v>5977</v>
      </c>
      <c r="J9" t="s">
        <v>5977</v>
      </c>
      <c r="K9" t="s">
        <v>5977</v>
      </c>
      <c r="L9">
        <v>46044</v>
      </c>
      <c r="M9">
        <v>46021</v>
      </c>
      <c r="N9">
        <v>46044</v>
      </c>
      <c r="O9">
        <v>1</v>
      </c>
      <c r="P9" t="s">
        <v>5977</v>
      </c>
    </row>
    <row r="10" spans="1:16" x14ac:dyDescent="0.35">
      <c r="A10" t="s">
        <v>61</v>
      </c>
      <c r="B10" t="s">
        <v>6016</v>
      </c>
      <c r="C10" t="s">
        <v>5367</v>
      </c>
      <c r="D10" t="s">
        <v>6281</v>
      </c>
      <c r="E10" t="s">
        <v>5976</v>
      </c>
      <c r="F10" t="s">
        <v>76</v>
      </c>
      <c r="G10" t="s">
        <v>2716</v>
      </c>
      <c r="H10" t="s">
        <v>2709</v>
      </c>
      <c r="I10" t="s">
        <v>6011</v>
      </c>
      <c r="J10" t="s">
        <v>5981</v>
      </c>
      <c r="K10" t="s">
        <v>5981</v>
      </c>
      <c r="L10">
        <v>46188</v>
      </c>
      <c r="M10" t="s">
        <v>5976</v>
      </c>
      <c r="N10" t="s">
        <v>5976</v>
      </c>
      <c r="O10" t="s">
        <v>5976</v>
      </c>
      <c r="P10" t="s">
        <v>5981</v>
      </c>
    </row>
    <row r="11" spans="1:16" x14ac:dyDescent="0.35">
      <c r="A11" t="s">
        <v>61</v>
      </c>
      <c r="B11" t="s">
        <v>6018</v>
      </c>
      <c r="C11" t="s">
        <v>6282</v>
      </c>
      <c r="D11" t="s">
        <v>6283</v>
      </c>
      <c r="F11" t="s">
        <v>76</v>
      </c>
      <c r="G11" t="s">
        <v>2716</v>
      </c>
      <c r="H11" t="s">
        <v>2709</v>
      </c>
      <c r="I11" t="s">
        <v>5977</v>
      </c>
      <c r="J11" t="s">
        <v>5977</v>
      </c>
      <c r="K11" t="s">
        <v>5977</v>
      </c>
      <c r="L11">
        <v>46123</v>
      </c>
      <c r="M11">
        <v>46083</v>
      </c>
      <c r="N11" t="s">
        <v>5976</v>
      </c>
      <c r="O11">
        <v>0.5</v>
      </c>
      <c r="P11" t="s">
        <v>6011</v>
      </c>
    </row>
    <row r="12" spans="1:16" x14ac:dyDescent="0.35">
      <c r="A12" t="s">
        <v>5974</v>
      </c>
      <c r="B12" t="s">
        <v>6020</v>
      </c>
      <c r="C12" t="s">
        <v>299</v>
      </c>
      <c r="D12" t="s">
        <v>6284</v>
      </c>
      <c r="E12" t="s">
        <v>5976</v>
      </c>
      <c r="F12" t="s">
        <v>76</v>
      </c>
      <c r="G12" t="s">
        <v>5423</v>
      </c>
      <c r="H12" t="s">
        <v>2709</v>
      </c>
      <c r="I12" t="s">
        <v>5977</v>
      </c>
      <c r="J12" t="s">
        <v>5977</v>
      </c>
      <c r="K12" t="s">
        <v>5977</v>
      </c>
      <c r="L12">
        <v>46131</v>
      </c>
      <c r="M12" t="s">
        <v>5976</v>
      </c>
      <c r="N12" t="s">
        <v>5976</v>
      </c>
      <c r="P12" t="s">
        <v>6011</v>
      </c>
    </row>
    <row r="13" spans="1:16" x14ac:dyDescent="0.35">
      <c r="A13" t="s">
        <v>61</v>
      </c>
      <c r="B13" t="s">
        <v>6029</v>
      </c>
      <c r="C13" t="s">
        <v>2083</v>
      </c>
      <c r="D13" t="s">
        <v>6285</v>
      </c>
      <c r="E13" t="s">
        <v>6286</v>
      </c>
      <c r="F13" t="s">
        <v>76</v>
      </c>
      <c r="G13" t="s">
        <v>5423</v>
      </c>
      <c r="H13" t="s">
        <v>2709</v>
      </c>
      <c r="I13" t="s">
        <v>5977</v>
      </c>
      <c r="J13" t="s">
        <v>5977</v>
      </c>
      <c r="K13" t="s">
        <v>5977</v>
      </c>
      <c r="L13">
        <v>46059</v>
      </c>
      <c r="M13">
        <v>46027</v>
      </c>
      <c r="N13">
        <v>46059</v>
      </c>
      <c r="O13">
        <v>1</v>
      </c>
      <c r="P13" t="s">
        <v>5977</v>
      </c>
    </row>
    <row r="14" spans="1:16" x14ac:dyDescent="0.35">
      <c r="A14" t="s">
        <v>61</v>
      </c>
      <c r="B14" t="s">
        <v>6031</v>
      </c>
      <c r="C14" t="s">
        <v>5939</v>
      </c>
      <c r="D14" t="s">
        <v>6287</v>
      </c>
      <c r="E14" t="s">
        <v>6288</v>
      </c>
      <c r="F14" t="s">
        <v>6289</v>
      </c>
      <c r="G14" t="s">
        <v>1794</v>
      </c>
      <c r="H14" t="s">
        <v>2732</v>
      </c>
      <c r="I14" t="s">
        <v>5977</v>
      </c>
      <c r="J14" t="s">
        <v>5977</v>
      </c>
      <c r="K14" t="s">
        <v>5977</v>
      </c>
      <c r="L14">
        <v>46163</v>
      </c>
      <c r="M14" t="s">
        <v>5976</v>
      </c>
      <c r="N14" t="s">
        <v>5976</v>
      </c>
      <c r="O14">
        <v>0</v>
      </c>
      <c r="P14" t="s">
        <v>6011</v>
      </c>
    </row>
    <row r="15" spans="1:16" x14ac:dyDescent="0.35">
      <c r="A15" t="s">
        <v>61</v>
      </c>
      <c r="B15" t="s">
        <v>6290</v>
      </c>
      <c r="C15" t="s">
        <v>2629</v>
      </c>
      <c r="D15" t="s">
        <v>6291</v>
      </c>
      <c r="E15" t="s">
        <v>6292</v>
      </c>
      <c r="F15" t="s">
        <v>6293</v>
      </c>
      <c r="G15" t="s">
        <v>1794</v>
      </c>
      <c r="H15" t="s">
        <v>2810</v>
      </c>
      <c r="I15" t="s">
        <v>5977</v>
      </c>
      <c r="J15" t="s">
        <v>5977</v>
      </c>
      <c r="K15" t="s">
        <v>5977</v>
      </c>
      <c r="L15">
        <v>46163</v>
      </c>
      <c r="M15" t="s">
        <v>5976</v>
      </c>
      <c r="N15" t="s">
        <v>5976</v>
      </c>
      <c r="O15">
        <v>0</v>
      </c>
      <c r="P15" t="s">
        <v>6011</v>
      </c>
    </row>
    <row r="16" spans="1:16" x14ac:dyDescent="0.35">
      <c r="A16" t="s">
        <v>61</v>
      </c>
      <c r="B16" t="s">
        <v>6294</v>
      </c>
      <c r="C16" t="s">
        <v>1670</v>
      </c>
      <c r="D16" t="s">
        <v>6295</v>
      </c>
      <c r="F16" t="s">
        <v>6296</v>
      </c>
      <c r="G16" t="s">
        <v>5423</v>
      </c>
      <c r="H16" t="s">
        <v>2709</v>
      </c>
      <c r="I16" t="s">
        <v>5977</v>
      </c>
      <c r="J16" t="s">
        <v>5977</v>
      </c>
      <c r="K16" t="s">
        <v>5977</v>
      </c>
      <c r="L16">
        <v>46046</v>
      </c>
      <c r="M16">
        <v>46031</v>
      </c>
      <c r="N16">
        <v>46046</v>
      </c>
      <c r="O16">
        <v>1</v>
      </c>
      <c r="P16" t="s">
        <v>5977</v>
      </c>
    </row>
    <row r="17" spans="1:16" x14ac:dyDescent="0.35">
      <c r="A17" t="s">
        <v>61</v>
      </c>
      <c r="B17" t="s">
        <v>6297</v>
      </c>
      <c r="C17" t="s">
        <v>1043</v>
      </c>
      <c r="D17" t="s">
        <v>6298</v>
      </c>
      <c r="F17" t="s">
        <v>6299</v>
      </c>
      <c r="G17" t="s">
        <v>6300</v>
      </c>
      <c r="H17" t="s">
        <v>2732</v>
      </c>
      <c r="I17" t="s">
        <v>5977</v>
      </c>
      <c r="J17" t="s">
        <v>5977</v>
      </c>
      <c r="K17" t="s">
        <v>5977</v>
      </c>
      <c r="L17">
        <v>46124</v>
      </c>
      <c r="M17">
        <v>46094</v>
      </c>
      <c r="N17" t="s">
        <v>5976</v>
      </c>
      <c r="O17">
        <v>0.1</v>
      </c>
      <c r="P17" t="s">
        <v>6011</v>
      </c>
    </row>
    <row r="18" spans="1:16" x14ac:dyDescent="0.35">
      <c r="A18" t="s">
        <v>61</v>
      </c>
      <c r="B18" t="s">
        <v>6301</v>
      </c>
      <c r="C18" t="s">
        <v>826</v>
      </c>
      <c r="D18" t="s">
        <v>827</v>
      </c>
      <c r="E18" t="s">
        <v>5976</v>
      </c>
      <c r="F18" t="s">
        <v>76</v>
      </c>
      <c r="G18" t="s">
        <v>5423</v>
      </c>
      <c r="H18" t="s">
        <v>2709</v>
      </c>
      <c r="I18" t="s">
        <v>5977</v>
      </c>
      <c r="J18" t="s">
        <v>5977</v>
      </c>
      <c r="K18" t="s">
        <v>5977</v>
      </c>
      <c r="L18">
        <v>46101</v>
      </c>
      <c r="M18">
        <v>46091</v>
      </c>
      <c r="N18">
        <v>46101</v>
      </c>
      <c r="O18">
        <v>1</v>
      </c>
      <c r="P18" t="s">
        <v>5977</v>
      </c>
    </row>
    <row r="19" spans="1:16" x14ac:dyDescent="0.35">
      <c r="A19" t="s">
        <v>5974</v>
      </c>
      <c r="B19" t="s">
        <v>6302</v>
      </c>
      <c r="C19" t="s">
        <v>2360</v>
      </c>
      <c r="D19" t="s">
        <v>6303</v>
      </c>
      <c r="E19" t="s">
        <v>5976</v>
      </c>
      <c r="F19" t="s">
        <v>76</v>
      </c>
      <c r="G19" t="s">
        <v>2716</v>
      </c>
      <c r="H19" t="s">
        <v>2810</v>
      </c>
      <c r="I19" t="s">
        <v>5977</v>
      </c>
      <c r="J19" t="s">
        <v>6011</v>
      </c>
      <c r="K19" t="s">
        <v>5981</v>
      </c>
      <c r="L19">
        <v>46157</v>
      </c>
      <c r="M19" t="s">
        <v>5976</v>
      </c>
      <c r="N19" t="s">
        <v>5976</v>
      </c>
      <c r="O19" t="s">
        <v>5976</v>
      </c>
      <c r="P19" t="s">
        <v>5981</v>
      </c>
    </row>
    <row r="20" spans="1:16" x14ac:dyDescent="0.35">
      <c r="A20" t="s">
        <v>5974</v>
      </c>
      <c r="B20" t="s">
        <v>6304</v>
      </c>
      <c r="C20" t="s">
        <v>3163</v>
      </c>
      <c r="D20" t="s">
        <v>6305</v>
      </c>
      <c r="E20" t="s">
        <v>6306</v>
      </c>
      <c r="F20" t="s">
        <v>76</v>
      </c>
      <c r="G20" t="s">
        <v>2716</v>
      </c>
      <c r="H20" t="s">
        <v>2709</v>
      </c>
      <c r="I20" t="s">
        <v>5977</v>
      </c>
      <c r="J20" t="s">
        <v>5977</v>
      </c>
      <c r="K20" t="s">
        <v>5977</v>
      </c>
      <c r="L20">
        <v>46130</v>
      </c>
      <c r="M20">
        <v>46062</v>
      </c>
      <c r="O20">
        <v>0.25</v>
      </c>
      <c r="P20" t="s">
        <v>6011</v>
      </c>
    </row>
    <row r="21" spans="1:16" x14ac:dyDescent="0.35">
      <c r="A21" t="s">
        <v>61</v>
      </c>
      <c r="B21" t="s">
        <v>6307</v>
      </c>
      <c r="C21" t="s">
        <v>854</v>
      </c>
      <c r="D21" t="s">
        <v>6308</v>
      </c>
      <c r="E21" t="s">
        <v>6138</v>
      </c>
      <c r="F21" t="s">
        <v>76</v>
      </c>
      <c r="G21" t="s">
        <v>5423</v>
      </c>
      <c r="H21" t="s">
        <v>2709</v>
      </c>
      <c r="I21" t="s">
        <v>5977</v>
      </c>
      <c r="J21" t="s">
        <v>5977</v>
      </c>
      <c r="K21" t="s">
        <v>6011</v>
      </c>
      <c r="N21" t="s">
        <v>5976</v>
      </c>
    </row>
    <row r="22" spans="1:16" x14ac:dyDescent="0.35">
      <c r="A22" t="s">
        <v>5974</v>
      </c>
      <c r="B22" t="s">
        <v>6309</v>
      </c>
      <c r="C22" t="s">
        <v>108</v>
      </c>
      <c r="D22" t="s">
        <v>6310</v>
      </c>
      <c r="E22" t="s">
        <v>5976</v>
      </c>
      <c r="F22" t="s">
        <v>76</v>
      </c>
      <c r="G22" t="s">
        <v>5423</v>
      </c>
      <c r="H22" t="s">
        <v>2709</v>
      </c>
      <c r="I22" t="s">
        <v>6011</v>
      </c>
      <c r="J22" t="s">
        <v>5981</v>
      </c>
      <c r="K22" t="s">
        <v>5981</v>
      </c>
      <c r="L22">
        <v>46172</v>
      </c>
      <c r="M22" t="s">
        <v>5976</v>
      </c>
      <c r="N22" t="s">
        <v>5976</v>
      </c>
      <c r="O22" t="s">
        <v>5976</v>
      </c>
      <c r="P22" t="s">
        <v>5981</v>
      </c>
    </row>
    <row r="23" spans="1:16" x14ac:dyDescent="0.35">
      <c r="A23" t="s">
        <v>5974</v>
      </c>
      <c r="B23" t="s">
        <v>6311</v>
      </c>
      <c r="C23" t="s">
        <v>432</v>
      </c>
      <c r="D23" t="s">
        <v>6312</v>
      </c>
      <c r="E23" t="s">
        <v>6313</v>
      </c>
      <c r="F23" t="s">
        <v>76</v>
      </c>
      <c r="G23" t="s">
        <v>5423</v>
      </c>
      <c r="H23" t="s">
        <v>2732</v>
      </c>
      <c r="I23" t="s">
        <v>5981</v>
      </c>
      <c r="J23" t="s">
        <v>5981</v>
      </c>
      <c r="K23" t="s">
        <v>5981</v>
      </c>
      <c r="M23" t="s">
        <v>5976</v>
      </c>
      <c r="N23" t="s">
        <v>5976</v>
      </c>
      <c r="O23" t="s">
        <v>5976</v>
      </c>
      <c r="P23" t="s">
        <v>5981</v>
      </c>
    </row>
    <row r="24" spans="1:16" x14ac:dyDescent="0.35">
      <c r="A24" t="s">
        <v>5974</v>
      </c>
      <c r="B24" t="s">
        <v>6314</v>
      </c>
      <c r="C24" t="s">
        <v>261</v>
      </c>
      <c r="D24" t="s">
        <v>6315</v>
      </c>
      <c r="E24" t="s">
        <v>6316</v>
      </c>
      <c r="F24" t="s">
        <v>76</v>
      </c>
      <c r="G24" t="s">
        <v>5423</v>
      </c>
      <c r="H24" t="s">
        <v>2732</v>
      </c>
      <c r="I24" t="s">
        <v>6011</v>
      </c>
      <c r="J24" t="s">
        <v>5981</v>
      </c>
      <c r="K24" t="s">
        <v>5981</v>
      </c>
      <c r="L24">
        <v>46172</v>
      </c>
      <c r="M24" t="s">
        <v>5976</v>
      </c>
      <c r="N24" t="s">
        <v>5976</v>
      </c>
      <c r="O24" t="s">
        <v>5976</v>
      </c>
      <c r="P24" t="s">
        <v>5981</v>
      </c>
    </row>
    <row r="25" spans="1:16" x14ac:dyDescent="0.35">
      <c r="A25" t="s">
        <v>61</v>
      </c>
      <c r="B25" t="s">
        <v>6317</v>
      </c>
      <c r="C25" t="s">
        <v>589</v>
      </c>
      <c r="D25" t="s">
        <v>6318</v>
      </c>
      <c r="E25" t="s">
        <v>6319</v>
      </c>
      <c r="F25" t="s">
        <v>76</v>
      </c>
      <c r="G25" t="s">
        <v>5423</v>
      </c>
      <c r="H25" t="s">
        <v>2732</v>
      </c>
      <c r="I25" t="s">
        <v>5977</v>
      </c>
      <c r="J25" t="s">
        <v>5977</v>
      </c>
      <c r="K25" t="s">
        <v>5977</v>
      </c>
      <c r="L25">
        <v>46132</v>
      </c>
      <c r="M25" t="s">
        <v>5976</v>
      </c>
      <c r="N25" t="s">
        <v>5976</v>
      </c>
      <c r="O25">
        <v>0</v>
      </c>
      <c r="P25" t="s">
        <v>6011</v>
      </c>
    </row>
    <row r="26" spans="1:16" x14ac:dyDescent="0.35">
      <c r="A26" t="s">
        <v>61</v>
      </c>
      <c r="B26" t="s">
        <v>6320</v>
      </c>
      <c r="C26" t="s">
        <v>936</v>
      </c>
      <c r="D26" t="s">
        <v>6321</v>
      </c>
      <c r="E26" t="s">
        <v>6322</v>
      </c>
      <c r="F26" t="s">
        <v>76</v>
      </c>
      <c r="G26" t="s">
        <v>5423</v>
      </c>
      <c r="H26" t="s">
        <v>2810</v>
      </c>
      <c r="I26" t="s">
        <v>6011</v>
      </c>
      <c r="J26" t="s">
        <v>5981</v>
      </c>
      <c r="K26" t="s">
        <v>5981</v>
      </c>
      <c r="M26" t="s">
        <v>5976</v>
      </c>
      <c r="N26" t="s">
        <v>5976</v>
      </c>
      <c r="O26" t="s">
        <v>5976</v>
      </c>
      <c r="P26" t="s">
        <v>5981</v>
      </c>
    </row>
    <row r="27" spans="1:16" x14ac:dyDescent="0.35">
      <c r="A27" t="s">
        <v>61</v>
      </c>
      <c r="B27" t="s">
        <v>6323</v>
      </c>
      <c r="C27" t="s">
        <v>606</v>
      </c>
      <c r="D27" t="s">
        <v>6324</v>
      </c>
      <c r="E27" t="s">
        <v>5976</v>
      </c>
      <c r="F27" t="s">
        <v>76</v>
      </c>
      <c r="G27" t="s">
        <v>5423</v>
      </c>
      <c r="H27" t="s">
        <v>2732</v>
      </c>
      <c r="I27" t="s">
        <v>6011</v>
      </c>
      <c r="J27" t="s">
        <v>5981</v>
      </c>
      <c r="K27" t="s">
        <v>5981</v>
      </c>
      <c r="M27" t="s">
        <v>5976</v>
      </c>
      <c r="N27" t="s">
        <v>5976</v>
      </c>
      <c r="O27" t="s">
        <v>5976</v>
      </c>
      <c r="P27" t="s">
        <v>5981</v>
      </c>
    </row>
    <row r="28" spans="1:16" x14ac:dyDescent="0.35">
      <c r="A28" t="s">
        <v>61</v>
      </c>
      <c r="B28" t="s">
        <v>6325</v>
      </c>
      <c r="C28" t="s">
        <v>1249</v>
      </c>
      <c r="D28" t="s">
        <v>6326</v>
      </c>
      <c r="E28" t="s">
        <v>5976</v>
      </c>
      <c r="F28" t="s">
        <v>76</v>
      </c>
      <c r="G28" t="s">
        <v>5423</v>
      </c>
      <c r="H28" t="s">
        <v>2709</v>
      </c>
      <c r="I28" t="s">
        <v>5981</v>
      </c>
      <c r="J28" t="s">
        <v>5981</v>
      </c>
      <c r="K28" t="s">
        <v>5981</v>
      </c>
      <c r="M28" t="s">
        <v>5976</v>
      </c>
      <c r="N28" t="s">
        <v>5976</v>
      </c>
      <c r="O28" t="s">
        <v>5976</v>
      </c>
      <c r="P28" t="s">
        <v>5981</v>
      </c>
    </row>
    <row r="29" spans="1:16" x14ac:dyDescent="0.35">
      <c r="A29" t="s">
        <v>61</v>
      </c>
      <c r="B29" t="s">
        <v>6327</v>
      </c>
      <c r="C29" t="s">
        <v>486</v>
      </c>
      <c r="D29" t="s">
        <v>6328</v>
      </c>
      <c r="E29" t="s">
        <v>5976</v>
      </c>
      <c r="F29" t="s">
        <v>76</v>
      </c>
      <c r="G29" t="s">
        <v>5423</v>
      </c>
      <c r="H29" t="s">
        <v>2709</v>
      </c>
      <c r="I29" t="s">
        <v>5981</v>
      </c>
      <c r="J29" t="s">
        <v>5981</v>
      </c>
      <c r="K29" t="s">
        <v>5981</v>
      </c>
      <c r="M29" t="s">
        <v>5976</v>
      </c>
      <c r="N29" t="s">
        <v>5976</v>
      </c>
      <c r="O29" t="s">
        <v>5976</v>
      </c>
      <c r="P29" t="s">
        <v>5981</v>
      </c>
    </row>
    <row r="30" spans="1:16" x14ac:dyDescent="0.35">
      <c r="A30" t="s">
        <v>61</v>
      </c>
      <c r="B30" t="s">
        <v>6329</v>
      </c>
      <c r="C30" t="s">
        <v>508</v>
      </c>
      <c r="D30" t="s">
        <v>6330</v>
      </c>
      <c r="E30" t="s">
        <v>5976</v>
      </c>
      <c r="F30" t="s">
        <v>76</v>
      </c>
      <c r="G30" t="s">
        <v>5423</v>
      </c>
      <c r="H30" t="s">
        <v>2732</v>
      </c>
      <c r="I30" t="s">
        <v>5981</v>
      </c>
      <c r="J30" t="s">
        <v>5981</v>
      </c>
      <c r="K30" t="s">
        <v>5981</v>
      </c>
      <c r="M30" t="s">
        <v>5976</v>
      </c>
      <c r="N30" t="s">
        <v>5976</v>
      </c>
      <c r="O30" t="s">
        <v>5976</v>
      </c>
      <c r="P30" t="s">
        <v>5981</v>
      </c>
    </row>
    <row r="31" spans="1:16" x14ac:dyDescent="0.35">
      <c r="A31" t="s">
        <v>61</v>
      </c>
      <c r="B31" t="s">
        <v>6331</v>
      </c>
      <c r="C31" t="s">
        <v>514</v>
      </c>
      <c r="D31" t="s">
        <v>6332</v>
      </c>
      <c r="E31" t="s">
        <v>5976</v>
      </c>
      <c r="F31" t="s">
        <v>76</v>
      </c>
      <c r="G31" t="s">
        <v>5423</v>
      </c>
      <c r="H31" t="s">
        <v>2732</v>
      </c>
      <c r="I31" t="s">
        <v>5981</v>
      </c>
      <c r="J31" t="s">
        <v>5981</v>
      </c>
      <c r="K31" t="s">
        <v>5981</v>
      </c>
      <c r="M31" t="s">
        <v>5976</v>
      </c>
      <c r="N31" t="s">
        <v>5976</v>
      </c>
      <c r="O31" t="s">
        <v>5976</v>
      </c>
      <c r="P31" t="s">
        <v>5981</v>
      </c>
    </row>
    <row r="32" spans="1:16" x14ac:dyDescent="0.35">
      <c r="A32" t="s">
        <v>61</v>
      </c>
      <c r="B32" t="s">
        <v>6333</v>
      </c>
      <c r="C32" t="s">
        <v>663</v>
      </c>
      <c r="D32" t="s">
        <v>6334</v>
      </c>
      <c r="E32" t="s">
        <v>5976</v>
      </c>
      <c r="F32" t="s">
        <v>76</v>
      </c>
      <c r="G32" t="s">
        <v>5423</v>
      </c>
      <c r="H32" t="s">
        <v>2732</v>
      </c>
      <c r="I32" t="s">
        <v>5981</v>
      </c>
      <c r="J32" t="s">
        <v>5981</v>
      </c>
      <c r="K32" t="s">
        <v>5981</v>
      </c>
      <c r="O32" t="s">
        <v>5976</v>
      </c>
      <c r="P32" t="s">
        <v>5981</v>
      </c>
    </row>
    <row r="33" spans="1:16" x14ac:dyDescent="0.35">
      <c r="A33" t="s">
        <v>61</v>
      </c>
      <c r="B33" t="s">
        <v>6335</v>
      </c>
      <c r="C33" t="s">
        <v>697</v>
      </c>
      <c r="D33" t="s">
        <v>6336</v>
      </c>
      <c r="E33" t="s">
        <v>5976</v>
      </c>
      <c r="F33" t="s">
        <v>76</v>
      </c>
      <c r="G33" t="s">
        <v>5423</v>
      </c>
      <c r="H33" t="s">
        <v>2732</v>
      </c>
      <c r="I33" t="s">
        <v>5981</v>
      </c>
      <c r="J33" t="s">
        <v>5981</v>
      </c>
      <c r="K33" t="s">
        <v>5981</v>
      </c>
      <c r="M33" t="s">
        <v>5976</v>
      </c>
      <c r="N33" t="s">
        <v>5976</v>
      </c>
      <c r="O33" t="s">
        <v>5976</v>
      </c>
      <c r="P33" t="s">
        <v>5981</v>
      </c>
    </row>
    <row r="34" spans="1:16" x14ac:dyDescent="0.35">
      <c r="A34" t="s">
        <v>61</v>
      </c>
      <c r="B34" t="s">
        <v>6337</v>
      </c>
      <c r="C34" t="s">
        <v>740</v>
      </c>
      <c r="D34" t="s">
        <v>6338</v>
      </c>
      <c r="E34" t="s">
        <v>6339</v>
      </c>
      <c r="F34" t="s">
        <v>76</v>
      </c>
      <c r="G34" t="s">
        <v>5423</v>
      </c>
      <c r="H34" t="s">
        <v>2709</v>
      </c>
      <c r="I34" t="s">
        <v>6011</v>
      </c>
      <c r="J34" t="s">
        <v>5981</v>
      </c>
      <c r="K34" t="s">
        <v>5981</v>
      </c>
      <c r="M34" t="s">
        <v>5976</v>
      </c>
      <c r="N34" t="s">
        <v>5976</v>
      </c>
      <c r="O34" t="s">
        <v>5976</v>
      </c>
      <c r="P34" t="s">
        <v>5981</v>
      </c>
    </row>
    <row r="35" spans="1:16" x14ac:dyDescent="0.35">
      <c r="A35" t="s">
        <v>61</v>
      </c>
      <c r="B35" t="s">
        <v>6340</v>
      </c>
      <c r="C35" t="s">
        <v>959</v>
      </c>
      <c r="D35" t="s">
        <v>6341</v>
      </c>
      <c r="E35" t="s">
        <v>5976</v>
      </c>
      <c r="F35" t="s">
        <v>76</v>
      </c>
      <c r="G35" t="s">
        <v>5423</v>
      </c>
      <c r="H35" t="s">
        <v>2709</v>
      </c>
      <c r="I35" t="s">
        <v>6011</v>
      </c>
      <c r="J35" t="s">
        <v>5981</v>
      </c>
      <c r="K35" t="s">
        <v>5981</v>
      </c>
      <c r="M35" t="s">
        <v>5976</v>
      </c>
      <c r="N35" t="s">
        <v>5976</v>
      </c>
      <c r="O35" t="s">
        <v>5976</v>
      </c>
      <c r="P35" t="s">
        <v>5981</v>
      </c>
    </row>
    <row r="36" spans="1:16" x14ac:dyDescent="0.35">
      <c r="A36" t="s">
        <v>61</v>
      </c>
      <c r="B36" t="s">
        <v>6342</v>
      </c>
      <c r="C36" t="s">
        <v>1260</v>
      </c>
      <c r="D36" t="s">
        <v>6343</v>
      </c>
      <c r="E36" t="s">
        <v>5976</v>
      </c>
      <c r="F36" t="s">
        <v>76</v>
      </c>
      <c r="G36" t="s">
        <v>5423</v>
      </c>
      <c r="H36" t="s">
        <v>2709</v>
      </c>
      <c r="I36" t="s">
        <v>5981</v>
      </c>
      <c r="J36" t="s">
        <v>5981</v>
      </c>
      <c r="K36" t="s">
        <v>5981</v>
      </c>
      <c r="M36" t="s">
        <v>5976</v>
      </c>
      <c r="N36" t="s">
        <v>5976</v>
      </c>
      <c r="O36" t="s">
        <v>5976</v>
      </c>
      <c r="P36" t="s">
        <v>5981</v>
      </c>
    </row>
    <row r="37" spans="1:16" x14ac:dyDescent="0.35">
      <c r="A37" t="s">
        <v>61</v>
      </c>
      <c r="B37" t="s">
        <v>6266</v>
      </c>
      <c r="C37" t="s">
        <v>1348</v>
      </c>
      <c r="D37" t="s">
        <v>6344</v>
      </c>
      <c r="E37" t="s">
        <v>5976</v>
      </c>
      <c r="F37" t="s">
        <v>76</v>
      </c>
      <c r="G37" t="s">
        <v>5423</v>
      </c>
      <c r="H37" t="s">
        <v>2709</v>
      </c>
      <c r="I37" t="s">
        <v>5981</v>
      </c>
      <c r="J37" t="s">
        <v>5981</v>
      </c>
      <c r="K37" t="s">
        <v>5981</v>
      </c>
      <c r="M37" t="s">
        <v>5976</v>
      </c>
      <c r="N37" t="s">
        <v>5976</v>
      </c>
      <c r="O37" t="s">
        <v>5976</v>
      </c>
      <c r="P37" t="s">
        <v>5981</v>
      </c>
    </row>
    <row r="38" spans="1:16" x14ac:dyDescent="0.35">
      <c r="A38" t="s">
        <v>61</v>
      </c>
      <c r="B38" t="s">
        <v>6345</v>
      </c>
      <c r="C38" t="s">
        <v>657</v>
      </c>
      <c r="D38" t="s">
        <v>6346</v>
      </c>
      <c r="E38" t="s">
        <v>5976</v>
      </c>
      <c r="F38" t="s">
        <v>76</v>
      </c>
      <c r="G38" t="s">
        <v>5423</v>
      </c>
      <c r="H38" t="s">
        <v>2709</v>
      </c>
      <c r="I38" t="s">
        <v>5981</v>
      </c>
      <c r="J38" t="s">
        <v>5981</v>
      </c>
      <c r="K38" t="s">
        <v>5981</v>
      </c>
      <c r="M38" t="s">
        <v>5976</v>
      </c>
      <c r="N38" t="s">
        <v>5976</v>
      </c>
      <c r="O38" t="s">
        <v>5976</v>
      </c>
      <c r="P38" t="s">
        <v>5981</v>
      </c>
    </row>
    <row r="39" spans="1:16" x14ac:dyDescent="0.35">
      <c r="A39" t="s">
        <v>61</v>
      </c>
      <c r="B39" t="s">
        <v>6347</v>
      </c>
      <c r="C39" t="s">
        <v>748</v>
      </c>
      <c r="D39" t="s">
        <v>6348</v>
      </c>
      <c r="E39" t="s">
        <v>5976</v>
      </c>
      <c r="F39" t="s">
        <v>76</v>
      </c>
      <c r="G39" t="s">
        <v>5423</v>
      </c>
      <c r="H39" t="s">
        <v>2810</v>
      </c>
      <c r="I39" t="s">
        <v>5981</v>
      </c>
      <c r="J39" t="s">
        <v>5981</v>
      </c>
      <c r="K39" t="s">
        <v>5981</v>
      </c>
      <c r="M39" t="s">
        <v>5976</v>
      </c>
      <c r="N39" t="s">
        <v>5976</v>
      </c>
      <c r="O39" t="s">
        <v>5976</v>
      </c>
      <c r="P39" t="s">
        <v>5981</v>
      </c>
    </row>
    <row r="40" spans="1:16" x14ac:dyDescent="0.35">
      <c r="A40" t="s">
        <v>61</v>
      </c>
      <c r="B40" t="s">
        <v>6349</v>
      </c>
      <c r="C40" t="s">
        <v>854</v>
      </c>
      <c r="D40" t="s">
        <v>6350</v>
      </c>
      <c r="E40" t="s">
        <v>5976</v>
      </c>
      <c r="F40" t="s">
        <v>76</v>
      </c>
      <c r="G40" t="s">
        <v>5423</v>
      </c>
      <c r="H40" t="s">
        <v>2709</v>
      </c>
      <c r="I40" t="s">
        <v>6011</v>
      </c>
      <c r="J40" t="s">
        <v>5981</v>
      </c>
      <c r="K40" t="s">
        <v>5981</v>
      </c>
      <c r="M40" t="s">
        <v>5976</v>
      </c>
      <c r="N40" t="s">
        <v>5976</v>
      </c>
      <c r="O40" t="s">
        <v>5976</v>
      </c>
      <c r="P40" t="s">
        <v>5981</v>
      </c>
    </row>
    <row r="41" spans="1:16" x14ac:dyDescent="0.35">
      <c r="A41" t="s">
        <v>61</v>
      </c>
      <c r="B41" t="s">
        <v>6351</v>
      </c>
      <c r="C41" t="s">
        <v>1547</v>
      </c>
      <c r="D41" t="s">
        <v>6352</v>
      </c>
      <c r="E41" t="s">
        <v>5976</v>
      </c>
      <c r="F41" t="s">
        <v>76</v>
      </c>
      <c r="G41" t="s">
        <v>5423</v>
      </c>
      <c r="H41" t="s">
        <v>2709</v>
      </c>
      <c r="I41" t="s">
        <v>5981</v>
      </c>
      <c r="J41" t="s">
        <v>5981</v>
      </c>
      <c r="K41" t="s">
        <v>5981</v>
      </c>
      <c r="M41" t="s">
        <v>5976</v>
      </c>
      <c r="N41" t="s">
        <v>5976</v>
      </c>
      <c r="O41" t="s">
        <v>5976</v>
      </c>
      <c r="P41" t="s">
        <v>5981</v>
      </c>
    </row>
    <row r="42" spans="1:16" x14ac:dyDescent="0.35">
      <c r="A42" t="s">
        <v>61</v>
      </c>
      <c r="B42" t="s">
        <v>5987</v>
      </c>
      <c r="C42" t="s">
        <v>1697</v>
      </c>
      <c r="D42" t="s">
        <v>6353</v>
      </c>
      <c r="E42" t="s">
        <v>5976</v>
      </c>
      <c r="F42" t="s">
        <v>76</v>
      </c>
      <c r="G42" t="s">
        <v>5423</v>
      </c>
      <c r="H42" t="s">
        <v>2732</v>
      </c>
      <c r="I42" t="s">
        <v>5981</v>
      </c>
      <c r="J42" t="s">
        <v>5981</v>
      </c>
      <c r="K42" t="s">
        <v>5981</v>
      </c>
      <c r="M42" t="s">
        <v>5976</v>
      </c>
      <c r="N42" t="s">
        <v>5976</v>
      </c>
      <c r="O42" t="s">
        <v>5976</v>
      </c>
      <c r="P42" t="s">
        <v>5981</v>
      </c>
    </row>
    <row r="43" spans="1:16" x14ac:dyDescent="0.35">
      <c r="A43" t="s">
        <v>61</v>
      </c>
      <c r="B43" t="s">
        <v>6354</v>
      </c>
      <c r="C43" t="s">
        <v>523</v>
      </c>
      <c r="D43" t="s">
        <v>6355</v>
      </c>
      <c r="E43" t="s">
        <v>5976</v>
      </c>
      <c r="F43" t="s">
        <v>76</v>
      </c>
      <c r="G43" t="s">
        <v>5423</v>
      </c>
      <c r="H43" t="s">
        <v>2732</v>
      </c>
      <c r="I43" t="s">
        <v>5981</v>
      </c>
      <c r="J43" t="s">
        <v>5981</v>
      </c>
      <c r="K43" t="s">
        <v>5981</v>
      </c>
      <c r="M43" t="s">
        <v>5976</v>
      </c>
      <c r="N43" t="s">
        <v>5976</v>
      </c>
      <c r="O43" t="s">
        <v>5976</v>
      </c>
      <c r="P43" t="s">
        <v>5981</v>
      </c>
    </row>
    <row r="44" spans="1:16" x14ac:dyDescent="0.35">
      <c r="A44" t="s">
        <v>61</v>
      </c>
      <c r="B44" t="s">
        <v>6356</v>
      </c>
      <c r="C44" t="s">
        <v>641</v>
      </c>
      <c r="D44" t="s">
        <v>6357</v>
      </c>
      <c r="E44" t="s">
        <v>6358</v>
      </c>
      <c r="F44" t="s">
        <v>76</v>
      </c>
      <c r="G44" t="s">
        <v>5423</v>
      </c>
      <c r="H44" t="s">
        <v>2709</v>
      </c>
      <c r="I44" t="s">
        <v>6011</v>
      </c>
      <c r="J44" t="s">
        <v>5981</v>
      </c>
      <c r="K44" t="s">
        <v>5981</v>
      </c>
      <c r="L44">
        <v>46132</v>
      </c>
      <c r="M44" t="s">
        <v>5976</v>
      </c>
      <c r="N44" t="s">
        <v>5976</v>
      </c>
      <c r="O44" t="s">
        <v>5976</v>
      </c>
      <c r="P44" t="s">
        <v>5981</v>
      </c>
    </row>
    <row r="45" spans="1:16" x14ac:dyDescent="0.35">
      <c r="A45" t="s">
        <v>61</v>
      </c>
      <c r="B45" t="s">
        <v>6359</v>
      </c>
      <c r="C45" t="s">
        <v>847</v>
      </c>
      <c r="D45" t="s">
        <v>6360</v>
      </c>
      <c r="E45" t="s">
        <v>5976</v>
      </c>
      <c r="F45" t="s">
        <v>76</v>
      </c>
      <c r="G45" t="s">
        <v>5423</v>
      </c>
      <c r="H45" t="s">
        <v>2732</v>
      </c>
      <c r="I45" t="s">
        <v>5977</v>
      </c>
      <c r="J45" t="s">
        <v>5977</v>
      </c>
      <c r="K45" t="s">
        <v>5980</v>
      </c>
      <c r="L45">
        <v>46132</v>
      </c>
      <c r="M45" t="s">
        <v>5976</v>
      </c>
      <c r="N45" t="s">
        <v>5976</v>
      </c>
      <c r="O45" t="s">
        <v>5976</v>
      </c>
      <c r="P45" t="s">
        <v>5981</v>
      </c>
    </row>
    <row r="46" spans="1:16" x14ac:dyDescent="0.35">
      <c r="A46" t="s">
        <v>61</v>
      </c>
      <c r="B46" t="s">
        <v>6361</v>
      </c>
      <c r="C46" t="s">
        <v>649</v>
      </c>
      <c r="D46" t="s">
        <v>6362</v>
      </c>
      <c r="E46" t="s">
        <v>5976</v>
      </c>
      <c r="F46" t="s">
        <v>76</v>
      </c>
      <c r="G46" t="s">
        <v>5423</v>
      </c>
      <c r="H46" t="s">
        <v>2810</v>
      </c>
      <c r="I46" t="s">
        <v>5981</v>
      </c>
      <c r="J46" t="s">
        <v>5981</v>
      </c>
      <c r="K46" t="s">
        <v>5981</v>
      </c>
      <c r="M46" t="s">
        <v>5976</v>
      </c>
      <c r="N46" t="s">
        <v>5976</v>
      </c>
      <c r="O46" t="s">
        <v>5976</v>
      </c>
      <c r="P46" t="s">
        <v>5981</v>
      </c>
    </row>
    <row r="47" spans="1:16" x14ac:dyDescent="0.35">
      <c r="A47" t="s">
        <v>5974</v>
      </c>
      <c r="B47" t="s">
        <v>6363</v>
      </c>
      <c r="C47" t="s">
        <v>345</v>
      </c>
      <c r="D47" t="s">
        <v>6364</v>
      </c>
      <c r="E47" t="s">
        <v>5976</v>
      </c>
      <c r="F47" t="s">
        <v>76</v>
      </c>
      <c r="G47" t="s">
        <v>5423</v>
      </c>
      <c r="H47" t="s">
        <v>2709</v>
      </c>
      <c r="I47" t="s">
        <v>6011</v>
      </c>
      <c r="J47" t="s">
        <v>5981</v>
      </c>
      <c r="K47" t="s">
        <v>5981</v>
      </c>
      <c r="M47" t="s">
        <v>5976</v>
      </c>
      <c r="N47" t="s">
        <v>5976</v>
      </c>
      <c r="O47" t="s">
        <v>5976</v>
      </c>
      <c r="P47" t="s">
        <v>5981</v>
      </c>
    </row>
    <row r="48" spans="1:16" x14ac:dyDescent="0.35">
      <c r="A48" t="s">
        <v>5974</v>
      </c>
      <c r="B48" t="s">
        <v>5990</v>
      </c>
      <c r="C48" t="s">
        <v>78</v>
      </c>
      <c r="D48" t="s">
        <v>6365</v>
      </c>
      <c r="E48" t="s">
        <v>5976</v>
      </c>
      <c r="F48" t="s">
        <v>76</v>
      </c>
      <c r="G48" t="s">
        <v>5423</v>
      </c>
      <c r="H48" t="s">
        <v>2810</v>
      </c>
      <c r="I48" t="s">
        <v>6011</v>
      </c>
      <c r="J48" t="s">
        <v>5981</v>
      </c>
      <c r="K48" t="s">
        <v>5981</v>
      </c>
      <c r="M48" t="s">
        <v>5976</v>
      </c>
      <c r="N48" t="s">
        <v>5976</v>
      </c>
      <c r="O48" t="s">
        <v>5976</v>
      </c>
      <c r="P48" t="s">
        <v>5981</v>
      </c>
    </row>
    <row r="49" spans="1:16" x14ac:dyDescent="0.35">
      <c r="A49" t="s">
        <v>5974</v>
      </c>
      <c r="B49" t="s">
        <v>6366</v>
      </c>
      <c r="C49" t="s">
        <v>255</v>
      </c>
      <c r="D49" t="s">
        <v>6367</v>
      </c>
      <c r="E49" t="s">
        <v>5976</v>
      </c>
      <c r="F49" t="s">
        <v>76</v>
      </c>
      <c r="G49" t="s">
        <v>5423</v>
      </c>
      <c r="H49" t="s">
        <v>2709</v>
      </c>
      <c r="I49" t="s">
        <v>6011</v>
      </c>
      <c r="J49" t="s">
        <v>5981</v>
      </c>
      <c r="K49" t="s">
        <v>5981</v>
      </c>
      <c r="L49">
        <v>46172</v>
      </c>
      <c r="M49" t="s">
        <v>5976</v>
      </c>
      <c r="N49" t="s">
        <v>5976</v>
      </c>
      <c r="O49" t="s">
        <v>5976</v>
      </c>
      <c r="P49" t="s">
        <v>5981</v>
      </c>
    </row>
    <row r="50" spans="1:16" x14ac:dyDescent="0.35">
      <c r="A50" t="s">
        <v>5974</v>
      </c>
      <c r="B50" t="s">
        <v>6277</v>
      </c>
      <c r="C50" t="s">
        <v>201</v>
      </c>
      <c r="D50" t="s">
        <v>6368</v>
      </c>
      <c r="E50" t="s">
        <v>5976</v>
      </c>
      <c r="F50" t="s">
        <v>76</v>
      </c>
      <c r="G50" t="s">
        <v>5423</v>
      </c>
      <c r="H50" t="s">
        <v>2709</v>
      </c>
      <c r="I50" t="s">
        <v>6011</v>
      </c>
      <c r="J50" t="s">
        <v>5981</v>
      </c>
      <c r="K50" t="s">
        <v>5981</v>
      </c>
      <c r="L50">
        <v>46172</v>
      </c>
      <c r="M50" t="s">
        <v>5976</v>
      </c>
      <c r="N50" t="s">
        <v>5976</v>
      </c>
      <c r="O50" t="s">
        <v>5976</v>
      </c>
      <c r="P50" t="s">
        <v>5981</v>
      </c>
    </row>
    <row r="51" spans="1:16" x14ac:dyDescent="0.35">
      <c r="A51" t="s">
        <v>5974</v>
      </c>
      <c r="B51" t="s">
        <v>6369</v>
      </c>
      <c r="C51" t="s">
        <v>284</v>
      </c>
      <c r="D51" t="s">
        <v>6370</v>
      </c>
      <c r="E51" t="s">
        <v>5976</v>
      </c>
      <c r="F51" t="s">
        <v>76</v>
      </c>
      <c r="G51" t="s">
        <v>5423</v>
      </c>
      <c r="H51" t="s">
        <v>2709</v>
      </c>
      <c r="I51" t="s">
        <v>5981</v>
      </c>
      <c r="J51" t="s">
        <v>5981</v>
      </c>
      <c r="K51" t="s">
        <v>5981</v>
      </c>
      <c r="M51" t="s">
        <v>5976</v>
      </c>
      <c r="N51" t="s">
        <v>5976</v>
      </c>
      <c r="O51" t="s">
        <v>5976</v>
      </c>
      <c r="P51" t="s">
        <v>5981</v>
      </c>
    </row>
    <row r="52" spans="1:16" x14ac:dyDescent="0.35">
      <c r="A52" t="s">
        <v>61</v>
      </c>
      <c r="B52" t="s">
        <v>6371</v>
      </c>
      <c r="C52" t="s">
        <v>733</v>
      </c>
      <c r="D52" t="s">
        <v>6372</v>
      </c>
      <c r="E52" t="s">
        <v>5976</v>
      </c>
      <c r="F52" t="s">
        <v>76</v>
      </c>
      <c r="G52" t="s">
        <v>5423</v>
      </c>
      <c r="H52" t="s">
        <v>2709</v>
      </c>
      <c r="I52" t="s">
        <v>5981</v>
      </c>
      <c r="J52" t="s">
        <v>5981</v>
      </c>
      <c r="K52" t="s">
        <v>5981</v>
      </c>
      <c r="M52" t="s">
        <v>5976</v>
      </c>
      <c r="N52" t="s">
        <v>5976</v>
      </c>
      <c r="O52" t="s">
        <v>5976</v>
      </c>
      <c r="P52" t="s">
        <v>5981</v>
      </c>
    </row>
    <row r="53" spans="1:16" x14ac:dyDescent="0.35">
      <c r="A53" t="s">
        <v>61</v>
      </c>
      <c r="B53" t="s">
        <v>6373</v>
      </c>
      <c r="C53" t="s">
        <v>834</v>
      </c>
      <c r="D53" t="s">
        <v>6374</v>
      </c>
      <c r="E53" t="s">
        <v>6375</v>
      </c>
      <c r="F53" t="s">
        <v>76</v>
      </c>
      <c r="G53" t="s">
        <v>5423</v>
      </c>
      <c r="H53" t="s">
        <v>2709</v>
      </c>
      <c r="I53" t="s">
        <v>5977</v>
      </c>
      <c r="J53" t="s">
        <v>5977</v>
      </c>
      <c r="K53" t="s">
        <v>5977</v>
      </c>
      <c r="L53">
        <v>46131</v>
      </c>
      <c r="M53" t="s">
        <v>5976</v>
      </c>
      <c r="N53" t="s">
        <v>5976</v>
      </c>
      <c r="O53">
        <v>0</v>
      </c>
      <c r="P53" t="s">
        <v>6011</v>
      </c>
    </row>
    <row r="54" spans="1:16" x14ac:dyDescent="0.35">
      <c r="A54" t="s">
        <v>61</v>
      </c>
      <c r="B54" t="s">
        <v>6376</v>
      </c>
      <c r="C54" t="s">
        <v>530</v>
      </c>
      <c r="D54" t="s">
        <v>6377</v>
      </c>
      <c r="E54" t="s">
        <v>5976</v>
      </c>
      <c r="F54" t="s">
        <v>76</v>
      </c>
      <c r="G54" t="s">
        <v>5423</v>
      </c>
      <c r="H54" t="s">
        <v>2732</v>
      </c>
      <c r="I54" t="s">
        <v>5981</v>
      </c>
      <c r="J54" t="s">
        <v>5981</v>
      </c>
      <c r="K54" t="s">
        <v>5981</v>
      </c>
      <c r="M54" t="s">
        <v>5976</v>
      </c>
      <c r="N54" t="s">
        <v>5976</v>
      </c>
      <c r="O54" t="s">
        <v>5976</v>
      </c>
      <c r="P54" t="s">
        <v>5981</v>
      </c>
    </row>
    <row r="55" spans="1:16" x14ac:dyDescent="0.35">
      <c r="A55" t="s">
        <v>5974</v>
      </c>
      <c r="B55" t="s">
        <v>6378</v>
      </c>
      <c r="C55" t="s">
        <v>1439</v>
      </c>
      <c r="D55" t="s">
        <v>6379</v>
      </c>
      <c r="E55" t="s">
        <v>6380</v>
      </c>
      <c r="F55" t="s">
        <v>76</v>
      </c>
      <c r="G55" t="s">
        <v>5423</v>
      </c>
      <c r="H55" t="s">
        <v>2709</v>
      </c>
      <c r="I55" t="s">
        <v>5977</v>
      </c>
      <c r="J55" t="s">
        <v>6011</v>
      </c>
      <c r="K55" t="s">
        <v>5981</v>
      </c>
      <c r="L55">
        <v>46112</v>
      </c>
      <c r="M55" t="s">
        <v>5976</v>
      </c>
      <c r="N55" t="s">
        <v>5976</v>
      </c>
      <c r="O55" t="s">
        <v>5976</v>
      </c>
      <c r="P55" t="s">
        <v>5981</v>
      </c>
    </row>
    <row r="56" spans="1:16" x14ac:dyDescent="0.35">
      <c r="A56" t="s">
        <v>5974</v>
      </c>
      <c r="B56" t="s">
        <v>6381</v>
      </c>
      <c r="C56" t="s">
        <v>6382</v>
      </c>
      <c r="D56" t="s">
        <v>6383</v>
      </c>
      <c r="E56" t="s">
        <v>6384</v>
      </c>
      <c r="F56" t="s">
        <v>76</v>
      </c>
      <c r="G56" t="s">
        <v>5423</v>
      </c>
      <c r="H56" t="s">
        <v>2810</v>
      </c>
      <c r="I56" t="s">
        <v>5977</v>
      </c>
      <c r="J56" t="s">
        <v>5977</v>
      </c>
      <c r="K56" t="s">
        <v>5977</v>
      </c>
      <c r="L56">
        <v>46112</v>
      </c>
      <c r="M56" t="s">
        <v>5976</v>
      </c>
      <c r="N56" t="s">
        <v>5976</v>
      </c>
      <c r="O56" t="s">
        <v>5976</v>
      </c>
      <c r="P56" t="s">
        <v>6011</v>
      </c>
    </row>
    <row r="57" spans="1:16" x14ac:dyDescent="0.35">
      <c r="A57" t="s">
        <v>5974</v>
      </c>
      <c r="B57" t="s">
        <v>6385</v>
      </c>
      <c r="C57" t="s">
        <v>104</v>
      </c>
      <c r="D57" t="s">
        <v>6386</v>
      </c>
      <c r="E57" t="s">
        <v>5976</v>
      </c>
      <c r="F57" t="s">
        <v>76</v>
      </c>
      <c r="G57" t="s">
        <v>5423</v>
      </c>
      <c r="H57" t="s">
        <v>2732</v>
      </c>
      <c r="I57" t="s">
        <v>5981</v>
      </c>
      <c r="J57" t="s">
        <v>5981</v>
      </c>
      <c r="K57" t="s">
        <v>5981</v>
      </c>
      <c r="M57" t="s">
        <v>5976</v>
      </c>
      <c r="N57" t="s">
        <v>5976</v>
      </c>
      <c r="O57" t="s">
        <v>5976</v>
      </c>
      <c r="P57" t="s">
        <v>5981</v>
      </c>
    </row>
    <row r="58" spans="1:16" x14ac:dyDescent="0.35">
      <c r="A58" t="s">
        <v>5974</v>
      </c>
      <c r="B58" t="s">
        <v>6387</v>
      </c>
      <c r="C58" t="s">
        <v>398</v>
      </c>
      <c r="D58" t="s">
        <v>6388</v>
      </c>
      <c r="E58" t="s">
        <v>5976</v>
      </c>
      <c r="F58" t="s">
        <v>76</v>
      </c>
      <c r="G58" t="s">
        <v>5423</v>
      </c>
      <c r="H58" t="s">
        <v>2709</v>
      </c>
      <c r="I58" t="s">
        <v>5981</v>
      </c>
      <c r="J58" t="s">
        <v>5981</v>
      </c>
      <c r="K58" t="s">
        <v>5981</v>
      </c>
      <c r="M58" t="s">
        <v>5976</v>
      </c>
      <c r="N58" t="s">
        <v>5976</v>
      </c>
      <c r="O58" t="s">
        <v>5976</v>
      </c>
      <c r="P58" t="s">
        <v>5981</v>
      </c>
    </row>
    <row r="59" spans="1:16" x14ac:dyDescent="0.35">
      <c r="A59" t="s">
        <v>61</v>
      </c>
      <c r="B59" t="s">
        <v>6389</v>
      </c>
      <c r="C59" t="s">
        <v>934</v>
      </c>
      <c r="D59" t="s">
        <v>6390</v>
      </c>
      <c r="E59" t="s">
        <v>5976</v>
      </c>
      <c r="F59" t="s">
        <v>76</v>
      </c>
      <c r="G59" t="s">
        <v>5423</v>
      </c>
      <c r="H59" t="s">
        <v>5976</v>
      </c>
      <c r="I59" t="s">
        <v>5977</v>
      </c>
      <c r="J59" t="s">
        <v>6011</v>
      </c>
      <c r="K59" t="s">
        <v>5981</v>
      </c>
      <c r="M59" t="s">
        <v>5976</v>
      </c>
      <c r="N59" t="s">
        <v>5976</v>
      </c>
      <c r="O59" t="s">
        <v>5976</v>
      </c>
      <c r="P59" t="s">
        <v>5981</v>
      </c>
    </row>
    <row r="60" spans="1:16" x14ac:dyDescent="0.35">
      <c r="A60" t="s">
        <v>61</v>
      </c>
      <c r="B60" t="s">
        <v>6391</v>
      </c>
      <c r="C60" t="s">
        <v>924</v>
      </c>
      <c r="D60" t="s">
        <v>6392</v>
      </c>
      <c r="E60" t="s">
        <v>5976</v>
      </c>
      <c r="F60" t="s">
        <v>76</v>
      </c>
      <c r="G60" t="s">
        <v>5423</v>
      </c>
      <c r="H60" t="s">
        <v>5976</v>
      </c>
      <c r="I60" t="s">
        <v>5977</v>
      </c>
      <c r="J60" t="s">
        <v>6011</v>
      </c>
      <c r="K60" t="s">
        <v>5981</v>
      </c>
      <c r="M60" t="s">
        <v>5976</v>
      </c>
      <c r="N60" t="s">
        <v>5976</v>
      </c>
      <c r="O60" t="s">
        <v>5976</v>
      </c>
      <c r="P60" t="s">
        <v>5981</v>
      </c>
    </row>
    <row r="61" spans="1:16" x14ac:dyDescent="0.35">
      <c r="A61" t="s">
        <v>61</v>
      </c>
      <c r="B61" t="s">
        <v>6393</v>
      </c>
      <c r="C61" t="s">
        <v>550</v>
      </c>
      <c r="D61" t="s">
        <v>6394</v>
      </c>
      <c r="E61" t="s">
        <v>5976</v>
      </c>
      <c r="F61" t="s">
        <v>76</v>
      </c>
      <c r="G61" t="s">
        <v>5423</v>
      </c>
      <c r="H61" t="s">
        <v>2732</v>
      </c>
      <c r="I61" t="s">
        <v>6011</v>
      </c>
      <c r="J61" t="s">
        <v>5981</v>
      </c>
      <c r="K61" t="s">
        <v>5981</v>
      </c>
      <c r="M61" t="s">
        <v>5976</v>
      </c>
      <c r="N61" t="s">
        <v>5976</v>
      </c>
      <c r="O61" t="s">
        <v>5976</v>
      </c>
      <c r="P61" t="s">
        <v>5981</v>
      </c>
    </row>
    <row r="62" spans="1:16" x14ac:dyDescent="0.35">
      <c r="A62" t="s">
        <v>61</v>
      </c>
      <c r="B62" t="s">
        <v>6395</v>
      </c>
      <c r="C62" t="s">
        <v>548</v>
      </c>
      <c r="D62" t="s">
        <v>6396</v>
      </c>
      <c r="E62" t="s">
        <v>5976</v>
      </c>
      <c r="F62" t="s">
        <v>76</v>
      </c>
      <c r="G62" t="s">
        <v>5423</v>
      </c>
      <c r="H62" t="s">
        <v>2732</v>
      </c>
      <c r="I62" t="s">
        <v>6011</v>
      </c>
      <c r="J62" t="s">
        <v>5981</v>
      </c>
      <c r="K62" t="s">
        <v>5981</v>
      </c>
      <c r="L62">
        <v>46142</v>
      </c>
      <c r="M62" t="s">
        <v>5976</v>
      </c>
      <c r="N62" t="s">
        <v>5976</v>
      </c>
      <c r="O62" t="s">
        <v>5976</v>
      </c>
      <c r="P62" t="s">
        <v>5981</v>
      </c>
    </row>
    <row r="63" spans="1:16" x14ac:dyDescent="0.35">
      <c r="A63" t="s">
        <v>61</v>
      </c>
      <c r="B63" t="s">
        <v>6397</v>
      </c>
      <c r="C63" t="s">
        <v>563</v>
      </c>
      <c r="D63" t="s">
        <v>6398</v>
      </c>
      <c r="E63" t="s">
        <v>5976</v>
      </c>
      <c r="F63" t="s">
        <v>76</v>
      </c>
      <c r="G63" t="s">
        <v>6300</v>
      </c>
      <c r="H63" t="s">
        <v>2732</v>
      </c>
      <c r="I63" t="s">
        <v>5980</v>
      </c>
      <c r="J63" t="s">
        <v>5980</v>
      </c>
      <c r="K63" t="s">
        <v>5980</v>
      </c>
      <c r="M63" t="s">
        <v>5976</v>
      </c>
      <c r="N63" t="s">
        <v>5976</v>
      </c>
      <c r="O63" t="s">
        <v>5976</v>
      </c>
      <c r="P63" t="s">
        <v>5980</v>
      </c>
    </row>
    <row r="64" spans="1:16" x14ac:dyDescent="0.35">
      <c r="A64" t="s">
        <v>61</v>
      </c>
      <c r="B64" t="s">
        <v>6399</v>
      </c>
      <c r="C64" t="s">
        <v>758</v>
      </c>
      <c r="D64" t="s">
        <v>6400</v>
      </c>
      <c r="E64" t="s">
        <v>5976</v>
      </c>
      <c r="F64" t="s">
        <v>76</v>
      </c>
      <c r="G64" t="s">
        <v>5423</v>
      </c>
      <c r="H64" t="s">
        <v>2732</v>
      </c>
      <c r="I64" t="s">
        <v>6011</v>
      </c>
      <c r="J64" t="s">
        <v>5981</v>
      </c>
      <c r="K64" t="s">
        <v>5981</v>
      </c>
      <c r="L64">
        <v>46142</v>
      </c>
      <c r="M64" t="s">
        <v>5976</v>
      </c>
      <c r="N64" t="s">
        <v>5976</v>
      </c>
      <c r="O64" t="s">
        <v>5976</v>
      </c>
      <c r="P64" t="s">
        <v>5981</v>
      </c>
    </row>
    <row r="65" spans="1:16" x14ac:dyDescent="0.35">
      <c r="A65" t="s">
        <v>61</v>
      </c>
      <c r="B65" t="s">
        <v>6401</v>
      </c>
      <c r="C65" t="s">
        <v>908</v>
      </c>
      <c r="D65" t="s">
        <v>6402</v>
      </c>
      <c r="E65" t="s">
        <v>5976</v>
      </c>
      <c r="F65" t="s">
        <v>76</v>
      </c>
      <c r="G65" t="s">
        <v>5423</v>
      </c>
      <c r="H65" t="s">
        <v>2709</v>
      </c>
      <c r="I65" t="s">
        <v>5980</v>
      </c>
      <c r="J65" t="s">
        <v>5981</v>
      </c>
      <c r="K65" t="s">
        <v>5981</v>
      </c>
      <c r="L65">
        <v>46142</v>
      </c>
      <c r="M65" t="s">
        <v>5976</v>
      </c>
      <c r="N65" t="s">
        <v>5976</v>
      </c>
      <c r="O65" t="s">
        <v>5976</v>
      </c>
      <c r="P65" t="s">
        <v>5981</v>
      </c>
    </row>
    <row r="66" spans="1:16" x14ac:dyDescent="0.35">
      <c r="A66" t="s">
        <v>61</v>
      </c>
      <c r="B66" t="s">
        <v>6403</v>
      </c>
      <c r="C66" t="s">
        <v>675</v>
      </c>
      <c r="D66" t="s">
        <v>6404</v>
      </c>
      <c r="E66" t="s">
        <v>5976</v>
      </c>
      <c r="F66" t="s">
        <v>76</v>
      </c>
      <c r="G66" t="s">
        <v>5423</v>
      </c>
      <c r="H66" t="s">
        <v>5976</v>
      </c>
      <c r="I66" t="s">
        <v>5981</v>
      </c>
      <c r="J66" t="s">
        <v>5981</v>
      </c>
      <c r="K66" t="s">
        <v>5981</v>
      </c>
      <c r="M66" t="s">
        <v>5976</v>
      </c>
      <c r="N66" t="s">
        <v>5976</v>
      </c>
      <c r="O66" t="s">
        <v>5976</v>
      </c>
      <c r="P66" t="s">
        <v>5981</v>
      </c>
    </row>
    <row r="67" spans="1:16" x14ac:dyDescent="0.35">
      <c r="A67" t="s">
        <v>61</v>
      </c>
      <c r="B67" t="s">
        <v>6405</v>
      </c>
      <c r="C67" t="s">
        <v>495</v>
      </c>
      <c r="D67" t="s">
        <v>6406</v>
      </c>
      <c r="E67" t="s">
        <v>5976</v>
      </c>
      <c r="F67" t="s">
        <v>76</v>
      </c>
      <c r="G67" t="s">
        <v>5423</v>
      </c>
      <c r="H67" t="s">
        <v>2732</v>
      </c>
      <c r="I67" t="s">
        <v>5981</v>
      </c>
      <c r="J67" t="s">
        <v>5981</v>
      </c>
      <c r="K67" t="s">
        <v>5981</v>
      </c>
      <c r="M67" t="s">
        <v>5976</v>
      </c>
      <c r="N67" t="s">
        <v>5976</v>
      </c>
      <c r="O67" t="s">
        <v>5976</v>
      </c>
      <c r="P67" t="s">
        <v>5981</v>
      </c>
    </row>
    <row r="68" spans="1:16" x14ac:dyDescent="0.35">
      <c r="A68" t="s">
        <v>61</v>
      </c>
      <c r="B68" t="s">
        <v>6407</v>
      </c>
      <c r="C68" t="s">
        <v>1428</v>
      </c>
      <c r="D68" t="s">
        <v>6408</v>
      </c>
      <c r="E68" t="s">
        <v>5976</v>
      </c>
      <c r="F68" t="s">
        <v>76</v>
      </c>
      <c r="G68" t="s">
        <v>5423</v>
      </c>
      <c r="H68" t="s">
        <v>2732</v>
      </c>
      <c r="I68" t="s">
        <v>5981</v>
      </c>
      <c r="J68" t="s">
        <v>5981</v>
      </c>
      <c r="K68" t="s">
        <v>5981</v>
      </c>
      <c r="M68" t="s">
        <v>5976</v>
      </c>
      <c r="N68" t="s">
        <v>5976</v>
      </c>
      <c r="O68" t="s">
        <v>5976</v>
      </c>
      <c r="P68" t="s">
        <v>5981</v>
      </c>
    </row>
    <row r="69" spans="1:16" x14ac:dyDescent="0.35">
      <c r="A69" t="s">
        <v>61</v>
      </c>
      <c r="B69" t="s">
        <v>6409</v>
      </c>
      <c r="C69" t="s">
        <v>691</v>
      </c>
      <c r="D69" t="s">
        <v>6410</v>
      </c>
      <c r="E69" t="s">
        <v>6411</v>
      </c>
      <c r="F69" t="s">
        <v>76</v>
      </c>
      <c r="G69" t="s">
        <v>5423</v>
      </c>
      <c r="H69" t="s">
        <v>2732</v>
      </c>
      <c r="I69" t="s">
        <v>5977</v>
      </c>
      <c r="J69" t="s">
        <v>5977</v>
      </c>
      <c r="K69" t="s">
        <v>5977</v>
      </c>
      <c r="M69" t="s">
        <v>5976</v>
      </c>
      <c r="N69">
        <v>45992</v>
      </c>
      <c r="O69">
        <v>1</v>
      </c>
      <c r="P69" t="s">
        <v>5977</v>
      </c>
    </row>
    <row r="70" spans="1:16" x14ac:dyDescent="0.35">
      <c r="A70" t="s">
        <v>61</v>
      </c>
      <c r="B70" t="s">
        <v>6412</v>
      </c>
      <c r="C70" t="s">
        <v>599</v>
      </c>
      <c r="D70" t="s">
        <v>6413</v>
      </c>
      <c r="E70" t="s">
        <v>5976</v>
      </c>
      <c r="F70" t="s">
        <v>76</v>
      </c>
      <c r="G70" t="s">
        <v>5423</v>
      </c>
      <c r="H70" t="s">
        <v>2732</v>
      </c>
      <c r="I70" t="s">
        <v>5977</v>
      </c>
      <c r="J70" t="s">
        <v>5977</v>
      </c>
      <c r="K70" t="s">
        <v>5977</v>
      </c>
      <c r="M70" t="s">
        <v>5976</v>
      </c>
      <c r="N70">
        <v>45992</v>
      </c>
      <c r="O70">
        <v>1</v>
      </c>
      <c r="P70" t="s">
        <v>5977</v>
      </c>
    </row>
    <row r="71" spans="1:16" x14ac:dyDescent="0.35">
      <c r="A71" t="s">
        <v>61</v>
      </c>
      <c r="B71" t="s">
        <v>6414</v>
      </c>
      <c r="C71" t="s">
        <v>963</v>
      </c>
      <c r="D71" t="s">
        <v>6415</v>
      </c>
      <c r="E71" t="s">
        <v>5976</v>
      </c>
      <c r="F71" t="s">
        <v>76</v>
      </c>
      <c r="G71" t="s">
        <v>5423</v>
      </c>
      <c r="H71" t="s">
        <v>2732</v>
      </c>
      <c r="I71" t="s">
        <v>5977</v>
      </c>
      <c r="J71" t="s">
        <v>5977</v>
      </c>
      <c r="K71" t="s">
        <v>6011</v>
      </c>
      <c r="L71">
        <v>46140</v>
      </c>
      <c r="M71" t="s">
        <v>5976</v>
      </c>
      <c r="N71" t="s">
        <v>5976</v>
      </c>
      <c r="O71" t="s">
        <v>5976</v>
      </c>
      <c r="P71" t="s">
        <v>5981</v>
      </c>
    </row>
    <row r="72" spans="1:16" x14ac:dyDescent="0.35">
      <c r="A72" t="s">
        <v>61</v>
      </c>
      <c r="B72" t="s">
        <v>6416</v>
      </c>
      <c r="C72" t="s">
        <v>629</v>
      </c>
      <c r="D72" t="s">
        <v>6417</v>
      </c>
      <c r="E72" t="s">
        <v>6418</v>
      </c>
      <c r="F72" t="s">
        <v>76</v>
      </c>
      <c r="G72" t="s">
        <v>5423</v>
      </c>
      <c r="H72" t="s">
        <v>2709</v>
      </c>
      <c r="I72" t="s">
        <v>6011</v>
      </c>
      <c r="J72" t="s">
        <v>5981</v>
      </c>
      <c r="K72" t="s">
        <v>5981</v>
      </c>
      <c r="M72" t="s">
        <v>5976</v>
      </c>
      <c r="N72" t="s">
        <v>5976</v>
      </c>
      <c r="O72" t="s">
        <v>5976</v>
      </c>
      <c r="P72" t="s">
        <v>5981</v>
      </c>
    </row>
    <row r="73" spans="1:16" x14ac:dyDescent="0.35">
      <c r="A73" t="s">
        <v>61</v>
      </c>
      <c r="B73" t="s">
        <v>6419</v>
      </c>
      <c r="C73" t="s">
        <v>804</v>
      </c>
      <c r="D73" t="s">
        <v>6420</v>
      </c>
      <c r="E73" t="s">
        <v>5976</v>
      </c>
      <c r="F73" t="s">
        <v>76</v>
      </c>
      <c r="G73" t="s">
        <v>5423</v>
      </c>
      <c r="H73" t="s">
        <v>2709</v>
      </c>
      <c r="I73" t="s">
        <v>5981</v>
      </c>
      <c r="J73" t="s">
        <v>5981</v>
      </c>
      <c r="K73" t="s">
        <v>5981</v>
      </c>
      <c r="M73" t="s">
        <v>5976</v>
      </c>
      <c r="N73" t="s">
        <v>5976</v>
      </c>
      <c r="O73" t="s">
        <v>5976</v>
      </c>
      <c r="P73" t="s">
        <v>5981</v>
      </c>
    </row>
    <row r="74" spans="1:16" x14ac:dyDescent="0.35">
      <c r="A74" t="s">
        <v>61</v>
      </c>
      <c r="B74" t="s">
        <v>6421</v>
      </c>
      <c r="C74" t="s">
        <v>568</v>
      </c>
      <c r="D74" t="s">
        <v>6422</v>
      </c>
      <c r="E74" t="s">
        <v>5976</v>
      </c>
      <c r="F74" t="s">
        <v>76</v>
      </c>
      <c r="G74" t="s">
        <v>5423</v>
      </c>
      <c r="H74" t="s">
        <v>2732</v>
      </c>
      <c r="I74" t="s">
        <v>6011</v>
      </c>
      <c r="J74" t="s">
        <v>5981</v>
      </c>
      <c r="K74" t="s">
        <v>5981</v>
      </c>
      <c r="M74" t="s">
        <v>5976</v>
      </c>
      <c r="N74" t="s">
        <v>5976</v>
      </c>
      <c r="O74" t="s">
        <v>5976</v>
      </c>
      <c r="P74" t="s">
        <v>5981</v>
      </c>
    </row>
    <row r="75" spans="1:16" x14ac:dyDescent="0.35">
      <c r="A75" t="s">
        <v>61</v>
      </c>
      <c r="B75" t="s">
        <v>6423</v>
      </c>
      <c r="C75" t="s">
        <v>647</v>
      </c>
      <c r="D75" t="s">
        <v>6424</v>
      </c>
      <c r="E75" t="s">
        <v>5976</v>
      </c>
      <c r="F75" t="s">
        <v>76</v>
      </c>
      <c r="G75" t="s">
        <v>5423</v>
      </c>
      <c r="H75" t="s">
        <v>2732</v>
      </c>
      <c r="I75" t="s">
        <v>6011</v>
      </c>
      <c r="J75" t="s">
        <v>5981</v>
      </c>
      <c r="K75" t="s">
        <v>5981</v>
      </c>
      <c r="M75" t="s">
        <v>5976</v>
      </c>
      <c r="N75" t="s">
        <v>5976</v>
      </c>
      <c r="O75" t="s">
        <v>5976</v>
      </c>
      <c r="P75" t="s">
        <v>5981</v>
      </c>
    </row>
    <row r="76" spans="1:16" x14ac:dyDescent="0.35">
      <c r="A76" t="s">
        <v>61</v>
      </c>
      <c r="B76" t="s">
        <v>6425</v>
      </c>
      <c r="C76" t="s">
        <v>922</v>
      </c>
      <c r="D76" t="s">
        <v>923</v>
      </c>
      <c r="E76" t="s">
        <v>5976</v>
      </c>
      <c r="F76" t="s">
        <v>76</v>
      </c>
      <c r="G76" t="s">
        <v>5423</v>
      </c>
      <c r="H76" t="s">
        <v>2709</v>
      </c>
      <c r="I76" t="s">
        <v>5981</v>
      </c>
      <c r="J76" t="s">
        <v>5981</v>
      </c>
      <c r="K76" t="s">
        <v>5981</v>
      </c>
      <c r="M76" t="s">
        <v>5976</v>
      </c>
      <c r="N76" t="s">
        <v>5976</v>
      </c>
      <c r="O76" t="s">
        <v>5976</v>
      </c>
      <c r="P76" t="s">
        <v>5981</v>
      </c>
    </row>
    <row r="77" spans="1:16" x14ac:dyDescent="0.35">
      <c r="A77" t="s">
        <v>5974</v>
      </c>
      <c r="B77" t="s">
        <v>6426</v>
      </c>
      <c r="C77" t="s">
        <v>5400</v>
      </c>
      <c r="D77" t="s">
        <v>6427</v>
      </c>
      <c r="E77" t="s">
        <v>6428</v>
      </c>
      <c r="F77" t="s">
        <v>76</v>
      </c>
      <c r="G77" t="s">
        <v>2716</v>
      </c>
      <c r="H77" t="s">
        <v>2709</v>
      </c>
      <c r="I77" t="s">
        <v>6011</v>
      </c>
      <c r="J77" t="s">
        <v>5981</v>
      </c>
      <c r="K77" t="s">
        <v>5981</v>
      </c>
      <c r="L77">
        <v>46157</v>
      </c>
      <c r="M77" t="s">
        <v>5976</v>
      </c>
      <c r="N77" t="s">
        <v>5976</v>
      </c>
      <c r="O77" t="s">
        <v>5976</v>
      </c>
      <c r="P77" t="s">
        <v>5981</v>
      </c>
    </row>
    <row r="78" spans="1:16" x14ac:dyDescent="0.35">
      <c r="A78" t="s">
        <v>5974</v>
      </c>
      <c r="B78" t="s">
        <v>6429</v>
      </c>
      <c r="C78" t="s">
        <v>2352</v>
      </c>
      <c r="D78" t="s">
        <v>6430</v>
      </c>
      <c r="E78" t="s">
        <v>5976</v>
      </c>
      <c r="F78" t="s">
        <v>76</v>
      </c>
      <c r="G78" t="s">
        <v>2716</v>
      </c>
      <c r="H78" t="s">
        <v>2732</v>
      </c>
      <c r="I78" t="s">
        <v>6011</v>
      </c>
      <c r="J78" t="s">
        <v>5981</v>
      </c>
      <c r="K78" t="s">
        <v>5981</v>
      </c>
      <c r="L78">
        <v>46216</v>
      </c>
      <c r="M78" t="s">
        <v>5976</v>
      </c>
      <c r="N78" t="s">
        <v>5976</v>
      </c>
      <c r="O78" t="s">
        <v>5976</v>
      </c>
      <c r="P78" t="s">
        <v>5981</v>
      </c>
    </row>
    <row r="79" spans="1:16" x14ac:dyDescent="0.35">
      <c r="A79" t="s">
        <v>5974</v>
      </c>
      <c r="B79" t="s">
        <v>6431</v>
      </c>
      <c r="C79" t="s">
        <v>2350</v>
      </c>
      <c r="D79" t="s">
        <v>6432</v>
      </c>
      <c r="E79" t="s">
        <v>5976</v>
      </c>
      <c r="F79" t="s">
        <v>76</v>
      </c>
      <c r="G79" t="s">
        <v>2716</v>
      </c>
      <c r="H79" t="s">
        <v>2732</v>
      </c>
      <c r="I79" t="s">
        <v>6011</v>
      </c>
      <c r="J79" t="s">
        <v>5981</v>
      </c>
      <c r="K79" t="s">
        <v>5981</v>
      </c>
      <c r="L79">
        <v>46244</v>
      </c>
      <c r="M79" t="s">
        <v>5976</v>
      </c>
      <c r="N79" t="s">
        <v>5976</v>
      </c>
      <c r="O79" t="s">
        <v>5976</v>
      </c>
      <c r="P79" t="s">
        <v>5981</v>
      </c>
    </row>
    <row r="80" spans="1:16" x14ac:dyDescent="0.35">
      <c r="A80" t="s">
        <v>5974</v>
      </c>
      <c r="B80" t="s">
        <v>6269</v>
      </c>
      <c r="C80" t="s">
        <v>2154</v>
      </c>
      <c r="D80" t="s">
        <v>6433</v>
      </c>
      <c r="E80" t="s">
        <v>6434</v>
      </c>
      <c r="F80" t="s">
        <v>76</v>
      </c>
      <c r="G80" t="s">
        <v>6435</v>
      </c>
      <c r="H80" t="s">
        <v>2732</v>
      </c>
      <c r="I80" t="s">
        <v>5977</v>
      </c>
      <c r="J80" t="s">
        <v>5977</v>
      </c>
      <c r="K80" t="s">
        <v>5977</v>
      </c>
      <c r="L80">
        <v>46112</v>
      </c>
      <c r="M80" t="s">
        <v>5976</v>
      </c>
      <c r="N80" t="s">
        <v>5976</v>
      </c>
      <c r="O80" t="s">
        <v>5976</v>
      </c>
      <c r="P80" t="s">
        <v>6011</v>
      </c>
    </row>
    <row r="81" spans="1:16" x14ac:dyDescent="0.35">
      <c r="A81" t="s">
        <v>5974</v>
      </c>
      <c r="B81" t="s">
        <v>6026</v>
      </c>
      <c r="C81" t="s">
        <v>74</v>
      </c>
      <c r="D81" t="s">
        <v>6436</v>
      </c>
      <c r="E81" t="s">
        <v>6434</v>
      </c>
      <c r="F81" t="s">
        <v>76</v>
      </c>
      <c r="G81" t="s">
        <v>5423</v>
      </c>
      <c r="H81" t="s">
        <v>2732</v>
      </c>
      <c r="I81" t="s">
        <v>5977</v>
      </c>
      <c r="J81" t="s">
        <v>6011</v>
      </c>
      <c r="K81" t="s">
        <v>5981</v>
      </c>
      <c r="L81">
        <v>46112</v>
      </c>
      <c r="P81" t="s">
        <v>5981</v>
      </c>
    </row>
    <row r="82" spans="1:16" x14ac:dyDescent="0.35">
      <c r="A82" t="s">
        <v>61</v>
      </c>
      <c r="C82" t="s">
        <v>2152</v>
      </c>
      <c r="D82" t="s">
        <v>6437</v>
      </c>
      <c r="E82" t="s">
        <v>5028</v>
      </c>
      <c r="F82" t="s">
        <v>76</v>
      </c>
      <c r="G82" t="s">
        <v>1794</v>
      </c>
      <c r="H82" t="s">
        <v>2709</v>
      </c>
      <c r="I82" t="s">
        <v>6011</v>
      </c>
      <c r="J82" t="s">
        <v>5981</v>
      </c>
      <c r="K82" t="s">
        <v>5981</v>
      </c>
      <c r="M82" t="s">
        <v>5976</v>
      </c>
      <c r="N82" t="s">
        <v>5976</v>
      </c>
      <c r="O82" t="s">
        <v>5976</v>
      </c>
      <c r="P82" t="s">
        <v>5981</v>
      </c>
    </row>
    <row r="83" spans="1:16" x14ac:dyDescent="0.35">
      <c r="A83" t="s">
        <v>5974</v>
      </c>
      <c r="C83" t="s">
        <v>3933</v>
      </c>
      <c r="D83" t="s">
        <v>6438</v>
      </c>
      <c r="E83" t="s">
        <v>6439</v>
      </c>
      <c r="F83" t="s">
        <v>76</v>
      </c>
      <c r="G83" t="s">
        <v>2716</v>
      </c>
      <c r="H83" t="s">
        <v>2709</v>
      </c>
      <c r="I83" t="s">
        <v>5981</v>
      </c>
      <c r="J83" t="s">
        <v>5981</v>
      </c>
      <c r="K83" t="s">
        <v>5981</v>
      </c>
      <c r="L83">
        <v>46172</v>
      </c>
      <c r="M83" t="s">
        <v>5976</v>
      </c>
      <c r="N83" t="s">
        <v>5976</v>
      </c>
      <c r="O83" t="s">
        <v>5976</v>
      </c>
      <c r="P83" t="s">
        <v>5981</v>
      </c>
    </row>
    <row r="84" spans="1:16" x14ac:dyDescent="0.35">
      <c r="A84" t="s">
        <v>5974</v>
      </c>
      <c r="C84" t="s">
        <v>3647</v>
      </c>
      <c r="D84" t="s">
        <v>6440</v>
      </c>
      <c r="E84" t="s">
        <v>6441</v>
      </c>
      <c r="F84" t="s">
        <v>76</v>
      </c>
      <c r="G84" t="s">
        <v>2716</v>
      </c>
      <c r="H84" t="s">
        <v>2709</v>
      </c>
      <c r="I84" t="s">
        <v>5996</v>
      </c>
      <c r="J84" t="s">
        <v>5996</v>
      </c>
      <c r="K84" t="s">
        <v>5996</v>
      </c>
      <c r="P84" t="s">
        <v>5996</v>
      </c>
    </row>
    <row r="85" spans="1:16" x14ac:dyDescent="0.35">
      <c r="A85" t="s">
        <v>61</v>
      </c>
      <c r="C85" t="s">
        <v>6442</v>
      </c>
      <c r="D85" t="s">
        <v>6443</v>
      </c>
      <c r="E85" t="s">
        <v>2764</v>
      </c>
      <c r="F85" t="s">
        <v>76</v>
      </c>
      <c r="G85" t="s">
        <v>1794</v>
      </c>
      <c r="H85" t="s">
        <v>2732</v>
      </c>
      <c r="I85" t="s">
        <v>6011</v>
      </c>
      <c r="J85" t="s">
        <v>5981</v>
      </c>
      <c r="K85" t="s">
        <v>5981</v>
      </c>
      <c r="P85" t="s">
        <v>5981</v>
      </c>
    </row>
    <row r="86" spans="1:16" x14ac:dyDescent="0.35">
      <c r="A86" t="s">
        <v>5974</v>
      </c>
      <c r="C86" t="s">
        <v>4372</v>
      </c>
      <c r="D86" t="s">
        <v>6444</v>
      </c>
      <c r="F86" t="s">
        <v>76</v>
      </c>
      <c r="G86" t="s">
        <v>2716</v>
      </c>
      <c r="H86" t="s">
        <v>2732</v>
      </c>
      <c r="I86" t="s">
        <v>5981</v>
      </c>
      <c r="J86" t="s">
        <v>5981</v>
      </c>
      <c r="K86" t="s">
        <v>5981</v>
      </c>
      <c r="L86">
        <v>46222</v>
      </c>
      <c r="P86" t="s">
        <v>5981</v>
      </c>
    </row>
    <row r="87" spans="1:16" x14ac:dyDescent="0.35">
      <c r="A87" t="s">
        <v>61</v>
      </c>
      <c r="C87" t="s">
        <v>500</v>
      </c>
      <c r="D87" t="s">
        <v>6445</v>
      </c>
      <c r="F87" t="s">
        <v>76</v>
      </c>
      <c r="G87" t="s">
        <v>5423</v>
      </c>
      <c r="H87" t="s">
        <v>2709</v>
      </c>
      <c r="I87" t="s">
        <v>5977</v>
      </c>
      <c r="J87" t="s">
        <v>5977</v>
      </c>
      <c r="K87" t="s">
        <v>5977</v>
      </c>
      <c r="N87">
        <v>45748</v>
      </c>
      <c r="P87" t="s">
        <v>5977</v>
      </c>
    </row>
    <row r="88" spans="1:16" x14ac:dyDescent="0.35">
      <c r="A88" t="s">
        <v>61</v>
      </c>
      <c r="D88" t="s">
        <v>6446</v>
      </c>
      <c r="G88" t="s">
        <v>2716</v>
      </c>
      <c r="H88" t="s">
        <v>2732</v>
      </c>
      <c r="I88" t="s">
        <v>6011</v>
      </c>
      <c r="J88" t="s">
        <v>5981</v>
      </c>
      <c r="K88" t="s">
        <v>5981</v>
      </c>
      <c r="P88" t="s">
        <v>5981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279A-DCDA-4E55-B34E-6E5511E8FBB0}">
  <dimension ref="A1:P32"/>
  <sheetViews>
    <sheetView workbookViewId="0"/>
  </sheetViews>
  <sheetFormatPr defaultRowHeight="14.5" x14ac:dyDescent="0.35"/>
  <cols>
    <col min="1" max="1" width="9.36328125" bestFit="1" customWidth="1"/>
    <col min="2" max="2" width="20.81640625" bestFit="1" customWidth="1"/>
    <col min="3" max="3" width="13.7265625" bestFit="1" customWidth="1"/>
    <col min="4" max="4" width="47.08984375" bestFit="1" customWidth="1"/>
    <col min="5" max="5" width="39.7265625" bestFit="1" customWidth="1"/>
    <col min="6" max="6" width="11.36328125" bestFit="1" customWidth="1"/>
    <col min="7" max="7" width="18.08984375" bestFit="1" customWidth="1"/>
    <col min="8" max="8" width="10.08984375" bestFit="1" customWidth="1"/>
    <col min="9" max="9" width="18.54296875" bestFit="1" customWidth="1"/>
    <col min="10" max="10" width="22" bestFit="1" customWidth="1"/>
    <col min="11" max="11" width="27.08984375" bestFit="1" customWidth="1"/>
    <col min="12" max="12" width="34.453125" bestFit="1" customWidth="1"/>
    <col min="13" max="13" width="28.1796875" bestFit="1" customWidth="1"/>
    <col min="14" max="14" width="28.54296875" bestFit="1" customWidth="1"/>
    <col min="15" max="15" width="25.90625" bestFit="1" customWidth="1"/>
    <col min="16" max="16" width="18.81640625" bestFit="1" customWidth="1"/>
  </cols>
  <sheetData>
    <row r="1" spans="1:16" x14ac:dyDescent="0.35">
      <c r="A1" t="s">
        <v>5958</v>
      </c>
      <c r="B1" t="s">
        <v>5959</v>
      </c>
      <c r="C1" t="s">
        <v>5960</v>
      </c>
      <c r="D1" t="s">
        <v>5961</v>
      </c>
      <c r="E1" t="s">
        <v>5962</v>
      </c>
      <c r="F1" t="s">
        <v>5963</v>
      </c>
      <c r="G1" t="s">
        <v>5964</v>
      </c>
      <c r="H1" t="s">
        <v>5965</v>
      </c>
      <c r="I1" t="s">
        <v>5966</v>
      </c>
      <c r="J1" t="s">
        <v>5967</v>
      </c>
      <c r="K1" t="s">
        <v>5968</v>
      </c>
      <c r="L1" t="s">
        <v>5969</v>
      </c>
      <c r="M1" t="s">
        <v>5970</v>
      </c>
      <c r="N1" t="s">
        <v>5971</v>
      </c>
      <c r="O1" t="s">
        <v>5972</v>
      </c>
      <c r="P1" t="s">
        <v>5973</v>
      </c>
    </row>
    <row r="2" spans="1:16" x14ac:dyDescent="0.35">
      <c r="A2" t="s">
        <v>5974</v>
      </c>
      <c r="B2" t="s">
        <v>5975</v>
      </c>
      <c r="C2" t="s">
        <v>1521</v>
      </c>
      <c r="D2" t="s">
        <v>5486</v>
      </c>
      <c r="E2" t="s">
        <v>5976</v>
      </c>
      <c r="F2" t="s">
        <v>2008</v>
      </c>
      <c r="G2" t="s">
        <v>1794</v>
      </c>
      <c r="H2" t="s">
        <v>2810</v>
      </c>
      <c r="I2" t="s">
        <v>5977</v>
      </c>
      <c r="J2" t="s">
        <v>5977</v>
      </c>
      <c r="K2" t="s">
        <v>5977</v>
      </c>
      <c r="L2" t="s">
        <v>5976</v>
      </c>
      <c r="M2" t="s">
        <v>5976</v>
      </c>
      <c r="N2" t="s">
        <v>5976</v>
      </c>
      <c r="O2" t="s">
        <v>5976</v>
      </c>
      <c r="P2" t="s">
        <v>5977</v>
      </c>
    </row>
    <row r="3" spans="1:16" x14ac:dyDescent="0.35">
      <c r="A3" t="s">
        <v>61</v>
      </c>
      <c r="B3" t="s">
        <v>5978</v>
      </c>
      <c r="C3" t="s">
        <v>2639</v>
      </c>
      <c r="D3" t="s">
        <v>5979</v>
      </c>
      <c r="E3" t="s">
        <v>5976</v>
      </c>
      <c r="F3" t="s">
        <v>2008</v>
      </c>
      <c r="G3" t="s">
        <v>1794</v>
      </c>
      <c r="H3" t="s">
        <v>2732</v>
      </c>
      <c r="I3" t="s">
        <v>5977</v>
      </c>
      <c r="J3" t="s">
        <v>5980</v>
      </c>
      <c r="K3" t="s">
        <v>5981</v>
      </c>
      <c r="L3" t="s">
        <v>5976</v>
      </c>
      <c r="M3" t="s">
        <v>5976</v>
      </c>
      <c r="N3" t="s">
        <v>5976</v>
      </c>
      <c r="O3" t="s">
        <v>5976</v>
      </c>
      <c r="P3" t="s">
        <v>5981</v>
      </c>
    </row>
    <row r="4" spans="1:16" x14ac:dyDescent="0.35">
      <c r="A4" t="s">
        <v>61</v>
      </c>
      <c r="B4" t="s">
        <v>5982</v>
      </c>
      <c r="C4" t="s">
        <v>1367</v>
      </c>
      <c r="D4" t="s">
        <v>2130</v>
      </c>
      <c r="E4" t="s">
        <v>5976</v>
      </c>
      <c r="F4" t="s">
        <v>2008</v>
      </c>
      <c r="G4" t="s">
        <v>1794</v>
      </c>
      <c r="H4" t="s">
        <v>2732</v>
      </c>
      <c r="I4" t="s">
        <v>5977</v>
      </c>
      <c r="J4" t="s">
        <v>5977</v>
      </c>
      <c r="K4" t="s">
        <v>5977</v>
      </c>
      <c r="L4">
        <v>46014</v>
      </c>
      <c r="M4">
        <v>45986</v>
      </c>
      <c r="N4">
        <v>46014</v>
      </c>
      <c r="O4">
        <v>1</v>
      </c>
      <c r="P4" t="s">
        <v>5977</v>
      </c>
    </row>
    <row r="5" spans="1:16" x14ac:dyDescent="0.35">
      <c r="A5" t="s">
        <v>61</v>
      </c>
      <c r="B5" t="s">
        <v>5983</v>
      </c>
      <c r="C5" t="s">
        <v>701</v>
      </c>
      <c r="D5" t="s">
        <v>2126</v>
      </c>
      <c r="E5" t="s">
        <v>5976</v>
      </c>
      <c r="F5" t="s">
        <v>2008</v>
      </c>
      <c r="G5" t="s">
        <v>1794</v>
      </c>
      <c r="H5" t="s">
        <v>2732</v>
      </c>
      <c r="I5" t="s">
        <v>5977</v>
      </c>
      <c r="J5" t="s">
        <v>5977</v>
      </c>
      <c r="K5" t="s">
        <v>5977</v>
      </c>
      <c r="L5">
        <v>46014</v>
      </c>
      <c r="M5">
        <v>45989</v>
      </c>
      <c r="N5">
        <v>46014</v>
      </c>
      <c r="O5">
        <v>1</v>
      </c>
      <c r="P5" t="s">
        <v>5977</v>
      </c>
    </row>
    <row r="6" spans="1:16" x14ac:dyDescent="0.35">
      <c r="A6" t="s">
        <v>61</v>
      </c>
      <c r="B6" t="s">
        <v>5984</v>
      </c>
      <c r="C6" t="s">
        <v>5976</v>
      </c>
      <c r="D6" t="s">
        <v>5985</v>
      </c>
      <c r="E6" t="s">
        <v>5986</v>
      </c>
      <c r="F6" t="s">
        <v>2008</v>
      </c>
      <c r="G6" t="s">
        <v>1794</v>
      </c>
      <c r="H6" t="s">
        <v>2709</v>
      </c>
      <c r="I6" t="s">
        <v>5980</v>
      </c>
      <c r="J6" t="s">
        <v>5981</v>
      </c>
      <c r="K6" t="s">
        <v>5981</v>
      </c>
      <c r="L6" t="s">
        <v>5976</v>
      </c>
      <c r="M6" t="s">
        <v>5976</v>
      </c>
      <c r="N6" t="s">
        <v>5976</v>
      </c>
      <c r="O6" t="s">
        <v>5976</v>
      </c>
      <c r="P6" t="s">
        <v>5981</v>
      </c>
    </row>
    <row r="7" spans="1:16" x14ac:dyDescent="0.35">
      <c r="A7" t="s">
        <v>61</v>
      </c>
      <c r="B7" t="s">
        <v>5987</v>
      </c>
      <c r="C7" t="s">
        <v>2200</v>
      </c>
      <c r="D7" t="s">
        <v>5988</v>
      </c>
      <c r="E7" t="s">
        <v>5989</v>
      </c>
      <c r="F7" t="s">
        <v>2008</v>
      </c>
      <c r="G7" t="s">
        <v>1794</v>
      </c>
      <c r="H7" t="s">
        <v>2709</v>
      </c>
      <c r="I7" t="s">
        <v>5977</v>
      </c>
      <c r="J7" t="s">
        <v>5977</v>
      </c>
      <c r="K7" t="s">
        <v>5977</v>
      </c>
      <c r="L7">
        <v>46081</v>
      </c>
      <c r="M7">
        <v>46048</v>
      </c>
      <c r="N7">
        <v>46081</v>
      </c>
      <c r="O7">
        <v>1</v>
      </c>
      <c r="P7" t="s">
        <v>5977</v>
      </c>
    </row>
    <row r="8" spans="1:16" x14ac:dyDescent="0.35">
      <c r="A8" t="s">
        <v>5974</v>
      </c>
      <c r="B8" t="s">
        <v>5990</v>
      </c>
      <c r="C8" t="s">
        <v>2128</v>
      </c>
      <c r="D8" t="s">
        <v>5991</v>
      </c>
      <c r="E8" t="s">
        <v>2779</v>
      </c>
      <c r="F8" t="s">
        <v>2008</v>
      </c>
      <c r="G8" t="s">
        <v>1794</v>
      </c>
      <c r="H8" t="s">
        <v>2709</v>
      </c>
      <c r="I8" t="s">
        <v>5977</v>
      </c>
      <c r="J8" t="s">
        <v>5977</v>
      </c>
      <c r="K8" t="s">
        <v>5977</v>
      </c>
      <c r="L8">
        <v>46015</v>
      </c>
      <c r="M8">
        <v>45991</v>
      </c>
      <c r="N8">
        <v>46015</v>
      </c>
      <c r="O8">
        <v>1</v>
      </c>
      <c r="P8" t="s">
        <v>5977</v>
      </c>
    </row>
    <row r="9" spans="1:16" x14ac:dyDescent="0.35">
      <c r="A9" t="s">
        <v>61</v>
      </c>
      <c r="B9" t="s">
        <v>5992</v>
      </c>
      <c r="C9" t="s">
        <v>5993</v>
      </c>
      <c r="D9" t="s">
        <v>5994</v>
      </c>
      <c r="E9" t="s">
        <v>5995</v>
      </c>
      <c r="F9" t="s">
        <v>2008</v>
      </c>
      <c r="G9" t="s">
        <v>1794</v>
      </c>
      <c r="H9" t="s">
        <v>2709</v>
      </c>
      <c r="I9" t="s">
        <v>5996</v>
      </c>
      <c r="J9" t="s">
        <v>5981</v>
      </c>
      <c r="K9" t="s">
        <v>5980</v>
      </c>
      <c r="L9" t="s">
        <v>5976</v>
      </c>
      <c r="M9" t="s">
        <v>5976</v>
      </c>
      <c r="N9" t="s">
        <v>5976</v>
      </c>
      <c r="O9" t="s">
        <v>5976</v>
      </c>
      <c r="P9" t="s">
        <v>5980</v>
      </c>
    </row>
    <row r="10" spans="1:16" x14ac:dyDescent="0.35">
      <c r="A10" t="s">
        <v>61</v>
      </c>
      <c r="B10" t="s">
        <v>5997</v>
      </c>
      <c r="C10" t="s">
        <v>2641</v>
      </c>
      <c r="D10" t="s">
        <v>5998</v>
      </c>
      <c r="E10" t="s">
        <v>5999</v>
      </c>
      <c r="F10" t="s">
        <v>2008</v>
      </c>
      <c r="G10" t="s">
        <v>1794</v>
      </c>
      <c r="H10" t="s">
        <v>2709</v>
      </c>
      <c r="I10" t="s">
        <v>5980</v>
      </c>
      <c r="J10" t="s">
        <v>5981</v>
      </c>
      <c r="K10" t="s">
        <v>5981</v>
      </c>
      <c r="L10">
        <v>46137</v>
      </c>
      <c r="M10" t="s">
        <v>5976</v>
      </c>
      <c r="N10" t="s">
        <v>5976</v>
      </c>
      <c r="O10" t="s">
        <v>5976</v>
      </c>
      <c r="P10" t="s">
        <v>5981</v>
      </c>
    </row>
    <row r="11" spans="1:16" x14ac:dyDescent="0.35">
      <c r="A11" t="s">
        <v>61</v>
      </c>
      <c r="B11" t="s">
        <v>6000</v>
      </c>
      <c r="C11" t="s">
        <v>2463</v>
      </c>
      <c r="D11" t="s">
        <v>6001</v>
      </c>
      <c r="E11" t="s">
        <v>6002</v>
      </c>
      <c r="F11" t="s">
        <v>2008</v>
      </c>
      <c r="G11" t="s">
        <v>2716</v>
      </c>
      <c r="H11" t="s">
        <v>2732</v>
      </c>
      <c r="I11" t="s">
        <v>5981</v>
      </c>
      <c r="J11" t="s">
        <v>5981</v>
      </c>
      <c r="K11" t="s">
        <v>5981</v>
      </c>
      <c r="L11" t="s">
        <v>5976</v>
      </c>
      <c r="M11" t="s">
        <v>5976</v>
      </c>
      <c r="N11" t="s">
        <v>5976</v>
      </c>
      <c r="O11" t="s">
        <v>5976</v>
      </c>
      <c r="P11" t="s">
        <v>5981</v>
      </c>
    </row>
    <row r="12" spans="1:16" x14ac:dyDescent="0.35">
      <c r="A12" t="s">
        <v>61</v>
      </c>
      <c r="B12" t="s">
        <v>6003</v>
      </c>
      <c r="C12" t="s">
        <v>6004</v>
      </c>
      <c r="D12" t="s">
        <v>6005</v>
      </c>
      <c r="E12" t="s">
        <v>5976</v>
      </c>
      <c r="F12" t="s">
        <v>2008</v>
      </c>
      <c r="G12" t="s">
        <v>2716</v>
      </c>
      <c r="H12" t="s">
        <v>2732</v>
      </c>
      <c r="I12" t="s">
        <v>5996</v>
      </c>
      <c r="J12" t="s">
        <v>5981</v>
      </c>
      <c r="K12" t="s">
        <v>5981</v>
      </c>
      <c r="L12">
        <v>46130</v>
      </c>
      <c r="M12" t="s">
        <v>5976</v>
      </c>
      <c r="N12" t="s">
        <v>5976</v>
      </c>
      <c r="O12" t="s">
        <v>5976</v>
      </c>
      <c r="P12" t="s">
        <v>5981</v>
      </c>
    </row>
    <row r="13" spans="1:16" x14ac:dyDescent="0.35">
      <c r="A13" t="s">
        <v>5974</v>
      </c>
      <c r="B13" t="s">
        <v>6006</v>
      </c>
      <c r="C13" t="s">
        <v>1521</v>
      </c>
      <c r="D13" t="s">
        <v>6007</v>
      </c>
      <c r="E13" t="s">
        <v>6008</v>
      </c>
      <c r="F13" t="s">
        <v>2008</v>
      </c>
      <c r="G13" t="s">
        <v>1794</v>
      </c>
      <c r="H13" t="s">
        <v>2810</v>
      </c>
      <c r="I13" t="s">
        <v>5977</v>
      </c>
      <c r="J13" t="s">
        <v>5981</v>
      </c>
      <c r="K13" t="s">
        <v>5977</v>
      </c>
      <c r="L13">
        <v>46067</v>
      </c>
      <c r="M13">
        <v>46036</v>
      </c>
      <c r="N13">
        <v>46067</v>
      </c>
      <c r="O13">
        <v>1</v>
      </c>
      <c r="P13" t="s">
        <v>5977</v>
      </c>
    </row>
    <row r="14" spans="1:16" x14ac:dyDescent="0.35">
      <c r="A14" t="s">
        <v>5974</v>
      </c>
      <c r="B14" t="s">
        <v>6009</v>
      </c>
      <c r="C14" t="s">
        <v>2637</v>
      </c>
      <c r="D14" t="s">
        <v>5501</v>
      </c>
      <c r="E14" t="s">
        <v>6010</v>
      </c>
      <c r="F14" t="s">
        <v>2008</v>
      </c>
      <c r="G14" t="s">
        <v>1794</v>
      </c>
      <c r="H14" t="s">
        <v>2810</v>
      </c>
      <c r="I14" t="s">
        <v>6011</v>
      </c>
      <c r="J14" t="s">
        <v>5981</v>
      </c>
      <c r="K14" t="s">
        <v>5981</v>
      </c>
      <c r="L14">
        <v>46174</v>
      </c>
      <c r="M14" t="s">
        <v>5976</v>
      </c>
      <c r="N14" t="s">
        <v>5976</v>
      </c>
      <c r="O14" t="s">
        <v>5976</v>
      </c>
      <c r="P14" t="s">
        <v>5981</v>
      </c>
    </row>
    <row r="15" spans="1:16" x14ac:dyDescent="0.35">
      <c r="A15" t="s">
        <v>5974</v>
      </c>
      <c r="B15" t="s">
        <v>6012</v>
      </c>
      <c r="C15" t="s">
        <v>2171</v>
      </c>
      <c r="D15" t="s">
        <v>5489</v>
      </c>
      <c r="E15" t="s">
        <v>5986</v>
      </c>
      <c r="F15" t="s">
        <v>2008</v>
      </c>
      <c r="G15" t="s">
        <v>1794</v>
      </c>
      <c r="H15" t="s">
        <v>2709</v>
      </c>
      <c r="I15" t="s">
        <v>5977</v>
      </c>
      <c r="J15" t="s">
        <v>5977</v>
      </c>
      <c r="K15" t="s">
        <v>5977</v>
      </c>
      <c r="L15">
        <v>46067</v>
      </c>
      <c r="M15">
        <v>46038</v>
      </c>
      <c r="N15">
        <v>46064</v>
      </c>
      <c r="O15">
        <v>1</v>
      </c>
      <c r="P15" t="s">
        <v>5977</v>
      </c>
    </row>
    <row r="16" spans="1:16" x14ac:dyDescent="0.35">
      <c r="A16" t="s">
        <v>5974</v>
      </c>
      <c r="B16" t="s">
        <v>6013</v>
      </c>
      <c r="C16" t="s">
        <v>2643</v>
      </c>
      <c r="D16" t="s">
        <v>5493</v>
      </c>
      <c r="E16" t="s">
        <v>6014</v>
      </c>
      <c r="F16" t="s">
        <v>2008</v>
      </c>
      <c r="G16" t="s">
        <v>1794</v>
      </c>
      <c r="H16" t="s">
        <v>2810</v>
      </c>
      <c r="I16" t="s">
        <v>5977</v>
      </c>
      <c r="J16" t="s">
        <v>5981</v>
      </c>
      <c r="L16">
        <v>46132</v>
      </c>
      <c r="M16" t="s">
        <v>5976</v>
      </c>
      <c r="N16" t="s">
        <v>5976</v>
      </c>
      <c r="O16" t="s">
        <v>5976</v>
      </c>
      <c r="P16" t="s">
        <v>5981</v>
      </c>
    </row>
    <row r="17" spans="1:16" x14ac:dyDescent="0.35">
      <c r="A17" t="s">
        <v>5974</v>
      </c>
      <c r="B17" t="s">
        <v>6015</v>
      </c>
      <c r="C17" t="s">
        <v>3620</v>
      </c>
      <c r="D17" t="s">
        <v>5497</v>
      </c>
      <c r="E17" t="s">
        <v>6010</v>
      </c>
      <c r="F17" t="s">
        <v>2008</v>
      </c>
      <c r="G17" t="s">
        <v>1794</v>
      </c>
      <c r="H17" t="s">
        <v>2810</v>
      </c>
      <c r="I17" t="s">
        <v>6011</v>
      </c>
      <c r="J17" t="s">
        <v>5981</v>
      </c>
      <c r="K17" t="s">
        <v>5981</v>
      </c>
      <c r="L17">
        <v>46174</v>
      </c>
      <c r="M17" t="s">
        <v>5976</v>
      </c>
      <c r="N17" t="s">
        <v>5976</v>
      </c>
      <c r="O17" t="s">
        <v>5976</v>
      </c>
      <c r="P17" t="s">
        <v>5981</v>
      </c>
    </row>
    <row r="18" spans="1:16" x14ac:dyDescent="0.35">
      <c r="A18" t="s">
        <v>5974</v>
      </c>
      <c r="B18" t="s">
        <v>6016</v>
      </c>
      <c r="C18" t="s">
        <v>2459</v>
      </c>
      <c r="D18" t="s">
        <v>6017</v>
      </c>
      <c r="E18" t="s">
        <v>5976</v>
      </c>
      <c r="F18" t="s">
        <v>2008</v>
      </c>
      <c r="G18" t="s">
        <v>2716</v>
      </c>
      <c r="H18" t="s">
        <v>2810</v>
      </c>
      <c r="I18" t="s">
        <v>5981</v>
      </c>
      <c r="J18" t="s">
        <v>5981</v>
      </c>
      <c r="K18" t="s">
        <v>5981</v>
      </c>
      <c r="L18" t="s">
        <v>5976</v>
      </c>
      <c r="M18" t="s">
        <v>5976</v>
      </c>
      <c r="N18" t="s">
        <v>5976</v>
      </c>
      <c r="O18" t="s">
        <v>5976</v>
      </c>
      <c r="P18" t="s">
        <v>5981</v>
      </c>
    </row>
    <row r="19" spans="1:16" x14ac:dyDescent="0.35">
      <c r="A19" t="s">
        <v>61</v>
      </c>
      <c r="B19" t="s">
        <v>6018</v>
      </c>
      <c r="C19" t="s">
        <v>4568</v>
      </c>
      <c r="D19" t="s">
        <v>6019</v>
      </c>
      <c r="E19" t="s">
        <v>5976</v>
      </c>
      <c r="F19" t="s">
        <v>2008</v>
      </c>
      <c r="G19" t="s">
        <v>2716</v>
      </c>
      <c r="H19" t="s">
        <v>2709</v>
      </c>
      <c r="I19" t="s">
        <v>5980</v>
      </c>
      <c r="J19" t="s">
        <v>5981</v>
      </c>
      <c r="K19" t="s">
        <v>5981</v>
      </c>
      <c r="L19" t="s">
        <v>5976</v>
      </c>
      <c r="M19" t="s">
        <v>5976</v>
      </c>
      <c r="N19" t="s">
        <v>5976</v>
      </c>
      <c r="O19" t="s">
        <v>5976</v>
      </c>
      <c r="P19" t="s">
        <v>5981</v>
      </c>
    </row>
    <row r="20" spans="1:16" x14ac:dyDescent="0.35">
      <c r="A20" t="s">
        <v>61</v>
      </c>
      <c r="B20" t="s">
        <v>6020</v>
      </c>
      <c r="C20" t="s">
        <v>5026</v>
      </c>
      <c r="D20" t="s">
        <v>6021</v>
      </c>
      <c r="E20" t="s">
        <v>6022</v>
      </c>
      <c r="F20" t="s">
        <v>2008</v>
      </c>
      <c r="G20" t="s">
        <v>1794</v>
      </c>
      <c r="H20" t="s">
        <v>2709</v>
      </c>
      <c r="I20" t="s">
        <v>5981</v>
      </c>
      <c r="J20" t="s">
        <v>5981</v>
      </c>
      <c r="K20" t="s">
        <v>5981</v>
      </c>
      <c r="L20">
        <v>46162</v>
      </c>
      <c r="M20" t="s">
        <v>5976</v>
      </c>
      <c r="N20" t="s">
        <v>5976</v>
      </c>
      <c r="O20" t="s">
        <v>5976</v>
      </c>
      <c r="P20" t="s">
        <v>5981</v>
      </c>
    </row>
    <row r="21" spans="1:16" x14ac:dyDescent="0.35">
      <c r="A21" t="s">
        <v>61</v>
      </c>
      <c r="B21" t="s">
        <v>6023</v>
      </c>
      <c r="C21" t="s">
        <v>6024</v>
      </c>
      <c r="D21" t="s">
        <v>6025</v>
      </c>
      <c r="E21" t="s">
        <v>6022</v>
      </c>
      <c r="F21" t="s">
        <v>2008</v>
      </c>
      <c r="G21" t="s">
        <v>1794</v>
      </c>
      <c r="H21" t="s">
        <v>2709</v>
      </c>
      <c r="I21" t="s">
        <v>5981</v>
      </c>
      <c r="J21" t="s">
        <v>5981</v>
      </c>
      <c r="K21" t="s">
        <v>5981</v>
      </c>
      <c r="L21">
        <v>46162</v>
      </c>
      <c r="M21" t="s">
        <v>5976</v>
      </c>
      <c r="N21" t="s">
        <v>5976</v>
      </c>
      <c r="O21" t="s">
        <v>5976</v>
      </c>
      <c r="P21" t="s">
        <v>5981</v>
      </c>
    </row>
    <row r="22" spans="1:16" x14ac:dyDescent="0.35">
      <c r="A22" t="s">
        <v>5974</v>
      </c>
      <c r="B22" t="s">
        <v>6026</v>
      </c>
      <c r="C22" t="s">
        <v>5334</v>
      </c>
      <c r="D22" t="s">
        <v>6027</v>
      </c>
      <c r="E22" t="s">
        <v>6022</v>
      </c>
      <c r="F22" t="s">
        <v>2008</v>
      </c>
      <c r="G22" t="s">
        <v>1794</v>
      </c>
      <c r="H22" t="s">
        <v>2810</v>
      </c>
      <c r="I22" t="s">
        <v>5977</v>
      </c>
      <c r="J22" t="s">
        <v>5981</v>
      </c>
      <c r="K22" t="s">
        <v>5981</v>
      </c>
      <c r="L22">
        <v>46137</v>
      </c>
      <c r="M22" t="s">
        <v>5976</v>
      </c>
      <c r="N22" t="s">
        <v>5976</v>
      </c>
      <c r="O22" t="s">
        <v>5976</v>
      </c>
      <c r="P22" t="s">
        <v>5981</v>
      </c>
    </row>
    <row r="23" spans="1:16" x14ac:dyDescent="0.35">
      <c r="A23" t="s">
        <v>5974</v>
      </c>
      <c r="B23" t="s">
        <v>6028</v>
      </c>
      <c r="C23" t="s">
        <v>5945</v>
      </c>
      <c r="D23" t="s">
        <v>5694</v>
      </c>
      <c r="E23" t="s">
        <v>5976</v>
      </c>
      <c r="F23" t="s">
        <v>2008</v>
      </c>
      <c r="G23" t="s">
        <v>1794</v>
      </c>
      <c r="H23" t="s">
        <v>2810</v>
      </c>
      <c r="I23" t="s">
        <v>5977</v>
      </c>
      <c r="J23" t="s">
        <v>5981</v>
      </c>
      <c r="K23" t="s">
        <v>5981</v>
      </c>
      <c r="L23">
        <v>46137</v>
      </c>
      <c r="M23" t="s">
        <v>5976</v>
      </c>
      <c r="N23" t="s">
        <v>5976</v>
      </c>
      <c r="O23" t="s">
        <v>5976</v>
      </c>
      <c r="P23" t="s">
        <v>5981</v>
      </c>
    </row>
    <row r="24" spans="1:16" x14ac:dyDescent="0.35">
      <c r="A24" t="s">
        <v>5974</v>
      </c>
      <c r="B24" t="s">
        <v>6029</v>
      </c>
      <c r="C24" t="s">
        <v>3958</v>
      </c>
      <c r="D24" t="s">
        <v>6030</v>
      </c>
      <c r="E24" t="s">
        <v>5976</v>
      </c>
      <c r="F24" t="s">
        <v>2008</v>
      </c>
      <c r="G24" t="s">
        <v>1794</v>
      </c>
      <c r="H24" t="s">
        <v>2709</v>
      </c>
      <c r="I24" t="s">
        <v>5977</v>
      </c>
      <c r="J24" t="s">
        <v>5981</v>
      </c>
      <c r="K24" t="s">
        <v>5981</v>
      </c>
      <c r="L24">
        <v>46137</v>
      </c>
      <c r="M24" t="s">
        <v>5976</v>
      </c>
      <c r="N24" t="s">
        <v>5976</v>
      </c>
      <c r="O24" t="s">
        <v>5976</v>
      </c>
      <c r="P24" t="s">
        <v>5981</v>
      </c>
    </row>
    <row r="25" spans="1:16" x14ac:dyDescent="0.35">
      <c r="A25" t="s">
        <v>61</v>
      </c>
      <c r="B25" t="s">
        <v>6031</v>
      </c>
      <c r="C25" t="s">
        <v>3077</v>
      </c>
      <c r="D25" t="s">
        <v>6032</v>
      </c>
      <c r="E25" t="s">
        <v>5976</v>
      </c>
      <c r="F25" t="s">
        <v>2008</v>
      </c>
      <c r="G25" t="s">
        <v>2716</v>
      </c>
      <c r="H25" t="s">
        <v>2709</v>
      </c>
      <c r="I25" t="s">
        <v>5977</v>
      </c>
      <c r="J25" t="s">
        <v>5981</v>
      </c>
      <c r="K25" t="s">
        <v>6011</v>
      </c>
      <c r="L25">
        <v>46139</v>
      </c>
      <c r="M25" t="s">
        <v>5976</v>
      </c>
      <c r="N25" t="s">
        <v>5976</v>
      </c>
      <c r="O25" t="s">
        <v>5976</v>
      </c>
      <c r="P25" t="s">
        <v>5981</v>
      </c>
    </row>
    <row r="26" spans="1:16" x14ac:dyDescent="0.35">
      <c r="A26" t="s">
        <v>61</v>
      </c>
      <c r="B26" t="s">
        <v>6033</v>
      </c>
      <c r="C26" t="s">
        <v>2756</v>
      </c>
      <c r="D26" t="s">
        <v>6034</v>
      </c>
      <c r="E26" t="s">
        <v>2764</v>
      </c>
      <c r="F26" t="s">
        <v>2008</v>
      </c>
      <c r="G26" t="s">
        <v>1794</v>
      </c>
      <c r="H26" t="s">
        <v>2709</v>
      </c>
      <c r="I26" t="s">
        <v>6011</v>
      </c>
      <c r="J26" t="s">
        <v>5981</v>
      </c>
      <c r="K26" t="s">
        <v>5981</v>
      </c>
      <c r="L26">
        <v>46137</v>
      </c>
      <c r="M26" t="s">
        <v>5976</v>
      </c>
      <c r="N26" t="s">
        <v>5976</v>
      </c>
      <c r="O26" t="s">
        <v>5976</v>
      </c>
      <c r="P26" t="s">
        <v>5981</v>
      </c>
    </row>
    <row r="27" spans="1:16" x14ac:dyDescent="0.35">
      <c r="A27" t="s">
        <v>5974</v>
      </c>
      <c r="B27" t="s">
        <v>6035</v>
      </c>
      <c r="C27" t="s">
        <v>2831</v>
      </c>
      <c r="D27" t="s">
        <v>5851</v>
      </c>
      <c r="E27" t="s">
        <v>2833</v>
      </c>
      <c r="F27" t="s">
        <v>2008</v>
      </c>
      <c r="G27" t="s">
        <v>1794</v>
      </c>
      <c r="H27" t="s">
        <v>5976</v>
      </c>
      <c r="I27" t="s">
        <v>6011</v>
      </c>
      <c r="J27" t="s">
        <v>5981</v>
      </c>
      <c r="K27" t="s">
        <v>5981</v>
      </c>
      <c r="L27">
        <v>46193</v>
      </c>
      <c r="M27" t="s">
        <v>5976</v>
      </c>
      <c r="N27" t="s">
        <v>5976</v>
      </c>
      <c r="O27" t="s">
        <v>5976</v>
      </c>
      <c r="P27" t="s">
        <v>5981</v>
      </c>
    </row>
    <row r="28" spans="1:16" x14ac:dyDescent="0.35">
      <c r="A28" t="s">
        <v>61</v>
      </c>
      <c r="B28" t="s">
        <v>6036</v>
      </c>
      <c r="C28" t="s">
        <v>6037</v>
      </c>
      <c r="D28" t="s">
        <v>6038</v>
      </c>
      <c r="E28" t="s">
        <v>6039</v>
      </c>
      <c r="F28" t="s">
        <v>2008</v>
      </c>
      <c r="G28" t="s">
        <v>1794</v>
      </c>
      <c r="H28" t="s">
        <v>5976</v>
      </c>
      <c r="I28" t="s">
        <v>6011</v>
      </c>
      <c r="J28" t="s">
        <v>5981</v>
      </c>
      <c r="K28" t="s">
        <v>5981</v>
      </c>
      <c r="L28" t="s">
        <v>5976</v>
      </c>
      <c r="M28" t="s">
        <v>5976</v>
      </c>
      <c r="N28" t="s">
        <v>5976</v>
      </c>
      <c r="O28" t="s">
        <v>5976</v>
      </c>
      <c r="P28" t="s">
        <v>5981</v>
      </c>
    </row>
    <row r="29" spans="1:16" x14ac:dyDescent="0.35">
      <c r="A29" t="s">
        <v>61</v>
      </c>
      <c r="B29" t="s">
        <v>6040</v>
      </c>
      <c r="C29" t="s">
        <v>5039</v>
      </c>
      <c r="D29" t="s">
        <v>6041</v>
      </c>
      <c r="E29" t="s">
        <v>5986</v>
      </c>
      <c r="F29" t="s">
        <v>2008</v>
      </c>
      <c r="G29" t="s">
        <v>1794</v>
      </c>
      <c r="H29" t="s">
        <v>5976</v>
      </c>
      <c r="I29" t="s">
        <v>6011</v>
      </c>
      <c r="J29" t="s">
        <v>5981</v>
      </c>
      <c r="K29" t="s">
        <v>5981</v>
      </c>
      <c r="L29">
        <v>46132</v>
      </c>
      <c r="M29" t="s">
        <v>5976</v>
      </c>
      <c r="N29" t="s">
        <v>5976</v>
      </c>
      <c r="O29" t="s">
        <v>5976</v>
      </c>
      <c r="P29" t="s">
        <v>5981</v>
      </c>
    </row>
    <row r="30" spans="1:16" x14ac:dyDescent="0.35">
      <c r="A30" t="s">
        <v>5974</v>
      </c>
      <c r="B30" t="s">
        <v>6042</v>
      </c>
      <c r="C30" t="s">
        <v>5340</v>
      </c>
      <c r="D30" t="s">
        <v>5856</v>
      </c>
      <c r="E30" t="s">
        <v>6043</v>
      </c>
      <c r="F30" t="s">
        <v>2008</v>
      </c>
      <c r="G30" t="s">
        <v>1794</v>
      </c>
      <c r="H30" t="s">
        <v>5976</v>
      </c>
      <c r="I30" t="s">
        <v>6011</v>
      </c>
      <c r="J30" t="s">
        <v>5976</v>
      </c>
      <c r="K30" t="s">
        <v>5976</v>
      </c>
      <c r="L30" t="s">
        <v>5976</v>
      </c>
      <c r="M30" t="s">
        <v>5976</v>
      </c>
      <c r="N30" t="s">
        <v>5976</v>
      </c>
      <c r="O30" t="s">
        <v>5976</v>
      </c>
      <c r="P30" t="s">
        <v>5976</v>
      </c>
    </row>
    <row r="31" spans="1:16" x14ac:dyDescent="0.35">
      <c r="A31" t="s">
        <v>61</v>
      </c>
      <c r="B31" t="s">
        <v>6044</v>
      </c>
      <c r="C31" t="s">
        <v>5949</v>
      </c>
      <c r="D31" t="s">
        <v>6045</v>
      </c>
      <c r="F31" t="s">
        <v>2008</v>
      </c>
    </row>
    <row r="32" spans="1:16" x14ac:dyDescent="0.35">
      <c r="B32" t="s">
        <v>6046</v>
      </c>
      <c r="C32" t="s">
        <v>6047</v>
      </c>
      <c r="D32" t="s">
        <v>6048</v>
      </c>
      <c r="F32" t="s">
        <v>2008</v>
      </c>
      <c r="I32" t="s">
        <v>6011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AEE1-6702-4ACA-BD28-26BFD3177F91}">
  <dimension ref="B4:B9"/>
  <sheetViews>
    <sheetView workbookViewId="0">
      <selection activeCell="B4" sqref="B4"/>
    </sheetView>
  </sheetViews>
  <sheetFormatPr defaultRowHeight="14.5" x14ac:dyDescent="0.35"/>
  <cols>
    <col min="2" max="2" width="10.6328125" bestFit="1" customWidth="1"/>
  </cols>
  <sheetData>
    <row r="4" spans="2:2" x14ac:dyDescent="0.35">
      <c r="B4" t="s">
        <v>5952</v>
      </c>
    </row>
    <row r="5" spans="2:2" x14ac:dyDescent="0.35">
      <c r="B5" t="s">
        <v>5956</v>
      </c>
    </row>
    <row r="6" spans="2:2" x14ac:dyDescent="0.35">
      <c r="B6" t="s">
        <v>5957</v>
      </c>
    </row>
    <row r="7" spans="2:2" x14ac:dyDescent="0.35">
      <c r="B7" t="s">
        <v>5953</v>
      </c>
    </row>
    <row r="8" spans="2:2" x14ac:dyDescent="0.35">
      <c r="B8" t="s">
        <v>5954</v>
      </c>
    </row>
    <row r="9" spans="2:2" x14ac:dyDescent="0.35">
      <c r="B9" t="s">
        <v>5955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46425B-34E5-4E71-B6E8-AE4590AA8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Master</vt:lpstr>
      <vt:lpstr>Master MoM</vt:lpstr>
      <vt:lpstr>Sheet1</vt:lpstr>
      <vt:lpstr>Lọc code mới</vt:lpstr>
      <vt:lpstr>TCH (append)</vt:lpstr>
      <vt:lpstr>Sheet3</vt:lpstr>
      <vt:lpstr>Plan 2026</vt:lpstr>
      <vt:lpstr>For consider</vt:lpstr>
      <vt:lpstr>Detail Capex 2026_Sumibi</vt:lpstr>
      <vt:lpstr>Detail Capex 2026</vt:lpstr>
      <vt:lpstr>Others</vt:lpstr>
      <vt:lpstr>Manwah</vt:lpstr>
      <vt:lpstr>Kichi</vt:lpstr>
      <vt:lpstr>Isushi</vt:lpstr>
      <vt:lpstr>Gogi</vt:lpstr>
      <vt:lpstr>DNG</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 Hoang Thu ( HN | CFO Office )</dc:creator>
  <cp:lastModifiedBy>Huong, Hoang Thu ( HN | CFO Office )</cp:lastModifiedBy>
  <dcterms:created xsi:type="dcterms:W3CDTF">2026-03-25T01:57:59Z</dcterms:created>
  <dcterms:modified xsi:type="dcterms:W3CDTF">2026-03-30T03:22:40Z</dcterms:modified>
</cp:coreProperties>
</file>